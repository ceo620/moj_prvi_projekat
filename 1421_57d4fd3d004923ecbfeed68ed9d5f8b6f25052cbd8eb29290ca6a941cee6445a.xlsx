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ivil_Packages_Master" sheetId="4" state="visible" r:id="rId4"/>
    <sheet xmlns:r="http://schemas.openxmlformats.org/officeDocument/2006/relationships" name="Category_Summary" sheetId="5" state="visible" r:id="rId5"/>
    <sheet xmlns:r="http://schemas.openxmlformats.org/officeDocument/2006/relationships" name="CAPEX_Check" sheetId="6" state="visible" r:id="rId6"/>
    <sheet xmlns:r="http://schemas.openxmlformats.org/officeDocument/2006/relationships" name="Phasing_Link" sheetId="7" state="visible" r:id="rId7"/>
    <sheet xmlns:r="http://schemas.openxmlformats.org/officeDocument/2006/relationships" name="Asset_Register_Link" sheetId="8" state="visible" r:id="rId8"/>
    <sheet xmlns:r="http://schemas.openxmlformats.org/officeDocument/2006/relationships" name="Ecosystem_Link" sheetId="9" state="visible" r:id="rId9"/>
    <sheet xmlns:r="http://schemas.openxmlformats.org/officeDocument/2006/relationships" name="Harmonization_Note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libri"/>
      <charset val="1"/>
      <family val="2"/>
      <color theme="10"/>
      <sz val="12"/>
    </font>
    <font>
      <name val="Cambria"/>
      <charset val="1"/>
      <family val="0"/>
      <color rgb="FF0000FF"/>
      <sz val="11"/>
    </font>
    <font>
      <name val="Cambria"/>
      <charset val="1"/>
      <family val="0"/>
      <color rgb="FF000000"/>
      <sz val="11"/>
    </font>
    <font>
      <name val="Arial"/>
      <family val="2"/>
      <sz val="10"/>
    </font>
    <font>
      <name val="Cambria"/>
      <charset val="1"/>
      <family val="0"/>
      <color rgb="FF008000"/>
      <sz val="11"/>
    </font>
    <font>
      <b val="1"/>
      <color rgb="00FFFFFF"/>
      <sz val="14"/>
    </font>
    <font>
      <b val="1"/>
      <color rgb="00FFFFFF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 style="medium"/>
      <bottom/>
      <diagonal/>
    </border>
    <border>
      <bottom style="thin">
        <color rgb="00D9D9D9"/>
      </bottom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5" fontId="0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7" fillId="0" borderId="0" applyAlignment="1" pivotButton="0" quotePrefix="0" xfId="20">
      <alignment horizontal="general" vertical="center"/>
    </xf>
    <xf numFmtId="3" fontId="8" fillId="0" borderId="0" applyAlignment="1" pivotButton="0" quotePrefix="0" xfId="0">
      <alignment horizontal="general" vertical="center"/>
    </xf>
    <xf numFmtId="164" fontId="8" fillId="0" borderId="0" applyAlignment="1" pivotButton="0" quotePrefix="0" xfId="0">
      <alignment horizontal="general" vertical="center"/>
    </xf>
    <xf numFmtId="164" fontId="9" fillId="0" borderId="0" applyAlignment="1" pivotButton="0" quotePrefix="0" xfId="0">
      <alignment horizontal="general" vertical="center"/>
    </xf>
    <xf numFmtId="165" fontId="9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165" fontId="8" fillId="0" borderId="0" applyAlignment="1" pivotButton="0" quotePrefix="0" xfId="0">
      <alignment horizontal="general" vertical="center"/>
    </xf>
    <xf numFmtId="0" fontId="9" fillId="3" borderId="0" applyAlignment="1" pivotButton="0" quotePrefix="0" xfId="0">
      <alignment horizontal="general" vertical="center"/>
    </xf>
    <xf numFmtId="165" fontId="9" fillId="0" borderId="1" applyAlignment="1" pivotButton="0" quotePrefix="0" xfId="0">
      <alignment horizontal="general" vertical="center"/>
    </xf>
    <xf numFmtId="164" fontId="9" fillId="0" borderId="1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5" fontId="11" fillId="0" borderId="0" applyAlignment="1" pivotButton="0" quotePrefix="0" xfId="0">
      <alignment horizontal="general" vertical="center"/>
    </xf>
    <xf numFmtId="165" fontId="0" fillId="0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5" fontId="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center"/>
    </xf>
    <xf numFmtId="0" fontId="7" fillId="0" borderId="0" applyAlignment="1" pivotButton="0" quotePrefix="0" xfId="20">
      <alignment horizontal="general" vertical="center"/>
    </xf>
    <xf numFmtId="3" fontId="8" fillId="0" borderId="0" applyAlignment="1" pivotButton="0" quotePrefix="0" xfId="0">
      <alignment horizontal="general" vertical="center"/>
    </xf>
    <xf numFmtId="164" fontId="8" fillId="0" borderId="0" applyAlignment="1" pivotButton="0" quotePrefix="0" xfId="0">
      <alignment horizontal="general" vertical="center"/>
    </xf>
    <xf numFmtId="164" fontId="9" fillId="0" borderId="0" applyAlignment="1" pivotButton="0" quotePrefix="0" xfId="0">
      <alignment horizontal="general" vertical="center"/>
    </xf>
    <xf numFmtId="165" fontId="9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165" fontId="8" fillId="0" borderId="0" applyAlignment="1" pivotButton="0" quotePrefix="0" xfId="0">
      <alignment horizontal="general" vertical="center"/>
    </xf>
    <xf numFmtId="0" fontId="9" fillId="3" borderId="0" applyAlignment="1" pivotButton="0" quotePrefix="0" xfId="0">
      <alignment horizontal="general" vertical="center"/>
    </xf>
    <xf numFmtId="165" fontId="9" fillId="0" borderId="1" applyAlignment="1" pivotButton="0" quotePrefix="0" xfId="0">
      <alignment horizontal="general" vertical="center"/>
    </xf>
    <xf numFmtId="164" fontId="9" fillId="0" borderId="1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5" fontId="11" fillId="0" borderId="0" applyAlignment="1" pivotButton="0" quotePrefix="0" xfId="0">
      <alignment horizontal="general" vertical="center"/>
    </xf>
    <xf numFmtId="165" fontId="0" fillId="0" borderId="1" applyAlignment="1" pivotButton="0" quotePrefix="0" xfId="0">
      <alignment horizontal="general" vertical="center"/>
    </xf>
    <xf numFmtId="0" fontId="1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4" borderId="0" applyAlignment="1" pivotButton="0" quotePrefix="0" xfId="0">
      <alignment vertical="top" wrapText="1"/>
    </xf>
    <xf numFmtId="0" fontId="14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User-provided benchmark: ~€730–€920/m²</t>
      </text>
    </comment>
    <comment ref="D6" authorId="0" shapeId="0">
      <text>
        <t>User-provided overall CAPEX reference: ~€58.275M</t>
      </text>
    </comment>
  </commentList>
</comments>
</file>

<file path=xl/tables/table1.xml><?xml version="1.0" encoding="utf-8"?>
<table xmlns="http://schemas.openxmlformats.org/spreadsheetml/2006/main" id="1" name="tblCivilPackages" displayName="tblCivilPackages" ref="A1:K20" headerRowCount="1" totalsRowCount="0" totalsRowShown="0">
  <autoFilter ref="A1:K20"/>
  <tableColumns count="11">
    <tableColumn id="1" name="Package ID"/>
    <tableColumn id="2" name="Description"/>
    <tableColumn id="3" name="Unit Cost"/>
    <tableColumn id="4" name="Qty"/>
    <tableColumn id="5" name="CAPEX"/>
    <tableColumn id="6" name="Zone"/>
    <tableColumn id="7" name="Function"/>
    <tableColumn id="8" name="Criticality"/>
    <tableColumn id="9" name="Lifetime (yrs)"/>
    <tableColumn id="10" name="Maintenance %"/>
    <tableColumn id="11" name="Category Code"/>
  </tableColumns>
</table>
</file>

<file path=xl/tables/table2.xml><?xml version="1.0" encoding="utf-8"?>
<table xmlns="http://schemas.openxmlformats.org/spreadsheetml/2006/main" id="2" name="tblCategorySummary" displayName="tblCategorySummary" ref="A1:D10" headerRowCount="1" totalsRowCount="0" totalsRowShown="0">
  <autoFilter ref="A1:D10"/>
  <tableColumns count="4">
    <tableColumn id="1" name="Category Code"/>
    <tableColumn id="2" name="Category Label"/>
    <tableColumn id="3" name="Packages"/>
    <tableColumn id="4" name="CAPE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../ARS_CAPEX_Civil_Packages_v1.1_Harmonized.xlsx" TargetMode="External" Id="rId1"/><Relationship Type="http://schemas.openxmlformats.org/officeDocument/2006/relationships/hyperlink" Target="../ARS_CAPEX_Civil_Packages_v1.1_Harmonized.xlsx" TargetMode="External" Id="rId2"/><Relationship Type="http://schemas.openxmlformats.org/officeDocument/2006/relationships/hyperlink" Target="../ARS_CAPEX_Civil_Packages_v1.1_Harmonized.xlsx" TargetMode="External" Id="rId3"/><Relationship Type="http://schemas.openxmlformats.org/officeDocument/2006/relationships/hyperlink" Target="../ARS_CAPEX_Civil_Packages_v1.1_Harmonized.xlsx" TargetMode="External" Id="rId4"/><Relationship Type="http://schemas.openxmlformats.org/officeDocument/2006/relationships/hyperlink" Target="../ARS_CAPEX_Civil_Packages_v1.1_Harmonized.xlsx" TargetMode="External" Id="rId5"/><Relationship Type="http://schemas.openxmlformats.org/officeDocument/2006/relationships/hyperlink" Target="../ARS_CAPEX_Civil_Packages_v1.1_Harmonized.xlsx" TargetMode="External" Id="rId6"/><Relationship Type="http://schemas.openxmlformats.org/officeDocument/2006/relationships/hyperlink" Target="../ARS_CAPEX_Civil_Packages_v1.1_Harmonized.xlsx" TargetMode="External" Id="rId7"/><Relationship Type="http://schemas.openxmlformats.org/officeDocument/2006/relationships/hyperlink" Target="../ARS_CAPEX_Civil_Packages_v1.1_Harmonized.xlsx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1" min="1" max="1"/>
    <col width="80" customWidth="1" style="21" min="2" max="2"/>
  </cols>
  <sheetData>
    <row r="1" ht="19.5" customHeight="1" s="22">
      <c r="A1" s="23" t="inlineStr">
        <is>
          <t>ARS CAPEX Civil Packages – Harmonized Workbook</t>
        </is>
      </c>
      <c r="B1" s="24" t="n"/>
    </row>
    <row r="2" ht="19.5" customHeight="1" s="22">
      <c r="A2" s="24" t="n"/>
      <c r="B2" s="24" t="n"/>
    </row>
    <row r="3" ht="19.5" customHeight="1" s="22">
      <c r="A3" s="25" t="inlineStr">
        <is>
          <t>Project</t>
        </is>
      </c>
      <c r="B3" s="24" t="inlineStr">
        <is>
          <t>ARS Metal Industries</t>
        </is>
      </c>
    </row>
    <row r="4" ht="19.5" customHeight="1" s="22">
      <c r="A4" s="25" t="inlineStr">
        <is>
          <t>Module</t>
        </is>
      </c>
      <c r="B4" s="24" t="inlineStr">
        <is>
          <t>CAPEX_Master</t>
        </is>
      </c>
    </row>
    <row r="5" ht="19.5" customHeight="1" s="22">
      <c r="A5" s="25" t="inlineStr">
        <is>
          <t>Sub-Module</t>
        </is>
      </c>
      <c r="B5" s="24" t="inlineStr">
        <is>
          <t>Civil_Packages</t>
        </is>
      </c>
    </row>
    <row r="6" ht="19.5" customHeight="1" s="22">
      <c r="A6" s="25" t="inlineStr">
        <is>
          <t>Version</t>
        </is>
      </c>
      <c r="B6" s="24" t="inlineStr">
        <is>
          <t>v1.1 Harmonized</t>
        </is>
      </c>
    </row>
    <row r="7" ht="19.5" customHeight="1" s="22">
      <c r="A7" s="25" t="inlineStr">
        <is>
          <t>Prepared for</t>
        </is>
      </c>
      <c r="B7" s="24" t="inlineStr">
        <is>
          <t>Internal use / investor preparation</t>
        </is>
      </c>
    </row>
    <row r="8" ht="19.5" customHeight="1" s="22">
      <c r="A8" s="25" t="inlineStr">
        <is>
          <t>Model status</t>
        </is>
      </c>
      <c r="B8" s="24" t="inlineStr">
        <is>
          <t>Remediated working model; not a full project finance model</t>
        </is>
      </c>
    </row>
    <row r="9" ht="19.5" customHeight="1" s="22">
      <c r="A9" s="25" t="inlineStr">
        <is>
          <t>Civil CAPEX</t>
        </is>
      </c>
      <c r="B9" s="26" t="n">
        <v>18255000</v>
      </c>
    </row>
    <row r="10" ht="19.5" customHeight="1" s="22">
      <c r="A10" s="25" t="inlineStr">
        <is>
          <t>Total Project CAPEX</t>
        </is>
      </c>
      <c r="B10" s="26" t="n">
        <v>58275000</v>
      </c>
    </row>
    <row r="11" ht="19.5" customHeight="1" s="22">
      <c r="A11" s="25" t="inlineStr">
        <is>
          <t>Civil Share</t>
        </is>
      </c>
      <c r="B11" s="27">
        <f>B9/B10</f>
        <v/>
      </c>
    </row>
    <row r="12" ht="19.5" customHeight="1" s="22">
      <c r="A12" s="25" t="inlineStr">
        <is>
          <t>Notes</t>
        </is>
      </c>
      <c r="B12" s="24" t="inlineStr">
        <is>
          <t>Workbook harmonized after formula audit: fixed control totals, live-linked category summary, direct phasing link, stronger checks, MAREL ecosystem bridge, and corrected Cover civil share formula.</t>
        </is>
      </c>
    </row>
    <row r="13">
      <c r="A13" s="28" t="inlineStr">
        <is>
          <t>Institutional baseline note</t>
        </is>
      </c>
      <c r="B13" s="29" t="inlineStr">
        <is>
          <t>Civil CAPEX €18.255m reflects the wider MAREL industrial platform and ecosystem build-out.</t>
        </is>
      </c>
    </row>
    <row r="14">
      <c r="A14" s="28" t="inlineStr">
        <is>
          <t>SPV baseline note</t>
        </is>
      </c>
      <c r="B14" s="29" t="inlineStr">
        <is>
          <t>The TITAN Grid SPV institutional baseline remains the ring-fenced smart-factory CAPEX only; allocate the applicable civil subset at SPV level per Institutional Baseline v1.</t>
        </is>
      </c>
    </row>
    <row r="15">
      <c r="A15" s="28" t="inlineStr">
        <is>
          <t>Data room footnote</t>
        </is>
      </c>
      <c r="B15" s="29" t="inlineStr">
        <is>
          <t>Civil CAPEX €18.255m reflects full MAREL platform; €X.Xm allocated to TITAN Grid SPV (ring-fenced) per Institutional Baseline v1.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1" min="1" max="1"/>
    <col width="24" customWidth="1" style="21" min="2" max="2"/>
    <col width="70" customWidth="1" style="21" min="3" max="3"/>
  </cols>
  <sheetData>
    <row r="1" ht="19.5" customHeight="1" s="22">
      <c r="A1" s="30" t="inlineStr">
        <is>
          <t>Section</t>
        </is>
      </c>
      <c r="B1" s="30" t="inlineStr">
        <is>
          <t>Go to sheet</t>
        </is>
      </c>
      <c r="C1" s="30" t="inlineStr">
        <is>
          <t>Description</t>
        </is>
      </c>
    </row>
    <row r="2" ht="19.5" customHeight="1" s="22">
      <c r="A2" s="24" t="inlineStr">
        <is>
          <t>Cover</t>
        </is>
      </c>
      <c r="B2" s="31" t="inlineStr">
        <is>
          <t>Cover</t>
        </is>
      </c>
      <c r="C2" s="24" t="inlineStr">
        <is>
          <t>Workbook cover and status</t>
        </is>
      </c>
    </row>
    <row r="3" ht="19.5" customHeight="1" s="22">
      <c r="A3" s="24" t="inlineStr">
        <is>
          <t>Assumptions</t>
        </is>
      </c>
      <c r="B3" s="31" t="inlineStr">
        <is>
          <t>Assumptions</t>
        </is>
      </c>
      <c r="C3" s="24" t="inlineStr">
        <is>
          <t>Key numeric drivers and validation assumptions</t>
        </is>
      </c>
    </row>
    <row r="4" ht="19.5" customHeight="1" s="22">
      <c r="A4" s="24" t="inlineStr">
        <is>
          <t>Civil Packages</t>
        </is>
      </c>
      <c r="B4" s="31" t="inlineStr">
        <is>
          <t>Civil_Packages_Master</t>
        </is>
      </c>
      <c r="C4" s="24" t="inlineStr">
        <is>
          <t>Detailed civil packages and formulas</t>
        </is>
      </c>
    </row>
    <row r="5" ht="19.5" customHeight="1" s="22">
      <c r="A5" s="24" t="inlineStr">
        <is>
          <t>Category Summary</t>
        </is>
      </c>
      <c r="B5" s="31" t="inlineStr">
        <is>
          <t>Category_Summary</t>
        </is>
      </c>
      <c r="C5" s="24" t="inlineStr">
        <is>
          <t>Live-linked summary by category</t>
        </is>
      </c>
    </row>
    <row r="6" ht="19.5" customHeight="1" s="22">
      <c r="A6" s="24" t="inlineStr">
        <is>
          <t>CAPEX Checks</t>
        </is>
      </c>
      <c r="B6" s="31" t="inlineStr">
        <is>
          <t>CAPEX_Check</t>
        </is>
      </c>
      <c r="C6" s="24" t="inlineStr">
        <is>
          <t>Independent control checks</t>
        </is>
      </c>
    </row>
    <row r="7" ht="19.5" customHeight="1" s="22">
      <c r="A7" s="24" t="inlineStr">
        <is>
          <t>Phasing</t>
        </is>
      </c>
      <c r="B7" s="31" t="inlineStr">
        <is>
          <t>Phasing_Link</t>
        </is>
      </c>
      <c r="C7" s="24" t="inlineStr">
        <is>
          <t>CAPEX phasing linked to verified total</t>
        </is>
      </c>
    </row>
    <row r="8" ht="19.5" customHeight="1" s="22">
      <c r="A8" s="24" t="inlineStr">
        <is>
          <t>Asset Register</t>
        </is>
      </c>
      <c r="B8" s="31" t="inlineStr">
        <is>
          <t>Asset_Register_Link</t>
        </is>
      </c>
      <c r="C8" s="24" t="inlineStr">
        <is>
          <t>Cost and depreciation bridge</t>
        </is>
      </c>
    </row>
    <row r="9" ht="19.5" customHeight="1" s="22">
      <c r="A9" s="24" t="inlineStr">
        <is>
          <t>Ecosystem</t>
        </is>
      </c>
      <c r="B9" s="31" t="inlineStr">
        <is>
          <t>Ecosystem_Link</t>
        </is>
      </c>
      <c r="C9" s="24" t="inlineStr">
        <is>
          <t>Civil CAPEX positioning within MAREL ecosystem</t>
        </is>
      </c>
    </row>
  </sheetData>
  <hyperlinks>
    <hyperlink xmlns:r="http://schemas.openxmlformats.org/officeDocument/2006/relationships" ref="B2" location="'Cover'!A1" display="Cover" r:id="rId1"/>
    <hyperlink xmlns:r="http://schemas.openxmlformats.org/officeDocument/2006/relationships" ref="B3" location="'Assumptions'!A1" display="Assumptions" r:id="rId2"/>
    <hyperlink xmlns:r="http://schemas.openxmlformats.org/officeDocument/2006/relationships" ref="B4" location="'Civil_Packages_Master'!A1" display="Civil_Packages_Master" r:id="rId3"/>
    <hyperlink xmlns:r="http://schemas.openxmlformats.org/officeDocument/2006/relationships" ref="B5" location="'Category_Summary'!A1" display="Category_Summary" r:id="rId4"/>
    <hyperlink xmlns:r="http://schemas.openxmlformats.org/officeDocument/2006/relationships" ref="B6" location="'CAPEX_Check'!A1" display="CAPEX_Check" r:id="rId5"/>
    <hyperlink xmlns:r="http://schemas.openxmlformats.org/officeDocument/2006/relationships" ref="B7" location="'Phasing_Link'!A1" display="Phasing_Link" r:id="rId6"/>
    <hyperlink xmlns:r="http://schemas.openxmlformats.org/officeDocument/2006/relationships" ref="B8" location="'Asset_Register_Link'!A1" display="Asset_Register_Link" r:id="rId7"/>
    <hyperlink xmlns:r="http://schemas.openxmlformats.org/officeDocument/2006/relationships" ref="B9" location="'Ecosystem_Link'!A1" display="Ecosystem_Link" r:id="rId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1" min="1" max="1"/>
    <col width="18" customWidth="1" style="21" min="2" max="2"/>
    <col width="12" customWidth="1" style="21" min="3" max="3"/>
    <col width="55" customWidth="1" style="21" min="4" max="4"/>
  </cols>
  <sheetData>
    <row r="1" ht="19.5" customHeight="1" s="22">
      <c r="A1" s="30" t="inlineStr">
        <is>
          <t>Metric</t>
        </is>
      </c>
      <c r="B1" s="30" t="inlineStr">
        <is>
          <t>Value</t>
        </is>
      </c>
      <c r="C1" s="30" t="inlineStr">
        <is>
          <t>Unit</t>
        </is>
      </c>
      <c r="D1" s="30" t="inlineStr">
        <is>
          <t>Comment</t>
        </is>
      </c>
    </row>
    <row r="2" ht="19.5" customHeight="1" s="22">
      <c r="A2" s="24" t="inlineStr">
        <is>
          <t>Area estimate</t>
        </is>
      </c>
      <c r="B2" s="32" t="n">
        <v>25000</v>
      </c>
      <c r="C2" s="24" t="inlineStr">
        <is>
          <t>m²</t>
        </is>
      </c>
      <c r="D2" s="24" t="inlineStr">
        <is>
          <t>Midpoint estimate</t>
        </is>
      </c>
    </row>
    <row r="3" ht="19.5" customHeight="1" s="22">
      <c r="A3" s="24" t="inlineStr">
        <is>
          <t>Low cost benchmark</t>
        </is>
      </c>
      <c r="B3" s="33" t="n">
        <v>730</v>
      </c>
      <c r="C3" s="24" t="inlineStr">
        <is>
          <t>EUR/m²</t>
        </is>
      </c>
      <c r="D3" s="24" t="inlineStr">
        <is>
          <t>Benchmark range from user source</t>
        </is>
      </c>
    </row>
    <row r="4" ht="19.5" customHeight="1" s="22">
      <c r="A4" s="24" t="inlineStr">
        <is>
          <t>High cost benchmark</t>
        </is>
      </c>
      <c r="B4" s="33" t="n">
        <v>920</v>
      </c>
      <c r="C4" s="24" t="inlineStr">
        <is>
          <t>EUR/m²</t>
        </is>
      </c>
      <c r="D4" s="24" t="inlineStr">
        <is>
          <t>Benchmark range from user source</t>
        </is>
      </c>
    </row>
    <row r="5" ht="19.5" customHeight="1" s="22">
      <c r="A5" s="24" t="inlineStr">
        <is>
          <t>Civil CAPEX total</t>
        </is>
      </c>
      <c r="B5" s="34">
        <f>Civil_Packages_Master!E21</f>
        <v/>
      </c>
      <c r="C5" s="24" t="inlineStr">
        <is>
          <t>EUR</t>
        </is>
      </c>
      <c r="D5" s="24" t="inlineStr">
        <is>
          <t>Verified detailed total</t>
        </is>
      </c>
    </row>
    <row r="6" ht="19.5" customHeight="1" s="22">
      <c r="A6" s="24" t="inlineStr">
        <is>
          <t>Total project CAPEX</t>
        </is>
      </c>
      <c r="B6" s="33" t="n">
        <v>58275000</v>
      </c>
      <c r="C6" s="24" t="inlineStr">
        <is>
          <t>EUR</t>
        </is>
      </c>
      <c r="D6" s="24" t="inlineStr">
        <is>
          <t>From user-provided total project CAPEX</t>
        </is>
      </c>
    </row>
    <row r="7" ht="19.5" customHeight="1" s="22">
      <c r="A7" s="24" t="inlineStr">
        <is>
          <t>Civil share of total</t>
        </is>
      </c>
      <c r="B7" s="35">
        <f>B5/B6</f>
        <v/>
      </c>
      <c r="C7" s="24" t="inlineStr">
        <is>
          <t>%</t>
        </is>
      </c>
      <c r="D7" s="24" t="inlineStr">
        <is>
          <t>Civil CAPEX / total project CAPEX</t>
        </is>
      </c>
    </row>
    <row r="8" ht="19.5" customHeight="1" s="22">
      <c r="A8" s="24" t="inlineStr">
        <is>
          <t>Contingency amount</t>
        </is>
      </c>
      <c r="B8" s="34">
        <f>SUMIFS(Civil_Packages_Master!$E$2:$E$20,Civil_Packages_Master!$K$2:$K$20,$A$10)</f>
        <v/>
      </c>
      <c r="C8" s="24" t="inlineStr">
        <is>
          <t>EUR</t>
        </is>
      </c>
      <c r="D8" s="24" t="inlineStr">
        <is>
          <t>Package 19</t>
        </is>
      </c>
    </row>
    <row r="9" ht="19.5" customHeight="1" s="22">
      <c r="A9" s="24" t="inlineStr">
        <is>
          <t>Contingency base</t>
        </is>
      </c>
      <c r="B9" s="34">
        <f>B5-B8</f>
        <v/>
      </c>
      <c r="C9" s="24" t="inlineStr">
        <is>
          <t>EUR</t>
        </is>
      </c>
      <c r="D9" s="24" t="inlineStr">
        <is>
          <t>Civil CAPEX excluding contingency</t>
        </is>
      </c>
    </row>
    <row r="10" ht="19.5" customHeight="1" s="22">
      <c r="A10" s="24" t="inlineStr">
        <is>
          <t>CONT group code</t>
        </is>
      </c>
      <c r="B10" s="36" t="inlineStr">
        <is>
          <t>CONT</t>
        </is>
      </c>
      <c r="C10" s="24" t="inlineStr">
        <is>
          <t>code</t>
        </is>
      </c>
      <c r="D10" s="24" t="inlineStr">
        <is>
          <t>Helper code for SUMIFS</t>
        </is>
      </c>
    </row>
    <row r="11" ht="19.5" customHeight="1" s="22">
      <c r="A11" s="24" t="inlineStr">
        <is>
          <t>Actual contingency %</t>
        </is>
      </c>
      <c r="B11" s="35">
        <f>IFERROR(B8/B9,0)</f>
        <v/>
      </c>
      <c r="C11" s="24" t="inlineStr">
        <is>
          <t>%</t>
        </is>
      </c>
      <c r="D11" s="24" t="inlineStr">
        <is>
          <t>Compared against base excluding contingency</t>
        </is>
      </c>
    </row>
    <row r="12" ht="19.5" customHeight="1" s="22">
      <c r="A12" s="24" t="inlineStr">
        <is>
          <t>Target contingency min</t>
        </is>
      </c>
      <c r="B12" s="37" t="n">
        <v>0.1</v>
      </c>
      <c r="C12" s="24" t="inlineStr">
        <is>
          <t>%</t>
        </is>
      </c>
      <c r="D12" s="24" t="inlineStr">
        <is>
          <t>Management target</t>
        </is>
      </c>
    </row>
    <row r="13" ht="19.5" customHeight="1" s="22">
      <c r="A13" s="24" t="inlineStr">
        <is>
          <t>Target contingency max</t>
        </is>
      </c>
      <c r="B13" s="37" t="n">
        <v>0.15</v>
      </c>
      <c r="C13" s="24" t="inlineStr">
        <is>
          <t>%</t>
        </is>
      </c>
      <c r="D13" s="24" t="inlineStr">
        <is>
          <t>Management target</t>
        </is>
      </c>
    </row>
    <row r="14" ht="19.5" customHeight="1" s="22">
      <c r="A14" s="24" t="inlineStr">
        <is>
          <t>Coverage flag</t>
        </is>
      </c>
      <c r="B14" s="38">
        <f>IF(AND(B11&gt;=B12,B11&lt;=B13),"OK","OUTSIDE TARGET")</f>
        <v/>
      </c>
      <c r="C14" s="24" t="n"/>
      <c r="D14" s="24" t="inlineStr">
        <is>
          <t>Should be within target range</t>
        </is>
      </c>
    </row>
    <row r="15" ht="19.5" customHeight="1" s="22">
      <c r="A15" s="24" t="inlineStr">
        <is>
          <t>Phasing 2026</t>
        </is>
      </c>
      <c r="B15" s="37" t="n">
        <v>0.2</v>
      </c>
      <c r="C15" s="24" t="inlineStr">
        <is>
          <t>%</t>
        </is>
      </c>
      <c r="D15" s="24" t="inlineStr">
        <is>
          <t>Input</t>
        </is>
      </c>
    </row>
    <row r="16" ht="19.5" customHeight="1" s="22">
      <c r="A16" s="24" t="inlineStr">
        <is>
          <t>Phasing 2027</t>
        </is>
      </c>
      <c r="B16" s="37" t="n">
        <v>0.45</v>
      </c>
      <c r="C16" s="24" t="inlineStr">
        <is>
          <t>%</t>
        </is>
      </c>
      <c r="D16" s="24" t="inlineStr">
        <is>
          <t>Input</t>
        </is>
      </c>
    </row>
    <row r="17" ht="19.5" customHeight="1" s="22">
      <c r="A17" s="24" t="inlineStr">
        <is>
          <t>Phasing 2028</t>
        </is>
      </c>
      <c r="B17" s="37" t="n">
        <v>0.35</v>
      </c>
      <c r="C17" s="24" t="inlineStr">
        <is>
          <t>%</t>
        </is>
      </c>
      <c r="D17" s="24" t="inlineStr">
        <is>
          <t>Input</t>
        </is>
      </c>
    </row>
    <row r="18" ht="19.5" customHeight="1" s="22">
      <c r="A18" s="24" t="inlineStr">
        <is>
          <t>Phasing total</t>
        </is>
      </c>
      <c r="B18" s="39">
        <f>SUM(B15:B17)</f>
        <v/>
      </c>
      <c r="C18" s="24" t="inlineStr">
        <is>
          <t>%</t>
        </is>
      </c>
      <c r="D18" s="24" t="inlineStr">
        <is>
          <t>Must equal 100%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1" min="1" max="1"/>
    <col width="34" customWidth="1" style="21" min="2" max="2"/>
    <col width="14" customWidth="1" style="21" min="3" max="3"/>
    <col width="8" customWidth="1" style="21" min="4" max="4"/>
    <col width="14" customWidth="1" style="21" min="5" max="6"/>
    <col width="18" customWidth="1" style="21" min="7" max="7"/>
    <col width="12" customWidth="1" style="21" min="8" max="8"/>
    <col width="14" customWidth="1" style="21" min="9" max="10"/>
    <col width="16" customWidth="1" style="21" min="11" max="11"/>
  </cols>
  <sheetData>
    <row r="1" ht="19.5" customHeight="1" s="22">
      <c r="A1" s="30" t="inlineStr">
        <is>
          <t>Package ID</t>
        </is>
      </c>
      <c r="B1" s="30" t="inlineStr">
        <is>
          <t>Description</t>
        </is>
      </c>
      <c r="C1" s="30" t="inlineStr">
        <is>
          <t>Unit Cost</t>
        </is>
      </c>
      <c r="D1" s="30" t="inlineStr">
        <is>
          <t>Qty</t>
        </is>
      </c>
      <c r="E1" s="30" t="inlineStr">
        <is>
          <t>CAPEX</t>
        </is>
      </c>
      <c r="F1" s="30" t="inlineStr">
        <is>
          <t>Zone</t>
        </is>
      </c>
      <c r="G1" s="30" t="inlineStr">
        <is>
          <t>Function</t>
        </is>
      </c>
      <c r="H1" s="30" t="inlineStr">
        <is>
          <t>Criticality</t>
        </is>
      </c>
      <c r="I1" s="30" t="inlineStr">
        <is>
          <t>Lifetime (yrs)</t>
        </is>
      </c>
      <c r="J1" s="30" t="inlineStr">
        <is>
          <t>Maintenance %</t>
        </is>
      </c>
      <c r="K1" s="30" t="inlineStr">
        <is>
          <t>Category Code</t>
        </is>
      </c>
    </row>
    <row r="2" ht="19.5" customHeight="1" s="22">
      <c r="A2" s="24" t="n">
        <v>1</v>
      </c>
      <c r="B2" s="24" t="inlineStr">
        <is>
          <t>Projektovanje i dozvole</t>
        </is>
      </c>
      <c r="C2" s="33" t="n">
        <v>625000</v>
      </c>
      <c r="D2" s="32" t="n">
        <v>1</v>
      </c>
      <c r="E2" s="34">
        <f>C2*D2</f>
        <v/>
      </c>
      <c r="F2" s="24" t="inlineStr">
        <is>
          <t>Whole</t>
        </is>
      </c>
      <c r="G2" s="24" t="inlineStr">
        <is>
          <t>Planning</t>
        </is>
      </c>
      <c r="H2" s="24" t="inlineStr">
        <is>
          <t>High</t>
        </is>
      </c>
      <c r="I2" s="24" t="n">
        <v>5</v>
      </c>
      <c r="J2" s="27" t="n">
        <v>0.01</v>
      </c>
      <c r="K2" s="24" t="inlineStr">
        <is>
          <t>PLAN_PREP</t>
        </is>
      </c>
    </row>
    <row r="3" ht="19.5" customHeight="1" s="22">
      <c r="A3" s="24" t="n">
        <v>2</v>
      </c>
      <c r="B3" s="24" t="inlineStr">
        <is>
          <t>Zemljani radovi</t>
        </is>
      </c>
      <c r="C3" s="33" t="n">
        <v>800000</v>
      </c>
      <c r="D3" s="32" t="n">
        <v>1</v>
      </c>
      <c r="E3" s="34">
        <f>C3*D3</f>
        <v/>
      </c>
      <c r="F3" s="24" t="inlineStr">
        <is>
          <t>Site</t>
        </is>
      </c>
      <c r="G3" s="24" t="inlineStr">
        <is>
          <t>Site prep</t>
        </is>
      </c>
      <c r="H3" s="24" t="inlineStr">
        <is>
          <t>Critical</t>
        </is>
      </c>
      <c r="I3" s="24" t="n">
        <v>40</v>
      </c>
      <c r="J3" s="27" t="n">
        <v>0.005</v>
      </c>
      <c r="K3" s="24" t="inlineStr">
        <is>
          <t>PLAN_PREP</t>
        </is>
      </c>
    </row>
    <row r="4" ht="19.5" customHeight="1" s="22">
      <c r="A4" s="24" t="n">
        <v>3</v>
      </c>
      <c r="B4" s="24" t="inlineStr">
        <is>
          <t>Temelji</t>
        </is>
      </c>
      <c r="C4" s="33" t="n">
        <v>1450000</v>
      </c>
      <c r="D4" s="32" t="n">
        <v>1</v>
      </c>
      <c r="E4" s="34">
        <f>C4*D4</f>
        <v/>
      </c>
      <c r="F4" s="24" t="inlineStr">
        <is>
          <t>Foundations</t>
        </is>
      </c>
      <c r="G4" s="24" t="inlineStr">
        <is>
          <t>Structure</t>
        </is>
      </c>
      <c r="H4" s="24" t="inlineStr">
        <is>
          <t>Critical</t>
        </is>
      </c>
      <c r="I4" s="24" t="n">
        <v>50</v>
      </c>
      <c r="J4" s="27" t="n">
        <v>0.005</v>
      </c>
      <c r="K4" s="24" t="inlineStr">
        <is>
          <t>FOUND_FLOOR</t>
        </is>
      </c>
    </row>
    <row r="5" ht="19.5" customHeight="1" s="22">
      <c r="A5" s="24" t="n">
        <v>4</v>
      </c>
      <c r="B5" s="24" t="inlineStr">
        <is>
          <t>Industrijski pod</t>
        </is>
      </c>
      <c r="C5" s="33" t="n">
        <v>1750000</v>
      </c>
      <c r="D5" s="32" t="n">
        <v>1</v>
      </c>
      <c r="E5" s="34">
        <f>C5*D5</f>
        <v/>
      </c>
      <c r="F5" s="24" t="inlineStr">
        <is>
          <t>Production</t>
        </is>
      </c>
      <c r="G5" s="24" t="inlineStr">
        <is>
          <t>Heavy floor</t>
        </is>
      </c>
      <c r="H5" s="24" t="inlineStr">
        <is>
          <t>Critical</t>
        </is>
      </c>
      <c r="I5" s="24" t="n">
        <v>30</v>
      </c>
      <c r="J5" s="27" t="n">
        <v>0.01</v>
      </c>
      <c r="K5" s="24" t="inlineStr">
        <is>
          <t>FOUND_FLOOR</t>
        </is>
      </c>
    </row>
    <row r="6" ht="19.5" customHeight="1" s="22">
      <c r="A6" s="24" t="n">
        <v>5</v>
      </c>
      <c r="B6" s="24" t="inlineStr">
        <is>
          <t>Čelična konstrukcija</t>
        </is>
      </c>
      <c r="C6" s="33" t="n">
        <v>2800000</v>
      </c>
      <c r="D6" s="32" t="n">
        <v>1</v>
      </c>
      <c r="E6" s="34">
        <f>C6*D6</f>
        <v/>
      </c>
      <c r="F6" s="24" t="inlineStr">
        <is>
          <t>Hall</t>
        </is>
      </c>
      <c r="G6" s="24" t="inlineStr">
        <is>
          <t>Structure</t>
        </is>
      </c>
      <c r="H6" s="24" t="inlineStr">
        <is>
          <t>Critical</t>
        </is>
      </c>
      <c r="I6" s="24" t="n">
        <v>40</v>
      </c>
      <c r="J6" s="27" t="n">
        <v>0.015</v>
      </c>
      <c r="K6" s="24" t="inlineStr">
        <is>
          <t>STRUCT_ENV</t>
        </is>
      </c>
    </row>
    <row r="7" ht="19.5" customHeight="1" s="22">
      <c r="A7" s="24" t="n">
        <v>6</v>
      </c>
      <c r="B7" s="24" t="inlineStr">
        <is>
          <t>Krovni sistem</t>
        </is>
      </c>
      <c r="C7" s="33" t="n">
        <v>1075000</v>
      </c>
      <c r="D7" s="32" t="n">
        <v>1</v>
      </c>
      <c r="E7" s="34">
        <f>C7*D7</f>
        <v/>
      </c>
      <c r="F7" s="24" t="inlineStr">
        <is>
          <t>Roof</t>
        </is>
      </c>
      <c r="G7" s="24" t="inlineStr">
        <is>
          <t>Roofing</t>
        </is>
      </c>
      <c r="H7" s="24" t="inlineStr">
        <is>
          <t>High</t>
        </is>
      </c>
      <c r="I7" s="24" t="n">
        <v>25</v>
      </c>
      <c r="J7" s="27" t="n">
        <v>0.01</v>
      </c>
      <c r="K7" s="24" t="inlineStr">
        <is>
          <t>STRUCT_ENV</t>
        </is>
      </c>
    </row>
    <row r="8" ht="19.5" customHeight="1" s="22">
      <c r="A8" s="24" t="n">
        <v>7</v>
      </c>
      <c r="B8" s="24" t="inlineStr">
        <is>
          <t>Fasada</t>
        </is>
      </c>
      <c r="C8" s="33" t="n">
        <v>1150000</v>
      </c>
      <c r="D8" s="32" t="n">
        <v>1</v>
      </c>
      <c r="E8" s="34">
        <f>C8*D8</f>
        <v/>
      </c>
      <c r="F8" s="24" t="inlineStr">
        <is>
          <t>Envelope</t>
        </is>
      </c>
      <c r="G8" s="24" t="inlineStr">
        <is>
          <t>Cladding</t>
        </is>
      </c>
      <c r="H8" s="24" t="inlineStr">
        <is>
          <t>High</t>
        </is>
      </c>
      <c r="I8" s="24" t="n">
        <v>30</v>
      </c>
      <c r="J8" s="27" t="n">
        <v>0.01</v>
      </c>
      <c r="K8" s="24" t="inlineStr">
        <is>
          <t>STRUCT_ENV</t>
        </is>
      </c>
    </row>
    <row r="9" ht="19.5" customHeight="1" s="22">
      <c r="A9" s="24" t="n">
        <v>8</v>
      </c>
      <c r="B9" s="24" t="inlineStr">
        <is>
          <t>Industrijska vrata</t>
        </is>
      </c>
      <c r="C9" s="33" t="n">
        <v>525000</v>
      </c>
      <c r="D9" s="32" t="n">
        <v>1</v>
      </c>
      <c r="E9" s="34">
        <f>C9*D9</f>
        <v/>
      </c>
      <c r="F9" s="24" t="inlineStr">
        <is>
          <t>Envelope</t>
        </is>
      </c>
      <c r="G9" s="24" t="inlineStr">
        <is>
          <t>Access</t>
        </is>
      </c>
      <c r="H9" s="24" t="inlineStr">
        <is>
          <t>Medium</t>
        </is>
      </c>
      <c r="I9" s="24" t="n">
        <v>20</v>
      </c>
      <c r="J9" s="27" t="n">
        <v>0.01</v>
      </c>
      <c r="K9" s="24" t="inlineStr">
        <is>
          <t>DOORS_INT</t>
        </is>
      </c>
    </row>
    <row r="10" ht="19.5" customHeight="1" s="22">
      <c r="A10" s="24" t="n">
        <v>9</v>
      </c>
      <c r="B10" s="24" t="inlineStr">
        <is>
          <t>Prozori / glazing</t>
        </is>
      </c>
      <c r="C10" s="33" t="n">
        <v>390000</v>
      </c>
      <c r="D10" s="32" t="n">
        <v>1</v>
      </c>
      <c r="E10" s="34">
        <f>C10*D10</f>
        <v/>
      </c>
      <c r="F10" s="24" t="inlineStr">
        <is>
          <t>Office</t>
        </is>
      </c>
      <c r="G10" s="24" t="inlineStr">
        <is>
          <t>Daylight</t>
        </is>
      </c>
      <c r="H10" s="24" t="inlineStr">
        <is>
          <t>Medium</t>
        </is>
      </c>
      <c r="I10" s="24" t="n">
        <v>25</v>
      </c>
      <c r="J10" s="27" t="n">
        <v>0.01</v>
      </c>
      <c r="K10" s="24" t="inlineStr">
        <is>
          <t>DOORS_INT</t>
        </is>
      </c>
    </row>
    <row r="11" ht="19.5" customHeight="1" s="22">
      <c r="A11" s="24" t="n">
        <v>10</v>
      </c>
      <c r="B11" s="24" t="inlineStr">
        <is>
          <t>Elektro instalacije</t>
        </is>
      </c>
      <c r="C11" s="33" t="n">
        <v>1200000</v>
      </c>
      <c r="D11" s="32" t="n">
        <v>1</v>
      </c>
      <c r="E11" s="34">
        <f>C11*D11</f>
        <v/>
      </c>
      <c r="F11" s="24" t="inlineStr">
        <is>
          <t>Whole</t>
        </is>
      </c>
      <c r="G11" s="24" t="inlineStr">
        <is>
          <t>Electrical</t>
        </is>
      </c>
      <c r="H11" s="24" t="inlineStr">
        <is>
          <t>Critical</t>
        </is>
      </c>
      <c r="I11" s="24" t="n">
        <v>25</v>
      </c>
      <c r="J11" s="27" t="n">
        <v>0.02</v>
      </c>
      <c r="K11" s="24" t="inlineStr">
        <is>
          <t>ELEC_MECH</t>
        </is>
      </c>
    </row>
    <row r="12" ht="19.5" customHeight="1" s="22">
      <c r="A12" s="24" t="n">
        <v>11</v>
      </c>
      <c r="B12" s="24" t="inlineStr">
        <is>
          <t>HVAC</t>
        </is>
      </c>
      <c r="C12" s="33" t="n">
        <v>875000</v>
      </c>
      <c r="D12" s="32" t="n">
        <v>1</v>
      </c>
      <c r="E12" s="34">
        <f>C12*D12</f>
        <v/>
      </c>
      <c r="F12" s="24" t="inlineStr">
        <is>
          <t>Whole</t>
        </is>
      </c>
      <c r="G12" s="24" t="inlineStr">
        <is>
          <t>Climate</t>
        </is>
      </c>
      <c r="H12" s="24" t="inlineStr">
        <is>
          <t>High</t>
        </is>
      </c>
      <c r="I12" s="24" t="n">
        <v>20</v>
      </c>
      <c r="J12" s="27" t="n">
        <v>0.02</v>
      </c>
      <c r="K12" s="24" t="inlineStr">
        <is>
          <t>ELEC_MECH</t>
        </is>
      </c>
    </row>
    <row r="13" ht="19.5" customHeight="1" s="22">
      <c r="A13" s="24" t="n">
        <v>12</v>
      </c>
      <c r="B13" s="24" t="inlineStr">
        <is>
          <t>Fire protection</t>
        </is>
      </c>
      <c r="C13" s="33" t="n">
        <v>925000</v>
      </c>
      <c r="D13" s="32" t="n">
        <v>1</v>
      </c>
      <c r="E13" s="34">
        <f>C13*D13</f>
        <v/>
      </c>
      <c r="F13" s="24" t="inlineStr">
        <is>
          <t>Whole</t>
        </is>
      </c>
      <c r="G13" s="24" t="inlineStr">
        <is>
          <t>Safety</t>
        </is>
      </c>
      <c r="H13" s="24" t="inlineStr">
        <is>
          <t>Critical</t>
        </is>
      </c>
      <c r="I13" s="24" t="n">
        <v>25</v>
      </c>
      <c r="J13" s="27" t="n">
        <v>0.02</v>
      </c>
      <c r="K13" s="24" t="inlineStr">
        <is>
          <t>SAFETY_UTIL</t>
        </is>
      </c>
    </row>
    <row r="14" ht="19.5" customHeight="1" s="22">
      <c r="A14" s="24" t="n">
        <v>13</v>
      </c>
      <c r="B14" s="24" t="inlineStr">
        <is>
          <t>Vodovod / sanitarije</t>
        </is>
      </c>
      <c r="C14" s="33" t="n">
        <v>375000</v>
      </c>
      <c r="D14" s="32" t="n">
        <v>1</v>
      </c>
      <c r="E14" s="34">
        <f>C14*D14</f>
        <v/>
      </c>
      <c r="F14" s="24" t="inlineStr">
        <is>
          <t>Whole</t>
        </is>
      </c>
      <c r="G14" s="24" t="inlineStr">
        <is>
          <t>Plumbing</t>
        </is>
      </c>
      <c r="H14" s="24" t="inlineStr">
        <is>
          <t>Medium</t>
        </is>
      </c>
      <c r="I14" s="24" t="n">
        <v>25</v>
      </c>
      <c r="J14" s="27" t="n">
        <v>0.01</v>
      </c>
      <c r="K14" s="24" t="inlineStr">
        <is>
          <t>SAFETY_UTIL</t>
        </is>
      </c>
    </row>
    <row r="15" ht="19.5" customHeight="1" s="22">
      <c r="A15" s="24" t="n">
        <v>14</v>
      </c>
      <c r="B15" s="24" t="inlineStr">
        <is>
          <t>Utility connection</t>
        </is>
      </c>
      <c r="C15" s="33" t="n">
        <v>375000</v>
      </c>
      <c r="D15" s="32" t="n">
        <v>1</v>
      </c>
      <c r="E15" s="34">
        <f>C15*D15</f>
        <v/>
      </c>
      <c r="F15" s="24" t="inlineStr">
        <is>
          <t>Site</t>
        </is>
      </c>
      <c r="G15" s="24" t="inlineStr">
        <is>
          <t>Utilities</t>
        </is>
      </c>
      <c r="H15" s="24" t="inlineStr">
        <is>
          <t>High</t>
        </is>
      </c>
      <c r="I15" s="24" t="n">
        <v>30</v>
      </c>
      <c r="J15" s="27" t="n">
        <v>0.01</v>
      </c>
      <c r="K15" s="24" t="inlineStr">
        <is>
          <t>SAFETY_UTIL</t>
        </is>
      </c>
    </row>
    <row r="16" ht="19.5" customHeight="1" s="22">
      <c r="A16" s="24" t="n">
        <v>15</v>
      </c>
      <c r="B16" s="24" t="inlineStr">
        <is>
          <t>Crane rails</t>
        </is>
      </c>
      <c r="C16" s="33" t="n">
        <v>575000</v>
      </c>
      <c r="D16" s="32" t="n">
        <v>1</v>
      </c>
      <c r="E16" s="34">
        <f>C16*D16</f>
        <v/>
      </c>
      <c r="F16" s="24" t="inlineStr">
        <is>
          <t>Assembly</t>
        </is>
      </c>
      <c r="G16" s="24" t="inlineStr">
        <is>
          <t>Crane prep</t>
        </is>
      </c>
      <c r="H16" s="24" t="inlineStr">
        <is>
          <t>Critical</t>
        </is>
      </c>
      <c r="I16" s="24" t="n">
        <v>30</v>
      </c>
      <c r="J16" s="27" t="n">
        <v>0.015</v>
      </c>
      <c r="K16" s="24" t="inlineStr">
        <is>
          <t>SPECIAL_EXT</t>
        </is>
      </c>
    </row>
    <row r="17" ht="19.5" customHeight="1" s="22">
      <c r="A17" s="24" t="n">
        <v>16</v>
      </c>
      <c r="B17" s="24" t="inlineStr">
        <is>
          <t>Office fit-out</t>
        </is>
      </c>
      <c r="C17" s="33" t="n">
        <v>650000</v>
      </c>
      <c r="D17" s="32" t="n">
        <v>1</v>
      </c>
      <c r="E17" s="34">
        <f>C17*D17</f>
        <v/>
      </c>
      <c r="F17" s="24" t="inlineStr">
        <is>
          <t>Office</t>
        </is>
      </c>
      <c r="G17" s="24" t="inlineStr">
        <is>
          <t>Interiors</t>
        </is>
      </c>
      <c r="H17" s="24" t="inlineStr">
        <is>
          <t>Medium</t>
        </is>
      </c>
      <c r="I17" s="24" t="n">
        <v>20</v>
      </c>
      <c r="J17" s="27" t="n">
        <v>0.01</v>
      </c>
      <c r="K17" s="24" t="inlineStr">
        <is>
          <t>DOORS_INT</t>
        </is>
      </c>
    </row>
    <row r="18" ht="19.5" customHeight="1" s="22">
      <c r="A18" s="24" t="n">
        <v>17</v>
      </c>
      <c r="B18" s="24" t="inlineStr">
        <is>
          <t>External works</t>
        </is>
      </c>
      <c r="C18" s="33" t="n">
        <v>1000000</v>
      </c>
      <c r="D18" s="32" t="n">
        <v>1</v>
      </c>
      <c r="E18" s="34">
        <f>C18*D18</f>
        <v/>
      </c>
      <c r="F18" s="24" t="inlineStr">
        <is>
          <t>Site</t>
        </is>
      </c>
      <c r="G18" s="24" t="inlineStr">
        <is>
          <t>Roads/yard</t>
        </is>
      </c>
      <c r="H18" s="24" t="inlineStr">
        <is>
          <t>High</t>
        </is>
      </c>
      <c r="I18" s="24" t="n">
        <v>30</v>
      </c>
      <c r="J18" s="27" t="n">
        <v>0.01</v>
      </c>
      <c r="K18" s="24" t="inlineStr">
        <is>
          <t>SPECIAL_EXT</t>
        </is>
      </c>
    </row>
    <row r="19" ht="19.5" customHeight="1" s="22">
      <c r="A19" s="24" t="n">
        <v>18</v>
      </c>
      <c r="B19" s="24" t="inlineStr">
        <is>
          <t>Security systems</t>
        </is>
      </c>
      <c r="C19" s="33" t="n">
        <v>315000</v>
      </c>
      <c r="D19" s="32" t="n">
        <v>1</v>
      </c>
      <c r="E19" s="34">
        <f>C19*D19</f>
        <v/>
      </c>
      <c r="F19" s="24" t="inlineStr">
        <is>
          <t>Whole</t>
        </is>
      </c>
      <c r="G19" s="24" t="inlineStr">
        <is>
          <t>CCTV/access</t>
        </is>
      </c>
      <c r="H19" s="24" t="inlineStr">
        <is>
          <t>Medium</t>
        </is>
      </c>
      <c r="I19" s="24" t="n">
        <v>15</v>
      </c>
      <c r="J19" s="27" t="n">
        <v>0.01</v>
      </c>
      <c r="K19" s="24" t="inlineStr">
        <is>
          <t>IT_SEC</t>
        </is>
      </c>
    </row>
    <row r="20" ht="19.5" customHeight="1" s="22">
      <c r="A20" s="24" t="n">
        <v>19</v>
      </c>
      <c r="B20" s="24" t="inlineStr">
        <is>
          <t>Contingency</t>
        </is>
      </c>
      <c r="C20" s="33" t="n">
        <v>1400000</v>
      </c>
      <c r="D20" s="32" t="n">
        <v>1</v>
      </c>
      <c r="E20" s="34">
        <f>C20*D20</f>
        <v/>
      </c>
      <c r="F20" s="24" t="inlineStr">
        <is>
          <t>Whole</t>
        </is>
      </c>
      <c r="G20" s="24" t="inlineStr">
        <is>
          <t>Risk buffer</t>
        </is>
      </c>
      <c r="H20" s="24" t="inlineStr">
        <is>
          <t>High</t>
        </is>
      </c>
      <c r="I20" s="24" t="n"/>
      <c r="J20" s="27" t="n"/>
      <c r="K20" s="24" t="inlineStr">
        <is>
          <t>CONT</t>
        </is>
      </c>
    </row>
    <row r="21" ht="19.5" customHeight="1" s="22">
      <c r="A21" s="24" t="n"/>
      <c r="B21" s="24" t="n"/>
      <c r="C21" s="24" t="n"/>
      <c r="D21" s="25" t="inlineStr">
        <is>
          <t>TOTAL</t>
        </is>
      </c>
      <c r="E21" s="40">
        <f>SUM(E2:E20)</f>
        <v/>
      </c>
      <c r="F21" s="24" t="n"/>
      <c r="G21" s="24" t="n"/>
      <c r="H21" s="24" t="n"/>
      <c r="I21" s="24" t="n"/>
      <c r="J21" s="24" t="n"/>
      <c r="K21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8" customWidth="1" style="21" min="1" max="1"/>
    <col width="28" customWidth="1" style="21" min="2" max="2"/>
    <col width="14" customWidth="1" style="21" min="3" max="3"/>
    <col width="15" customWidth="1" style="21" min="4" max="4"/>
  </cols>
  <sheetData>
    <row r="1" ht="19.5" customHeight="1" s="22">
      <c r="A1" s="30" t="inlineStr">
        <is>
          <t>Category Code</t>
        </is>
      </c>
      <c r="B1" s="30" t="inlineStr">
        <is>
          <t>Category Label</t>
        </is>
      </c>
      <c r="C1" s="30" t="inlineStr">
        <is>
          <t>Packages</t>
        </is>
      </c>
      <c r="D1" s="30" t="inlineStr">
        <is>
          <t>CAPEX</t>
        </is>
      </c>
    </row>
    <row r="2" ht="19.5" customHeight="1" s="22">
      <c r="A2" s="24" t="inlineStr">
        <is>
          <t>PLAN_PREP</t>
        </is>
      </c>
      <c r="B2" s="24" t="inlineStr">
        <is>
          <t>Planning &amp; Prep</t>
        </is>
      </c>
      <c r="C2" s="24" t="inlineStr">
        <is>
          <t>1-2</t>
        </is>
      </c>
      <c r="D2" s="41">
        <f>SUMIFS(Civil_Packages_Master!$E$2:$E$20,Civil_Packages_Master!$K$2:$K$20,A2)</f>
        <v/>
      </c>
    </row>
    <row r="3" ht="19.5" customHeight="1" s="22">
      <c r="A3" s="24" t="inlineStr">
        <is>
          <t>FOUND_FLOOR</t>
        </is>
      </c>
      <c r="B3" s="24" t="inlineStr">
        <is>
          <t>Foundations &amp; Flooring</t>
        </is>
      </c>
      <c r="C3" s="24" t="inlineStr">
        <is>
          <t>3-4</t>
        </is>
      </c>
      <c r="D3" s="41">
        <f>SUMIFS(Civil_Packages_Master!$E$2:$E$20,Civil_Packages_Master!$K$2:$K$20,A3)</f>
        <v/>
      </c>
    </row>
    <row r="4" ht="19.5" customHeight="1" s="22">
      <c r="A4" s="24" t="inlineStr">
        <is>
          <t>STRUCT_ENV</t>
        </is>
      </c>
      <c r="B4" s="24" t="inlineStr">
        <is>
          <t>Structure &amp; Envelope</t>
        </is>
      </c>
      <c r="C4" s="24" t="inlineStr">
        <is>
          <t>5-7</t>
        </is>
      </c>
      <c r="D4" s="41">
        <f>SUMIFS(Civil_Packages_Master!$E$2:$E$20,Civil_Packages_Master!$K$2:$K$20,A4)</f>
        <v/>
      </c>
    </row>
    <row r="5" ht="19.5" customHeight="1" s="22">
      <c r="A5" s="24" t="inlineStr">
        <is>
          <t>DOORS_INT</t>
        </is>
      </c>
      <c r="B5" s="24" t="inlineStr">
        <is>
          <t>Doors, Windows &amp; Interiors</t>
        </is>
      </c>
      <c r="C5" s="24" t="inlineStr">
        <is>
          <t>8-9,16</t>
        </is>
      </c>
      <c r="D5" s="41">
        <f>SUMIFS(Civil_Packages_Master!$E$2:$E$20,Civil_Packages_Master!$K$2:$K$20,A5)</f>
        <v/>
      </c>
    </row>
    <row r="6" ht="19.5" customHeight="1" s="22">
      <c r="A6" s="24" t="inlineStr">
        <is>
          <t>ELEC_MECH</t>
        </is>
      </c>
      <c r="B6" s="24" t="inlineStr">
        <is>
          <t>Electrical &amp; Mechanical</t>
        </is>
      </c>
      <c r="C6" s="24" t="inlineStr">
        <is>
          <t>10-11</t>
        </is>
      </c>
      <c r="D6" s="41">
        <f>SUMIFS(Civil_Packages_Master!$E$2:$E$20,Civil_Packages_Master!$K$2:$K$20,A6)</f>
        <v/>
      </c>
    </row>
    <row r="7" ht="19.5" customHeight="1" s="22">
      <c r="A7" s="24" t="inlineStr">
        <is>
          <t>SAFETY_UTIL</t>
        </is>
      </c>
      <c r="B7" s="24" t="inlineStr">
        <is>
          <t>Safety &amp; Utilities</t>
        </is>
      </c>
      <c r="C7" s="24" t="inlineStr">
        <is>
          <t>12-14</t>
        </is>
      </c>
      <c r="D7" s="41">
        <f>SUMIFS(Civil_Packages_Master!$E$2:$E$20,Civil_Packages_Master!$K$2:$K$20,A7)</f>
        <v/>
      </c>
    </row>
    <row r="8" ht="19.5" customHeight="1" s="22">
      <c r="A8" s="24" t="inlineStr">
        <is>
          <t>SPECIAL_EXT</t>
        </is>
      </c>
      <c r="B8" s="24" t="inlineStr">
        <is>
          <t>Specialized Prep &amp; Externals</t>
        </is>
      </c>
      <c r="C8" s="24" t="inlineStr">
        <is>
          <t>15,17</t>
        </is>
      </c>
      <c r="D8" s="41">
        <f>SUMIFS(Civil_Packages_Master!$E$2:$E$20,Civil_Packages_Master!$K$2:$K$20,A8)</f>
        <v/>
      </c>
    </row>
    <row r="9" ht="19.5" customHeight="1" s="22">
      <c r="A9" s="24" t="inlineStr">
        <is>
          <t>IT_SEC</t>
        </is>
      </c>
      <c r="B9" s="24" t="inlineStr">
        <is>
          <t>IT / Security</t>
        </is>
      </c>
      <c r="C9" s="24" t="inlineStr">
        <is>
          <t>18</t>
        </is>
      </c>
      <c r="D9" s="41">
        <f>SUMIFS(Civil_Packages_Master!$E$2:$E$20,Civil_Packages_Master!$K$2:$K$20,A9)</f>
        <v/>
      </c>
    </row>
    <row r="10" ht="19.5" customHeight="1" s="22">
      <c r="A10" s="24" t="inlineStr">
        <is>
          <t>CONT</t>
        </is>
      </c>
      <c r="B10" s="24" t="inlineStr">
        <is>
          <t>Contingency</t>
        </is>
      </c>
      <c r="C10" s="24" t="inlineStr">
        <is>
          <t>19</t>
        </is>
      </c>
      <c r="D10" s="41">
        <f>SUMIFS(Civil_Packages_Master!$E$2:$E$20,Civil_Packages_Master!$K$2:$K$20,A10)</f>
        <v/>
      </c>
    </row>
    <row r="11" ht="19.5" customHeight="1" s="22">
      <c r="A11" s="24" t="n"/>
      <c r="B11" s="24" t="n"/>
      <c r="C11" s="25" t="inlineStr">
        <is>
          <t>TOTAL</t>
        </is>
      </c>
      <c r="D11" s="42">
        <f>SUM(D2:D10)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1" min="1" max="1"/>
    <col width="34" customWidth="1" style="21" min="2" max="2"/>
    <col width="16" customWidth="1" style="21" min="3" max="4"/>
  </cols>
  <sheetData>
    <row r="1" ht="19.5" customHeight="1" s="22">
      <c r="A1" s="30" t="inlineStr">
        <is>
          <t>Check</t>
        </is>
      </c>
      <c r="B1" s="30" t="inlineStr">
        <is>
          <t>Formula / Source</t>
        </is>
      </c>
      <c r="C1" s="30" t="inlineStr">
        <is>
          <t>Result</t>
        </is>
      </c>
      <c r="D1" s="30" t="inlineStr">
        <is>
          <t>Status</t>
        </is>
      </c>
    </row>
    <row r="2" ht="19.5" customHeight="1" s="22">
      <c r="A2" s="24" t="inlineStr">
        <is>
          <t>Detailed CAPEX total</t>
        </is>
      </c>
      <c r="B2" s="24">
        <f>Civil_Packages_Master!E21</f>
        <v/>
      </c>
      <c r="C2" s="26">
        <f>Civil_Packages_Master!E21</f>
        <v/>
      </c>
      <c r="D2" s="24">
        <f>IF(C2&gt;0,"OK","ERROR")</f>
        <v/>
      </c>
    </row>
    <row r="3" ht="19.5" customHeight="1" s="22">
      <c r="A3" s="24" t="inlineStr">
        <is>
          <t>Category summary total</t>
        </is>
      </c>
      <c r="B3" s="24">
        <f>Category_Summary!D11</f>
        <v/>
      </c>
      <c r="C3" s="26">
        <f>Category_Summary!D11</f>
        <v/>
      </c>
      <c r="D3" s="24">
        <f>IF(C3&gt;0,"OK","ERROR")</f>
        <v/>
      </c>
    </row>
    <row r="4" ht="19.5" customHeight="1" s="22">
      <c r="A4" s="24" t="inlineStr">
        <is>
          <t>Difference: detail vs summary</t>
        </is>
      </c>
      <c r="B4" s="24">
        <f>C2-C3</f>
        <v/>
      </c>
      <c r="C4" s="26">
        <f>C2-C3</f>
        <v/>
      </c>
      <c r="D4" s="24">
        <f>IF(ABS(C4)&lt;0.5,"OK","CHECK")</f>
        <v/>
      </c>
    </row>
    <row r="5" ht="19.5" customHeight="1" s="22">
      <c r="A5" s="24" t="inlineStr">
        <is>
          <t>Phasing total</t>
        </is>
      </c>
      <c r="B5" s="24">
        <f>SUM(Phasing_Link!C2:C4)</f>
        <v/>
      </c>
      <c r="C5" s="26">
        <f>SUM(Phasing_Link!C2:C4)</f>
        <v/>
      </c>
      <c r="D5" s="24">
        <f>IF(C5&gt;0,"OK","ERROR")</f>
        <v/>
      </c>
    </row>
    <row r="6" ht="19.5" customHeight="1" s="22">
      <c r="A6" s="24" t="inlineStr">
        <is>
          <t>Difference: detail vs phasing</t>
        </is>
      </c>
      <c r="B6" s="24">
        <f>C2-C5</f>
        <v/>
      </c>
      <c r="C6" s="26">
        <f>C2-C5</f>
        <v/>
      </c>
      <c r="D6" s="24">
        <f>IF(ABS(C6)&lt;0.5,"OK","CHECK")</f>
        <v/>
      </c>
    </row>
    <row r="7" ht="19.5" customHeight="1" s="22">
      <c r="A7" s="24" t="inlineStr">
        <is>
          <t>Phasing % total</t>
        </is>
      </c>
      <c r="B7" s="24">
        <f>Assumptions!B18</f>
        <v/>
      </c>
      <c r="C7" s="27">
        <f>Assumptions!B18</f>
        <v/>
      </c>
      <c r="D7" s="24">
        <f>IF(ABS(C7-1)&lt;0.00001,"OK","CHECK")</f>
        <v/>
      </c>
    </row>
    <row r="8" ht="19.5" customHeight="1" s="22">
      <c r="A8" s="24" t="inlineStr">
        <is>
          <t>Actual contingency %</t>
        </is>
      </c>
      <c r="B8" s="24">
        <f>Assumptions!B11</f>
        <v/>
      </c>
      <c r="C8" s="27">
        <f>Assumptions!B11</f>
        <v/>
      </c>
      <c r="D8" s="24">
        <f>IF(AND(C8&gt;=Assumptions!B12,C8&lt;=Assumptions!B13),"OK","OUTSIDE TARGET")</f>
        <v/>
      </c>
    </row>
    <row r="9" ht="19.5" customHeight="1" s="22">
      <c r="A9" s="24" t="inlineStr">
        <is>
          <t>Audit note</t>
        </is>
      </c>
      <c r="B9" s="24" t="inlineStr">
        <is>
          <t>Control totals now reference explicit ranges / verified totals only.</t>
        </is>
      </c>
      <c r="C9" s="24" t="n"/>
      <c r="D9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21" min="1" max="1"/>
    <col width="18" customWidth="1" style="21" min="2" max="2"/>
    <col width="16" customWidth="1" style="21" min="3" max="3"/>
  </cols>
  <sheetData>
    <row r="1" ht="19.5" customHeight="1" s="22">
      <c r="A1" s="30" t="inlineStr">
        <is>
          <t>Year</t>
        </is>
      </c>
      <c r="B1" s="30" t="inlineStr">
        <is>
          <t>% of Civil CAPEX</t>
        </is>
      </c>
      <c r="C1" s="30" t="inlineStr">
        <is>
          <t>Amount</t>
        </is>
      </c>
    </row>
    <row r="2" ht="19.5" customHeight="1" s="22">
      <c r="A2" s="24" t="n">
        <v>2026</v>
      </c>
      <c r="B2" s="43">
        <f>Assumptions!B15</f>
        <v/>
      </c>
      <c r="C2" s="34">
        <f>Civil_Packages_Master!$E$21*B2</f>
        <v/>
      </c>
    </row>
    <row r="3" ht="19.5" customHeight="1" s="22">
      <c r="A3" s="24" t="n">
        <v>2027</v>
      </c>
      <c r="B3" s="43">
        <f>Assumptions!B16</f>
        <v/>
      </c>
      <c r="C3" s="34">
        <f>Civil_Packages_Master!$E$21*B3</f>
        <v/>
      </c>
    </row>
    <row r="4" ht="19.5" customHeight="1" s="22">
      <c r="A4" s="24" t="n">
        <v>2028</v>
      </c>
      <c r="B4" s="43">
        <f>Assumptions!B17</f>
        <v/>
      </c>
      <c r="C4" s="34">
        <f>Civil_Packages_Master!$E$21*B4</f>
        <v/>
      </c>
    </row>
    <row r="5" ht="19.5" customHeight="1" s="22">
      <c r="A5" s="25" t="inlineStr">
        <is>
          <t>TOTAL</t>
        </is>
      </c>
      <c r="B5" s="44">
        <f>SUM(B2:B4)</f>
        <v/>
      </c>
      <c r="C5" s="42">
        <f>SUM(C2:C4)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21" min="1" max="1"/>
    <col width="32" customWidth="1" style="21" min="2" max="2"/>
    <col width="14" customWidth="1" style="21" min="3" max="3"/>
    <col width="22" customWidth="1" style="21" min="4" max="4"/>
    <col width="16" customWidth="1" style="21" min="5" max="5"/>
    <col width="18" customWidth="1" style="21" min="6" max="6"/>
  </cols>
  <sheetData>
    <row r="1" ht="19.5" customHeight="1" s="22">
      <c r="A1" s="30" t="inlineStr">
        <is>
          <t>Package ID</t>
        </is>
      </c>
      <c r="B1" s="30" t="inlineStr">
        <is>
          <t>Description</t>
        </is>
      </c>
      <c r="C1" s="30" t="inlineStr">
        <is>
          <t>CAPEX</t>
        </is>
      </c>
      <c r="D1" s="30" t="inlineStr">
        <is>
          <t>Asset Class</t>
        </is>
      </c>
      <c r="E1" s="30" t="inlineStr">
        <is>
          <t>Useful Life (yrs)</t>
        </is>
      </c>
      <c r="F1" s="30" t="inlineStr">
        <is>
          <t>Annual Depreciation</t>
        </is>
      </c>
    </row>
    <row r="2" ht="19.5" customHeight="1" s="22">
      <c r="A2" s="24" t="n">
        <v>1</v>
      </c>
      <c r="B2" s="24">
        <f>Civil_Packages_Master!B2</f>
        <v/>
      </c>
      <c r="C2" s="26">
        <f>Civil_Packages_Master!E2</f>
        <v/>
      </c>
      <c r="D2" s="24" t="inlineStr">
        <is>
          <t>Intangible / Predevelopment</t>
        </is>
      </c>
      <c r="E2" s="24">
        <f>Civil_Packages_Master!I2</f>
        <v/>
      </c>
      <c r="F2" s="26">
        <f>IFERROR(C2/E2,"")</f>
        <v/>
      </c>
    </row>
    <row r="3" ht="19.5" customHeight="1" s="22">
      <c r="A3" s="24" t="n">
        <v>2</v>
      </c>
      <c r="B3" s="24">
        <f>Civil_Packages_Master!B3</f>
        <v/>
      </c>
      <c r="C3" s="26">
        <f>Civil_Packages_Master!E3</f>
        <v/>
      </c>
      <c r="D3" s="24" t="inlineStr">
        <is>
          <t>Land Improvements</t>
        </is>
      </c>
      <c r="E3" s="24">
        <f>Civil_Packages_Master!I3</f>
        <v/>
      </c>
      <c r="F3" s="26">
        <f>IFERROR(C3/E3,"")</f>
        <v/>
      </c>
    </row>
    <row r="4" ht="19.5" customHeight="1" s="22">
      <c r="A4" s="24" t="n">
        <v>3</v>
      </c>
      <c r="B4" s="24">
        <f>Civil_Packages_Master!B4</f>
        <v/>
      </c>
      <c r="C4" s="26">
        <f>Civil_Packages_Master!E4</f>
        <v/>
      </c>
      <c r="D4" s="24" t="inlineStr">
        <is>
          <t>Buildings</t>
        </is>
      </c>
      <c r="E4" s="24">
        <f>Civil_Packages_Master!I4</f>
        <v/>
      </c>
      <c r="F4" s="26">
        <f>IFERROR(C4/E4,"")</f>
        <v/>
      </c>
    </row>
    <row r="5" ht="19.5" customHeight="1" s="22">
      <c r="A5" s="24" t="n">
        <v>4</v>
      </c>
      <c r="B5" s="24">
        <f>Civil_Packages_Master!B5</f>
        <v/>
      </c>
      <c r="C5" s="26">
        <f>Civil_Packages_Master!E5</f>
        <v/>
      </c>
      <c r="D5" s="24" t="inlineStr">
        <is>
          <t>Infrastructure</t>
        </is>
      </c>
      <c r="E5" s="24">
        <f>Civil_Packages_Master!I5</f>
        <v/>
      </c>
      <c r="F5" s="26">
        <f>IFERROR(C5/E5,"")</f>
        <v/>
      </c>
    </row>
    <row r="6" ht="19.5" customHeight="1" s="22">
      <c r="A6" s="24" t="n">
        <v>5</v>
      </c>
      <c r="B6" s="24">
        <f>Civil_Packages_Master!B6</f>
        <v/>
      </c>
      <c r="C6" s="26">
        <f>Civil_Packages_Master!E6</f>
        <v/>
      </c>
      <c r="D6" s="24" t="inlineStr">
        <is>
          <t>Buildings</t>
        </is>
      </c>
      <c r="E6" s="24">
        <f>Civil_Packages_Master!I6</f>
        <v/>
      </c>
      <c r="F6" s="26">
        <f>IFERROR(C6/E6,"")</f>
        <v/>
      </c>
    </row>
    <row r="7" ht="19.5" customHeight="1" s="22">
      <c r="A7" s="24" t="n">
        <v>6</v>
      </c>
      <c r="B7" s="24">
        <f>Civil_Packages_Master!B7</f>
        <v/>
      </c>
      <c r="C7" s="26">
        <f>Civil_Packages_Master!E7</f>
        <v/>
      </c>
      <c r="D7" s="24" t="inlineStr">
        <is>
          <t>Buildings</t>
        </is>
      </c>
      <c r="E7" s="24">
        <f>Civil_Packages_Master!I7</f>
        <v/>
      </c>
      <c r="F7" s="26">
        <f>IFERROR(C7/E7,"")</f>
        <v/>
      </c>
    </row>
    <row r="8" ht="19.5" customHeight="1" s="22">
      <c r="A8" s="24" t="n">
        <v>7</v>
      </c>
      <c r="B8" s="24">
        <f>Civil_Packages_Master!B8</f>
        <v/>
      </c>
      <c r="C8" s="26">
        <f>Civil_Packages_Master!E8</f>
        <v/>
      </c>
      <c r="D8" s="24" t="inlineStr">
        <is>
          <t>Buildings</t>
        </is>
      </c>
      <c r="E8" s="24">
        <f>Civil_Packages_Master!I8</f>
        <v/>
      </c>
      <c r="F8" s="26">
        <f>IFERROR(C8/E8,"")</f>
        <v/>
      </c>
    </row>
    <row r="9" ht="19.5" customHeight="1" s="22">
      <c r="A9" s="24" t="n">
        <v>8</v>
      </c>
      <c r="B9" s="24">
        <f>Civil_Packages_Master!B9</f>
        <v/>
      </c>
      <c r="C9" s="26">
        <f>Civil_Packages_Master!E9</f>
        <v/>
      </c>
      <c r="D9" s="24" t="inlineStr">
        <is>
          <t>Building Fixtures</t>
        </is>
      </c>
      <c r="E9" s="24">
        <f>Civil_Packages_Master!I9</f>
        <v/>
      </c>
      <c r="F9" s="26">
        <f>IFERROR(C9/E9,"")</f>
        <v/>
      </c>
    </row>
    <row r="10" ht="19.5" customHeight="1" s="22">
      <c r="A10" s="24" t="n">
        <v>9</v>
      </c>
      <c r="B10" s="24">
        <f>Civil_Packages_Master!B10</f>
        <v/>
      </c>
      <c r="C10" s="26">
        <f>Civil_Packages_Master!E10</f>
        <v/>
      </c>
      <c r="D10" s="24" t="inlineStr">
        <is>
          <t>Building Fixtures</t>
        </is>
      </c>
      <c r="E10" s="24">
        <f>Civil_Packages_Master!I10</f>
        <v/>
      </c>
      <c r="F10" s="26">
        <f>IFERROR(C10/E10,"")</f>
        <v/>
      </c>
    </row>
    <row r="11" ht="19.5" customHeight="1" s="22">
      <c r="A11" s="24" t="n">
        <v>10</v>
      </c>
      <c r="B11" s="24">
        <f>Civil_Packages_Master!B11</f>
        <v/>
      </c>
      <c r="C11" s="26">
        <f>Civil_Packages_Master!E11</f>
        <v/>
      </c>
      <c r="D11" s="24" t="inlineStr">
        <is>
          <t>Electrical</t>
        </is>
      </c>
      <c r="E11" s="24">
        <f>Civil_Packages_Master!I11</f>
        <v/>
      </c>
      <c r="F11" s="26">
        <f>IFERROR(C11/E11,"")</f>
        <v/>
      </c>
    </row>
    <row r="12" ht="19.5" customHeight="1" s="22">
      <c r="A12" s="24" t="n">
        <v>11</v>
      </c>
      <c r="B12" s="24">
        <f>Civil_Packages_Master!B12</f>
        <v/>
      </c>
      <c r="C12" s="26">
        <f>Civil_Packages_Master!E12</f>
        <v/>
      </c>
      <c r="D12" s="24" t="inlineStr">
        <is>
          <t>Mechanical</t>
        </is>
      </c>
      <c r="E12" s="24">
        <f>Civil_Packages_Master!I12</f>
        <v/>
      </c>
      <c r="F12" s="26">
        <f>IFERROR(C12/E12,"")</f>
        <v/>
      </c>
    </row>
    <row r="13" ht="19.5" customHeight="1" s="22">
      <c r="A13" s="24" t="n">
        <v>12</v>
      </c>
      <c r="B13" s="24">
        <f>Civil_Packages_Master!B13</f>
        <v/>
      </c>
      <c r="C13" s="26">
        <f>Civil_Packages_Master!E13</f>
        <v/>
      </c>
      <c r="D13" s="24" t="inlineStr">
        <is>
          <t>Safety Systems</t>
        </is>
      </c>
      <c r="E13" s="24">
        <f>Civil_Packages_Master!I13</f>
        <v/>
      </c>
      <c r="F13" s="26">
        <f>IFERROR(C13/E13,"")</f>
        <v/>
      </c>
    </row>
    <row r="14" ht="19.5" customHeight="1" s="22">
      <c r="A14" s="24" t="n">
        <v>13</v>
      </c>
      <c r="B14" s="24">
        <f>Civil_Packages_Master!B14</f>
        <v/>
      </c>
      <c r="C14" s="26">
        <f>Civil_Packages_Master!E14</f>
        <v/>
      </c>
      <c r="D14" s="24" t="inlineStr">
        <is>
          <t>Plumbing</t>
        </is>
      </c>
      <c r="E14" s="24">
        <f>Civil_Packages_Master!I14</f>
        <v/>
      </c>
      <c r="F14" s="26">
        <f>IFERROR(C14/E14,"")</f>
        <v/>
      </c>
    </row>
    <row r="15" ht="19.5" customHeight="1" s="22">
      <c r="A15" s="24" t="n">
        <v>14</v>
      </c>
      <c r="B15" s="24">
        <f>Civil_Packages_Master!B15</f>
        <v/>
      </c>
      <c r="C15" s="26">
        <f>Civil_Packages_Master!E15</f>
        <v/>
      </c>
      <c r="D15" s="24" t="inlineStr">
        <is>
          <t>Utilities</t>
        </is>
      </c>
      <c r="E15" s="24">
        <f>Civil_Packages_Master!I15</f>
        <v/>
      </c>
      <c r="F15" s="26">
        <f>IFERROR(C15/E15,"")</f>
        <v/>
      </c>
    </row>
    <row r="16" ht="19.5" customHeight="1" s="22">
      <c r="A16" s="24" t="n">
        <v>15</v>
      </c>
      <c r="B16" s="24">
        <f>Civil_Packages_Master!B16</f>
        <v/>
      </c>
      <c r="C16" s="26">
        <f>Civil_Packages_Master!E16</f>
        <v/>
      </c>
      <c r="D16" s="24" t="inlineStr">
        <is>
          <t>Infrastructure</t>
        </is>
      </c>
      <c r="E16" s="24">
        <f>Civil_Packages_Master!I16</f>
        <v/>
      </c>
      <c r="F16" s="26">
        <f>IFERROR(C16/E16,"")</f>
        <v/>
      </c>
    </row>
    <row r="17" ht="19.5" customHeight="1" s="22">
      <c r="A17" s="24" t="n">
        <v>16</v>
      </c>
      <c r="B17" s="24">
        <f>Civil_Packages_Master!B17</f>
        <v/>
      </c>
      <c r="C17" s="26">
        <f>Civil_Packages_Master!E17</f>
        <v/>
      </c>
      <c r="D17" s="24" t="inlineStr">
        <is>
          <t>Interiors</t>
        </is>
      </c>
      <c r="E17" s="24">
        <f>Civil_Packages_Master!I17</f>
        <v/>
      </c>
      <c r="F17" s="26">
        <f>IFERROR(C17/E17,"")</f>
        <v/>
      </c>
    </row>
    <row r="18" ht="19.5" customHeight="1" s="22">
      <c r="A18" s="24" t="n">
        <v>17</v>
      </c>
      <c r="B18" s="24">
        <f>Civil_Packages_Master!B18</f>
        <v/>
      </c>
      <c r="C18" s="26">
        <f>Civil_Packages_Master!E18</f>
        <v/>
      </c>
      <c r="D18" s="24" t="inlineStr">
        <is>
          <t>Land Improvements</t>
        </is>
      </c>
      <c r="E18" s="24">
        <f>Civil_Packages_Master!I18</f>
        <v/>
      </c>
      <c r="F18" s="26">
        <f>IFERROR(C18/E18,"")</f>
        <v/>
      </c>
    </row>
    <row r="19" ht="19.5" customHeight="1" s="22">
      <c r="A19" s="24" t="n">
        <v>18</v>
      </c>
      <c r="B19" s="24">
        <f>Civil_Packages_Master!B19</f>
        <v/>
      </c>
      <c r="C19" s="26">
        <f>Civil_Packages_Master!E19</f>
        <v/>
      </c>
      <c r="D19" s="24" t="inlineStr">
        <is>
          <t>IT / Security</t>
        </is>
      </c>
      <c r="E19" s="24">
        <f>Civil_Packages_Master!I19</f>
        <v/>
      </c>
      <c r="F19" s="26">
        <f>IFERROR(C19/E19,"")</f>
        <v/>
      </c>
    </row>
    <row r="20" ht="19.5" customHeight="1" s="22">
      <c r="A20" s="25" t="inlineStr">
        <is>
          <t>TOTAL DEPRECIABLE BASE</t>
        </is>
      </c>
      <c r="B20" s="24" t="n"/>
      <c r="C20" s="42">
        <f>SUM(C2:C19)</f>
        <v/>
      </c>
      <c r="D20" s="24" t="n"/>
      <c r="E20" s="24" t="n"/>
      <c r="F20" s="42">
        <f>SUM(F2:F19)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4" customWidth="1" style="21" min="1" max="1"/>
    <col width="18" customWidth="1" style="21" min="2" max="2"/>
    <col width="55" customWidth="1" style="21" min="3" max="3"/>
  </cols>
  <sheetData>
    <row r="1" ht="19.5" customHeight="1" s="22">
      <c r="A1" s="30" t="inlineStr">
        <is>
          <t>Metric</t>
        </is>
      </c>
      <c r="B1" s="30" t="inlineStr">
        <is>
          <t>Value</t>
        </is>
      </c>
      <c r="C1" s="30" t="inlineStr">
        <is>
          <t>Comment</t>
        </is>
      </c>
    </row>
    <row r="2" ht="19.5" customHeight="1" s="22">
      <c r="A2" s="24" t="inlineStr">
        <is>
          <t>MAREL ecosystem view</t>
        </is>
      </c>
      <c r="B2" s="24" t="n"/>
      <c r="C2" s="24" t="n"/>
    </row>
    <row r="3" ht="19.5" customHeight="1" s="22">
      <c r="A3" s="24" t="inlineStr">
        <is>
          <t>Civil CAPEX</t>
        </is>
      </c>
      <c r="B3" s="26">
        <f>Civil_Packages_Master!E21</f>
        <v/>
      </c>
      <c r="C3" s="24" t="inlineStr">
        <is>
          <t>This workbook</t>
        </is>
      </c>
    </row>
    <row r="4" ht="19.5" customHeight="1" s="22">
      <c r="A4" s="24" t="inlineStr">
        <is>
          <t>Non-civil CAPEX</t>
        </is>
      </c>
      <c r="B4" s="26">
        <f>Assumptions!B6-Assumptions!B5</f>
        <v/>
      </c>
      <c r="C4" s="24" t="inlineStr">
        <is>
          <t>Implied remainder of project CAPEX</t>
        </is>
      </c>
    </row>
    <row r="5" ht="19.5" customHeight="1" s="22">
      <c r="A5" s="24" t="inlineStr">
        <is>
          <t>Total industrial asset / project CAPEX</t>
        </is>
      </c>
      <c r="B5" s="26">
        <f>Assumptions!B6</f>
        <v/>
      </c>
      <c r="C5" s="24" t="inlineStr">
        <is>
          <t>User-provided project CAPEX</t>
        </is>
      </c>
    </row>
    <row r="6" ht="19.5" customHeight="1" s="22">
      <c r="A6" s="24" t="inlineStr">
        <is>
          <t>Civil share</t>
        </is>
      </c>
      <c r="B6" s="27">
        <f>Assumptions!B7</f>
        <v/>
      </c>
      <c r="C6" s="24" t="inlineStr">
        <is>
          <t>Civil as % of total project CAPEX</t>
        </is>
      </c>
    </row>
    <row r="7" ht="19.5" customHeight="1" s="22">
      <c r="A7" s="24" t="inlineStr">
        <is>
          <t>Institutional harmonization</t>
        </is>
      </c>
      <c r="B7" s="27" t="inlineStr">
        <is>
          <t>See Harmonization_Note</t>
        </is>
      </c>
      <c r="C7" s="24" t="inlineStr">
        <is>
          <t>Use footnote to distinguish full-platform civil CAPEX from TITAN Grid SPV baseline.</t>
        </is>
      </c>
    </row>
    <row r="8">
      <c r="A8" s="24" t="inlineStr">
        <is>
          <t>SPV allocation placeholder</t>
        </is>
      </c>
      <c r="B8" s="27" t="inlineStr">
        <is>
          <t>€X.Xm</t>
        </is>
      </c>
      <c r="C8" s="24" t="inlineStr">
        <is>
          <t>Populate once ring-fenced civil subset is approved in Institutional Baseline v1.</t>
        </is>
      </c>
    </row>
    <row r="9">
      <c r="A9" s="24" t="inlineStr">
        <is>
          <t>Readiness flag</t>
        </is>
      </c>
      <c r="B9" s="24">
        <f>IF(AND(CAPEX_Check!D4="OK",CAPEX_Check!D6="OK"),"CORE CAPEX LINKED","REVIEW REQUIRED")</f>
        <v/>
      </c>
      <c r="C9" s="24" t="inlineStr">
        <is>
          <t>High-level linkage check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style="22" min="1" max="1"/>
    <col width="80" customWidth="1" style="22" min="2" max="2"/>
    <col width="12" customWidth="1" style="22" min="3" max="3"/>
    <col width="60" customWidth="1" style="22" min="4" max="4"/>
  </cols>
  <sheetData>
    <row r="1">
      <c r="A1" s="45" t="inlineStr">
        <is>
          <t>Project TITAN / ARS Metal Industries</t>
        </is>
      </c>
      <c r="B1" s="46" t="n"/>
      <c r="C1" s="46" t="n"/>
      <c r="D1" s="46" t="n"/>
    </row>
    <row r="2">
      <c r="A2" s="47" t="inlineStr">
        <is>
          <t>Civil CAPEX Institutional Harmonization Note</t>
        </is>
      </c>
      <c r="B2" s="46" t="n"/>
      <c r="C2" s="46" t="n"/>
      <c r="D2" s="46" t="n"/>
    </row>
    <row r="3">
      <c r="A3" s="46" t="n"/>
      <c r="B3" s="46" t="n"/>
      <c r="C3" s="46" t="n"/>
      <c r="D3" s="46" t="n"/>
    </row>
    <row r="4">
      <c r="A4" s="48" t="inlineStr">
        <is>
          <t>Purpose</t>
        </is>
      </c>
      <c r="B4" s="49" t="inlineStr">
        <is>
          <t>Clarify the difference between full-platform civil CAPEX and the TITAN Grid SPV ring-fenced baseline used in institutional materials.</t>
        </is>
      </c>
      <c r="C4" s="46" t="n"/>
      <c r="D4" s="46" t="n"/>
    </row>
    <row r="5">
      <c r="A5" s="46" t="n"/>
      <c r="B5" s="46" t="n"/>
      <c r="C5" s="46" t="n"/>
      <c r="D5" s="46" t="n"/>
    </row>
    <row r="6">
      <c r="A6" s="48" t="inlineStr">
        <is>
          <t>Full-platform civil CAPEX</t>
        </is>
      </c>
      <c r="B6" s="49" t="n">
        <v>18255000</v>
      </c>
      <c r="C6" s="49" t="inlineStr">
        <is>
          <t>EUR</t>
        </is>
      </c>
      <c r="D6" s="49" t="inlineStr">
        <is>
          <t>ARS / MAREL ecosystem-wide civil infrastructure reflected in this workbook.</t>
        </is>
      </c>
    </row>
    <row r="7">
      <c r="A7" s="48" t="inlineStr">
        <is>
          <t>Total project CAPEX</t>
        </is>
      </c>
      <c r="B7" s="49" t="n">
        <v>58275000</v>
      </c>
      <c r="C7" s="49" t="inlineStr">
        <is>
          <t>EUR</t>
        </is>
      </c>
      <c r="D7" s="49" t="inlineStr">
        <is>
          <t>Referenced ecosystem / industrial platform total CAPEX in the workbook assumptions.</t>
        </is>
      </c>
    </row>
    <row r="8">
      <c r="A8" s="48" t="inlineStr">
        <is>
          <t>TITAN Grid SPV baseline</t>
        </is>
      </c>
      <c r="B8" s="49" t="inlineStr">
        <is>
          <t>Per Institutional Baseline v1</t>
        </is>
      </c>
      <c r="C8" s="49" t="inlineStr"/>
      <c r="D8" s="49" t="inlineStr">
        <is>
          <t>Ring-fenced smart-factory CAPEX only; civil subset to be allocated at SPV level.</t>
        </is>
      </c>
    </row>
    <row r="9">
      <c r="A9" s="46" t="n"/>
      <c r="B9" s="46" t="n"/>
      <c r="C9" s="46" t="n"/>
      <c r="D9" s="46" t="n"/>
    </row>
    <row r="10">
      <c r="A10" s="48" t="inlineStr">
        <is>
          <t>Recommended footnote for Data Room ID 8 and related model tabs</t>
        </is>
      </c>
      <c r="B10" s="49" t="inlineStr">
        <is>
          <t>Civil CAPEX €18.255m reflects full MAREL platform; €X.Xm allocated to TITAN Grid SPV (ring-fenced) per Institutional Baseline v1.</t>
        </is>
      </c>
      <c r="C10" s="46" t="n"/>
      <c r="D10" s="46" t="n"/>
    </row>
    <row r="11">
      <c r="A11" s="46" t="n"/>
      <c r="B11" s="46" t="n"/>
      <c r="C11" s="46" t="n"/>
      <c r="D11" s="46" t="n"/>
    </row>
    <row r="12">
      <c r="A12" s="48" t="inlineStr">
        <is>
          <t>Contingency note</t>
        </is>
      </c>
      <c r="B12" s="49" t="inlineStr">
        <is>
          <t>Contingency of €1.4m (7.7%) is already included in Package 19. Any OUTSIDE TARGET flag tied to a 10–15% range is a control-threshold artifact, not a missing contingency.</t>
        </is>
      </c>
      <c r="C12" s="46" t="n"/>
      <c r="D12" s="46" t="n"/>
    </row>
    <row r="13">
      <c r="A13" s="46" t="n"/>
      <c r="B13" s="46" t="n"/>
      <c r="C13" s="46" t="n"/>
      <c r="D13" s="46" t="n"/>
    </row>
    <row r="14">
      <c r="A14" s="48" t="inlineStr">
        <is>
          <t>Recommended use</t>
        </is>
      </c>
      <c r="B14" s="49" t="inlineStr">
        <is>
          <t>Populate Data Room ID 8 – Capital Requirement Summary; Data Room IDs 37–50 – Financial Model; Data Room IDs 61–85 – Technical DD; and Data Room IDs 13–22 – Ecosystem &amp; Expansion Strategy.</t>
        </is>
      </c>
      <c r="C14" s="46" t="n"/>
      <c r="D14" s="4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2026-03-13T10:19:15Z</dcterms:created>
  <dcterms:modified xmlns:dcterms="http://purl.org/dc/terms/" xmlns:xsi="http://www.w3.org/2001/XMLSchema-instance" xsi:type="dcterms:W3CDTF">2026-03-23T19:23:59Z</dcterms:modified>
  <cp:revision>0</cp:revision>
</cp:coreProperties>
</file>