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drawings/drawing10.xml" ContentType="application/vnd.openxmlformats-officedocument.drawing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3" activeTab="7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preciation Schedule" sheetId="2" state="visible" r:id="rId2"/>
    <sheet xmlns:r="http://schemas.openxmlformats.org/officeDocument/2006/relationships" name="Funding Sources &amp; Uses" sheetId="3" state="visible" r:id="rId3"/>
    <sheet xmlns:r="http://schemas.openxmlformats.org/officeDocument/2006/relationships" name="ASSUMPTIONS   MASTER INPUT" sheetId="4" state="visible" r:id="rId4"/>
    <sheet xmlns:r="http://schemas.openxmlformats.org/officeDocument/2006/relationships" name="CAPEX_MASTER (2)" sheetId="5" state="visible" r:id="rId5"/>
    <sheet xmlns:r="http://schemas.openxmlformats.org/officeDocument/2006/relationships" name="Machine Park Detail" sheetId="6" state="visible" r:id="rId6"/>
    <sheet xmlns:r="http://schemas.openxmlformats.org/officeDocument/2006/relationships" name="Timeline &amp; Sensitivity" sheetId="7" state="visible" r:id="rId7"/>
    <sheet xmlns:r="http://schemas.openxmlformats.org/officeDocument/2006/relationships" name="WC Cash Flow" sheetId="8" state="visible" r:id="rId8"/>
    <sheet xmlns:r="http://schemas.openxmlformats.org/officeDocument/2006/relationships" name="REVENUE_COGS" sheetId="9" state="visible" r:id="rId9"/>
    <sheet xmlns:r="http://schemas.openxmlformats.org/officeDocument/2006/relationships" name="OPEX_DETAIL" sheetId="10" state="visible" r:id="rId10"/>
    <sheet xmlns:r="http://schemas.openxmlformats.org/officeDocument/2006/relationships" name="CAPEX_CASHFLOW" sheetId="11" state="visible" r:id="rId11"/>
    <sheet xmlns:r="http://schemas.openxmlformats.org/officeDocument/2006/relationships" name="DEBT_SCHEDULE" sheetId="12" state="visible" r:id="rId12"/>
    <sheet xmlns:r="http://schemas.openxmlformats.org/officeDocument/2006/relationships" name="INTEGRATED_P&amp;L_BS_CF" sheetId="13" state="visible" r:id="rId13"/>
    <sheet xmlns:r="http://schemas.openxmlformats.org/officeDocument/2006/relationships" name="DASHBOARD" sheetId="14" state="visible" r:id="rId14"/>
    <sheet xmlns:r="http://schemas.openxmlformats.org/officeDocument/2006/relationships" name="CHECKS_&amp;_CONTROLS" sheetId="15" state="visible" r:id="rId15"/>
  </sheets>
  <externalReferences>
    <externalReference xmlns:r="http://schemas.openxmlformats.org/officeDocument/2006/relationships" r:id="rId16"/>
    <externalReference xmlns:r="http://schemas.openxmlformats.org/officeDocument/2006/relationships" r:id="rId17"/>
  </externalReferences>
  <definedNames>
    <definedName name="CAPEX_TOTAL">'[2]Assumptions  - Pretpostavke'!$E$46</definedName>
    <definedName name="CONTINGENCY_PCT">'[2]Assumptions  - Pretpostavke'!$E$72</definedName>
    <definedName name="MACHINE_PARK_TOTAL">'[2]Assumptions  - Pretpostavke'!$E$35</definedName>
    <definedName name="_xlnm._FilterDatabase" localSheetId="3" hidden="1">'ASSUMPTIONS   MASTER INPUT'!$A$3:$G$3</definedName>
    <definedName name="_xlnm._FilterDatabase" localSheetId="5" hidden="1">'Machine Park Detail'!$A$3:$K$3</definedName>
    <definedName name="_xlnm._FilterDatabase" localSheetId="6" hidden="1">'Timeline &amp; Sensitivity'!$A$6:$P$6</definedName>
    <definedName name="_xlnm._FilterDatabase" localSheetId="7" hidden="1">'WC Cash Flow'!$A$7:$N$7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[$-F800]dddd\,\ mmmm\ dd\,\ yyyy"/>
    <numFmt numFmtId="165" formatCode="#,##0\ [$€-1];[Red]\-#,##0\ [$€-1]"/>
    <numFmt numFmtId="166" formatCode="#,##0\ &quot;€&quot;"/>
    <numFmt numFmtId="167" formatCode="_([$€-2]\ * #,##0.00_);_([$€-2]\ * \(#,##0.00\);_([$€-2]\ * &quot;-&quot;??_);_(@_)"/>
    <numFmt numFmtId="168" formatCode="[$EUR ]#,##0.00_-"/>
  </numFmts>
  <fonts count="2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Calibri"/>
      <family val="2"/>
      <b val="1"/>
      <color theme="0"/>
      <sz val="11"/>
    </font>
    <font>
      <name val="Calibri"/>
      <family val="2"/>
      <b val="1"/>
      <color theme="0"/>
      <sz val="14"/>
    </font>
    <font>
      <name val="Calibri"/>
      <family val="2"/>
      <color theme="1"/>
      <sz val="11"/>
    </font>
    <font>
      <name val="Calibri"/>
      <family val="2"/>
      <b val="1"/>
      <sz val="11"/>
    </font>
    <font>
      <name val="Calibri"/>
      <family val="2"/>
      <b val="1"/>
      <color theme="1"/>
      <sz val="11"/>
    </font>
    <font>
      <name val="Calibri"/>
      <family val="2"/>
      <b val="1"/>
      <sz val="20"/>
    </font>
    <font>
      <name val="Calibri"/>
      <family val="2"/>
      <sz val="20"/>
    </font>
    <font>
      <name val="Aptos Narrow"/>
      <family val="2"/>
      <color theme="1"/>
      <sz val="8"/>
      <scheme val="minor"/>
    </font>
    <font>
      <name val="Calibri"/>
      <family val="2"/>
      <color theme="1"/>
      <sz val="8"/>
    </font>
    <font>
      <name val="Calibri"/>
      <family val="2"/>
      <sz val="11"/>
    </font>
    <font>
      <name val="Calibri"/>
      <family val="2"/>
      <b val="1"/>
      <color rgb="FFFFFFFF"/>
      <sz val="16"/>
    </font>
    <font>
      <name val="Calibri"/>
      <family val="2"/>
      <color rgb="FFFFFFFF"/>
      <sz val="11"/>
    </font>
    <font>
      <name val="Calibri"/>
      <family val="2"/>
      <b val="1"/>
      <color rgb="FFFFFFFF"/>
      <sz val="11"/>
    </font>
    <font>
      <name val="Aptos Narrow"/>
      <family val="2"/>
      <b val="1"/>
      <sz val="11"/>
    </font>
    <font>
      <name val="Aptos Narrow"/>
      <family val="2"/>
      <b val="1"/>
      <sz val="16"/>
    </font>
    <font>
      <name val="Aptos Narrow"/>
      <family val="2"/>
      <b val="1"/>
      <sz val="14"/>
    </font>
    <font>
      <name val="Aptos Narrow"/>
      <family val="2"/>
      <b val="1"/>
      <color rgb="FF1F4E79"/>
      <sz val="20"/>
    </font>
    <font>
      <b val="1"/>
    </font>
    <font>
      <b val="1"/>
      <color rgb="00FFFFFF"/>
      <sz val="16"/>
    </font>
    <font>
      <b val="1"/>
      <color rgb="00003087"/>
    </font>
    <font>
      <b val="1"/>
      <color rgb="00FFFFFF"/>
    </font>
    <font/>
    <font>
      <b val="1"/>
      <sz val="12"/>
    </font>
    <font>
      <i val="1"/>
      <color rgb="00666666"/>
    </font>
  </fonts>
  <fills count="1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3087"/>
      </patternFill>
    </fill>
    <fill>
      <patternFill patternType="solid">
        <fgColor rgb="FF1F4E79"/>
      </patternFill>
    </fill>
    <fill>
      <patternFill patternType="solid">
        <fgColor rgb="FFC6E0B4"/>
      </patternFill>
    </fill>
    <fill>
      <patternFill patternType="solid">
        <fgColor rgb="FF274E13"/>
      </patternFill>
    </fill>
    <fill>
      <patternFill patternType="solid">
        <fgColor rgb="FFD9E1F2"/>
      </patternFill>
    </fill>
    <fill>
      <patternFill patternType="solid">
        <fgColor theme="0"/>
        <bgColor indexed="64"/>
      </patternFill>
    </fill>
    <fill>
      <patternFill patternType="solid">
        <fgColor rgb="00003087"/>
      </patternFill>
    </fill>
    <fill>
      <patternFill patternType="solid">
        <fgColor rgb="00F2F2F2"/>
      </patternFill>
    </fill>
    <fill>
      <patternFill patternType="solid">
        <fgColor rgb="00C6E0B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2">
    <xf numFmtId="0" fontId="1" fillId="0" borderId="0"/>
    <xf numFmtId="9" fontId="1" fillId="0" borderId="0"/>
  </cellStyleXfs>
  <cellXfs count="113">
    <xf numFmtId="0" fontId="0" fillId="0" borderId="0" pivotButton="0" quotePrefix="0" xfId="0"/>
    <xf numFmtId="0" fontId="2" fillId="3" borderId="1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 wrapText="1"/>
    </xf>
    <xf numFmtId="9" fontId="4" fillId="0" borderId="0" applyAlignment="1" pivotButton="0" quotePrefix="0" xfId="1">
      <alignment horizontal="center" vertical="center"/>
    </xf>
    <xf numFmtId="0" fontId="4" fillId="0" borderId="0" applyAlignment="1" pivotButton="0" quotePrefix="0" xfId="0">
      <alignment wrapText="1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9" fontId="5" fillId="4" borderId="2" applyAlignment="1" pivotButton="0" quotePrefix="0" xfId="1">
      <alignment horizontal="center" vertical="center"/>
    </xf>
    <xf numFmtId="0" fontId="6" fillId="0" borderId="0" pivotButton="0" quotePrefix="0" xfId="0"/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 wrapText="1"/>
    </xf>
    <xf numFmtId="0" fontId="4" fillId="0" borderId="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/>
    </xf>
    <xf numFmtId="0" fontId="4" fillId="6" borderId="6" applyAlignment="1" pivotButton="0" quotePrefix="0" xfId="0">
      <alignment horizontal="left" vertical="center" indent="1"/>
    </xf>
    <xf numFmtId="0" fontId="4" fillId="0" borderId="7" applyAlignment="1" pivotButton="0" quotePrefix="0" xfId="0">
      <alignment horizontal="center" vertical="center" wrapText="1"/>
    </xf>
    <xf numFmtId="9" fontId="4" fillId="6" borderId="2" applyAlignment="1" pivotButton="0" quotePrefix="0" xfId="1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9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vertical="center"/>
    </xf>
    <xf numFmtId="0" fontId="4" fillId="6" borderId="8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9" fontId="4" fillId="0" borderId="7" applyAlignment="1" pivotButton="0" quotePrefix="0" xfId="0">
      <alignment horizontal="center" vertical="center"/>
    </xf>
    <xf numFmtId="164" fontId="4" fillId="6" borderId="9" applyAlignment="1" pivotButton="0" quotePrefix="0" xfId="1">
      <alignment horizontal="center" vertical="center"/>
    </xf>
    <xf numFmtId="0" fontId="4" fillId="0" borderId="10" pivotButton="0" quotePrefix="0" xfId="0"/>
    <xf numFmtId="0" fontId="4" fillId="0" borderId="10" applyAlignment="1" pivotButton="0" quotePrefix="0" xfId="0">
      <alignment horizontal="left" wrapText="1"/>
    </xf>
    <xf numFmtId="9" fontId="4" fillId="6" borderId="10" applyAlignment="1" pivotButton="0" quotePrefix="0" xfId="1">
      <alignment horizontal="center" vertical="center"/>
    </xf>
    <xf numFmtId="0" fontId="4" fillId="0" borderId="10" applyAlignment="1" pivotButton="0" quotePrefix="0" xfId="0">
      <alignment wrapText="1"/>
    </xf>
    <xf numFmtId="165" fontId="9" fillId="0" borderId="0" applyAlignment="1" pivotButton="0" quotePrefix="0" xfId="0">
      <alignment wrapText="1"/>
    </xf>
    <xf numFmtId="10" fontId="4" fillId="0" borderId="7" applyAlignment="1" pivotButton="0" quotePrefix="0" xfId="0">
      <alignment horizontal="center" vertical="center"/>
    </xf>
    <xf numFmtId="0" fontId="14" fillId="8" borderId="1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left"/>
    </xf>
    <xf numFmtId="9" fontId="0" fillId="0" borderId="11" applyAlignment="1" pivotButton="0" quotePrefix="0" xfId="0">
      <alignment horizontal="center"/>
    </xf>
    <xf numFmtId="0" fontId="0" fillId="0" borderId="11" applyAlignment="1" pivotButton="0" quotePrefix="0" xfId="0">
      <alignment vertical="center"/>
    </xf>
    <xf numFmtId="9" fontId="0" fillId="0" borderId="11" applyAlignment="1" pivotButton="0" quotePrefix="0" xfId="0">
      <alignment vertical="center"/>
    </xf>
    <xf numFmtId="3" fontId="0" fillId="0" borderId="11" applyAlignment="1" pivotButton="0" quotePrefix="0" xfId="0">
      <alignment vertical="center"/>
    </xf>
    <xf numFmtId="0" fontId="0" fillId="0" borderId="11" applyAlignment="1" pivotButton="0" quotePrefix="0" xfId="0">
      <alignment vertical="top" wrapText="1"/>
    </xf>
    <xf numFmtId="4" fontId="0" fillId="0" borderId="11" applyAlignment="1" pivotButton="0" quotePrefix="0" xfId="0">
      <alignment vertical="top" wrapText="1"/>
    </xf>
    <xf numFmtId="3" fontId="0" fillId="0" borderId="11" applyAlignment="1" pivotButton="0" quotePrefix="0" xfId="0">
      <alignment vertical="top" wrapText="1"/>
    </xf>
    <xf numFmtId="0" fontId="5" fillId="0" borderId="11" applyAlignment="1" pivotButton="0" quotePrefix="0" xfId="0">
      <alignment horizontal="left"/>
    </xf>
    <xf numFmtId="0" fontId="11" fillId="2" borderId="11" applyAlignment="1" pivotButton="0" quotePrefix="0" xfId="0">
      <alignment vertical="center"/>
    </xf>
    <xf numFmtId="3" fontId="11" fillId="2" borderId="11" applyAlignment="1" pivotButton="0" quotePrefix="0" xfId="0">
      <alignment vertical="center"/>
    </xf>
    <xf numFmtId="9" fontId="11" fillId="2" borderId="11" applyAlignment="1" pivotButton="0" quotePrefix="0" xfId="0">
      <alignment vertical="center"/>
    </xf>
    <xf numFmtId="0" fontId="5" fillId="9" borderId="11" applyAlignment="1" pivotButton="0" quotePrefix="0" xfId="0">
      <alignment vertical="center"/>
    </xf>
    <xf numFmtId="3" fontId="5" fillId="9" borderId="11" applyAlignment="1" pivotButton="0" quotePrefix="0" xfId="0">
      <alignment vertical="center"/>
    </xf>
    <xf numFmtId="9" fontId="5" fillId="9" borderId="11" applyAlignment="1" pivotButton="0" quotePrefix="0" xfId="0">
      <alignment vertical="center"/>
    </xf>
    <xf numFmtId="3" fontId="5" fillId="0" borderId="11" applyAlignment="1" pivotButton="0" quotePrefix="0" xfId="0">
      <alignment vertical="center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0" fillId="0" borderId="0" pivotButton="0" quotePrefix="0" xfId="0"/>
    <xf numFmtId="0" fontId="13" fillId="7" borderId="0" applyAlignment="1" pivotButton="0" quotePrefix="0" xfId="0">
      <alignment horizontal="center" vertical="center"/>
    </xf>
    <xf numFmtId="0" fontId="14" fillId="10" borderId="11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15" fillId="0" borderId="0" pivotButton="0" quotePrefix="0" xfId="0"/>
    <xf numFmtId="166" fontId="15" fillId="0" borderId="0" pivotButton="0" quotePrefix="0" xfId="0"/>
    <xf numFmtId="166" fontId="0" fillId="0" borderId="0" pivotButton="0" quotePrefix="0" xfId="0"/>
    <xf numFmtId="0" fontId="16" fillId="0" borderId="0" pivotButton="0" quotePrefix="0" xfId="0"/>
    <xf numFmtId="0" fontId="15" fillId="11" borderId="0" pivotButton="0" quotePrefix="0" xfId="0"/>
    <xf numFmtId="0" fontId="15" fillId="11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7" fillId="0" borderId="0" pivotButton="0" quotePrefix="0" xfId="0"/>
    <xf numFmtId="0" fontId="18" fillId="0" borderId="0" pivotButton="0" quotePrefix="0" xfId="0"/>
    <xf numFmtId="0" fontId="2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2" pivotButton="0" quotePrefix="0" xfId="0"/>
    <xf numFmtId="167" fontId="0" fillId="0" borderId="12" pivotButton="0" quotePrefix="0" xfId="0"/>
    <xf numFmtId="0" fontId="0" fillId="12" borderId="0" pivotButton="0" quotePrefix="0" xfId="0"/>
    <xf numFmtId="0" fontId="12" fillId="12" borderId="0" applyAlignment="1" pivotButton="0" quotePrefix="0" xfId="0">
      <alignment vertical="center"/>
    </xf>
    <xf numFmtId="0" fontId="0" fillId="0" borderId="1" pivotButton="0" quotePrefix="0" xfId="0"/>
    <xf numFmtId="0" fontId="19" fillId="0" borderId="0" pivotButton="0" quotePrefix="0" xfId="0"/>
    <xf numFmtId="0" fontId="21" fillId="0" borderId="0" pivotButton="0" quotePrefix="0" xfId="0"/>
    <xf numFmtId="10" fontId="0" fillId="0" borderId="17" pivotButton="0" quotePrefix="0" xfId="0"/>
    <xf numFmtId="10" fontId="5" fillId="4" borderId="2" applyAlignment="1" pivotButton="0" quotePrefix="0" xfId="0">
      <alignment horizontal="center" vertical="center"/>
    </xf>
    <xf numFmtId="0" fontId="6" fillId="0" borderId="17" pivotButton="0" quotePrefix="0" xfId="0"/>
    <xf numFmtId="0" fontId="0" fillId="0" borderId="17" pivotButton="0" quotePrefix="0" xfId="0"/>
    <xf numFmtId="0" fontId="20" fillId="13" borderId="0" applyAlignment="1" pivotButton="0" quotePrefix="0" xfId="0">
      <alignment horizontal="center" vertical="center"/>
    </xf>
    <xf numFmtId="0" fontId="21" fillId="7" borderId="0" applyAlignment="1" pivotButton="0" quotePrefix="0" xfId="0">
      <alignment horizontal="center" vertical="center"/>
    </xf>
    <xf numFmtId="0" fontId="22" fillId="13" borderId="17" applyAlignment="1" pivotButton="0" quotePrefix="0" xfId="0">
      <alignment horizontal="center" vertical="center"/>
    </xf>
    <xf numFmtId="168" fontId="22" fillId="13" borderId="17" applyAlignment="1" pivotButton="0" quotePrefix="0" xfId="0">
      <alignment horizontal="center" vertical="center"/>
    </xf>
    <xf numFmtId="10" fontId="22" fillId="13" borderId="17" applyAlignment="1" pivotButton="0" quotePrefix="0" xfId="0">
      <alignment horizontal="center" vertical="center"/>
    </xf>
    <xf numFmtId="0" fontId="19" fillId="14" borderId="17" applyAlignment="1" pivotButton="0" quotePrefix="0" xfId="0">
      <alignment vertical="center"/>
    </xf>
    <xf numFmtId="0" fontId="23" fillId="14" borderId="17" applyAlignment="1" pivotButton="0" quotePrefix="0" xfId="0">
      <alignment vertical="center"/>
    </xf>
    <xf numFmtId="168" fontId="23" fillId="14" borderId="17" applyAlignment="1" pivotButton="0" quotePrefix="0" xfId="0">
      <alignment vertical="center"/>
    </xf>
    <xf numFmtId="10" fontId="23" fillId="14" borderId="17" applyAlignment="1" pivotButton="0" quotePrefix="0" xfId="0">
      <alignment vertical="center"/>
    </xf>
    <xf numFmtId="0" fontId="24" fillId="15" borderId="17" applyAlignment="1" pivotButton="0" quotePrefix="0" xfId="0">
      <alignment vertical="center"/>
    </xf>
    <xf numFmtId="168" fontId="24" fillId="15" borderId="17" applyAlignment="1" pivotButton="0" quotePrefix="0" xfId="0">
      <alignment vertical="center"/>
    </xf>
    <xf numFmtId="10" fontId="24" fillId="15" borderId="17" applyAlignment="1" pivotButton="0" quotePrefix="0" xfId="0">
      <alignment vertical="center"/>
    </xf>
    <xf numFmtId="0" fontId="0" fillId="0" borderId="15" pivotButton="0" quotePrefix="0" xfId="0"/>
    <xf numFmtId="0" fontId="0" fillId="0" borderId="16" pivotButton="0" quotePrefix="0" xfId="0"/>
    <xf numFmtId="0" fontId="22" fillId="13" borderId="17" applyAlignment="1" pivotButton="0" quotePrefix="0" xfId="0">
      <alignment horizontal="center" vertical="center" wrapText="1"/>
    </xf>
    <xf numFmtId="0" fontId="0" fillId="0" borderId="17" applyAlignment="1" pivotButton="0" quotePrefix="0" xfId="0">
      <alignment vertical="top" wrapText="1"/>
    </xf>
    <xf numFmtId="4" fontId="0" fillId="0" borderId="17" applyAlignment="1" pivotButton="0" quotePrefix="0" xfId="0">
      <alignment vertical="top" wrapText="1"/>
    </xf>
    <xf numFmtId="168" fontId="0" fillId="0" borderId="17" applyAlignment="1" pivotButton="0" quotePrefix="0" xfId="0">
      <alignment vertical="top" wrapText="1"/>
    </xf>
    <xf numFmtId="0" fontId="0" fillId="0" borderId="17" applyAlignment="1" pivotButton="0" quotePrefix="0" xfId="0">
      <alignment horizontal="center"/>
    </xf>
    <xf numFmtId="0" fontId="0" fillId="0" borderId="17" applyAlignment="1" pivotButton="0" quotePrefix="0" xfId="0">
      <alignment wrapText="1"/>
    </xf>
    <xf numFmtId="10" fontId="0" fillId="0" borderId="17" applyAlignment="1" pivotButton="0" quotePrefix="0" xfId="0">
      <alignment vertical="top" wrapText="1"/>
    </xf>
    <xf numFmtId="0" fontId="0" fillId="0" borderId="17" applyAlignment="1" pivotButton="0" quotePrefix="0" xfId="0">
      <alignment horizontal="left"/>
    </xf>
    <xf numFmtId="2" fontId="0" fillId="0" borderId="17" pivotButton="0" quotePrefix="0" xfId="0"/>
    <xf numFmtId="3" fontId="0" fillId="0" borderId="17" pivotButton="0" quotePrefix="0" xfId="0"/>
    <xf numFmtId="168" fontId="0" fillId="0" borderId="17" pivotButton="0" quotePrefix="0" xfId="0"/>
    <xf numFmtId="0" fontId="25" fillId="0" borderId="0" pivotButton="0" quotePrefix="0" xfId="0"/>
    <xf numFmtId="0" fontId="19" fillId="0" borderId="17" pivotButton="0" quotePrefix="0" xfId="0"/>
    <xf numFmtId="0" fontId="21" fillId="0" borderId="17" pivotButton="0" quotePrefix="0" xfId="0"/>
    <xf numFmtId="1" fontId="0" fillId="0" borderId="17" pivotButton="0" quotePrefix="0" xfId="0"/>
  </cellXfs>
  <cellStyles count="2">
    <cellStyle name="Normal" xfId="0" builtinId="0"/>
    <cellStyle name="Percent" xfId="1" builtinId="5"/>
  </cellStyles>
  <dxfs count="36">
    <dxf>
      <fill>
        <patternFill>
          <bgColor theme="9" tint="0.7999816888943144"/>
        </patternFill>
      </fill>
    </dxf>
    <dxf>
      <fill>
        <patternFill>
          <bgColor rgb="FFFFFFCC"/>
        </patternFill>
      </fill>
    </dxf>
    <dxf>
      <fill>
        <patternFill>
          <bgColor theme="9" tint="0.7999816888943144"/>
        </patternFill>
      </fill>
    </dxf>
    <dxf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"/>
        </patternFill>
      </fill>
    </dxf>
    <dxf>
      <fill>
        <patternFill>
          <bgColor rgb="FFFFFFCC"/>
        </patternFill>
      </fill>
    </dxf>
    <dxf>
      <fill>
        <patternFill>
          <bgColor theme="9" tint="0.7999816888943144"/>
        </patternFill>
      </fill>
    </dxf>
    <dxf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externalLink" Target="/xl/externalLinks/externalLink1.xml" Id="rId16"/><Relationship Type="http://schemas.openxmlformats.org/officeDocument/2006/relationships/externalLink" Target="/xl/externalLinks/externalLink2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Struktura CAPEX-a</a:t>
            </a:r>
          </a:p>
        </rich>
      </tx>
      <overlay val="1"/>
    </title>
    <plotArea>
      <layout/>
      <pieChart>
        <varyColors val="1"/>
        <ser>
          <idx val="0"/>
          <order val="0"/>
          <tx>
            <strRef>
              <f>'Executive Summary'!$B$14</f>
              <strCache>
                <ptCount val="1"/>
                <pt idx="0">
                  <v>Iznos (€)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'Executive Summary'!$A$15:$A$18</f>
              <strCache>
                <ptCount val="4"/>
                <pt idx="0">
                  <v>Građevina &amp; hala</v>
                </pt>
                <pt idx="1">
                  <v>Machine Park</v>
                </pt>
                <pt idx="2">
                  <v>Soft Costs</v>
                </pt>
                <pt idx="3">
                  <v>Contingency</v>
                </pt>
              </strCache>
            </strRef>
          </cat>
          <val>
            <numRef>
              <f>'Executive Summary'!$B$15:$B$18</f>
              <numCache>
                <formatCode>General</formatCode>
                <ptCount val="4"/>
                <pt idx="0">
                  <v>0</v>
                </pt>
                <pt idx="1">
                  <v>3945787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  <showLeaderLines val="1"/>
        </dLbls>
        <firstSliceAng val="0"/>
      </pieChart>
    </plotArea>
    <legend>
      <legendPos val="r"/>
      <overlay val="1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CAPEX Timeline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'Executive Summary'!$C$27</f>
              <strCache>
                <ptCount val="1"/>
                <pt idx="0">
                  <v>Iznos (€)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'Executive Summary'!$A$28:$A$30</f>
              <strCache>
                <ptCount val="3"/>
                <pt idx="0">
                  <v>2026</v>
                </pt>
                <pt idx="1">
                  <v>2027</v>
                </pt>
                <pt idx="2">
                  <v>2028</v>
                </pt>
              </strCache>
            </strRef>
          </cat>
          <val>
            <numRef>
              <f>'Executive Summary'!$C$28:$C$30</f>
              <numCache>
                <formatCode>General</formatCode>
                <ptCount val="3"/>
                <pt idx="0">
                  <v>3421875</v>
                </pt>
                <pt idx="1">
                  <v>7528125.000000001</v>
                </pt>
                <pt idx="2">
                  <v>2737500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Struktura osnovice po assetima</a:t>
            </a:r>
          </a:p>
        </rich>
      </tx>
      <overlay val="1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strRef>
              <f>'Depreciation Schedule'!$B$13:$B$20</f>
              <strCache>
                <ptCount val="8"/>
                <pt idx="0">
                  <v>UNI-MAK linija</v>
                </pt>
                <pt idx="1">
                  <v>SLS MECANO robot</v>
                </pt>
                <pt idx="2">
                  <v>Abkant + Punta + Giyotin</v>
                </pt>
                <pt idx="3">
                  <v>NKN Laseri</v>
                </pt>
                <pt idx="4">
                  <v>Vinčevi</v>
                </pt>
                <pt idx="5">
                  <v>GENPOWER generator</v>
                </pt>
                <pt idx="6">
                  <v>ASTOR pano</v>
                </pt>
                <pt idx="7">
                  <v>Ostale mašine</v>
                </pt>
              </strCache>
            </strRef>
          </cat>
          <val>
            <numRef>
              <f>'Depreciation Schedule'!$C$13:$C$20</f>
              <numCache>
                <formatCode>#,##0\ "€"</formatCode>
                <ptCount val="8"/>
                <pt idx="0">
                  <v>900000</v>
                </pt>
                <pt idx="1">
                  <v>80000</v>
                </pt>
                <pt idx="2">
                  <v>342490</v>
                </pt>
                <pt idx="3">
                  <v>965000</v>
                </pt>
                <pt idx="4">
                  <v>785000</v>
                </pt>
                <pt idx="5">
                  <v>72085</v>
                </pt>
                <pt idx="6">
                  <v>53862</v>
                </pt>
                <pt idx="7">
                  <v>747350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1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Ukupna amortizacija po godinama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'Depreciation Schedule'!$F$12:$O$12</f>
              <strCache>
                <ptCount val="10"/>
                <pt idx="0">
                  <v>2028</v>
                </pt>
                <pt idx="1">
                  <v>2029</v>
                </pt>
                <pt idx="2">
                  <v>2030</v>
                </pt>
                <pt idx="3">
                  <v>2031</v>
                </pt>
                <pt idx="4">
                  <v>2032</v>
                </pt>
                <pt idx="5">
                  <v>2033</v>
                </pt>
                <pt idx="6">
                  <v>2034</v>
                </pt>
                <pt idx="7">
                  <v>2035</v>
                </pt>
                <pt idx="8">
                  <v>2036</v>
                </pt>
                <pt idx="9">
                  <v>2037</v>
                </pt>
              </strCache>
            </strRef>
          </cat>
          <val>
            <numRef>
              <f>'Depreciation Schedule'!$F$23</f>
              <numCache>
                <formatCode>General</formatCode>
                <ptCount val="1"/>
                <pt idx="0">
                  <v>436242.1</v>
                </pt>
              </numCache>
            </numRef>
          </val>
          <smooth val="1"/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'Depreciation Schedule'!$F$12:$O$12</f>
              <strCache>
                <ptCount val="10"/>
                <pt idx="0">
                  <v>2028</v>
                </pt>
                <pt idx="1">
                  <v>2029</v>
                </pt>
                <pt idx="2">
                  <v>2030</v>
                </pt>
                <pt idx="3">
                  <v>2031</v>
                </pt>
                <pt idx="4">
                  <v>2032</v>
                </pt>
                <pt idx="5">
                  <v>2033</v>
                </pt>
                <pt idx="6">
                  <v>2034</v>
                </pt>
                <pt idx="7">
                  <v>2035</v>
                </pt>
                <pt idx="8">
                  <v>2036</v>
                </pt>
                <pt idx="9">
                  <v>2037</v>
                </pt>
              </strCache>
            </strRef>
          </cat>
          <val>
            <numRef>
              <f>'Depreciation Schedule'!$G$23</f>
              <numCache>
                <formatCode>General</formatCode>
                <ptCount val="1"/>
                <pt idx="0">
                  <v>669223.5700000001</v>
                </pt>
              </numCache>
            </numRef>
          </val>
          <smooth val="1"/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'Depreciation Schedule'!$F$12:$O$12</f>
              <strCache>
                <ptCount val="10"/>
                <pt idx="0">
                  <v>2028</v>
                </pt>
                <pt idx="1">
                  <v>2029</v>
                </pt>
                <pt idx="2">
                  <v>2030</v>
                </pt>
                <pt idx="3">
                  <v>2031</v>
                </pt>
                <pt idx="4">
                  <v>2032</v>
                </pt>
                <pt idx="5">
                  <v>2033</v>
                </pt>
                <pt idx="6">
                  <v>2034</v>
                </pt>
                <pt idx="7">
                  <v>2035</v>
                </pt>
                <pt idx="8">
                  <v>2036</v>
                </pt>
                <pt idx="9">
                  <v>2037</v>
                </pt>
              </strCache>
            </strRef>
          </cat>
          <val>
            <numRef>
              <f>'Depreciation Schedule'!$H$23</f>
              <numCache>
                <formatCode>General</formatCode>
                <ptCount val="1"/>
                <pt idx="0">
                  <v>594187.9739</v>
                </pt>
              </numCache>
            </numRef>
          </val>
          <smooth val="1"/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'Depreciation Schedule'!$F$12:$O$12</f>
              <strCache>
                <ptCount val="10"/>
                <pt idx="0">
                  <v>2028</v>
                </pt>
                <pt idx="1">
                  <v>2029</v>
                </pt>
                <pt idx="2">
                  <v>2030</v>
                </pt>
                <pt idx="3">
                  <v>2031</v>
                </pt>
                <pt idx="4">
                  <v>2032</v>
                </pt>
                <pt idx="5">
                  <v>2033</v>
                </pt>
                <pt idx="6">
                  <v>2034</v>
                </pt>
                <pt idx="7">
                  <v>2035</v>
                </pt>
                <pt idx="8">
                  <v>2036</v>
                </pt>
                <pt idx="9">
                  <v>2037</v>
                </pt>
              </strCache>
            </strRef>
          </cat>
          <val>
            <numRef>
              <f>'Depreciation Schedule'!$I$23</f>
              <numCache>
                <formatCode>General</formatCode>
                <ptCount val="1"/>
                <pt idx="0">
                  <v>531031.219127</v>
                </pt>
              </numCache>
            </numRef>
          </val>
          <smooth val="1"/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'Depreciation Schedule'!$F$12:$O$12</f>
              <strCache>
                <ptCount val="10"/>
                <pt idx="0">
                  <v>2028</v>
                </pt>
                <pt idx="1">
                  <v>2029</v>
                </pt>
                <pt idx="2">
                  <v>2030</v>
                </pt>
                <pt idx="3">
                  <v>2031</v>
                </pt>
                <pt idx="4">
                  <v>2032</v>
                </pt>
                <pt idx="5">
                  <v>2033</v>
                </pt>
                <pt idx="6">
                  <v>2034</v>
                </pt>
                <pt idx="7">
                  <v>2035</v>
                </pt>
                <pt idx="8">
                  <v>2036</v>
                </pt>
                <pt idx="9">
                  <v>2037</v>
                </pt>
              </strCache>
            </strRef>
          </cat>
          <val>
            <numRef>
              <f>'Depreciation Schedule'!$J$23</f>
              <numCache>
                <formatCode>General</formatCode>
                <ptCount val="1"/>
                <pt idx="0">
                  <v>477760.92366851</v>
                </pt>
              </numCache>
            </numRef>
          </val>
          <smooth val="1"/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'Depreciation Schedule'!$F$12:$O$12</f>
              <strCache>
                <ptCount val="10"/>
                <pt idx="0">
                  <v>2028</v>
                </pt>
                <pt idx="1">
                  <v>2029</v>
                </pt>
                <pt idx="2">
                  <v>2030</v>
                </pt>
                <pt idx="3">
                  <v>2031</v>
                </pt>
                <pt idx="4">
                  <v>2032</v>
                </pt>
                <pt idx="5">
                  <v>2033</v>
                </pt>
                <pt idx="6">
                  <v>2034</v>
                </pt>
                <pt idx="7">
                  <v>2035</v>
                </pt>
                <pt idx="8">
                  <v>2036</v>
                </pt>
                <pt idx="9">
                  <v>2037</v>
                </pt>
              </strCache>
            </strRef>
          </cat>
          <val>
            <numRef>
              <f>'Depreciation Schedule'!$K$23</f>
              <numCache>
                <formatCode>General</formatCode>
                <ptCount val="1"/>
                <pt idx="0">
                  <v>432734.7450939263</v>
                </pt>
              </numCache>
            </numRef>
          </val>
          <smooth val="1"/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'Depreciation Schedule'!$F$12:$O$12</f>
              <strCache>
                <ptCount val="10"/>
                <pt idx="0">
                  <v>2028</v>
                </pt>
                <pt idx="1">
                  <v>2029</v>
                </pt>
                <pt idx="2">
                  <v>2030</v>
                </pt>
                <pt idx="3">
                  <v>2031</v>
                </pt>
                <pt idx="4">
                  <v>2032</v>
                </pt>
                <pt idx="5">
                  <v>2033</v>
                </pt>
                <pt idx="6">
                  <v>2034</v>
                </pt>
                <pt idx="7">
                  <v>2035</v>
                </pt>
                <pt idx="8">
                  <v>2036</v>
                </pt>
                <pt idx="9">
                  <v>2037</v>
                </pt>
              </strCache>
            </strRef>
          </cat>
          <val>
            <numRef>
              <f>'Depreciation Schedule'!$L$23</f>
              <numCache>
                <formatCode>General</formatCode>
                <ptCount val="1"/>
                <pt idx="0">
                  <v>394596.672780607</v>
                </pt>
              </numCache>
            </numRef>
          </val>
          <smooth val="1"/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'Depreciation Schedule'!$F$12:$O$12</f>
              <strCache>
                <ptCount val="10"/>
                <pt idx="0">
                  <v>2028</v>
                </pt>
                <pt idx="1">
                  <v>2029</v>
                </pt>
                <pt idx="2">
                  <v>2030</v>
                </pt>
                <pt idx="3">
                  <v>2031</v>
                </pt>
                <pt idx="4">
                  <v>2032</v>
                </pt>
                <pt idx="5">
                  <v>2033</v>
                </pt>
                <pt idx="6">
                  <v>2034</v>
                </pt>
                <pt idx="7">
                  <v>2035</v>
                </pt>
                <pt idx="8">
                  <v>2036</v>
                </pt>
                <pt idx="9">
                  <v>2037</v>
                </pt>
              </strCache>
            </strRef>
          </cat>
          <val>
            <numRef>
              <f>'Depreciation Schedule'!$M$23</f>
              <numCache>
                <formatCode>General</formatCode>
                <ptCount val="1"/>
                <pt idx="0">
                  <v>362225.2202036973</v>
                </pt>
              </numCache>
            </numRef>
          </val>
          <smooth val="1"/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'Depreciation Schedule'!$F$12:$O$12</f>
              <strCache>
                <ptCount val="10"/>
                <pt idx="0">
                  <v>2028</v>
                </pt>
                <pt idx="1">
                  <v>2029</v>
                </pt>
                <pt idx="2">
                  <v>2030</v>
                </pt>
                <pt idx="3">
                  <v>2031</v>
                </pt>
                <pt idx="4">
                  <v>2032</v>
                </pt>
                <pt idx="5">
                  <v>2033</v>
                </pt>
                <pt idx="6">
                  <v>2034</v>
                </pt>
                <pt idx="7">
                  <v>2035</v>
                </pt>
                <pt idx="8">
                  <v>2036</v>
                </pt>
                <pt idx="9">
                  <v>2037</v>
                </pt>
              </strCache>
            </strRef>
          </cat>
          <val>
            <numRef>
              <f>'Depreciation Schedule'!$N$23</f>
              <numCache>
                <formatCode>General</formatCode>
                <ptCount val="1"/>
                <pt idx="0">
                  <v>334691.2523085038</v>
                </pt>
              </numCache>
            </numRef>
          </val>
          <smooth val="1"/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'Depreciation Schedule'!$F$12:$O$12</f>
              <strCache>
                <ptCount val="10"/>
                <pt idx="0">
                  <v>2028</v>
                </pt>
                <pt idx="1">
                  <v>2029</v>
                </pt>
                <pt idx="2">
                  <v>2030</v>
                </pt>
                <pt idx="3">
                  <v>2031</v>
                </pt>
                <pt idx="4">
                  <v>2032</v>
                </pt>
                <pt idx="5">
                  <v>2033</v>
                </pt>
                <pt idx="6">
                  <v>2034</v>
                </pt>
                <pt idx="7">
                  <v>2035</v>
                </pt>
                <pt idx="8">
                  <v>2036</v>
                </pt>
                <pt idx="9">
                  <v>2037</v>
                </pt>
              </strCache>
            </strRef>
          </cat>
          <val>
            <numRef>
              <f>'Depreciation Schedule'!$O$23</f>
              <numCache>
                <formatCode>General</formatCode>
                <ptCount val="1"/>
                <pt idx="0">
                  <v>311223.6199456259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Izvori sredstava</a:t>
            </a:r>
          </a:p>
        </rich>
      </tx>
      <overlay val="1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strRef>
              <f>'Funding Sources &amp; Uses'!$A$6:$A$10</f>
              <strCache>
                <ptCount val="5"/>
                <pt idx="0">
                  <v>Sopstveni kapital / Equity</v>
                </pt>
                <pt idx="1">
                  <v>Grant / Bespovratna sredstva</v>
                </pt>
                <pt idx="2">
                  <v>Investicioni kredit</v>
                </pt>
                <pt idx="3">
                  <v>Odloženo plaćanje dobavljača</v>
                </pt>
                <pt idx="4">
                  <v>Revolving WC linija</v>
                </pt>
              </strCache>
            </strRef>
          </cat>
          <val>
            <numRef>
              <f>'Funding Sources &amp; Uses'!$B$6:$B$10</f>
              <numCache>
                <formatCode>#,##0\ "€"</formatCode>
                <ptCount val="5"/>
                <pt idx="0">
                  <v>3500000</v>
                </pt>
                <pt idx="1">
                  <v>1875000</v>
                </pt>
                <pt idx="2">
                  <v>8000000</v>
                </pt>
                <pt idx="3">
                  <v>1200000</v>
                </pt>
                <pt idx="4">
                  <v>1312500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1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Namene sredstava</a:t>
            </a:r>
          </a:p>
        </rich>
      </tx>
      <overlay val="1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strRef>
              <f>'Funding Sources &amp; Uses'!$E$6:$E$10</f>
              <strCache>
                <ptCount val="5"/>
                <pt idx="0">
                  <v>CAPEX bez contingency</v>
                </pt>
                <pt idx="1">
                  <v>Contingency / Rezerva</v>
                </pt>
                <pt idx="2">
                  <v>Početni obrtni kapital (WC)</v>
                </pt>
                <pt idx="3">
                  <v>Početni finansijski troškovi</v>
                </pt>
                <pt idx="4">
                  <v>Rezerva za kamate tokom grace</v>
                </pt>
              </strCache>
            </strRef>
          </cat>
          <val>
            <numRef>
              <f>'Funding Sources &amp; Uses'!$F$6:$F$10</f>
              <numCache>
                <formatCode>#,##0\ "€"</formatCode>
                <ptCount val="5"/>
                <pt idx="0">
                  <v>12500000</v>
                </pt>
                <pt idx="1">
                  <v>1187500</v>
                </pt>
                <pt idx="2">
                  <v>2200000</v>
                </pt>
                <pt idx="3">
                  <v>200000</v>
                </pt>
                <pt idx="4">
                  <v>100000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1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Scenariji – Ukupni potrebni iznos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1"/>
          <cat>
            <strRef>
              <f>'Timeline &amp; Sensitivity'!$A$19:$A$24</f>
              <strCache>
                <ptCount val="6"/>
                <pt idx="0">
                  <v>Base Case</v>
                </pt>
                <pt idx="1">
                  <v>TRY deprecijacija +20%</v>
                </pt>
                <pt idx="2">
                  <v>Građevinski troškovi +15%</v>
                </pt>
                <pt idx="3">
                  <v>Kašnjenje 6 mjeseci</v>
                </pt>
                <pt idx="4">
                  <v>WC potreban +20%</v>
                </pt>
                <pt idx="5">
                  <v>Worst Case</v>
                </pt>
              </strCache>
            </strRef>
          </cat>
          <val>
            <numRef>
              <f>'Timeline &amp; Sensitivity'!$E$19:$E$24</f>
              <numCache>
                <formatCode>General</formatCode>
                <ptCount val="6"/>
                <pt idx="0">
                  <v>14700000</v>
                </pt>
                <pt idx="1">
                  <v>789157</v>
                </pt>
                <pt idx="2">
                  <v>975000</v>
                </pt>
                <pt idx="3">
                  <v>850000</v>
                </pt>
                <pt idx="4">
                  <v>440000</v>
                </pt>
                <pt idx="5">
                  <v>3054157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Kumulativni WC saldo po mjesecima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'WC Cash Flow'!$B$7:$M$7</f>
              <strCache>
                <ptCount val="12"/>
                <pt idx="0">
                  <v>M1 (Sep 28)</v>
                </pt>
                <pt idx="1">
                  <v>M2 (Okt)</v>
                </pt>
                <pt idx="2">
                  <v>M3 (Nov)</v>
                </pt>
                <pt idx="3">
                  <v>M4 (Dec)</v>
                </pt>
                <pt idx="4">
                  <v>M5 (Jan 29)</v>
                </pt>
                <pt idx="5">
                  <v>M6 (Feb)</v>
                </pt>
                <pt idx="6">
                  <v>M7 (Mar)</v>
                </pt>
                <pt idx="7">
                  <v>M8 (Apr)</v>
                </pt>
                <pt idx="8">
                  <v>M9 (Maj)</v>
                </pt>
                <pt idx="9">
                  <v>M10 (Jun)</v>
                </pt>
                <pt idx="10">
                  <v>M11 (Jul)</v>
                </pt>
                <pt idx="11">
                  <v>M12 (Avg)</v>
                </pt>
              </strCache>
            </strRef>
          </cat>
          <val>
            <numRef>
              <f>'WC Cash Flow'!$B$23</f>
              <numCache>
                <formatCode>#,##0\ "€"</formatCode>
                <ptCount val="1"/>
                <pt idx="0">
                  <v>1932000</v>
                </pt>
              </numCache>
            </numRef>
          </val>
          <smooth val="1"/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'WC Cash Flow'!$B$7:$M$7</f>
              <strCache>
                <ptCount val="12"/>
                <pt idx="0">
                  <v>M1 (Sep 28)</v>
                </pt>
                <pt idx="1">
                  <v>M2 (Okt)</v>
                </pt>
                <pt idx="2">
                  <v>M3 (Nov)</v>
                </pt>
                <pt idx="3">
                  <v>M4 (Dec)</v>
                </pt>
                <pt idx="4">
                  <v>M5 (Jan 29)</v>
                </pt>
                <pt idx="5">
                  <v>M6 (Feb)</v>
                </pt>
                <pt idx="6">
                  <v>M7 (Mar)</v>
                </pt>
                <pt idx="7">
                  <v>M8 (Apr)</v>
                </pt>
                <pt idx="8">
                  <v>M9 (Maj)</v>
                </pt>
                <pt idx="9">
                  <v>M10 (Jun)</v>
                </pt>
                <pt idx="10">
                  <v>M11 (Jul)</v>
                </pt>
                <pt idx="11">
                  <v>M12 (Avg)</v>
                </pt>
              </strCache>
            </strRef>
          </cat>
          <val>
            <numRef>
              <f>'WC Cash Flow'!$C$23</f>
              <numCache>
                <formatCode>#,##0\ "€"</formatCode>
                <ptCount val="1"/>
                <pt idx="0">
                  <v>1542000</v>
                </pt>
              </numCache>
            </numRef>
          </val>
          <smooth val="1"/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'WC Cash Flow'!$B$7:$M$7</f>
              <strCache>
                <ptCount val="12"/>
                <pt idx="0">
                  <v>M1 (Sep 28)</v>
                </pt>
                <pt idx="1">
                  <v>M2 (Okt)</v>
                </pt>
                <pt idx="2">
                  <v>M3 (Nov)</v>
                </pt>
                <pt idx="3">
                  <v>M4 (Dec)</v>
                </pt>
                <pt idx="4">
                  <v>M5 (Jan 29)</v>
                </pt>
                <pt idx="5">
                  <v>M6 (Feb)</v>
                </pt>
                <pt idx="6">
                  <v>M7 (Mar)</v>
                </pt>
                <pt idx="7">
                  <v>M8 (Apr)</v>
                </pt>
                <pt idx="8">
                  <v>M9 (Maj)</v>
                </pt>
                <pt idx="9">
                  <v>M10 (Jun)</v>
                </pt>
                <pt idx="10">
                  <v>M11 (Jul)</v>
                </pt>
                <pt idx="11">
                  <v>M12 (Avg)</v>
                </pt>
              </strCache>
            </strRef>
          </cat>
          <val>
            <numRef>
              <f>'WC Cash Flow'!$D$23</f>
              <numCache>
                <formatCode>#,##0\ "€"</formatCode>
                <ptCount val="1"/>
                <pt idx="0">
                  <v>952000</v>
                </pt>
              </numCache>
            </numRef>
          </val>
          <smooth val="1"/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'WC Cash Flow'!$B$7:$M$7</f>
              <strCache>
                <ptCount val="12"/>
                <pt idx="0">
                  <v>M1 (Sep 28)</v>
                </pt>
                <pt idx="1">
                  <v>M2 (Okt)</v>
                </pt>
                <pt idx="2">
                  <v>M3 (Nov)</v>
                </pt>
                <pt idx="3">
                  <v>M4 (Dec)</v>
                </pt>
                <pt idx="4">
                  <v>M5 (Jan 29)</v>
                </pt>
                <pt idx="5">
                  <v>M6 (Feb)</v>
                </pt>
                <pt idx="6">
                  <v>M7 (Mar)</v>
                </pt>
                <pt idx="7">
                  <v>M8 (Apr)</v>
                </pt>
                <pt idx="8">
                  <v>M9 (Maj)</v>
                </pt>
                <pt idx="9">
                  <v>M10 (Jun)</v>
                </pt>
                <pt idx="10">
                  <v>M11 (Jul)</v>
                </pt>
                <pt idx="11">
                  <v>M12 (Avg)</v>
                </pt>
              </strCache>
            </strRef>
          </cat>
          <val>
            <numRef>
              <f>'WC Cash Flow'!$E$23</f>
              <numCache>
                <formatCode>#,##0\ "€"</formatCode>
                <ptCount val="1"/>
                <pt idx="0">
                  <v>162000</v>
                </pt>
              </numCache>
            </numRef>
          </val>
          <smooth val="1"/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'WC Cash Flow'!$B$7:$M$7</f>
              <strCache>
                <ptCount val="12"/>
                <pt idx="0">
                  <v>M1 (Sep 28)</v>
                </pt>
                <pt idx="1">
                  <v>M2 (Okt)</v>
                </pt>
                <pt idx="2">
                  <v>M3 (Nov)</v>
                </pt>
                <pt idx="3">
                  <v>M4 (Dec)</v>
                </pt>
                <pt idx="4">
                  <v>M5 (Jan 29)</v>
                </pt>
                <pt idx="5">
                  <v>M6 (Feb)</v>
                </pt>
                <pt idx="6">
                  <v>M7 (Mar)</v>
                </pt>
                <pt idx="7">
                  <v>M8 (Apr)</v>
                </pt>
                <pt idx="8">
                  <v>M9 (Maj)</v>
                </pt>
                <pt idx="9">
                  <v>M10 (Jun)</v>
                </pt>
                <pt idx="10">
                  <v>M11 (Jul)</v>
                </pt>
                <pt idx="11">
                  <v>M12 (Avg)</v>
                </pt>
              </strCache>
            </strRef>
          </cat>
          <val>
            <numRef>
              <f>'WC Cash Flow'!$F$23</f>
              <numCache>
                <formatCode>#,##0\ "€"</formatCode>
                <ptCount val="1"/>
                <pt idx="0">
                  <v>-628000</v>
                </pt>
              </numCache>
            </numRef>
          </val>
          <smooth val="1"/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'WC Cash Flow'!$B$7:$M$7</f>
              <strCache>
                <ptCount val="12"/>
                <pt idx="0">
                  <v>M1 (Sep 28)</v>
                </pt>
                <pt idx="1">
                  <v>M2 (Okt)</v>
                </pt>
                <pt idx="2">
                  <v>M3 (Nov)</v>
                </pt>
                <pt idx="3">
                  <v>M4 (Dec)</v>
                </pt>
                <pt idx="4">
                  <v>M5 (Jan 29)</v>
                </pt>
                <pt idx="5">
                  <v>M6 (Feb)</v>
                </pt>
                <pt idx="6">
                  <v>M7 (Mar)</v>
                </pt>
                <pt idx="7">
                  <v>M8 (Apr)</v>
                </pt>
                <pt idx="8">
                  <v>M9 (Maj)</v>
                </pt>
                <pt idx="9">
                  <v>M10 (Jun)</v>
                </pt>
                <pt idx="10">
                  <v>M11 (Jul)</v>
                </pt>
                <pt idx="11">
                  <v>M12 (Avg)</v>
                </pt>
              </strCache>
            </strRef>
          </cat>
          <val>
            <numRef>
              <f>'WC Cash Flow'!$G$23</f>
              <numCache>
                <formatCode>#,##0\ "€"</formatCode>
                <ptCount val="1"/>
                <pt idx="0">
                  <v>-1168000</v>
                </pt>
              </numCache>
            </numRef>
          </val>
          <smooth val="1"/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'WC Cash Flow'!$B$7:$M$7</f>
              <strCache>
                <ptCount val="12"/>
                <pt idx="0">
                  <v>M1 (Sep 28)</v>
                </pt>
                <pt idx="1">
                  <v>M2 (Okt)</v>
                </pt>
                <pt idx="2">
                  <v>M3 (Nov)</v>
                </pt>
                <pt idx="3">
                  <v>M4 (Dec)</v>
                </pt>
                <pt idx="4">
                  <v>M5 (Jan 29)</v>
                </pt>
                <pt idx="5">
                  <v>M6 (Feb)</v>
                </pt>
                <pt idx="6">
                  <v>M7 (Mar)</v>
                </pt>
                <pt idx="7">
                  <v>M8 (Apr)</v>
                </pt>
                <pt idx="8">
                  <v>M9 (Maj)</v>
                </pt>
                <pt idx="9">
                  <v>M10 (Jun)</v>
                </pt>
                <pt idx="10">
                  <v>M11 (Jul)</v>
                </pt>
                <pt idx="11">
                  <v>M12 (Avg)</v>
                </pt>
              </strCache>
            </strRef>
          </cat>
          <val>
            <numRef>
              <f>'WC Cash Flow'!$H$23</f>
              <numCache>
                <formatCode>#,##0\ "€"</formatCode>
                <ptCount val="1"/>
                <pt idx="0">
                  <v>-1308000</v>
                </pt>
              </numCache>
            </numRef>
          </val>
          <smooth val="1"/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'WC Cash Flow'!$B$7:$M$7</f>
              <strCache>
                <ptCount val="12"/>
                <pt idx="0">
                  <v>M1 (Sep 28)</v>
                </pt>
                <pt idx="1">
                  <v>M2 (Okt)</v>
                </pt>
                <pt idx="2">
                  <v>M3 (Nov)</v>
                </pt>
                <pt idx="3">
                  <v>M4 (Dec)</v>
                </pt>
                <pt idx="4">
                  <v>M5 (Jan 29)</v>
                </pt>
                <pt idx="5">
                  <v>M6 (Feb)</v>
                </pt>
                <pt idx="6">
                  <v>M7 (Mar)</v>
                </pt>
                <pt idx="7">
                  <v>M8 (Apr)</v>
                </pt>
                <pt idx="8">
                  <v>M9 (Maj)</v>
                </pt>
                <pt idx="9">
                  <v>M10 (Jun)</v>
                </pt>
                <pt idx="10">
                  <v>M11 (Jul)</v>
                </pt>
                <pt idx="11">
                  <v>M12 (Avg)</v>
                </pt>
              </strCache>
            </strRef>
          </cat>
          <val>
            <numRef>
              <f>'WC Cash Flow'!$I$23</f>
              <numCache>
                <formatCode>#,##0\ "€"</formatCode>
                <ptCount val="1"/>
                <pt idx="0">
                  <v>-1048000</v>
                </pt>
              </numCache>
            </numRef>
          </val>
          <smooth val="1"/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'WC Cash Flow'!$B$7:$M$7</f>
              <strCache>
                <ptCount val="12"/>
                <pt idx="0">
                  <v>M1 (Sep 28)</v>
                </pt>
                <pt idx="1">
                  <v>M2 (Okt)</v>
                </pt>
                <pt idx="2">
                  <v>M3 (Nov)</v>
                </pt>
                <pt idx="3">
                  <v>M4 (Dec)</v>
                </pt>
                <pt idx="4">
                  <v>M5 (Jan 29)</v>
                </pt>
                <pt idx="5">
                  <v>M6 (Feb)</v>
                </pt>
                <pt idx="6">
                  <v>M7 (Mar)</v>
                </pt>
                <pt idx="7">
                  <v>M8 (Apr)</v>
                </pt>
                <pt idx="8">
                  <v>M9 (Maj)</v>
                </pt>
                <pt idx="9">
                  <v>M10 (Jun)</v>
                </pt>
                <pt idx="10">
                  <v>M11 (Jul)</v>
                </pt>
                <pt idx="11">
                  <v>M12 (Avg)</v>
                </pt>
              </strCache>
            </strRef>
          </cat>
          <val>
            <numRef>
              <f>'WC Cash Flow'!$J$23</f>
              <numCache>
                <formatCode>#,##0\ "€"</formatCode>
                <ptCount val="1"/>
                <pt idx="0">
                  <v>-288000</v>
                </pt>
              </numCache>
            </numRef>
          </val>
          <smooth val="1"/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'WC Cash Flow'!$B$7:$M$7</f>
              <strCache>
                <ptCount val="12"/>
                <pt idx="0">
                  <v>M1 (Sep 28)</v>
                </pt>
                <pt idx="1">
                  <v>M2 (Okt)</v>
                </pt>
                <pt idx="2">
                  <v>M3 (Nov)</v>
                </pt>
                <pt idx="3">
                  <v>M4 (Dec)</v>
                </pt>
                <pt idx="4">
                  <v>M5 (Jan 29)</v>
                </pt>
                <pt idx="5">
                  <v>M6 (Feb)</v>
                </pt>
                <pt idx="6">
                  <v>M7 (Mar)</v>
                </pt>
                <pt idx="7">
                  <v>M8 (Apr)</v>
                </pt>
                <pt idx="8">
                  <v>M9 (Maj)</v>
                </pt>
                <pt idx="9">
                  <v>M10 (Jun)</v>
                </pt>
                <pt idx="10">
                  <v>M11 (Jul)</v>
                </pt>
                <pt idx="11">
                  <v>M12 (Avg)</v>
                </pt>
              </strCache>
            </strRef>
          </cat>
          <val>
            <numRef>
              <f>'WC Cash Flow'!$K$23</f>
              <numCache>
                <formatCode>#,##0\ "€"</formatCode>
                <ptCount val="1"/>
                <pt idx="0">
                  <v>1072000</v>
                </pt>
              </numCache>
            </numRef>
          </val>
          <smooth val="1"/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'WC Cash Flow'!$B$7:$M$7</f>
              <strCache>
                <ptCount val="12"/>
                <pt idx="0">
                  <v>M1 (Sep 28)</v>
                </pt>
                <pt idx="1">
                  <v>M2 (Okt)</v>
                </pt>
                <pt idx="2">
                  <v>M3 (Nov)</v>
                </pt>
                <pt idx="3">
                  <v>M4 (Dec)</v>
                </pt>
                <pt idx="4">
                  <v>M5 (Jan 29)</v>
                </pt>
                <pt idx="5">
                  <v>M6 (Feb)</v>
                </pt>
                <pt idx="6">
                  <v>M7 (Mar)</v>
                </pt>
                <pt idx="7">
                  <v>M8 (Apr)</v>
                </pt>
                <pt idx="8">
                  <v>M9 (Maj)</v>
                </pt>
                <pt idx="9">
                  <v>M10 (Jun)</v>
                </pt>
                <pt idx="10">
                  <v>M11 (Jul)</v>
                </pt>
                <pt idx="11">
                  <v>M12 (Avg)</v>
                </pt>
              </strCache>
            </strRef>
          </cat>
          <val>
            <numRef>
              <f>'WC Cash Flow'!$L$23</f>
              <numCache>
                <formatCode>#,##0\ "€"</formatCode>
                <ptCount val="1"/>
                <pt idx="0">
                  <v>3032000</v>
                </pt>
              </numCache>
            </numRef>
          </val>
          <smooth val="1"/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'WC Cash Flow'!$B$7:$M$7</f>
              <strCache>
                <ptCount val="12"/>
                <pt idx="0">
                  <v>M1 (Sep 28)</v>
                </pt>
                <pt idx="1">
                  <v>M2 (Okt)</v>
                </pt>
                <pt idx="2">
                  <v>M3 (Nov)</v>
                </pt>
                <pt idx="3">
                  <v>M4 (Dec)</v>
                </pt>
                <pt idx="4">
                  <v>M5 (Jan 29)</v>
                </pt>
                <pt idx="5">
                  <v>M6 (Feb)</v>
                </pt>
                <pt idx="6">
                  <v>M7 (Mar)</v>
                </pt>
                <pt idx="7">
                  <v>M8 (Apr)</v>
                </pt>
                <pt idx="8">
                  <v>M9 (Maj)</v>
                </pt>
                <pt idx="9">
                  <v>M10 (Jun)</v>
                </pt>
                <pt idx="10">
                  <v>M11 (Jul)</v>
                </pt>
                <pt idx="11">
                  <v>M12 (Avg)</v>
                </pt>
              </strCache>
            </strRef>
          </cat>
          <val>
            <numRef>
              <f>'WC Cash Flow'!$M$23</f>
              <numCache>
                <formatCode>#,##0\ "€"</formatCode>
                <ptCount val="1"/>
                <pt idx="0">
                  <v>3792000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numFmt formatCode="#,##0\ &quot;€&quot;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COGS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'REVENUE_COGS'!D16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'REVENUE_COGS'!$A$17:$A$26</f>
            </numRef>
          </cat>
          <val>
            <numRef>
              <f>'REVENUE_COGS'!$D$17:$D$26</f>
            </numRef>
          </val>
        </ser>
        <ser>
          <idx val="1"/>
          <order val="1"/>
          <tx>
            <strRef>
              <f>'REVENUE_COGS'!E16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'REVENUE_COGS'!$A$17:$A$26</f>
            </numRef>
          </cat>
          <val>
            <numRef>
              <f>'REVENUE_COGS'!$E$17:$E$26</f>
            </numRef>
          </val>
        </ser>
        <ser>
          <idx val="2"/>
          <order val="2"/>
          <tx>
            <strRef>
              <f>'REVENUE_COGS'!F16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'REVENUE_COGS'!$A$17:$A$26</f>
            </numRef>
          </cat>
          <val>
            <numRef>
              <f>'REVENUE_COGS'!$F$17:$F$26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OPEX</a:t>
            </a:r>
          </a:p>
        </rich>
      </tx>
    </title>
    <plotArea>
      <lineChart>
        <grouping val="standard"/>
        <ser>
          <idx val="0"/>
          <order val="0"/>
          <tx>
            <strRef>
              <f>'OPEX_DETAIL'!B10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'OPEX_DETAIL'!$A$11:$A$20</f>
            </numRef>
          </cat>
          <val>
            <numRef>
              <f>'OPEX_DETAIL'!$B$11:$B$20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CAPEX Outflow by Category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'CAPEX_CASHFLOW'!B4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'CAPEX_CASHFLOW'!$A$5:$A$7</f>
            </numRef>
          </cat>
          <val>
            <numRef>
              <f>'CAPEX_CASHFLOW'!$B$5:$B$7</f>
            </numRef>
          </val>
        </ser>
        <ser>
          <idx val="1"/>
          <order val="1"/>
          <tx>
            <strRef>
              <f>'CAPEX_CASHFLOW'!C4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'CAPEX_CASHFLOW'!$A$5:$A$7</f>
            </numRef>
          </cat>
          <val>
            <numRef>
              <f>'CAPEX_CASHFLOW'!$C$5:$C$7</f>
            </numRef>
          </val>
        </ser>
        <ser>
          <idx val="2"/>
          <order val="2"/>
          <tx>
            <strRef>
              <f>'CAPEX_CASHFLOW'!D4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'CAPEX_CASHFLOW'!$A$5:$A$7</f>
            </numRef>
          </cat>
          <val>
            <numRef>
              <f>'CAPEX_CASHFLOW'!$D$5:$D$7</f>
            </numRef>
          </val>
        </ser>
        <ser>
          <idx val="3"/>
          <order val="3"/>
          <tx>
            <strRef>
              <f>'CAPEX_CASHFLOW'!E4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'CAPEX_CASHFLOW'!$A$5:$A$7</f>
            </numRef>
          </cat>
          <val>
            <numRef>
              <f>'CAPEX_CASHFLOW'!$E$5:$E$7</f>
            </numRef>
          </val>
        </ser>
        <ser>
          <idx val="4"/>
          <order val="4"/>
          <tx>
            <strRef>
              <f>'CAPEX_CASHFLOW'!F4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'CAPEX_CASHFLOW'!$A$5:$A$7</f>
            </numRef>
          </cat>
          <val>
            <numRef>
              <f>'CAPEX_CASHFLOW'!$F$5:$F$7</f>
            </numRef>
          </val>
        </ser>
        <ser>
          <idx val="5"/>
          <order val="5"/>
          <tx>
            <strRef>
              <f>'CAPEX_CASHFLOW'!G4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'CAPEX_CASHFLOW'!$A$5:$A$7</f>
            </numRef>
          </cat>
          <val>
            <numRef>
              <f>'CAPEX_CASHFLOW'!$G$5:$G$7</f>
            </numRef>
          </val>
        </ser>
        <gapWidth val="150"/>
        <axId val="10"/>
        <axId val="100"/>
      </barChart>
      <lineChart>
        <grouping val="standard"/>
        <ser>
          <idx val="6"/>
          <order val="6"/>
          <tx>
            <strRef>
              <f>'CAPEX_CASHFLOW'!I4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'CAPEX_CASHFLOW'!$I$5:$I$7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Key P&amp;L Trends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'INTEGRATED_P&amp;L_BS_CF'!$B$6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'INTEGRATED_P&amp;L_BS_CF'!$C$6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'INTEGRATED_P&amp;L_BS_CF'!$D$6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'INTEGRATED_P&amp;L_BS_CF'!$E$6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'INTEGRATED_P&amp;L_BS_CF'!$F$6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'INTEGRATED_P&amp;L_BS_CF'!$G$6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'INTEGRATED_P&amp;L_BS_CF'!$H$6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'INTEGRATED_P&amp;L_BS_CF'!$I$6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'INTEGRATED_P&amp;L_BS_CF'!$J$6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'INTEGRATED_P&amp;L_BS_CF'!$K$6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'INTEGRATED_P&amp;L_BS_CF'!$L$6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'INTEGRATED_P&amp;L_BS_CF'!$M$6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'INTEGRATED_P&amp;L_BS_CF'!$N$6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'INTEGRATED_P&amp;L_BS_CF'!$B$10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'INTEGRATED_P&amp;L_BS_CF'!$C$10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'INTEGRATED_P&amp;L_BS_CF'!$D$10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'INTEGRATED_P&amp;L_BS_CF'!$E$10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'INTEGRATED_P&amp;L_BS_CF'!$F$10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'INTEGRATED_P&amp;L_BS_CF'!$G$10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'INTEGRATED_P&amp;L_BS_CF'!$H$10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'INTEGRATED_P&amp;L_BS_CF'!$I$10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'INTEGRATED_P&amp;L_BS_CF'!$J$10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'INTEGRATED_P&amp;L_BS_CF'!$K$10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'INTEGRATED_P&amp;L_BS_CF'!$L$10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'INTEGRATED_P&amp;L_BS_CF'!$M$10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'INTEGRATED_P&amp;L_BS_CF'!$N$10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'INTEGRATED_P&amp;L_BS_CF'!$B$16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'INTEGRATED_P&amp;L_BS_CF'!$C$16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'INTEGRATED_P&amp;L_BS_CF'!$D$16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'INTEGRATED_P&amp;L_BS_CF'!$E$16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'INTEGRATED_P&amp;L_BS_CF'!$F$16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'INTEGRATED_P&amp;L_BS_CF'!$G$16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'INTEGRATED_P&amp;L_BS_CF'!$H$16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'INTEGRATED_P&amp;L_BS_CF'!$I$16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'INTEGRATED_P&amp;L_BS_CF'!$J$16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'INTEGRATED_P&amp;L_BS_CF'!$K$16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'INTEGRATED_P&amp;L_BS_CF'!$L$16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'INTEGRATED_P&amp;L_BS_CF'!$M$16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'INTEGRATED_P&amp;L_BS_CF'!$N$16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/ EBITDA / Net Profit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'INTEGRATED_P&amp;L_BS_CF'!$B$6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'INTEGRATED_P&amp;L_BS_CF'!$C$6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'INTEGRATED_P&amp;L_BS_CF'!$D$6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'INTEGRATED_P&amp;L_BS_CF'!$E$6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'INTEGRATED_P&amp;L_BS_CF'!$F$6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'INTEGRATED_P&amp;L_BS_CF'!$G$6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'INTEGRATED_P&amp;L_BS_CF'!$H$6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'INTEGRATED_P&amp;L_BS_CF'!$I$6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'INTEGRATED_P&amp;L_BS_CF'!$J$6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'INTEGRATED_P&amp;L_BS_CF'!$K$6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'INTEGRATED_P&amp;L_BS_CF'!$L$6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'INTEGRATED_P&amp;L_BS_CF'!$M$6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'INTEGRATED_P&amp;L_BS_CF'!$N$6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'INTEGRATED_P&amp;L_BS_CF'!$B$10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'INTEGRATED_P&amp;L_BS_CF'!$C$10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'INTEGRATED_P&amp;L_BS_CF'!$D$10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'INTEGRATED_P&amp;L_BS_CF'!$E$10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'INTEGRATED_P&amp;L_BS_CF'!$F$10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'INTEGRATED_P&amp;L_BS_CF'!$G$10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'INTEGRATED_P&amp;L_BS_CF'!$H$10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'INTEGRATED_P&amp;L_BS_CF'!$I$10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'INTEGRATED_P&amp;L_BS_CF'!$J$10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'INTEGRATED_P&amp;L_BS_CF'!$K$10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'INTEGRATED_P&amp;L_BS_CF'!$L$10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'INTEGRATED_P&amp;L_BS_CF'!$M$10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'INTEGRATED_P&amp;L_BS_CF'!$N$10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'INTEGRATED_P&amp;L_BS_CF'!$B$16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'INTEGRATED_P&amp;L_BS_CF'!$C$16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'INTEGRATED_P&amp;L_BS_CF'!$D$16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'INTEGRATED_P&amp;L_BS_CF'!$E$16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'INTEGRATED_P&amp;L_BS_CF'!$F$16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'INTEGRATED_P&amp;L_BS_CF'!$G$16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'INTEGRATED_P&amp;L_BS_CF'!$H$16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'INTEGRATED_P&amp;L_BS_CF'!$I$16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'INTEGRATED_P&amp;L_BS_CF'!$J$16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'INTEGRATED_P&amp;L_BS_CF'!$K$16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'INTEGRATED_P&amp;L_BS_CF'!$L$16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'INTEGRATED_P&amp;L_BS_CF'!$M$16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'INTEGRATED_P&amp;L_BS_CF'!$N$16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CAPEX Outflow (by category)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'CAPEX_CASHFLOW'!B4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'CAPEX_CASHFLOW'!$A$5:$A$7</f>
            </numRef>
          </cat>
          <val>
            <numRef>
              <f>'CAPEX_CASHFLOW'!$B$5:$B$7</f>
            </numRef>
          </val>
        </ser>
        <ser>
          <idx val="1"/>
          <order val="1"/>
          <tx>
            <strRef>
              <f>'CAPEX_CASHFLOW'!C4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'CAPEX_CASHFLOW'!$A$5:$A$7</f>
            </numRef>
          </cat>
          <val>
            <numRef>
              <f>'CAPEX_CASHFLOW'!$C$5:$C$7</f>
            </numRef>
          </val>
        </ser>
        <ser>
          <idx val="2"/>
          <order val="2"/>
          <tx>
            <strRef>
              <f>'CAPEX_CASHFLOW'!D4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'CAPEX_CASHFLOW'!$A$5:$A$7</f>
            </numRef>
          </cat>
          <val>
            <numRef>
              <f>'CAPEX_CASHFLOW'!$D$5:$D$7</f>
            </numRef>
          </val>
        </ser>
        <ser>
          <idx val="3"/>
          <order val="3"/>
          <tx>
            <strRef>
              <f>'CAPEX_CASHFLOW'!E4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'CAPEX_CASHFLOW'!$A$5:$A$7</f>
            </numRef>
          </cat>
          <val>
            <numRef>
              <f>'CAPEX_CASHFLOW'!$E$5:$E$7</f>
            </numRef>
          </val>
        </ser>
        <ser>
          <idx val="4"/>
          <order val="4"/>
          <tx>
            <strRef>
              <f>'CAPEX_CASHFLOW'!F4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'CAPEX_CASHFLOW'!$A$5:$A$7</f>
            </numRef>
          </cat>
          <val>
            <numRef>
              <f>'CAPEX_CASHFLOW'!$F$5:$F$7</f>
            </numRef>
          </val>
        </ser>
        <ser>
          <idx val="5"/>
          <order val="5"/>
          <tx>
            <strRef>
              <f>'CAPEX_CASHFLOW'!G4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'CAPEX_CASHFLOW'!$A$5:$A$7</f>
            </numRef>
          </cat>
          <val>
            <numRef>
              <f>'CAPEX_CASHFLOW'!$G$5:$G$7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26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114300</colOff>
      <row>0</row>
      <rowOff>104775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542925</colOff>
      <row>12</row>
      <rowOff>85725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9</col>
      <colOff>276225</colOff>
      <row>14</row>
      <rowOff>114300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26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15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8</col>
      <colOff>0</colOff>
      <row>9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7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23</row>
      <rowOff>0</rowOff>
    </from>
    <ext cx="100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3</col>
      <colOff>0</colOff>
      <row>3</row>
      <rowOff>0</rowOff>
    </from>
    <ext cx="100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100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enovo\Downloads\ARS_CAPEX_MASTER_v2_0_FULL_26022026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Lenovo\Desktop\ARS%20PROJEKAT%20MASTER%20LOG\capex\ARs%20capex%20final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PEX_MASTER"/>
      <sheetName val="Assumptions"/>
    </sheetNames>
    <sheetDataSet>
      <sheetData sheetId="0"/>
      <sheetData sheetId="1">
        <row r="3">
          <cell r="C3">
            <v>0.21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APEX Summary1"/>
      <sheetName val="Assumptions  - Pretpostavke"/>
      <sheetName val="Sheet2"/>
      <sheetName val="CAPEX SUMMARY"/>
      <sheetName val="Timeline &amp; Sensitivity"/>
      <sheetName val="WC Cash Flow"/>
      <sheetName val="Funding Sources &amp; Uses"/>
      <sheetName val="P&amp;L Projection"/>
      <sheetName val="DSCR Analysis"/>
    </sheetNames>
    <sheetDataSet>
      <sheetData sheetId="0"/>
      <sheetData sheetId="1">
        <row r="35">
          <cell r="E35">
            <v>3945787</v>
          </cell>
        </row>
        <row r="46">
          <cell r="E46">
            <v>12500000</v>
          </cell>
        </row>
        <row r="72">
          <cell r="E72">
            <v>9.5000000000000001E-2</v>
          </cell>
        </row>
      </sheetData>
      <sheetData sheetId="2"/>
      <sheetData sheetId="3"/>
      <sheetData sheetId="4">
        <row r="17">
          <cell r="A17" t="str">
            <v>Base Case</v>
          </cell>
          <cell r="E17">
            <v>14700000</v>
          </cell>
        </row>
        <row r="18">
          <cell r="A18" t="str">
            <v>TRY deprecijacija +20%</v>
          </cell>
          <cell r="E18">
            <v>789157</v>
          </cell>
        </row>
        <row r="19">
          <cell r="A19" t="str">
            <v>Građevinski troškovi +15%</v>
          </cell>
          <cell r="E19">
            <v>975000</v>
          </cell>
        </row>
        <row r="20">
          <cell r="A20" t="str">
            <v>Kašnjenje 6 mjeseci</v>
          </cell>
          <cell r="E20">
            <v>850000</v>
          </cell>
        </row>
        <row r="21">
          <cell r="A21" t="str">
            <v>WC potreban +20%</v>
          </cell>
          <cell r="E21">
            <v>440000</v>
          </cell>
        </row>
        <row r="22">
          <cell r="A22" t="str">
            <v>Worst Case</v>
          </cell>
          <cell r="E22">
            <v>3054157</v>
          </cell>
        </row>
      </sheetData>
      <sheetData sheetId="5">
        <row r="5">
          <cell r="B5" t="str">
            <v>M1 (Sep 28)</v>
          </cell>
          <cell r="C5" t="str">
            <v>M2 (Okt)</v>
          </cell>
          <cell r="D5" t="str">
            <v>M3 (Nov)</v>
          </cell>
          <cell r="E5" t="str">
            <v>M4 (Dec)</v>
          </cell>
          <cell r="F5" t="str">
            <v>M5 (Jan 29)</v>
          </cell>
          <cell r="G5" t="str">
            <v>M6 (Feb)</v>
          </cell>
          <cell r="H5" t="str">
            <v>M7 (Mar)</v>
          </cell>
          <cell r="I5" t="str">
            <v>M8 (Apr)</v>
          </cell>
          <cell r="J5" t="str">
            <v>M9 (Maj)</v>
          </cell>
          <cell r="K5" t="str">
            <v>M10 (Jun)</v>
          </cell>
          <cell r="L5" t="str">
            <v>M11 (Jul)</v>
          </cell>
          <cell r="M5" t="str">
            <v>M12 (Avg)</v>
          </cell>
        </row>
        <row r="21">
          <cell r="B21">
            <v>1932000</v>
          </cell>
          <cell r="C21">
            <v>1542000</v>
          </cell>
          <cell r="D21">
            <v>952000</v>
          </cell>
          <cell r="E21">
            <v>162000</v>
          </cell>
          <cell r="F21">
            <v>-628000</v>
          </cell>
          <cell r="G21">
            <v>-1168000</v>
          </cell>
          <cell r="H21">
            <v>-1308000</v>
          </cell>
          <cell r="I21">
            <v>-1048000</v>
          </cell>
          <cell r="J21">
            <v>-288000</v>
          </cell>
          <cell r="K21">
            <v>1072000</v>
          </cell>
          <cell r="L21">
            <v>3032000</v>
          </cell>
          <cell r="M21">
            <v>3792000</v>
          </cell>
        </row>
      </sheetData>
      <sheetData sheetId="6">
        <row r="6">
          <cell r="A6" t="str">
            <v>Sopstveni kapital / Equity</v>
          </cell>
          <cell r="B6">
            <v>3500000</v>
          </cell>
          <cell r="E6" t="str">
            <v>CAPEX bez contingency</v>
          </cell>
          <cell r="F6">
            <v>12500000</v>
          </cell>
        </row>
        <row r="7">
          <cell r="A7" t="str">
            <v>Grant / Bespovratna sredstva</v>
          </cell>
          <cell r="B7">
            <v>1875000</v>
          </cell>
          <cell r="E7" t="str">
            <v>Contingency / Rezerva</v>
          </cell>
          <cell r="F7">
            <v>1187500</v>
          </cell>
        </row>
        <row r="8">
          <cell r="A8" t="str">
            <v>Investicioni kredit</v>
          </cell>
          <cell r="B8">
            <v>8000000</v>
          </cell>
          <cell r="E8" t="str">
            <v>Početni obrtni kapital (WC)</v>
          </cell>
          <cell r="F8">
            <v>2200000</v>
          </cell>
        </row>
        <row r="9">
          <cell r="A9" t="str">
            <v>Odloženo plaćanje dobavljača</v>
          </cell>
          <cell r="B9">
            <v>1200000</v>
          </cell>
          <cell r="E9" t="str">
            <v>Početni finansijski troškovi</v>
          </cell>
          <cell r="F9">
            <v>200000</v>
          </cell>
        </row>
        <row r="10">
          <cell r="A10" t="str">
            <v>Revolving WC linija</v>
          </cell>
          <cell r="B10">
            <v>1312500</v>
          </cell>
          <cell r="E10" t="str">
            <v>Rezerva za kamate tokom grace</v>
          </cell>
          <cell r="F10">
            <v>100000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style="56" min="1" max="1"/>
    <col width="20" customWidth="1" style="56" min="2" max="2"/>
    <col width="15" customWidth="1" style="56" min="3" max="3"/>
    <col width="45" customWidth="1" style="56" min="4" max="4"/>
  </cols>
  <sheetData>
    <row r="1" ht="26.25" customHeight="1" s="56">
      <c r="A1" s="68" t="inlineStr">
        <is>
          <t>ARS METAL INDUSTRIES – Nova fabrika Podgorica</t>
        </is>
      </c>
    </row>
    <row r="2" ht="18.75" customHeight="1" s="56">
      <c r="A2" s="67" t="inlineStr">
        <is>
          <t>Executive Summary – CAPEX &amp; Ključni parametri</t>
        </is>
      </c>
    </row>
    <row r="3">
      <c r="A3" t="inlineStr">
        <is>
          <t>Ukupni CAPEX (sa contingency)</t>
        </is>
      </c>
      <c r="B3">
        <f>CAPEX_TOTAL*(1+CONTINGENCY_PCT)</f>
        <v/>
      </c>
      <c r="D3" t="inlineStr">
        <is>
          <t>Datum ažuriranja</t>
        </is>
      </c>
      <c r="E3">
        <f>TODAY()</f>
        <v/>
      </c>
    </row>
    <row r="4">
      <c r="A4" t="inlineStr">
        <is>
          <t>Verzija</t>
        </is>
      </c>
      <c r="B4" t="inlineStr">
        <is>
          <t>4.0 – Bank Ready</t>
        </is>
      </c>
    </row>
    <row r="5"/>
    <row r="6">
      <c r="A6" s="65" t="inlineStr">
        <is>
          <t>KPI</t>
        </is>
      </c>
      <c r="B6" s="65" t="inlineStr">
        <is>
          <t>Vrijednost</t>
        </is>
      </c>
      <c r="C6" s="65" t="inlineStr">
        <is>
          <t>Jedinica</t>
        </is>
      </c>
      <c r="D6" s="65" t="inlineStr">
        <is>
          <t>% od ukupnog CAPEX</t>
        </is>
      </c>
      <c r="E6" s="65" t="inlineStr">
        <is>
          <t>Low</t>
        </is>
      </c>
      <c r="F6" s="65" t="inlineStr">
        <is>
          <t>High</t>
        </is>
      </c>
      <c r="G6" s="65" t="inlineStr">
        <is>
          <t>Komentar</t>
        </is>
      </c>
    </row>
    <row r="7">
      <c r="A7" t="inlineStr">
        <is>
          <t>Ukupni CAPEX</t>
        </is>
      </c>
      <c r="B7">
        <f>B3</f>
        <v/>
      </c>
      <c r="C7" t="inlineStr">
        <is>
          <t>€</t>
        </is>
      </c>
      <c r="D7" t="inlineStr">
        <is>
          <t>100%</t>
        </is>
      </c>
    </row>
    <row r="8">
      <c r="A8" t="inlineStr">
        <is>
          <t>Machine Park</t>
        </is>
      </c>
      <c r="B8">
        <f>MACHINE_PARK_TOTAL</f>
        <v/>
      </c>
      <c r="C8" t="inlineStr">
        <is>
          <t>€</t>
        </is>
      </c>
      <c r="D8">
        <f>B8/B7</f>
        <v/>
      </c>
    </row>
    <row r="9">
      <c r="A9" t="inlineStr">
        <is>
          <t>Hala &amp; građevina</t>
        </is>
      </c>
      <c r="B9">
        <f>BUILD_COST*10000</f>
        <v/>
      </c>
      <c r="C9" t="inlineStr">
        <is>
          <t>€</t>
        </is>
      </c>
      <c r="D9">
        <f>B9/B7</f>
        <v/>
      </c>
    </row>
    <row r="10">
      <c r="A10" t="inlineStr">
        <is>
          <t>Contingency</t>
        </is>
      </c>
      <c r="B10">
        <f>CONTINGENCY_AMOUNT</f>
        <v/>
      </c>
      <c r="C10" t="inlineStr">
        <is>
          <t>€</t>
        </is>
      </c>
      <c r="D10">
        <f>B10/B7</f>
        <v/>
      </c>
    </row>
    <row r="11">
      <c r="A11" t="inlineStr">
        <is>
          <t>Soft Costs</t>
        </is>
      </c>
      <c r="B11">
        <f>SOFT_COSTS_AMOUNT</f>
        <v/>
      </c>
      <c r="C11" t="inlineStr">
        <is>
          <t>€</t>
        </is>
      </c>
      <c r="D11">
        <f>B11/B7</f>
        <v/>
      </c>
    </row>
    <row r="12">
      <c r="A12" t="inlineStr">
        <is>
          <t>Working Capital</t>
        </is>
      </c>
      <c r="B12">
        <f>WC_TOTAL_EST</f>
        <v/>
      </c>
      <c r="C12" t="inlineStr">
        <is>
          <t>€</t>
        </is>
      </c>
    </row>
    <row r="13"/>
    <row r="14">
      <c r="A14" s="64" t="inlineStr">
        <is>
          <t>Kategorija</t>
        </is>
      </c>
      <c r="B14" s="64" t="inlineStr">
        <is>
          <t>Iznos (€)</t>
        </is>
      </c>
      <c r="C14" s="64" t="inlineStr">
        <is>
          <t>% ukupno</t>
        </is>
      </c>
    </row>
    <row r="15">
      <c r="A15" t="inlineStr">
        <is>
          <t>Građevina &amp; hala</t>
        </is>
      </c>
      <c r="B15">
        <f>BUILD_COST*10000</f>
        <v/>
      </c>
      <c r="C15">
        <f>B15/$B$7</f>
        <v/>
      </c>
    </row>
    <row r="16">
      <c r="A16" t="inlineStr">
        <is>
          <t>Machine Park</t>
        </is>
      </c>
      <c r="B16">
        <f>MACHINE_PARK_TOTAL</f>
        <v/>
      </c>
      <c r="C16">
        <f>B16/$B$7</f>
        <v/>
      </c>
    </row>
    <row r="17">
      <c r="A17" t="inlineStr">
        <is>
          <t>Soft Costs</t>
        </is>
      </c>
      <c r="B17">
        <f>SOFT_COSTS_AMOUNT</f>
        <v/>
      </c>
      <c r="C17">
        <f>B17/$B$7</f>
        <v/>
      </c>
    </row>
    <row r="18">
      <c r="A18" t="inlineStr">
        <is>
          <t>Contingency</t>
        </is>
      </c>
      <c r="B18">
        <f>CONTINGENCY_AMOUNT</f>
        <v/>
      </c>
      <c r="C18">
        <f>B18/$B$7</f>
        <v/>
      </c>
    </row>
    <row r="19">
      <c r="A19" t="inlineStr">
        <is>
          <t>Ukupno</t>
        </is>
      </c>
      <c r="B19">
        <f>SUM(B15:B18)</f>
        <v/>
      </c>
      <c r="C19" t="inlineStr">
        <is>
          <t>100%</t>
        </is>
      </c>
    </row>
    <row r="20"/>
    <row r="21"/>
    <row r="22"/>
    <row r="23"/>
    <row r="24"/>
    <row r="25"/>
    <row r="26"/>
    <row r="27">
      <c r="A27" t="inlineStr">
        <is>
          <t>Godina/Faza</t>
        </is>
      </c>
      <c r="B27" t="inlineStr">
        <is>
          <t>% CAPEX-a</t>
        </is>
      </c>
      <c r="C27" t="inlineStr">
        <is>
          <t>Iznos (€)</t>
        </is>
      </c>
      <c r="D27" t="inlineStr">
        <is>
          <t>Ključne aktivnosti</t>
        </is>
      </c>
    </row>
    <row r="28">
      <c r="A28" t="inlineStr">
        <is>
          <t>2026</t>
        </is>
      </c>
      <c r="B28" t="n">
        <v>0.25</v>
      </c>
      <c r="C28">
        <f>B28*$B$7</f>
        <v/>
      </c>
      <c r="D28" t="inlineStr">
        <is>
          <t>Zemljište, dozvole, projektovanje, početak građevine</t>
        </is>
      </c>
    </row>
    <row r="29">
      <c r="A29" t="inlineStr">
        <is>
          <t>2027</t>
        </is>
      </c>
      <c r="B29" t="n">
        <v>0.55</v>
      </c>
      <c r="C29">
        <f>B29*$B$7</f>
        <v/>
      </c>
      <c r="D29" t="inlineStr">
        <is>
          <t>Glavna građevina, većina mašina, MEP</t>
        </is>
      </c>
    </row>
    <row r="30">
      <c r="A30" t="inlineStr">
        <is>
          <t>2028</t>
        </is>
      </c>
      <c r="B30" t="n">
        <v>0.2</v>
      </c>
      <c r="C30">
        <f>B30*$B$7</f>
        <v/>
      </c>
      <c r="D30" t="inlineStr">
        <is>
          <t>Završetak, instalacija, commissioning</t>
        </is>
      </c>
    </row>
    <row r="31"/>
    <row r="32"/>
    <row r="33"/>
    <row r="34"/>
    <row r="35"/>
    <row r="36"/>
    <row r="37">
      <c r="A37" t="inlineStr">
        <is>
          <t>Rizik</t>
        </is>
      </c>
      <c r="B37" t="inlineStr">
        <is>
          <t>Vjerovatnoća</t>
        </is>
      </c>
      <c r="C37" t="inlineStr">
        <is>
          <t>Utjecaj (€)</t>
        </is>
      </c>
      <c r="D37" t="inlineStr">
        <is>
          <t>Mitigacija</t>
        </is>
      </c>
    </row>
    <row r="38">
      <c r="A38" t="inlineStr">
        <is>
          <t>Deprecijacija TRY (+20%)</t>
        </is>
      </c>
      <c r="B38" t="inlineStr">
        <is>
          <t>Srednja</t>
        </is>
      </c>
      <c r="C38">
        <f>FX_STRESS_20</f>
        <v/>
      </c>
      <c r="D38" t="inlineStr">
        <is>
          <t>80% hedžovano forward ugovorom</t>
        </is>
      </c>
    </row>
    <row r="39">
      <c r="A39" t="inlineStr">
        <is>
          <t>Kašnjenje dozvola</t>
        </is>
      </c>
      <c r="B39" t="inlineStr">
        <is>
          <t>Visoka</t>
        </is>
      </c>
      <c r="C39" t="n">
        <v>400000</v>
      </c>
      <c r="D39" t="inlineStr">
        <is>
          <t>Već započeta procedura</t>
        </is>
      </c>
    </row>
    <row r="40">
      <c r="A40" t="inlineStr">
        <is>
          <t>Viši građevinski troškovi</t>
        </is>
      </c>
      <c r="B40" t="inlineStr">
        <is>
          <t>Srednja</t>
        </is>
      </c>
      <c r="C40" t="n">
        <v>500000</v>
      </c>
      <c r="D40" t="inlineStr">
        <is>
          <t>Contingency 15% na civil</t>
        </is>
      </c>
    </row>
    <row r="41">
      <c r="A41" t="inlineStr">
        <is>
          <t>Veći WC potreban</t>
        </is>
      </c>
      <c r="B41" t="inlineStr">
        <is>
          <t>Srednja</t>
        </is>
      </c>
      <c r="C41" t="n">
        <v>400000</v>
      </c>
      <c r="D41" t="inlineStr">
        <is>
          <t>Revolving kredit linija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18.75" customHeight="1" s="56">
      <c r="A1" s="67" t="inlineStr">
        <is>
          <t>PLAN AMORTIZACIJE – DEPRECIATION SCHEDULE</t>
        </is>
      </c>
    </row>
    <row r="2">
      <c r="A2" t="inlineStr">
        <is>
          <t>Početak amortizacije: Q3 2028 (mid-year 50%)</t>
        </is>
      </c>
    </row>
    <row r="3">
      <c r="A3" t="inlineStr">
        <is>
          <t>Poreske stope (PDPL CG 2026):</t>
        </is>
      </c>
    </row>
    <row r="4">
      <c r="A4" t="inlineStr">
        <is>
          <t>I grupa (hala): 2.5% straight-line</t>
        </is>
      </c>
    </row>
    <row r="5">
      <c r="A5" t="inlineStr">
        <is>
          <t>II grupa (opšta oprema): 10% degresivno</t>
        </is>
      </c>
    </row>
    <row r="6">
      <c r="A6" t="inlineStr">
        <is>
          <t>III grupa (laseri, robot): 15% degresivno</t>
        </is>
      </c>
    </row>
    <row r="7">
      <c r="A7" t="inlineStr">
        <is>
          <t>IV grupa (viljuškari, kranovi, generator): 20% degresivno</t>
        </is>
      </c>
    </row>
    <row r="8">
      <c r="A8" t="inlineStr">
        <is>
          <t>Računovodstvena amortizacija: straight-line (5–10 godina oprema)</t>
        </is>
      </c>
    </row>
    <row r="9"/>
    <row r="10"/>
    <row r="11"/>
    <row r="12">
      <c r="A12" s="65" t="inlineStr">
        <is>
          <t>Red</t>
        </is>
      </c>
      <c r="B12" s="65" t="inlineStr">
        <is>
          <t>Mašina / Linija</t>
        </is>
      </c>
      <c r="C12" s="65" t="inlineStr">
        <is>
          <t>Osnovica (€)</t>
        </is>
      </c>
      <c r="D12" s="65" t="inlineStr">
        <is>
          <t>Poreska grupa</t>
        </is>
      </c>
      <c r="E12" s="65" t="inlineStr">
        <is>
          <t>Stopa %</t>
        </is>
      </c>
      <c r="F12" s="65" t="inlineStr">
        <is>
          <t>2028</t>
        </is>
      </c>
      <c r="G12" s="65" t="inlineStr">
        <is>
          <t>2029</t>
        </is>
      </c>
      <c r="H12" s="65" t="inlineStr">
        <is>
          <t>2030</t>
        </is>
      </c>
      <c r="I12" s="65" t="inlineStr">
        <is>
          <t>2031</t>
        </is>
      </c>
      <c r="J12" s="65" t="inlineStr">
        <is>
          <t>2032</t>
        </is>
      </c>
      <c r="K12" s="65" t="inlineStr">
        <is>
          <t>2033</t>
        </is>
      </c>
      <c r="L12" s="65" t="inlineStr">
        <is>
          <t>2034</t>
        </is>
      </c>
      <c r="M12" s="65" t="inlineStr">
        <is>
          <t>2035</t>
        </is>
      </c>
      <c r="N12" s="65" t="inlineStr">
        <is>
          <t>2036</t>
        </is>
      </c>
      <c r="O12" s="65" t="inlineStr">
        <is>
          <t>2037</t>
        </is>
      </c>
      <c r="P12" s="65" t="inlineStr">
        <is>
          <t>2038</t>
        </is>
      </c>
    </row>
    <row r="13">
      <c r="A13" t="n">
        <v>1</v>
      </c>
      <c r="B13" t="inlineStr">
        <is>
          <t>UNI-MAK linija</t>
        </is>
      </c>
      <c r="C13" s="62" t="n">
        <v>900000</v>
      </c>
      <c r="D13" s="62" t="inlineStr">
        <is>
          <t>II</t>
        </is>
      </c>
      <c r="E13" s="62" t="n">
        <v>0.1</v>
      </c>
      <c r="F13" s="62">
        <f>C13*E13*0.5</f>
        <v/>
      </c>
      <c r="G13" s="62">
        <f>(C13-SUM(F13:F13))*E13</f>
        <v/>
      </c>
      <c r="H13" s="62">
        <f>(C13-SUM(F13:G13))*E13</f>
        <v/>
      </c>
      <c r="I13" s="62">
        <f>(C13-SUM(F13:H13))*E13</f>
        <v/>
      </c>
      <c r="J13" s="62">
        <f>(C13-SUM(F13:I13))*E13</f>
        <v/>
      </c>
      <c r="K13" s="62">
        <f>(C13-SUM(F13:J13))*E13</f>
        <v/>
      </c>
      <c r="L13" s="62">
        <f>(C13-SUM(F13:K13))*E13</f>
        <v/>
      </c>
      <c r="M13" s="62">
        <f>(C13-SUM(F13:L13))*E13</f>
        <v/>
      </c>
      <c r="N13" s="62">
        <f>(C13-SUM(F13:M13))*E13</f>
        <v/>
      </c>
      <c r="O13" s="62">
        <f>(C13-SUM(F13:N13))*E13</f>
        <v/>
      </c>
    </row>
    <row r="14">
      <c r="A14" t="n">
        <v>2</v>
      </c>
      <c r="B14" t="inlineStr">
        <is>
          <t>SLS MECANO robot</t>
        </is>
      </c>
      <c r="C14" s="62" t="n">
        <v>80000</v>
      </c>
      <c r="D14" s="62" t="inlineStr">
        <is>
          <t>III</t>
        </is>
      </c>
      <c r="E14" s="62" t="n">
        <v>0.15</v>
      </c>
      <c r="F14" s="62">
        <f>C14*E14*0.5</f>
        <v/>
      </c>
      <c r="G14" s="62">
        <f>(C14-SUM(F14:F14))*E14</f>
        <v/>
      </c>
      <c r="H14" s="62">
        <f>(C14-SUM(F14:G14))*E14</f>
        <v/>
      </c>
      <c r="I14" s="62">
        <f>(C14-SUM(F14:H14))*E14</f>
        <v/>
      </c>
      <c r="J14" s="62">
        <f>(C14-SUM(F14:I14))*E14</f>
        <v/>
      </c>
      <c r="K14" s="62">
        <f>(C14-SUM(F14:J14))*E14</f>
        <v/>
      </c>
      <c r="L14" s="62">
        <f>(C14-SUM(F14:K14))*E14</f>
        <v/>
      </c>
      <c r="M14" s="62">
        <f>(C14-SUM(F14:L14))*E14</f>
        <v/>
      </c>
      <c r="N14" s="62">
        <f>(C14-SUM(F14:M14))*E14</f>
        <v/>
      </c>
      <c r="O14" s="62">
        <f>(C14-SUM(F14:N14))*E14</f>
        <v/>
      </c>
    </row>
    <row r="15">
      <c r="A15" t="n">
        <v>3</v>
      </c>
      <c r="B15" t="inlineStr">
        <is>
          <t>Abkant + Punta + Giyotin</t>
        </is>
      </c>
      <c r="C15" s="62" t="n">
        <v>342490</v>
      </c>
      <c r="D15" s="62" t="inlineStr">
        <is>
          <t>II</t>
        </is>
      </c>
      <c r="E15" s="62" t="n">
        <v>0.1</v>
      </c>
      <c r="F15" s="62">
        <f>C15*E15*0.5</f>
        <v/>
      </c>
      <c r="G15" s="62">
        <f>(C15-SUM(F15:F15))*E15</f>
        <v/>
      </c>
      <c r="H15" s="62">
        <f>(C15-SUM(F15:G15))*E15</f>
        <v/>
      </c>
      <c r="I15" s="62">
        <f>(C15-SUM(F15:H15))*E15</f>
        <v/>
      </c>
      <c r="J15" s="62">
        <f>(C15-SUM(F15:I15))*E15</f>
        <v/>
      </c>
      <c r="K15" s="62">
        <f>(C15-SUM(F15:J15))*E15</f>
        <v/>
      </c>
      <c r="L15" s="62">
        <f>(C15-SUM(F15:K15))*E15</f>
        <v/>
      </c>
      <c r="M15" s="62">
        <f>(C15-SUM(F15:L15))*E15</f>
        <v/>
      </c>
      <c r="N15" s="62">
        <f>(C15-SUM(F15:M15))*E15</f>
        <v/>
      </c>
      <c r="O15" s="62">
        <f>(C15-SUM(F15:N15))*E15</f>
        <v/>
      </c>
    </row>
    <row r="16">
      <c r="A16" t="n">
        <v>4</v>
      </c>
      <c r="B16" t="inlineStr">
        <is>
          <t>NKN Laseri</t>
        </is>
      </c>
      <c r="C16" s="62" t="n">
        <v>965000</v>
      </c>
      <c r="D16" s="62" t="inlineStr">
        <is>
          <t>III</t>
        </is>
      </c>
      <c r="E16" s="62" t="n">
        <v>0.15</v>
      </c>
      <c r="F16" s="62">
        <f>C16*E16*0.5</f>
        <v/>
      </c>
      <c r="G16" s="62">
        <f>(C16-SUM(F16:F16))*E16</f>
        <v/>
      </c>
      <c r="H16" s="62">
        <f>(C16-SUM(F16:G16))*E16</f>
        <v/>
      </c>
      <c r="I16" s="62">
        <f>(C16-SUM(F16:H16))*E16</f>
        <v/>
      </c>
      <c r="J16" s="62">
        <f>(C16-SUM(F16:I16))*E16</f>
        <v/>
      </c>
      <c r="K16" s="62">
        <f>(C16-SUM(F16:J16))*E16</f>
        <v/>
      </c>
      <c r="L16" s="62">
        <f>(C16-SUM(F16:K16))*E16</f>
        <v/>
      </c>
      <c r="M16" s="62">
        <f>(C16-SUM(F16:L16))*E16</f>
        <v/>
      </c>
      <c r="N16" s="62">
        <f>(C16-SUM(F16:M16))*E16</f>
        <v/>
      </c>
      <c r="O16" s="62">
        <f>(C16-SUM(F16:N16))*E16</f>
        <v/>
      </c>
    </row>
    <row r="17">
      <c r="A17" t="n">
        <v>5</v>
      </c>
      <c r="B17" t="inlineStr">
        <is>
          <t>Vinčevi</t>
        </is>
      </c>
      <c r="C17" s="62" t="n">
        <v>785000</v>
      </c>
      <c r="D17" s="62" t="inlineStr">
        <is>
          <t>IV</t>
        </is>
      </c>
      <c r="E17" s="62" t="n">
        <v>0.2</v>
      </c>
      <c r="F17" s="62">
        <f>C17*E17*0.5</f>
        <v/>
      </c>
      <c r="G17" s="62">
        <f>(C17-SUM(F17:F17))*E17</f>
        <v/>
      </c>
      <c r="H17" s="62">
        <f>(C17-SUM(F17:G17))*E17</f>
        <v/>
      </c>
      <c r="I17" s="62">
        <f>(C17-SUM(F17:H17))*E17</f>
        <v/>
      </c>
      <c r="J17" s="62">
        <f>(C17-SUM(F17:I17))*E17</f>
        <v/>
      </c>
      <c r="K17" s="62">
        <f>(C17-SUM(F17:J17))*E17</f>
        <v/>
      </c>
      <c r="L17" s="62">
        <f>(C17-SUM(F17:K17))*E17</f>
        <v/>
      </c>
      <c r="M17" s="62">
        <f>(C17-SUM(F17:L17))*E17</f>
        <v/>
      </c>
      <c r="N17" s="62">
        <f>(C17-SUM(F17:M17))*E17</f>
        <v/>
      </c>
      <c r="O17" s="62">
        <f>(C17-SUM(F17:N17))*E17</f>
        <v/>
      </c>
    </row>
    <row r="18">
      <c r="A18" t="n">
        <v>6</v>
      </c>
      <c r="B18" t="inlineStr">
        <is>
          <t>GENPOWER generator</t>
        </is>
      </c>
      <c r="C18" s="62" t="n">
        <v>72085</v>
      </c>
      <c r="D18" s="62" t="inlineStr">
        <is>
          <t>IV</t>
        </is>
      </c>
      <c r="E18" s="62" t="n">
        <v>0.2</v>
      </c>
      <c r="F18" s="62">
        <f>C18*E18*0.5</f>
        <v/>
      </c>
      <c r="G18" s="62">
        <f>(C18-SUM(F18:F18))*E18</f>
        <v/>
      </c>
      <c r="H18" s="62">
        <f>(C18-SUM(F18:G18))*E18</f>
        <v/>
      </c>
      <c r="I18" s="62">
        <f>(C18-SUM(F18:H18))*E18</f>
        <v/>
      </c>
      <c r="J18" s="62">
        <f>(C18-SUM(F18:I18))*E18</f>
        <v/>
      </c>
      <c r="K18" s="62">
        <f>(C18-SUM(F18:J18))*E18</f>
        <v/>
      </c>
      <c r="L18" s="62">
        <f>(C18-SUM(F18:K18))*E18</f>
        <v/>
      </c>
      <c r="M18" s="62">
        <f>(C18-SUM(F18:L18))*E18</f>
        <v/>
      </c>
      <c r="N18" s="62">
        <f>(C18-SUM(F18:M18))*E18</f>
        <v/>
      </c>
      <c r="O18" s="62">
        <f>(C18-SUM(F18:N18))*E18</f>
        <v/>
      </c>
    </row>
    <row r="19">
      <c r="A19" t="n">
        <v>7</v>
      </c>
      <c r="B19" t="inlineStr">
        <is>
          <t>ASTOR pano</t>
        </is>
      </c>
      <c r="C19" s="62" t="n">
        <v>53862</v>
      </c>
      <c r="D19" s="62" t="inlineStr">
        <is>
          <t>II</t>
        </is>
      </c>
      <c r="E19" s="62" t="n">
        <v>0.1</v>
      </c>
      <c r="F19" s="62">
        <f>C19*E19*0.5</f>
        <v/>
      </c>
      <c r="G19" s="62">
        <f>(C19-SUM(F19:F19))*E19</f>
        <v/>
      </c>
      <c r="H19" s="62">
        <f>(C19-SUM(F19:G19))*E19</f>
        <v/>
      </c>
      <c r="I19" s="62">
        <f>(C19-SUM(F19:H19))*E19</f>
        <v/>
      </c>
      <c r="J19" s="62">
        <f>(C19-SUM(F19:I19))*E19</f>
        <v/>
      </c>
      <c r="K19" s="62">
        <f>(C19-SUM(F19:J19))*E19</f>
        <v/>
      </c>
      <c r="L19" s="62">
        <f>(C19-SUM(F19:K19))*E19</f>
        <v/>
      </c>
      <c r="M19" s="62">
        <f>(C19-SUM(F19:L19))*E19</f>
        <v/>
      </c>
      <c r="N19" s="62">
        <f>(C19-SUM(F19:M19))*E19</f>
        <v/>
      </c>
      <c r="O19" s="62">
        <f>(C19-SUM(F19:N19))*E19</f>
        <v/>
      </c>
    </row>
    <row r="20">
      <c r="A20" t="n">
        <v>8</v>
      </c>
      <c r="B20" t="inlineStr">
        <is>
          <t>Ostale mašine</t>
        </is>
      </c>
      <c r="C20" s="62" t="n">
        <v>747350</v>
      </c>
      <c r="D20" s="62" t="inlineStr">
        <is>
          <t>II/III/IV</t>
        </is>
      </c>
      <c r="E20" s="62" t="n">
        <v>0.12</v>
      </c>
      <c r="F20" s="62">
        <f>C20*E20*0.5</f>
        <v/>
      </c>
      <c r="G20" s="62">
        <f>(C20-SUM(F20:F20))*E20</f>
        <v/>
      </c>
      <c r="H20" s="62">
        <f>(C20-SUM(F20:G20))*E20</f>
        <v/>
      </c>
      <c r="I20" s="62">
        <f>(C20-SUM(F20:H20))*E20</f>
        <v/>
      </c>
      <c r="J20" s="62">
        <f>(C20-SUM(F20:I20))*E20</f>
        <v/>
      </c>
      <c r="K20" s="62">
        <f>(C20-SUM(F20:J20))*E20</f>
        <v/>
      </c>
      <c r="L20" s="62">
        <f>(C20-SUM(F20:K20))*E20</f>
        <v/>
      </c>
      <c r="M20" s="62">
        <f>(C20-SUM(F20:L20))*E20</f>
        <v/>
      </c>
      <c r="N20" s="62">
        <f>(C20-SUM(F20:M20))*E20</f>
        <v/>
      </c>
      <c r="O20" s="62">
        <f>(C20-SUM(F20:N20))*E20</f>
        <v/>
      </c>
    </row>
    <row r="21">
      <c r="A21" t="n">
        <v>9</v>
      </c>
      <c r="B21" t="inlineStr">
        <is>
          <t>Građevina &amp; hala</t>
        </is>
      </c>
      <c r="C21" s="62" t="n">
        <v>6500000</v>
      </c>
      <c r="D21" s="62" t="inlineStr">
        <is>
          <t>I</t>
        </is>
      </c>
      <c r="E21" s="62" t="n">
        <v>0.025</v>
      </c>
      <c r="F21" s="62">
        <f>C21*E21</f>
        <v/>
      </c>
      <c r="G21" s="62">
        <f>C21*E21</f>
        <v/>
      </c>
      <c r="H21" s="62">
        <f>C21*E21</f>
        <v/>
      </c>
      <c r="I21" s="62">
        <f>C21*E21</f>
        <v/>
      </c>
      <c r="J21" s="62">
        <f>C21*E21</f>
        <v/>
      </c>
      <c r="K21" s="62">
        <f>C21*E21</f>
        <v/>
      </c>
      <c r="L21" s="62">
        <f>C21*E21</f>
        <v/>
      </c>
      <c r="M21" s="62">
        <f>C21*E21</f>
        <v/>
      </c>
      <c r="N21" s="62">
        <f>C21*E21</f>
        <v/>
      </c>
      <c r="O21" s="62">
        <f>C21*E21</f>
        <v/>
      </c>
    </row>
    <row r="22"/>
    <row r="23">
      <c r="B23" t="inlineStr">
        <is>
          <t>Ukupno amortizacija po godinama</t>
        </is>
      </c>
      <c r="F23">
        <f>SUM(F13:F21)</f>
        <v/>
      </c>
      <c r="G23">
        <f>SUM(G13:G21)</f>
        <v/>
      </c>
      <c r="H23">
        <f>SUM(H13:H21)</f>
        <v/>
      </c>
      <c r="I23">
        <f>SUM(I13:I21)</f>
        <v/>
      </c>
      <c r="J23">
        <f>SUM(J13:J21)</f>
        <v/>
      </c>
      <c r="K23">
        <f>SUM(K13:K21)</f>
        <v/>
      </c>
      <c r="L23">
        <f>SUM(L13:L21)</f>
        <v/>
      </c>
      <c r="M23">
        <f>SUM(M13:M21)</f>
        <v/>
      </c>
      <c r="N23">
        <f>SUM(N13:N21)</f>
        <v/>
      </c>
      <c r="O23">
        <f>SUM(O13:O21)</f>
        <v/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>
      <c r="A55" t="inlineStr">
        <is>
          <t>Napomena: Poreska amortizacija smanjuje oporezivu dobit (PDPL). Razlika između poreske i računovodstvene stvara odložene poreze (IAS 12).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:H1"/>
    </sheetView>
  </sheetViews>
  <sheetFormatPr baseColWidth="8" defaultRowHeight="15"/>
  <sheetData>
    <row r="1" ht="21" customHeight="1" s="56">
      <c r="A1" s="66" t="inlineStr">
        <is>
          <t>ARS METAL INDUSTRIES – FUNDING SOURCES &amp; USES</t>
        </is>
      </c>
    </row>
    <row r="2">
      <c r="A2" t="inlineStr">
        <is>
          <t>Ukupni potrebni iznos (CAPEX + WC + finansijski troškovi)</t>
        </is>
      </c>
      <c r="B2" s="62" t="n">
        <v>15887500</v>
      </c>
    </row>
    <row r="3"/>
    <row r="4"/>
    <row r="5">
      <c r="A5" s="64" t="inlineStr">
        <is>
          <t>IZVORI SREDSTAVA (Sources)</t>
        </is>
      </c>
      <c r="B5" s="64" t="inlineStr">
        <is>
          <t>Iznos (€)</t>
        </is>
      </c>
      <c r="C5" s="64" t="inlineStr">
        <is>
          <t>% ukupno</t>
        </is>
      </c>
      <c r="D5" s="64" t="n"/>
      <c r="E5" s="64" t="inlineStr">
        <is>
          <t>NAMENE SREDSTAVA (Uses)</t>
        </is>
      </c>
      <c r="F5" s="64" t="inlineStr">
        <is>
          <t>Iznos (€)</t>
        </is>
      </c>
      <c r="G5" s="64" t="inlineStr">
        <is>
          <t>% ukupno</t>
        </is>
      </c>
    </row>
    <row r="6">
      <c r="A6" t="inlineStr">
        <is>
          <t>Sopstveni kapital / Equity</t>
        </is>
      </c>
      <c r="B6" s="62" t="n">
        <v>3500000</v>
      </c>
      <c r="C6">
        <f>B6/$B$2</f>
        <v/>
      </c>
      <c r="E6" t="inlineStr">
        <is>
          <t>CAPEX bez contingency</t>
        </is>
      </c>
      <c r="F6" s="62" t="n">
        <v>12500000</v>
      </c>
      <c r="G6">
        <f>F6/$B$2</f>
        <v/>
      </c>
    </row>
    <row r="7">
      <c r="A7" t="inlineStr">
        <is>
          <t>Grant / Bespovratna sredstva</t>
        </is>
      </c>
      <c r="B7" s="62" t="n">
        <v>1875000</v>
      </c>
      <c r="C7">
        <f>B7/$B$2</f>
        <v/>
      </c>
      <c r="E7" t="inlineStr">
        <is>
          <t>Contingency / Rezerva</t>
        </is>
      </c>
      <c r="F7" s="62" t="n">
        <v>1187500</v>
      </c>
      <c r="G7">
        <f>F7/$B$2</f>
        <v/>
      </c>
    </row>
    <row r="8">
      <c r="A8" t="inlineStr">
        <is>
          <t>Investicioni kredit</t>
        </is>
      </c>
      <c r="B8" s="62" t="n">
        <v>8000000</v>
      </c>
      <c r="C8">
        <f>B8/$B$2</f>
        <v/>
      </c>
      <c r="E8" t="inlineStr">
        <is>
          <t>Početni obrtni kapital (WC)</t>
        </is>
      </c>
      <c r="F8" s="62" t="n">
        <v>2200000</v>
      </c>
      <c r="G8">
        <f>F8/$B$2</f>
        <v/>
      </c>
    </row>
    <row r="9">
      <c r="A9" t="inlineStr">
        <is>
          <t>Odloženo plaćanje dobavljača</t>
        </is>
      </c>
      <c r="B9" s="62" t="n">
        <v>1200000</v>
      </c>
      <c r="C9">
        <f>B9/$B$2</f>
        <v/>
      </c>
      <c r="E9" t="inlineStr">
        <is>
          <t>Početni finansijski troškovi</t>
        </is>
      </c>
      <c r="F9" s="62" t="n">
        <v>200000</v>
      </c>
      <c r="G9">
        <f>F9/$B$2</f>
        <v/>
      </c>
    </row>
    <row r="10">
      <c r="A10" t="inlineStr">
        <is>
          <t>Revolving WC linija</t>
        </is>
      </c>
      <c r="B10" s="62" t="n">
        <v>1312500</v>
      </c>
      <c r="C10">
        <f>B10/$B$2</f>
        <v/>
      </c>
      <c r="E10" t="inlineStr">
        <is>
          <t>Rezerva za kamate tokom grace</t>
        </is>
      </c>
      <c r="F10" s="62" t="n">
        <v>100000</v>
      </c>
      <c r="G10">
        <f>F10/$B$2</f>
        <v/>
      </c>
    </row>
    <row r="11">
      <c r="A11" t="inlineStr">
        <is>
          <t>Ukupno IZVORI</t>
        </is>
      </c>
      <c r="B11">
        <f>SUM(B6:B10)</f>
        <v/>
      </c>
      <c r="E11" t="inlineStr">
        <is>
          <t>Ukupno NAMENE</t>
        </is>
      </c>
      <c r="F11">
        <f>SUM(F6:F10)</f>
        <v/>
      </c>
    </row>
    <row r="12"/>
    <row r="13">
      <c r="A13" t="inlineStr">
        <is>
          <t>Balans (Sources – Uses)</t>
        </is>
      </c>
      <c r="B13" s="62">
        <f>B11-F11</f>
        <v/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>
      <c r="A30" t="inlineStr">
        <is>
          <t>Balans → Sources = Uses (0 razlike → model konzistentan)</t>
        </is>
      </c>
    </row>
    <row r="31">
      <c r="A31" t="inlineStr">
        <is>
          <t>Grant cilj 15% (Fond za inovacije / IPA III) – aplikacija u toku</t>
        </is>
      </c>
    </row>
    <row r="32">
      <c r="A32" t="inlineStr">
        <is>
          <t>Kredit očekivana kamata 5,2–6,5%, grace 12–18 mjeseci</t>
        </is>
      </c>
    </row>
    <row r="33">
      <c r="A33" t="inlineStr">
        <is>
          <t>Equity 22% – može se povećati na 25–30%</t>
        </is>
      </c>
    </row>
    <row r="34">
      <c r="A34" t="inlineStr">
        <is>
          <t>WC linija: revolving kredit kod NLB/Addiko/IRF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5"/>
  <sheetViews>
    <sheetView zoomScale="80" zoomScaleNormal="80" workbookViewId="0">
      <pane ySplit="5" topLeftCell="A6" activePane="bottomLeft" state="frozen"/>
      <selection pane="bottomLeft" activeCell="A1" sqref="A1:XFD3"/>
    </sheetView>
  </sheetViews>
  <sheetFormatPr baseColWidth="8" defaultRowHeight="15"/>
  <cols>
    <col width="6.7109375" customWidth="1" style="2" min="1" max="1"/>
    <col width="38" customWidth="1" style="2" min="2" max="2"/>
    <col width="48.140625" bestFit="1" customWidth="1" style="3" min="3" max="3"/>
    <col width="38.85546875" customWidth="1" style="4" min="4" max="4"/>
    <col width="21.42578125" customWidth="1" style="2" min="5" max="5"/>
    <col width="42.7109375" customWidth="1" style="5" min="6" max="6"/>
    <col width="25.28515625" customWidth="1" style="2" min="7" max="7"/>
    <col width="106.42578125" customWidth="1" style="2" min="8" max="8"/>
    <col width="14.140625" customWidth="1" style="2" min="9" max="9"/>
    <col width="14.5703125" customWidth="1" style="2" min="10" max="10"/>
    <col width="9.140625" customWidth="1" style="2" min="11" max="16384"/>
  </cols>
  <sheetData>
    <row r="1" ht="46.5" customHeight="1" s="56" thickBot="1">
      <c r="A1" s="50" t="inlineStr">
        <is>
          <t>ARS Metal Industries DOO
Version 1.0
Date: 25.02.2026</t>
        </is>
      </c>
      <c r="B1" s="77" t="n"/>
      <c r="C1" s="52" t="inlineStr">
        <is>
          <t>ASSUMPTIONS / MASTER INPUT</t>
        </is>
      </c>
      <c r="D1" s="77" t="n"/>
      <c r="E1" s="77" t="n"/>
      <c r="F1" s="77" t="n"/>
      <c r="G1" s="1" t="n"/>
    </row>
    <row r="2" ht="9" customHeight="1" s="56">
      <c r="H2" s="78" t="inlineStr">
        <is>
          <t>VAT_RATE</t>
        </is>
      </c>
      <c r="I2" s="79" t="inlineStr">
        <is>
          <t>DEBT_INT_RATE</t>
        </is>
      </c>
      <c r="J2" s="80" t="n">
        <v>0.065</v>
      </c>
    </row>
    <row r="3">
      <c r="A3" s="6" t="inlineStr">
        <is>
          <t>Br</t>
        </is>
      </c>
      <c r="B3" s="6" t="inlineStr">
        <is>
          <t>KEY</t>
        </is>
      </c>
      <c r="C3" s="7" t="inlineStr">
        <is>
          <t>Opis</t>
        </is>
      </c>
      <c r="D3" s="8" t="inlineStr">
        <is>
          <t>Base vrijednost</t>
        </is>
      </c>
      <c r="E3" s="6" t="inlineStr">
        <is>
          <t>Jedinica</t>
        </is>
      </c>
      <c r="F3" s="7" t="inlineStr">
        <is>
          <t>Komentar / Izvor</t>
        </is>
      </c>
      <c r="G3" s="6" t="inlineStr">
        <is>
          <t>Status</t>
        </is>
      </c>
      <c r="H3" s="81">
        <f>XLOOKUP("VAT_STD",$B:$B,$D:$D)/100</f>
        <v/>
      </c>
      <c r="I3" s="79" t="inlineStr">
        <is>
          <t>TENOR_MONTHS</t>
        </is>
      </c>
      <c r="J3" s="82" t="n">
        <v>120</v>
      </c>
    </row>
    <row r="4" ht="15" customHeight="1" s="56">
      <c r="A4" s="10" t="n"/>
      <c r="B4" s="10" t="n"/>
      <c r="C4" s="11" t="n"/>
      <c r="D4" s="12" t="n"/>
      <c r="E4" s="10" t="n"/>
      <c r="F4" s="11" t="n"/>
      <c r="G4" s="10" t="n"/>
      <c r="H4" s="13" t="n"/>
      <c r="I4" s="79" t="inlineStr">
        <is>
          <t>GRACE_MONTHS</t>
        </is>
      </c>
      <c r="J4" s="83" t="n">
        <v>36</v>
      </c>
    </row>
    <row r="5" ht="52.5" customFormat="1" customHeight="1" s="14">
      <c r="A5" s="53" t="inlineStr">
        <is>
          <t>1. MACRO &amp; TAX ASSUMPTIONS</t>
        </is>
      </c>
    </row>
    <row r="6" ht="30" customFormat="1" customHeight="1" s="21" thickBot="1">
      <c r="A6" s="15" t="inlineStr">
        <is>
          <t>MT1</t>
        </is>
      </c>
      <c r="B6" s="16" t="inlineStr">
        <is>
          <t>FX_EUR_TRY</t>
        </is>
      </c>
      <c r="C6" s="17" t="inlineStr">
        <is>
          <t>Kurs EUR/TRY (uvoz mašina iz Turske)</t>
        </is>
      </c>
      <c r="D6" s="18" t="n">
        <v>51.7</v>
      </c>
      <c r="E6" s="19" t="inlineStr">
        <is>
          <t>TRY</t>
        </is>
      </c>
      <c r="F6" s="17" t="inlineStr">
        <is>
          <t>ECB/TCMB 24–25.02.2026</t>
        </is>
      </c>
      <c r="G6" s="19" t="inlineStr">
        <is>
          <t>Soft</t>
        </is>
      </c>
      <c r="H6" s="20" t="inlineStr">
        <is>
          <t>Najveći valutni rizik (~80 % Machine Park). Hedžuj 80 % u EUR!</t>
        </is>
      </c>
    </row>
    <row r="7" ht="30" customFormat="1" customHeight="1" s="21" thickBot="1">
      <c r="A7" s="15" t="inlineStr">
        <is>
          <t>MT2</t>
        </is>
      </c>
      <c r="B7" s="16" t="inlineStr">
        <is>
          <t>VAT_STD</t>
        </is>
      </c>
      <c r="C7" s="17" t="inlineStr">
        <is>
          <t>Standardna stopa PDV-a</t>
        </is>
      </c>
      <c r="D7" s="18" t="n">
        <v>21</v>
      </c>
      <c r="E7" s="19" t="inlineStr">
        <is>
          <t>%</t>
        </is>
      </c>
      <c r="F7" s="17" t="inlineStr">
        <is>
          <t>Zakon o PDV CG</t>
        </is>
      </c>
      <c r="G7" s="19" t="inlineStr">
        <is>
          <t>Hard</t>
        </is>
      </c>
      <c r="H7" s="20" t="inlineStr">
        <is>
          <t>Skriveni trošak na OPEX – jede EBITDA 2–3 % godišnje</t>
        </is>
      </c>
    </row>
    <row r="8" ht="30" customFormat="1" customHeight="1" s="21" thickBot="1">
      <c r="A8" s="15" t="inlineStr">
        <is>
          <t>MT3</t>
        </is>
      </c>
      <c r="B8" s="16" t="inlineStr">
        <is>
          <t>VAT_INV</t>
        </is>
      </c>
      <c r="C8" s="17" t="inlineStr">
        <is>
          <t>PDV na investicije &gt; 0.5 mil €</t>
        </is>
      </c>
      <c r="D8" s="18" t="n">
        <v>0</v>
      </c>
      <c r="E8" s="19" t="inlineStr">
        <is>
          <t>%</t>
        </is>
      </c>
      <c r="F8" s="17" t="inlineStr">
        <is>
          <t>Član 25 Zakona o PDV</t>
        </is>
      </c>
      <c r="G8" s="19" t="inlineStr">
        <is>
          <t>Hard</t>
        </is>
      </c>
      <c r="H8" s="20" t="inlineStr">
        <is>
          <t>Najveći besplatni keš od države (~2.5–2.8 mil € uštede)</t>
        </is>
      </c>
    </row>
    <row r="9" ht="30" customFormat="1" customHeight="1" s="21" thickBot="1">
      <c r="A9" s="15" t="inlineStr">
        <is>
          <t>MT4</t>
        </is>
      </c>
      <c r="B9" s="16" t="inlineStr">
        <is>
          <t>CIT_RATE</t>
        </is>
      </c>
      <c r="C9" s="17" t="inlineStr">
        <is>
          <t>Porez na dobit (efektivna)</t>
        </is>
      </c>
      <c r="D9" s="18" t="inlineStr">
        <is>
          <t>9–15</t>
        </is>
      </c>
      <c r="E9" s="19" t="inlineStr">
        <is>
          <t>%</t>
        </is>
      </c>
      <c r="F9" s="17" t="inlineStr">
        <is>
          <t>Zakon o porezu na dobit CG</t>
        </is>
      </c>
      <c r="G9" s="19" t="inlineStr">
        <is>
          <t>Hard</t>
        </is>
      </c>
      <c r="H9" s="20" t="inlineStr">
        <is>
          <t>Progresivno + tax shield ~0.9–1.1 mil €/god</t>
        </is>
      </c>
    </row>
    <row r="10" ht="30" customFormat="1" customHeight="1" s="21" thickBot="1">
      <c r="A10" s="15" t="inlineStr">
        <is>
          <t>MT5</t>
        </is>
      </c>
      <c r="B10" s="16" t="inlineStr">
        <is>
          <t>WHT_DIV</t>
        </is>
      </c>
      <c r="C10" s="17" t="inlineStr">
        <is>
          <t>Porez po odbitku na dividendu</t>
        </is>
      </c>
      <c r="D10" s="18" t="n">
        <v>15</v>
      </c>
      <c r="E10" s="19" t="inlineStr">
        <is>
          <t>%</t>
        </is>
      </c>
      <c r="F10" s="17" t="inlineStr">
        <is>
          <t>Poreski propisi CG</t>
        </is>
      </c>
      <c r="G10" s="19" t="inlineStr">
        <is>
          <t>Hard</t>
        </is>
      </c>
      <c r="H10" s="20" t="inlineStr">
        <is>
          <t>Reinvestiraj profit prve 3–4 godine + DTU</t>
        </is>
      </c>
    </row>
    <row r="11" ht="30" customFormat="1" customHeight="1" s="21" thickBot="1">
      <c r="A11" s="15" t="inlineStr">
        <is>
          <t>MT6</t>
        </is>
      </c>
      <c r="B11" s="16" t="inlineStr">
        <is>
          <t>INF_CONSTRUCTION</t>
        </is>
      </c>
      <c r="C11" s="17" t="inlineStr">
        <is>
          <t>Inflacija građevinskih troškova</t>
        </is>
      </c>
      <c r="D11" s="18" t="n">
        <v>3.5</v>
      </c>
      <c r="E11" s="19" t="inlineStr">
        <is>
          <t>%</t>
        </is>
      </c>
      <c r="F11" s="17" t="inlineStr">
        <is>
          <t>CBCG / tržište 2026</t>
        </is>
      </c>
      <c r="G11" s="19" t="inlineStr">
        <is>
          <t>Soft</t>
        </is>
      </c>
      <c r="H11" s="20" t="inlineStr">
        <is>
          <t>Contingency 9.5 % obavezan</t>
        </is>
      </c>
    </row>
    <row r="12" ht="30" customFormat="1" customHeight="1" s="21" thickBot="1">
      <c r="A12" s="15" t="inlineStr">
        <is>
          <t>MT7</t>
        </is>
      </c>
      <c r="B12" s="16" t="inlineStr">
        <is>
          <t>INF_OPEX</t>
        </is>
      </c>
      <c r="C12" s="17" t="inlineStr">
        <is>
          <t>Inflacija operativnih troškova</t>
        </is>
      </c>
      <c r="D12" s="18" t="n">
        <v>2.5</v>
      </c>
      <c r="E12" s="19" t="inlineStr">
        <is>
          <t>%</t>
        </is>
      </c>
      <c r="F12" s="17" t="inlineStr">
        <is>
          <t>CBCG / IMF / MONSTAT</t>
        </is>
      </c>
      <c r="G12" s="19" t="inlineStr">
        <is>
          <t>Soft</t>
        </is>
      </c>
      <c r="H12" s="20" t="inlineStr">
        <is>
          <t>Price pass-through klauzule obavezne</t>
        </is>
      </c>
    </row>
    <row r="13" ht="30" customFormat="1" customHeight="1" s="21" thickBot="1">
      <c r="A13" s="15" t="inlineStr">
        <is>
          <t>MT8</t>
        </is>
      </c>
      <c r="B13" s="16" t="inlineStr">
        <is>
          <t>DISCOUNT_RATE</t>
        </is>
      </c>
      <c r="C13" s="17" t="inlineStr">
        <is>
          <t>Socio-ekonomska diskontna stopa</t>
        </is>
      </c>
      <c r="D13" s="18" t="n">
        <v>8</v>
      </c>
      <c r="E13" s="19" t="inlineStr">
        <is>
          <t>%</t>
        </is>
      </c>
      <c r="F13" s="17" t="inlineStr">
        <is>
          <t>JASPERS / IPA III</t>
        </is>
      </c>
      <c r="G13" s="19" t="inlineStr">
        <is>
          <t>Hard</t>
        </is>
      </c>
      <c r="H13" s="20" t="inlineStr">
        <is>
          <t>Samo za grantove i socio-analizu</t>
        </is>
      </c>
    </row>
    <row r="14" ht="30" customFormat="1" customHeight="1" s="21" thickBot="1">
      <c r="A14" s="15" t="inlineStr">
        <is>
          <t>MT9</t>
        </is>
      </c>
      <c r="B14" s="16" t="inlineStr">
        <is>
          <t>WACC</t>
        </is>
      </c>
      <c r="C14" s="17" t="inlineStr">
        <is>
          <t>Weighted Average Cost of Capital</t>
        </is>
      </c>
      <c r="D14" s="18" t="n">
        <v>9.5</v>
      </c>
      <c r="E14" s="19" t="inlineStr">
        <is>
          <t>%</t>
        </is>
      </c>
      <c r="F14" s="17" t="inlineStr">
        <is>
          <t>Izračunato</t>
        </is>
      </c>
      <c r="G14" s="19" t="inlineStr">
        <is>
          <t>Hard</t>
        </is>
      </c>
      <c r="H14" s="20" t="inlineStr">
        <is>
          <t>Project IRR 16.5 % &gt; WACC → NPV pozitivan</t>
        </is>
      </c>
    </row>
    <row r="15" ht="30" customFormat="1" customHeight="1" s="21" thickBot="1">
      <c r="A15" s="15" t="inlineStr">
        <is>
          <t>MT10</t>
        </is>
      </c>
      <c r="B15" s="16" t="inlineStr">
        <is>
          <t>MODEL_CCY</t>
        </is>
      </c>
      <c r="C15" s="17" t="inlineStr">
        <is>
          <t>Model valuta</t>
        </is>
      </c>
      <c r="D15" s="18" t="inlineStr">
        <is>
          <t>EUR</t>
        </is>
      </c>
      <c r="E15" s="19" t="inlineStr">
        <is>
          <t>text</t>
        </is>
      </c>
      <c r="F15" s="17" t="inlineStr">
        <is>
          <t>Sva izvještavanja u EUR</t>
        </is>
      </c>
      <c r="G15" s="19" t="inlineStr">
        <is>
          <t>Hard</t>
        </is>
      </c>
      <c r="H15" s="20" t="inlineStr">
        <is>
          <t>Eliminira valutni rizik</t>
        </is>
      </c>
    </row>
    <row r="16" ht="52.5" customFormat="1" customHeight="1" s="14">
      <c r="A16" s="53" t="inlineStr">
        <is>
          <t>2. TIMELINE / KEY DATES</t>
        </is>
      </c>
    </row>
    <row r="17" ht="30" customFormat="1" customHeight="1" s="21" thickBot="1">
      <c r="A17" s="15" t="inlineStr">
        <is>
          <t>TL1</t>
        </is>
      </c>
      <c r="B17" s="16" t="inlineStr">
        <is>
          <t>FINANCIAL_CLOSE</t>
        </is>
      </c>
      <c r="C17" s="17" t="inlineStr">
        <is>
          <t>Financial Close</t>
        </is>
      </c>
      <c r="D17" s="18" t="inlineStr">
        <is>
          <t>30.06.2026</t>
        </is>
      </c>
      <c r="E17" s="19" t="inlineStr">
        <is>
          <t>Datum</t>
        </is>
      </c>
      <c r="F17" s="17" t="inlineStr">
        <is>
          <t>Nakon odobrenja kredita/granta</t>
        </is>
      </c>
      <c r="G17" s="19" t="inlineStr">
        <is>
          <t>Hard</t>
        </is>
      </c>
      <c r="H17" s="20" t="inlineStr">
        <is>
          <t>Početak drawdown-a</t>
        </is>
      </c>
    </row>
    <row r="18" ht="30" customFormat="1" customHeight="1" s="21" thickBot="1">
      <c r="A18" s="15" t="inlineStr">
        <is>
          <t>TL2</t>
        </is>
      </c>
      <c r="B18" s="16" t="inlineStr">
        <is>
          <t>CONSTRUCTION_START</t>
        </is>
      </c>
      <c r="C18" s="17" t="inlineStr">
        <is>
          <t>Početak radova</t>
        </is>
      </c>
      <c r="D18" s="18" t="inlineStr">
        <is>
          <t>01.07.2026</t>
        </is>
      </c>
      <c r="E18" s="19" t="inlineStr">
        <is>
          <t>Datum</t>
        </is>
      </c>
      <c r="F18" s="17" t="inlineStr">
        <is>
          <t>Odmah nakon dozvola</t>
        </is>
      </c>
      <c r="G18" s="19" t="inlineStr">
        <is>
          <t>Hard</t>
        </is>
      </c>
      <c r="H18" s="20" t="inlineStr">
        <is>
          <t>Kašnjenje 6 m → IRR -2–3 pp</t>
        </is>
      </c>
    </row>
    <row r="19" ht="30" customFormat="1" customHeight="1" s="21" thickBot="1">
      <c r="A19" s="15" t="inlineStr">
        <is>
          <t>TL3</t>
        </is>
      </c>
      <c r="B19" s="16" t="inlineStr">
        <is>
          <t>HALL_COMPLETION</t>
        </is>
      </c>
      <c r="C19" s="17" t="inlineStr">
        <is>
          <t>Mehanički završetak hale</t>
        </is>
      </c>
      <c r="D19" s="18" t="inlineStr">
        <is>
          <t>30.06.2027</t>
        </is>
      </c>
      <c r="E19" s="19" t="inlineStr">
        <is>
          <t>Datum</t>
        </is>
      </c>
      <c r="F19" s="17" t="inlineStr">
        <is>
          <t>12 mjeseci od starta</t>
        </is>
      </c>
      <c r="G19" s="19" t="inlineStr">
        <is>
          <t>Hard</t>
        </is>
      </c>
      <c r="H19" s="20" t="inlineStr">
        <is>
          <t>Početak amortizacije zgrade</t>
        </is>
      </c>
    </row>
    <row r="20" ht="30" customFormat="1" customHeight="1" s="21" thickBot="1">
      <c r="A20" s="15" t="inlineStr">
        <is>
          <t>TL4</t>
        </is>
      </c>
      <c r="B20" s="16" t="inlineStr">
        <is>
          <t>EQUIPMENT_COMMISSIONING</t>
        </is>
      </c>
      <c r="C20" s="17" t="inlineStr">
        <is>
          <t>Commissioning mašina + solara</t>
        </is>
      </c>
      <c r="D20" s="18" t="inlineStr">
        <is>
          <t>31.12.2028</t>
        </is>
      </c>
      <c r="E20" s="19" t="inlineStr">
        <is>
          <t>Datum</t>
        </is>
      </c>
      <c r="F20" s="17" t="inlineStr">
        <is>
          <t>Nakon montaže</t>
        </is>
      </c>
      <c r="G20" s="19" t="inlineStr">
        <is>
          <t>Hard</t>
        </is>
      </c>
      <c r="H20" s="20" t="inlineStr">
        <is>
          <t>Najveći tax shield</t>
        </is>
      </c>
    </row>
    <row r="21" ht="30" customFormat="1" customHeight="1" s="21" thickBot="1">
      <c r="A21" s="15" t="inlineStr">
        <is>
          <t>TL5</t>
        </is>
      </c>
      <c r="B21" s="16" t="inlineStr">
        <is>
          <t>SOLAR_COD</t>
        </is>
      </c>
      <c r="C21" s="17" t="inlineStr">
        <is>
          <t>Solar COD</t>
        </is>
      </c>
      <c r="D21" s="18" t="inlineStr">
        <is>
          <t>30.11.2028</t>
        </is>
      </c>
      <c r="E21" s="19" t="inlineStr">
        <is>
          <t>Datum</t>
        </is>
      </c>
      <c r="F21" s="17" t="inlineStr">
        <is>
          <t>1 mjesec prije commissioning</t>
        </is>
      </c>
      <c r="G21" s="19" t="inlineStr">
        <is>
          <t>Hard</t>
        </is>
      </c>
      <c r="H21" s="20" t="inlineStr">
        <is>
          <t>Ušteda struje 0.3–0.4 mil €/god</t>
        </is>
      </c>
    </row>
    <row r="22" ht="30" customFormat="1" customHeight="1" s="21" thickBot="1">
      <c r="A22" s="15" t="inlineStr">
        <is>
          <t>TL6</t>
        </is>
      </c>
      <c r="B22" s="16" t="inlineStr">
        <is>
          <t>ISO_CERTIFICATION_DATE</t>
        </is>
      </c>
      <c r="C22" s="17" t="inlineStr">
        <is>
          <t>ISO + EN/CE</t>
        </is>
      </c>
      <c r="D22" s="18" t="inlineStr">
        <is>
          <t>31.05.2029</t>
        </is>
      </c>
      <c r="E22" s="19" t="inlineStr">
        <is>
          <t>Datum</t>
        </is>
      </c>
      <c r="F22" s="17" t="inlineStr">
        <is>
          <t>Prije COD</t>
        </is>
      </c>
      <c r="G22" s="19" t="inlineStr">
        <is>
          <t>Hard</t>
        </is>
      </c>
      <c r="H22" s="20" t="inlineStr">
        <is>
          <t>Obavezno za 70 % off-take</t>
        </is>
      </c>
    </row>
    <row r="23" ht="30" customFormat="1" customHeight="1" s="21" thickBot="1">
      <c r="A23" s="15" t="inlineStr">
        <is>
          <t>TL7</t>
        </is>
      </c>
      <c r="B23" s="16" t="inlineStr">
        <is>
          <t>FIRST_TENDER_SUBMISSION</t>
        </is>
      </c>
      <c r="C23" s="17" t="inlineStr">
        <is>
          <t>Prvi tender</t>
        </is>
      </c>
      <c r="D23" s="18" t="inlineStr">
        <is>
          <t>01.04.2029</t>
        </is>
      </c>
      <c r="E23" s="19" t="inlineStr">
        <is>
          <t>Datum</t>
        </is>
      </c>
      <c r="F23" s="17" t="inlineStr">
        <is>
          <t>3 mjeseca prije COD</t>
        </is>
      </c>
      <c r="G23" s="19" t="inlineStr">
        <is>
          <t>Soft</t>
        </is>
      </c>
      <c r="H23" s="20" t="inlineStr">
        <is>
          <t>Pipeline za revenue</t>
        </is>
      </c>
    </row>
    <row r="24" ht="30" customFormat="1" customHeight="1" s="21" thickBot="1">
      <c r="A24" s="15" t="inlineStr">
        <is>
          <t>TL8</t>
        </is>
      </c>
      <c r="B24" s="16" t="inlineStr">
        <is>
          <t>PROVISIONAL_ACCEPTANCE_CERT</t>
        </is>
      </c>
      <c r="C24" s="17" t="inlineStr">
        <is>
          <t>PAC</t>
        </is>
      </c>
      <c r="D24" s="18" t="inlineStr">
        <is>
          <t>15.06.2029</t>
        </is>
      </c>
      <c r="E24" s="19" t="inlineStr">
        <is>
          <t>Datum</t>
        </is>
      </c>
      <c r="F24" s="17" t="inlineStr">
        <is>
          <t>15 dana prije COD</t>
        </is>
      </c>
      <c r="G24" s="19" t="inlineStr">
        <is>
          <t>Hard</t>
        </is>
      </c>
      <c r="H24" s="20" t="inlineStr">
        <is>
          <t>Revenue recognition</t>
        </is>
      </c>
    </row>
    <row r="25" ht="30" customFormat="1" customHeight="1" s="21" thickBot="1">
      <c r="A25" s="15" t="inlineStr">
        <is>
          <t>TL9</t>
        </is>
      </c>
      <c r="B25" s="16" t="inlineStr">
        <is>
          <t>COD</t>
        </is>
      </c>
      <c r="C25" s="17" t="inlineStr">
        <is>
          <t>Commercial Operations Date</t>
        </is>
      </c>
      <c r="D25" s="18" t="inlineStr">
        <is>
          <t>01.07.2029</t>
        </is>
      </c>
      <c r="E25" s="19" t="inlineStr">
        <is>
          <t>Datum</t>
        </is>
      </c>
      <c r="F25" s="17" t="inlineStr">
        <is>
          <t>Početak proizvodnje</t>
        </is>
      </c>
      <c r="G25" s="19" t="inlineStr">
        <is>
          <t>Hard</t>
        </is>
      </c>
      <c r="H25" s="20" t="inlineStr">
        <is>
          <t>NAJKRITIČNIJI DATUM – kašnjenje 6 m → IRR -4–6 pp</t>
        </is>
      </c>
    </row>
    <row r="26" ht="30" customFormat="1" customHeight="1" s="21" thickBot="1">
      <c r="A26" s="15" t="inlineStr">
        <is>
          <t>TL10</t>
        </is>
      </c>
      <c r="B26" s="16" t="inlineStr">
        <is>
          <t>GRACE_PERIOD_END</t>
        </is>
      </c>
      <c r="C26" s="17" t="inlineStr">
        <is>
          <t>Kraj grace perioda</t>
        </is>
      </c>
      <c r="D26" s="18" t="inlineStr">
        <is>
          <t>30.06.2029</t>
        </is>
      </c>
      <c r="E26" s="19" t="inlineStr">
        <is>
          <t>Datum</t>
        </is>
      </c>
      <c r="F26" s="17" t="inlineStr">
        <is>
          <t>36 mjeseci od FC</t>
        </is>
      </c>
      <c r="G26" s="19" t="inlineStr">
        <is>
          <t>Hard</t>
        </is>
      </c>
      <c r="H26" s="20" t="inlineStr">
        <is>
          <t>Početak otplate glavnice</t>
        </is>
      </c>
    </row>
    <row r="27" ht="30" customFormat="1" customHeight="1" s="21" thickBot="1">
      <c r="A27" s="15" t="inlineStr">
        <is>
          <t>TL11</t>
        </is>
      </c>
      <c r="B27" s="16" t="inlineStr">
        <is>
          <t>FINAL_ACCEPTANCE_CERT</t>
        </is>
      </c>
      <c r="C27" s="17" t="inlineStr">
        <is>
          <t>FAC</t>
        </is>
      </c>
      <c r="D27" s="18" t="inlineStr">
        <is>
          <t>31.12.2029</t>
        </is>
      </c>
      <c r="E27" s="19" t="inlineStr">
        <is>
          <t>Datum</t>
        </is>
      </c>
      <c r="F27" s="17" t="inlineStr">
        <is>
          <t>6 mjeseci nakon PAC</t>
        </is>
      </c>
      <c r="G27" s="19" t="inlineStr">
        <is>
          <t>Hard</t>
        </is>
      </c>
      <c r="H27" s="20" t="inlineStr">
        <is>
          <t>Kraj EPC odgovornosti</t>
        </is>
      </c>
    </row>
    <row r="28" ht="52.5" customFormat="1" customHeight="1" s="14">
      <c r="A28" s="53" t="inlineStr">
        <is>
          <t>3. CAPEX &amp; ASSET LIFE (Ukupno fixed assets 12.850.000 €)</t>
        </is>
      </c>
    </row>
    <row r="29" ht="30" customFormat="1" customHeight="1" s="21" thickBot="1">
      <c r="A29" s="15" t="inlineStr">
        <is>
          <t>Br</t>
        </is>
      </c>
      <c r="B29" s="16" t="inlineStr">
        <is>
          <t>KEY</t>
        </is>
      </c>
      <c r="C29" s="17" t="inlineStr">
        <is>
          <t>Opis / Asset Class</t>
        </is>
      </c>
      <c r="D29" s="18" t="inlineStr">
        <is>
          <t>Base vrijednost</t>
        </is>
      </c>
      <c r="E29" s="19" t="inlineStr">
        <is>
          <t>Jedinica</t>
        </is>
      </c>
      <c r="F29" s="17" t="inlineStr">
        <is>
          <t>Useful Life</t>
        </is>
      </c>
      <c r="G29" s="19" t="inlineStr">
        <is>
          <t>Deprec. Rate</t>
        </is>
      </c>
      <c r="H29" s="20" t="inlineStr">
        <is>
          <t>Tax shield godišnje</t>
        </is>
      </c>
    </row>
    <row r="30" ht="30" customFormat="1" customHeight="1" s="21" thickBot="1">
      <c r="A30" s="15" t="inlineStr">
        <is>
          <t>CA1</t>
        </is>
      </c>
      <c r="B30" s="16" t="inlineStr">
        <is>
          <t>CAPEX_LAND_PREP</t>
        </is>
      </c>
      <c r="C30" s="17" t="inlineStr">
        <is>
          <t>Zemljište + priprema</t>
        </is>
      </c>
      <c r="D30" s="18" t="n">
        <v>380</v>
      </c>
      <c r="E30" s="19" t="inlineStr">
        <is>
          <t>€</t>
        </is>
      </c>
      <c r="F30" s="17" t="inlineStr">
        <is>
          <t>∞</t>
        </is>
      </c>
      <c r="G30" s="25" t="n">
        <v>0</v>
      </c>
      <c r="H30" s="31" t="n">
        <v>0</v>
      </c>
    </row>
    <row r="31" ht="30" customFormat="1" customHeight="1" s="21" thickBot="1">
      <c r="A31" s="15" t="inlineStr">
        <is>
          <t>CA2</t>
        </is>
      </c>
      <c r="B31" s="16" t="inlineStr">
        <is>
          <t>CAPEX_BUILDING_HALL</t>
        </is>
      </c>
      <c r="C31" s="17" t="inlineStr">
        <is>
          <t>Hala 10.000 m²</t>
        </is>
      </c>
      <c r="D31" s="18" t="inlineStr">
        <is>
          <t>7.505.000</t>
        </is>
      </c>
      <c r="E31" s="19" t="inlineStr">
        <is>
          <t>€</t>
        </is>
      </c>
      <c r="F31" s="17" t="inlineStr">
        <is>
          <t>40 god</t>
        </is>
      </c>
      <c r="G31" s="32" t="n">
        <v>0.025</v>
      </c>
      <c r="H31" s="20" t="inlineStr">
        <is>
          <t>~188k €</t>
        </is>
      </c>
    </row>
    <row r="32" ht="30" customFormat="1" customHeight="1" s="21" thickBot="1">
      <c r="A32" s="15" t="inlineStr">
        <is>
          <t>CA3</t>
        </is>
      </c>
      <c r="B32" s="16" t="inlineStr">
        <is>
          <t>CAPEX_MACHINE_PARK</t>
        </is>
      </c>
      <c r="C32" s="17" t="inlineStr">
        <is>
          <t>Kompletan park mašina</t>
        </is>
      </c>
      <c r="D32" s="18" t="inlineStr">
        <is>
          <t>3.945.787</t>
        </is>
      </c>
      <c r="E32" s="19" t="inlineStr">
        <is>
          <t>€</t>
        </is>
      </c>
      <c r="F32" s="17" t="inlineStr">
        <is>
          <t>12 god</t>
        </is>
      </c>
      <c r="G32" s="25" t="n">
        <v>0.12</v>
      </c>
      <c r="H32" s="20" t="inlineStr">
        <is>
          <t>~470–590k €</t>
        </is>
      </c>
    </row>
    <row r="33" ht="30" customFormat="1" customHeight="1" s="21" thickBot="1">
      <c r="A33" s="15" t="inlineStr">
        <is>
          <t>CA4</t>
        </is>
      </c>
      <c r="B33" s="16" t="inlineStr">
        <is>
          <t>CAPEX_SOLAR_SYSTEM</t>
        </is>
      </c>
      <c r="C33" s="17" t="inlineStr">
        <is>
          <t>Rooftop solar 1.4 MWp</t>
        </is>
      </c>
      <c r="D33" s="18" t="n">
        <v>994</v>
      </c>
      <c r="E33" s="19" t="inlineStr">
        <is>
          <t>€</t>
        </is>
      </c>
      <c r="F33" s="17" t="inlineStr">
        <is>
          <t>25 god</t>
        </is>
      </c>
      <c r="G33" s="25" t="n">
        <v>0.04</v>
      </c>
      <c r="H33" s="20" t="inlineStr">
        <is>
          <t>~40k € + OPEX ušteda 250–300k €</t>
        </is>
      </c>
    </row>
    <row r="34" ht="30" customFormat="1" customHeight="1" s="21" thickBot="1">
      <c r="A34" s="15" t="inlineStr">
        <is>
          <t>CA5</t>
        </is>
      </c>
      <c r="B34" s="16" t="inlineStr">
        <is>
          <t>CAPEX_MEP_INFRA</t>
        </is>
      </c>
      <c r="C34" s="17" t="inlineStr">
        <is>
          <t>Elektro, HVAC, IT</t>
        </is>
      </c>
      <c r="D34" s="18" t="inlineStr">
        <is>
          <t>1.505.000</t>
        </is>
      </c>
      <c r="E34" s="19" t="inlineStr">
        <is>
          <t>€</t>
        </is>
      </c>
      <c r="F34" s="17" t="inlineStr">
        <is>
          <t>18 god</t>
        </is>
      </c>
      <c r="G34" s="32" t="n">
        <v>0.055</v>
      </c>
      <c r="H34" s="20" t="inlineStr">
        <is>
          <t>~83k €</t>
        </is>
      </c>
    </row>
    <row r="35" ht="30" customFormat="1" customHeight="1" s="21" thickBot="1">
      <c r="A35" s="15" t="inlineStr">
        <is>
          <t>CA6</t>
        </is>
      </c>
      <c r="B35" s="16" t="inlineStr">
        <is>
          <t>CAPEX_SOFT_COSTS</t>
        </is>
      </c>
      <c r="C35" s="17" t="inlineStr">
        <is>
          <t>Projektovanje, ERP, obuka</t>
        </is>
      </c>
      <c r="D35" s="18" t="n">
        <v>665</v>
      </c>
      <c r="E35" s="19" t="inlineStr">
        <is>
          <t>€</t>
        </is>
      </c>
      <c r="F35" s="17" t="inlineStr">
        <is>
          <t>5 god</t>
        </is>
      </c>
      <c r="G35" s="25" t="n">
        <v>0.2</v>
      </c>
      <c r="H35" s="20" t="inlineStr">
        <is>
          <t>~133k €</t>
        </is>
      </c>
    </row>
    <row r="36" ht="30" customFormat="1" customHeight="1" s="21" thickBot="1">
      <c r="A36" s="15" t="inlineStr">
        <is>
          <t>CA7</t>
        </is>
      </c>
      <c r="B36" s="16" t="inlineStr">
        <is>
          <t>CONTINGENCY_RESERVE</t>
        </is>
      </c>
      <c r="C36" s="17" t="inlineStr">
        <is>
          <t>Rezerva za rizike (9.5 %)</t>
        </is>
      </c>
      <c r="D36" s="18" t="inlineStr">
        <is>
          <t>1.220.000</t>
        </is>
      </c>
      <c r="E36" s="19" t="inlineStr">
        <is>
          <t>€</t>
        </is>
      </c>
      <c r="F36" s="17" t="inlineStr">
        <is>
          <t>–</t>
        </is>
      </c>
      <c r="G36" s="19" t="inlineStr">
        <is>
          <t>–</t>
        </is>
      </c>
      <c r="H36" s="20" t="inlineStr">
        <is>
          <t>Ako se ne potroši → +1–2 pp IRR</t>
        </is>
      </c>
    </row>
    <row r="37" ht="30.75" customFormat="1" customHeight="1" s="21" thickBot="1">
      <c r="A37" s="15" t="inlineStr">
        <is>
          <t>CA8</t>
        </is>
      </c>
      <c r="B37" s="16" t="inlineStr">
        <is>
          <t>TOTAL_CAPEX_FIXED</t>
        </is>
      </c>
      <c r="C37" s="17" t="inlineStr">
        <is>
          <t>Ukupno fixed assets</t>
        </is>
      </c>
      <c r="D37" s="18" t="inlineStr">
        <is>
          <t>12.850.000</t>
        </is>
      </c>
      <c r="E37" s="19" t="inlineStr">
        <is>
          <t>€</t>
        </is>
      </c>
      <c r="F37" s="17" t="inlineStr">
        <is>
          <t>–</t>
        </is>
      </c>
      <c r="G37" s="19" t="inlineStr">
        <is>
          <t>–</t>
        </is>
      </c>
      <c r="H37" s="20" t="inlineStr">
        <is>
          <t>~0.9–1.1 mil €/god</t>
        </is>
      </c>
    </row>
    <row r="38" ht="52.5" customFormat="1" customHeight="1" s="14">
      <c r="A38" s="53" t="inlineStr">
        <is>
          <t>4. CAPEX DRAW SCHEDULE + OPERATIONAL PARAMETERS (Motor)</t>
        </is>
      </c>
    </row>
    <row r="39" ht="30" customFormat="1" customHeight="1" s="21" thickBot="1">
      <c r="A39" s="15" t="inlineStr">
        <is>
          <t>Br</t>
        </is>
      </c>
      <c r="B39" s="16" t="inlineStr">
        <is>
          <t>KEY</t>
        </is>
      </c>
      <c r="C39" s="17" t="inlineStr">
        <is>
          <t>Opis</t>
        </is>
      </c>
      <c r="D39" s="18" t="inlineStr">
        <is>
          <t>Base vrijednost</t>
        </is>
      </c>
      <c r="E39" s="19" t="inlineStr">
        <is>
          <t>Jedinica</t>
        </is>
      </c>
      <c r="F39" s="17" t="inlineStr">
        <is>
          <t>Komentar / Benchmark</t>
        </is>
      </c>
      <c r="G39" s="19" t="inlineStr">
        <is>
          <t>Status</t>
        </is>
      </c>
      <c r="H39" s="20" t="inlineStr">
        <is>
          <t>H – Finansijski uticaj / Rizik / Lekcija</t>
        </is>
      </c>
    </row>
    <row r="40" ht="30" customFormat="1" customHeight="1" s="21" thickBot="1">
      <c r="A40" s="15" t="inlineStr">
        <is>
          <t>CA10</t>
        </is>
      </c>
      <c r="B40" s="16" t="inlineStr">
        <is>
          <t>CAPEX_DRAW_PHASE1_PCT</t>
        </is>
      </c>
      <c r="C40" s="17" t="inlineStr">
        <is>
          <t>Faza 1 (2026–mid 2027)</t>
        </is>
      </c>
      <c r="D40" s="18" t="n">
        <v>55</v>
      </c>
      <c r="E40" s="19" t="inlineStr">
        <is>
          <t>%</t>
        </is>
      </c>
      <c r="F40" s="17" t="inlineStr">
        <is>
          <t>Hala + priprema + contingency</t>
        </is>
      </c>
      <c r="G40" s="19" t="inlineStr">
        <is>
          <t>Hard</t>
        </is>
      </c>
      <c r="H40" s="20" t="inlineStr">
        <is>
          <t>~7.1 mil € outflow</t>
        </is>
      </c>
    </row>
    <row r="41" ht="30" customFormat="1" customHeight="1" s="21" thickBot="1">
      <c r="A41" s="15" t="inlineStr">
        <is>
          <t>CA11</t>
        </is>
      </c>
      <c r="B41" s="16" t="inlineStr">
        <is>
          <t>CAPEX_DRAW_PHASE2_PCT</t>
        </is>
      </c>
      <c r="C41" s="17" t="inlineStr">
        <is>
          <t>Faza 2 (mid 2027–2028)</t>
        </is>
      </c>
      <c r="D41" s="18" t="n">
        <v>38</v>
      </c>
      <c r="E41" s="19" t="inlineStr">
        <is>
          <t>%</t>
        </is>
      </c>
      <c r="F41" s="17" t="inlineStr">
        <is>
          <t>Mašine + solar + MEP</t>
        </is>
      </c>
      <c r="G41" s="19" t="inlineStr">
        <is>
          <t>Hard</t>
        </is>
      </c>
      <c r="H41" s="20" t="inlineStr">
        <is>
          <t>~4.9 mil €</t>
        </is>
      </c>
    </row>
    <row r="42" ht="30" customFormat="1" customHeight="1" s="21" thickBot="1">
      <c r="A42" s="15" t="inlineStr">
        <is>
          <t>CA12</t>
        </is>
      </c>
      <c r="B42" s="16" t="inlineStr">
        <is>
          <t>CAPEX_DRAW_PHASE3_PCT</t>
        </is>
      </c>
      <c r="C42" s="17" t="inlineStr">
        <is>
          <t>Faza 3 (2029)</t>
        </is>
      </c>
      <c r="D42" s="18" t="n">
        <v>7</v>
      </c>
      <c r="E42" s="19" t="inlineStr">
        <is>
          <t>%</t>
        </is>
      </c>
      <c r="F42" s="17" t="inlineStr">
        <is>
          <t>Final installation + commissioning</t>
        </is>
      </c>
      <c r="G42" s="19" t="inlineStr">
        <is>
          <t>Hard</t>
        </is>
      </c>
      <c r="H42" s="20" t="inlineStr">
        <is>
          <t>~0.9 mil €</t>
        </is>
      </c>
    </row>
    <row r="43" ht="30" customFormat="1" customHeight="1" s="21" thickBot="1">
      <c r="A43" s="15" t="inlineStr">
        <is>
          <t>OP1</t>
        </is>
      </c>
      <c r="B43" s="16" t="inlineStr">
        <is>
          <t>INSTALLED_CAPACITY</t>
        </is>
      </c>
      <c r="C43" s="17" t="inlineStr">
        <is>
          <t>Maksimalni godišnji kapacitet</t>
        </is>
      </c>
      <c r="D43" s="18" t="n">
        <v>75</v>
      </c>
      <c r="E43" s="19" t="inlineStr">
        <is>
          <t>t/god</t>
        </is>
      </c>
      <c r="F43" s="17" t="inlineStr">
        <is>
          <t>Realno 63.750 t na 85 %</t>
        </is>
      </c>
      <c r="G43" s="19" t="inlineStr">
        <is>
          <t>Hard</t>
        </is>
      </c>
      <c r="H43" s="20" t="inlineStr">
        <is>
          <t>Osnova revenue</t>
        </is>
      </c>
    </row>
    <row r="44" ht="30" customFormat="1" customHeight="1" s="21" thickBot="1">
      <c r="A44" s="15" t="inlineStr">
        <is>
          <t>OP2</t>
        </is>
      </c>
      <c r="B44" s="16" t="inlineStr">
        <is>
          <t>SPECIFIC_ENERGY_CONSUMPTION</t>
        </is>
      </c>
      <c r="C44" s="17" t="inlineStr">
        <is>
          <t>Specifična potrošnja struje po toni</t>
        </is>
      </c>
      <c r="D44" s="18" t="n">
        <v>1.6</v>
      </c>
      <c r="E44" s="19" t="inlineStr">
        <is>
          <t>MWh/t</t>
        </is>
      </c>
      <c r="F44" s="17" t="inlineStr">
        <is>
          <t>Heavy fab benchmark</t>
        </is>
      </c>
      <c r="G44" s="19" t="inlineStr">
        <is>
          <t>Hard</t>
        </is>
      </c>
      <c r="H44" s="20" t="inlineStr">
        <is>
          <t>~120 GWh/god; solar ušteda 250–350k €/god</t>
        </is>
      </c>
    </row>
    <row r="45" ht="30" customFormat="1" customHeight="1" s="21" thickBot="1">
      <c r="A45" s="15" t="inlineStr">
        <is>
          <t>OP3</t>
        </is>
      </c>
      <c r="B45" s="16" t="inlineStr">
        <is>
          <t>SCRAP_RATE</t>
        </is>
      </c>
      <c r="C45" s="17" t="inlineStr">
        <is>
          <t>Tehnološki otpad</t>
        </is>
      </c>
      <c r="D45" s="18" t="n">
        <v>6.5</v>
      </c>
      <c r="E45" s="19" t="inlineStr">
        <is>
          <t>%</t>
        </is>
      </c>
      <c r="F45" s="17" t="inlineStr">
        <is>
          <t>Standard CNC + zavarivanje</t>
        </is>
      </c>
      <c r="G45" s="19" t="inlineStr">
        <is>
          <t>Hard</t>
        </is>
      </c>
      <c r="H45" s="20" t="inlineStr">
        <is>
          <t>~4.875 t/god → prihod 30–50k €/god</t>
        </is>
      </c>
    </row>
    <row r="46" ht="52.5" customFormat="1" customHeight="1" s="14">
      <c r="A46" s="53" t="inlineStr">
        <is>
          <t>5. REVENUE &amp; RAMP-UP</t>
        </is>
      </c>
    </row>
    <row r="47" ht="30" customFormat="1" customHeight="1" s="21" thickBot="1">
      <c r="A47" s="15" t="inlineStr">
        <is>
          <t>R1</t>
        </is>
      </c>
      <c r="B47" s="16" t="inlineStr">
        <is>
          <t>TARGET_CAPACITY</t>
        </is>
      </c>
      <c r="C47" s="17" t="inlineStr">
        <is>
          <t>Maksimalni kapacitet</t>
        </is>
      </c>
      <c r="D47" s="18" t="n">
        <v>75</v>
      </c>
      <c r="E47" s="19" t="inlineStr">
        <is>
          <t>t/god</t>
        </is>
      </c>
      <c r="F47" s="17" t="inlineStr">
        <is>
          <t>Na 85 % utilization</t>
        </is>
      </c>
      <c r="G47" s="19" t="inlineStr">
        <is>
          <t>Hard</t>
        </is>
      </c>
      <c r="H47" s="20" t="inlineStr">
        <is>
          <t>Realno 63.750 t</t>
        </is>
      </c>
    </row>
    <row r="48" ht="30" customFormat="1" customHeight="1" s="21" thickBot="1">
      <c r="A48" s="15" t="inlineStr">
        <is>
          <t>R2</t>
        </is>
      </c>
      <c r="B48" s="16" t="inlineStr">
        <is>
          <t>BASE_SALES_PRICE</t>
        </is>
      </c>
      <c r="C48" s="17" t="inlineStr">
        <is>
          <t>Prosječna neto prodajna cijena</t>
        </is>
      </c>
      <c r="D48" s="18" t="n">
        <v>1.85</v>
      </c>
      <c r="E48" s="19" t="inlineStr">
        <is>
          <t>€/t</t>
        </is>
      </c>
      <c r="F48" s="17" t="inlineStr">
        <is>
          <t>EN/CE sertifikovani tankovi</t>
        </is>
      </c>
      <c r="G48" s="19" t="inlineStr">
        <is>
          <t>Hard</t>
        </is>
      </c>
      <c r="H48" s="20" t="inlineStr">
        <is>
          <t>Prihod ~118 mil € na punom kapacitetu</t>
        </is>
      </c>
    </row>
    <row r="49" ht="30" customFormat="1" customHeight="1" s="21" thickBot="1">
      <c r="A49" s="15" t="inlineStr">
        <is>
          <t>R3</t>
        </is>
      </c>
      <c r="B49" s="16" t="inlineStr">
        <is>
          <t>RAMP_UP_Y1</t>
        </is>
      </c>
      <c r="C49" s="17" t="inlineStr">
        <is>
          <t>Ramp-up godina 1</t>
        </is>
      </c>
      <c r="D49" s="18" t="n">
        <v>40</v>
      </c>
      <c r="E49" s="19" t="inlineStr">
        <is>
          <t>%</t>
        </is>
      </c>
      <c r="F49" s="17" t="inlineStr">
        <is>
          <t>Konzervativno</t>
        </is>
      </c>
      <c r="G49" s="19" t="inlineStr">
        <is>
          <t>Hard</t>
        </is>
      </c>
      <c r="H49" s="20" t="inlineStr">
        <is>
          <t>EBITDA 8–12 %</t>
        </is>
      </c>
    </row>
    <row r="50" ht="30" customFormat="1" customHeight="1" s="21" thickBot="1">
      <c r="A50" s="15" t="inlineStr">
        <is>
          <t>R4</t>
        </is>
      </c>
      <c r="B50" s="16" t="inlineStr">
        <is>
          <t>RAMP_UP_Y2</t>
        </is>
      </c>
      <c r="C50" s="17" t="inlineStr">
        <is>
          <t>Ramp-up godina 2</t>
        </is>
      </c>
      <c r="D50" s="18" t="n">
        <v>70</v>
      </c>
      <c r="E50" s="19" t="inlineStr">
        <is>
          <t>%</t>
        </is>
      </c>
      <c r="F50" s="17" t="inlineStr">
        <is>
          <t>Standardna optimizacija</t>
        </is>
      </c>
      <c r="G50" s="19" t="inlineStr">
        <is>
          <t>Hard</t>
        </is>
      </c>
      <c r="H50" s="20" t="inlineStr">
        <is>
          <t>EBITDA 14–17 %</t>
        </is>
      </c>
    </row>
    <row r="51" ht="30" customFormat="1" customHeight="1" s="21" thickBot="1">
      <c r="A51" s="15" t="inlineStr">
        <is>
          <t>R5</t>
        </is>
      </c>
      <c r="B51" s="16" t="inlineStr">
        <is>
          <t>FULL_CAPACITY_Y3</t>
        </is>
      </c>
      <c r="C51" s="17" t="inlineStr">
        <is>
          <t>Pun kapacitet od godine 3</t>
        </is>
      </c>
      <c r="D51" s="18" t="n">
        <v>100</v>
      </c>
      <c r="E51" s="19" t="inlineStr">
        <is>
          <t>%</t>
        </is>
      </c>
      <c r="F51" s="17" t="inlineStr">
        <is>
          <t>Od 2031.</t>
        </is>
      </c>
      <c r="G51" s="19" t="inlineStr">
        <is>
          <t>Hard</t>
        </is>
      </c>
      <c r="H51" s="20" t="inlineStr">
        <is>
          <t>EBITDA 18–22 %</t>
        </is>
      </c>
    </row>
    <row r="52" ht="30" customFormat="1" customHeight="1" s="21" thickBot="1">
      <c r="A52" s="15" t="inlineStr">
        <is>
          <t>R6</t>
        </is>
      </c>
      <c r="B52" s="16" t="inlineStr">
        <is>
          <t>PRICE_GROWTH</t>
        </is>
      </c>
      <c r="C52" s="17" t="inlineStr">
        <is>
          <t>Godišnji rast cijene</t>
        </is>
      </c>
      <c r="D52" s="18" t="n">
        <v>3</v>
      </c>
      <c r="E52" s="19" t="inlineStr">
        <is>
          <t>%</t>
        </is>
      </c>
      <c r="F52" s="17" t="inlineStr">
        <is>
          <t>Od 2031.</t>
        </is>
      </c>
      <c r="G52" s="19" t="inlineStr">
        <is>
          <t>Soft</t>
        </is>
      </c>
      <c r="H52" s="20" t="inlineStr">
        <is>
          <t>Zaštita od inflacije</t>
        </is>
      </c>
    </row>
    <row r="53" ht="52.5" customFormat="1" customHeight="1" s="14">
      <c r="A53" s="53" t="inlineStr">
        <is>
          <t>6. WORKING CAPITAL</t>
        </is>
      </c>
    </row>
    <row r="54" ht="30" customFormat="1" customHeight="1" s="21" thickBot="1">
      <c r="A54" s="15" t="inlineStr">
        <is>
          <t>WC1</t>
        </is>
      </c>
      <c r="B54" s="16" t="inlineStr">
        <is>
          <t>DSO</t>
        </is>
      </c>
      <c r="C54" s="17" t="inlineStr">
        <is>
          <t>Dani naplate od kupaca</t>
        </is>
      </c>
      <c r="D54" s="18" t="n">
        <v>45</v>
      </c>
      <c r="E54" s="19" t="inlineStr">
        <is>
          <t>dana</t>
        </is>
      </c>
      <c r="F54" s="17" t="inlineStr">
        <is>
          <t>B2B tenderi</t>
        </is>
      </c>
      <c r="G54" s="19" t="inlineStr">
        <is>
          <t>Hard</t>
        </is>
      </c>
      <c r="H54" s="20" t="inlineStr">
        <is>
          <t>Potraživanja ~14.5 mil € na punom kapacitetu</t>
        </is>
      </c>
    </row>
    <row r="55" ht="30" customFormat="1" customHeight="1" s="21" thickBot="1">
      <c r="A55" s="15" t="inlineStr">
        <is>
          <t>WC2</t>
        </is>
      </c>
      <c r="B55" s="16" t="inlineStr">
        <is>
          <t>DIO</t>
        </is>
      </c>
      <c r="C55" s="17" t="inlineStr">
        <is>
          <t>Dani zaliha</t>
        </is>
      </c>
      <c r="D55" s="18" t="n">
        <v>60</v>
      </c>
      <c r="E55" s="19" t="inlineStr">
        <is>
          <t>dana</t>
        </is>
      </c>
      <c r="F55" s="17" t="inlineStr">
        <is>
          <t>Čelik + gotovi proizvodi</t>
        </is>
      </c>
      <c r="G55" s="19" t="inlineStr">
        <is>
          <t>Hard</t>
        </is>
      </c>
      <c r="H55" s="20" t="inlineStr">
        <is>
          <t>Zalihe ~13.6 mil €</t>
        </is>
      </c>
    </row>
    <row r="56" ht="30" customFormat="1" customHeight="1" s="21" thickBot="1">
      <c r="A56" s="15" t="inlineStr">
        <is>
          <t>WC3</t>
        </is>
      </c>
      <c r="B56" s="16" t="inlineStr">
        <is>
          <t>DPO</t>
        </is>
      </c>
      <c r="C56" s="17" t="inlineStr">
        <is>
          <t>Dani plaćanja dobavljačima</t>
        </is>
      </c>
      <c r="D56" s="18" t="n">
        <v>30</v>
      </c>
      <c r="E56" s="19" t="inlineStr">
        <is>
          <t>dana</t>
        </is>
      </c>
      <c r="F56" s="17" t="inlineStr">
        <is>
          <t>EU/TR dobavljači</t>
        </is>
      </c>
      <c r="G56" s="19" t="inlineStr">
        <is>
          <t>Hard</t>
        </is>
      </c>
      <c r="H56" s="20" t="inlineStr">
        <is>
          <t>Obaveze ~6.8 mil €</t>
        </is>
      </c>
    </row>
    <row r="57" ht="30" customFormat="1" customHeight="1" s="21" thickBot="1">
      <c r="A57" s="15" t="inlineStr">
        <is>
          <t>WC4</t>
        </is>
      </c>
      <c r="B57" s="16" t="inlineStr">
        <is>
          <t>CASH_CONVERSION_CYCLE</t>
        </is>
      </c>
      <c r="C57" s="17" t="inlineStr">
        <is>
          <t>CCC</t>
        </is>
      </c>
      <c r="D57" s="18" t="n">
        <v>75</v>
      </c>
      <c r="E57" s="19" t="inlineStr">
        <is>
          <t>dana</t>
        </is>
      </c>
      <c r="F57" s="17" t="inlineStr">
        <is>
          <t>DIO + DSO – DPO</t>
        </is>
      </c>
      <c r="G57" s="19" t="inlineStr">
        <is>
          <t>Hard</t>
        </is>
      </c>
      <c r="H57" s="20" t="inlineStr">
        <is>
          <t>NWC ~20–22 mil € na stabilnom nivou</t>
        </is>
      </c>
    </row>
    <row r="58" ht="30" customFormat="1" customHeight="1" s="21" thickBot="1">
      <c r="A58" s="15" t="inlineStr">
        <is>
          <t>WC5</t>
        </is>
      </c>
      <c r="B58" s="16" t="inlineStr">
        <is>
          <t>CASH_BUFFER</t>
        </is>
      </c>
      <c r="C58" s="17" t="inlineStr">
        <is>
          <t>Minimalna gotovinska rezerva</t>
        </is>
      </c>
      <c r="D58" s="18" t="inlineStr">
        <is>
          <t>2–3</t>
        </is>
      </c>
      <c r="E58" s="19" t="inlineStr">
        <is>
          <t>mjeseca OPEX</t>
        </is>
      </c>
      <c r="F58" s="17" t="inlineStr">
        <is>
          <t>IFC/EBRD standard</t>
        </is>
      </c>
      <c r="G58" s="19" t="inlineStr">
        <is>
          <t>Hard</t>
        </is>
      </c>
      <c r="H58" s="20" t="inlineStr">
        <is>
          <t>Sigurnosni jastuk</t>
        </is>
      </c>
    </row>
    <row r="59" ht="52.5" customFormat="1" customHeight="1" s="14">
      <c r="A59" s="53" t="inlineStr">
        <is>
          <t>7. REVENUE INDEXATION (Štit)</t>
        </is>
      </c>
    </row>
    <row r="60" ht="30" customFormat="1" customHeight="1" s="21" thickBot="1">
      <c r="A60" s="15" t="inlineStr">
        <is>
          <t>RI1</t>
        </is>
      </c>
      <c r="B60" s="16" t="inlineStr">
        <is>
          <t>STEEL_BASE_INDEX</t>
        </is>
      </c>
      <c r="C60" s="17" t="inlineStr">
        <is>
          <t>Bazna cijena čelika (HRC)</t>
        </is>
      </c>
      <c r="D60" s="18" t="n">
        <v>800</v>
      </c>
      <c r="E60" s="19" t="inlineStr">
        <is>
          <t>€/t</t>
        </is>
      </c>
      <c r="F60" s="17" t="inlineStr">
        <is>
          <t>Platts / LME Europa Feb 2026</t>
        </is>
      </c>
      <c r="G60" s="19" t="inlineStr">
        <is>
          <t>Hard</t>
        </is>
      </c>
      <c r="H60" s="20" t="inlineStr">
        <is>
          <t>Anchor za indeksaciju</t>
        </is>
      </c>
    </row>
    <row r="61" ht="30" customFormat="1" customHeight="1" s="21" thickBot="1">
      <c r="A61" s="15" t="inlineStr">
        <is>
          <t>RI2</t>
        </is>
      </c>
      <c r="B61" s="16" t="inlineStr">
        <is>
          <t>STEEL_CONTENT_PCT</t>
        </is>
      </c>
      <c r="C61" s="17" t="inlineStr">
        <is>
          <t>Udeo čelika u proizvodu</t>
        </is>
      </c>
      <c r="D61" s="18" t="n">
        <v>70</v>
      </c>
      <c r="E61" s="19" t="inlineStr">
        <is>
          <t>%</t>
        </is>
      </c>
      <c r="F61" s="17" t="inlineStr">
        <is>
          <t>Heavy fab benchmark</t>
        </is>
      </c>
      <c r="G61" s="19" t="inlineStr">
        <is>
          <t>Hard</t>
        </is>
      </c>
      <c r="H61" s="20" t="inlineStr">
        <is>
          <t>70 % direktno utiče na cijenu</t>
        </is>
      </c>
    </row>
    <row r="62" ht="30" customFormat="1" customHeight="1" s="21" thickBot="1">
      <c r="A62" s="15" t="inlineStr">
        <is>
          <t>RI3</t>
        </is>
      </c>
      <c r="B62" s="16" t="inlineStr">
        <is>
          <t>PASS_THROUGH_COEFFICIENT</t>
        </is>
      </c>
      <c r="C62" s="17" t="inlineStr">
        <is>
          <t>Koeficijent prenosa</t>
        </is>
      </c>
      <c r="D62" s="18" t="n">
        <v>1</v>
      </c>
      <c r="E62" s="19" t="inlineStr">
        <is>
          <t>–</t>
        </is>
      </c>
      <c r="F62" s="17" t="inlineStr">
        <is>
          <t>Full pass-through</t>
        </is>
      </c>
      <c r="G62" s="19" t="inlineStr">
        <is>
          <t>Hard</t>
        </is>
      </c>
      <c r="H62" s="20" t="inlineStr">
        <is>
          <t>100 % zaštita marže</t>
        </is>
      </c>
    </row>
    <row r="63" ht="30" customFormat="1" customHeight="1" s="21" thickBot="1">
      <c r="A63" s="15" t="inlineStr">
        <is>
          <t>RI4</t>
        </is>
      </c>
      <c r="B63" s="16" t="inlineStr">
        <is>
          <t>UPDATE_FREQUENCY</t>
        </is>
      </c>
      <c r="C63" s="17" t="inlineStr">
        <is>
          <t>Učestalost ažuriranja</t>
        </is>
      </c>
      <c r="D63" s="18" t="inlineStr">
        <is>
          <t>Q</t>
        </is>
      </c>
      <c r="E63" s="19" t="inlineStr">
        <is>
          <t>text</t>
        </is>
      </c>
      <c r="F63" s="17" t="inlineStr">
        <is>
          <t>Kvartalno</t>
        </is>
      </c>
      <c r="G63" s="19" t="inlineStr">
        <is>
          <t>Hard</t>
        </is>
      </c>
      <c r="H63" s="20" t="inlineStr">
        <is>
          <t>Optimalno za B2B</t>
        </is>
      </c>
    </row>
    <row r="64" ht="30" customFormat="1" customHeight="1" s="21" thickBot="1">
      <c r="A64" s="15" t="inlineStr">
        <is>
          <t>RI5</t>
        </is>
      </c>
      <c r="B64" s="16" t="inlineStr">
        <is>
          <t>STEEL_PRICE_VOLATILITY</t>
        </is>
      </c>
      <c r="C64" s="17" t="inlineStr">
        <is>
          <t>Očekivana volatilnost</t>
        </is>
      </c>
      <c r="D64" s="18" t="inlineStr">
        <is>
          <t>±20</t>
        </is>
      </c>
      <c r="E64" s="19" t="inlineStr">
        <is>
          <t>%</t>
        </is>
      </c>
      <c r="F64" s="17" t="inlineStr">
        <is>
          <t>Povijesna 2020–2026</t>
        </is>
      </c>
      <c r="G64" s="19" t="inlineStr">
        <is>
          <t>Soft</t>
        </is>
      </c>
      <c r="H64" s="20" t="inlineStr">
        <is>
          <t>Sa pass-through rizik ≈0 %</t>
        </is>
      </c>
    </row>
    <row r="65" ht="30" customFormat="1" customHeight="1" s="21" thickBot="1">
      <c r="A65" s="15" t="inlineStr">
        <is>
          <t>RI6</t>
        </is>
      </c>
      <c r="B65" s="16" t="inlineStr">
        <is>
          <t>HEDGING_LAG</t>
        </is>
      </c>
      <c r="C65" s="17" t="inlineStr">
        <is>
          <t>Kašnjenje prenosa</t>
        </is>
      </c>
      <c r="D65" s="18" t="n">
        <v>1</v>
      </c>
      <c r="E65" s="19" t="inlineStr">
        <is>
          <t>kvartal</t>
        </is>
      </c>
      <c r="F65" s="17" t="inlineStr">
        <is>
          <t>Realan kompromis</t>
        </is>
      </c>
      <c r="G65" s="19" t="inlineStr">
        <is>
          <t>Hard</t>
        </is>
      </c>
      <c r="H65" s="20" t="inlineStr">
        <is>
          <t>Privremeni pritisak 1–2 % EBITDA</t>
        </is>
      </c>
    </row>
    <row r="66" ht="30" customFormat="1" customHeight="1" s="21" thickBot="1">
      <c r="A66" s="15" t="inlineStr">
        <is>
          <t>RI7</t>
        </is>
      </c>
      <c r="B66" s="16" t="inlineStr">
        <is>
          <t>TARGET_EBITDA_MARGIN</t>
        </is>
      </c>
      <c r="C66" s="17" t="inlineStr">
        <is>
          <t>Ciljana EBITDA marža</t>
        </is>
      </c>
      <c r="D66" s="18" t="n">
        <v>16.5</v>
      </c>
      <c r="E66" s="19" t="inlineStr">
        <is>
          <t>%</t>
        </is>
      </c>
      <c r="F66" s="17" t="inlineStr">
        <is>
          <t>Post-indeksacije</t>
        </is>
      </c>
      <c r="G66" s="19" t="inlineStr">
        <is>
          <t>Hard</t>
        </is>
      </c>
      <c r="H66" s="20" t="inlineStr">
        <is>
          <t>Zaključana marža</t>
        </is>
      </c>
    </row>
    <row r="67" ht="52.5" customFormat="1" customHeight="1" s="14">
      <c r="A67" s="53" t="inlineStr">
        <is>
          <t>8. FINANCING &amp; CAPITAL STRUCTURE</t>
        </is>
      </c>
    </row>
    <row r="68" ht="30" customFormat="1" customHeight="1" s="21" thickBot="1">
      <c r="A68" s="15" t="inlineStr">
        <is>
          <t>Br</t>
        </is>
      </c>
      <c r="B68" s="16" t="inlineStr">
        <is>
          <t>KEY</t>
        </is>
      </c>
      <c r="C68" s="17" t="inlineStr">
        <is>
          <t>Opis</t>
        </is>
      </c>
      <c r="D68" s="18" t="inlineStr">
        <is>
          <t>Base vrijednost</t>
        </is>
      </c>
      <c r="E68" s="19" t="inlineStr">
        <is>
          <t>Jedinica</t>
        </is>
      </c>
      <c r="F68" s="17" t="inlineStr">
        <is>
          <t>Komentar</t>
        </is>
      </c>
      <c r="G68" s="19" t="inlineStr">
        <is>
          <t>Status</t>
        </is>
      </c>
      <c r="H68" s="20" t="inlineStr">
        <is>
          <t>H – Finansijski uticaj / Rizik / Lekcija</t>
        </is>
      </c>
    </row>
    <row r="69" ht="30" customFormat="1" customHeight="1" s="21" thickBot="1">
      <c r="A69" s="15" t="inlineStr">
        <is>
          <t>F1</t>
        </is>
      </c>
      <c r="B69" s="16" t="inlineStr">
        <is>
          <t>EQUITY_SHARE</t>
        </is>
      </c>
      <c r="C69" s="17" t="inlineStr">
        <is>
          <t>Učešće equity-a</t>
        </is>
      </c>
      <c r="D69" s="18" t="n">
        <v>35</v>
      </c>
      <c r="E69" s="19" t="inlineStr">
        <is>
          <t>%</t>
        </is>
      </c>
      <c r="F69" s="17" t="inlineStr">
        <is>
          <t>Skin in the game</t>
        </is>
      </c>
      <c r="G69" s="19" t="inlineStr">
        <is>
          <t>Hard</t>
        </is>
      </c>
      <c r="H69" s="20" t="inlineStr">
        <is>
          <t>~5.27 mil €</t>
        </is>
      </c>
    </row>
    <row r="70" ht="30" customFormat="1" customHeight="1" s="21" thickBot="1">
      <c r="A70" s="15" t="inlineStr">
        <is>
          <t>F2</t>
        </is>
      </c>
      <c r="B70" s="16" t="inlineStr">
        <is>
          <t>GRANT_SHARE</t>
        </is>
      </c>
      <c r="C70" s="17" t="inlineStr">
        <is>
          <t>Grant (IPA III / WBIF)</t>
        </is>
      </c>
      <c r="D70" s="18" t="n">
        <v>15</v>
      </c>
      <c r="E70" s="19" t="inlineStr">
        <is>
          <t>%</t>
        </is>
      </c>
      <c r="F70" s="17" t="inlineStr">
        <is>
          <t>Green + industrial</t>
        </is>
      </c>
      <c r="G70" s="19" t="inlineStr">
        <is>
          <t>Hard</t>
        </is>
      </c>
      <c r="H70" s="20" t="inlineStr">
        <is>
          <t>~2.26 mil € besplatno</t>
        </is>
      </c>
    </row>
    <row r="71" ht="30" customFormat="1" customHeight="1" s="21" thickBot="1">
      <c r="A71" s="15" t="inlineStr">
        <is>
          <t>F3</t>
        </is>
      </c>
      <c r="B71" s="16" t="inlineStr">
        <is>
          <t>DEBT_SHARE</t>
        </is>
      </c>
      <c r="C71" s="17" t="inlineStr">
        <is>
          <t>Dug</t>
        </is>
      </c>
      <c r="D71" s="18" t="n">
        <v>50</v>
      </c>
      <c r="E71" s="19" t="inlineStr">
        <is>
          <t>%</t>
        </is>
      </c>
      <c r="F71" s="17" t="inlineStr">
        <is>
          <t>EBRD/IFC</t>
        </is>
      </c>
      <c r="G71" s="19" t="inlineStr">
        <is>
          <t>Hard</t>
        </is>
      </c>
      <c r="H71" s="20" t="inlineStr">
        <is>
          <t>~7.525 mil €</t>
        </is>
      </c>
    </row>
    <row r="72" ht="30" customFormat="1" customHeight="1" s="21" thickBot="1">
      <c r="A72" s="15" t="inlineStr">
        <is>
          <t>F4</t>
        </is>
      </c>
      <c r="B72" s="16" t="inlineStr">
        <is>
          <t>INT_RATE</t>
        </is>
      </c>
      <c r="C72" s="17" t="inlineStr">
        <is>
          <t>Kamatna stopa</t>
        </is>
      </c>
      <c r="D72" s="18" t="n">
        <v>6</v>
      </c>
      <c r="E72" s="19" t="inlineStr">
        <is>
          <t>%</t>
        </is>
      </c>
      <c r="F72" s="17" t="inlineStr">
        <is>
          <t>EURIBOR + margin</t>
        </is>
      </c>
      <c r="G72" s="19" t="inlineStr">
        <is>
          <t>Hard</t>
        </is>
      </c>
      <c r="H72" s="20" t="inlineStr">
        <is>
          <t>~451k €/god</t>
        </is>
      </c>
    </row>
    <row r="73" ht="30" customFormat="1" customHeight="1" s="21" thickBot="1">
      <c r="A73" s="15" t="inlineStr">
        <is>
          <t>F5</t>
        </is>
      </c>
      <c r="B73" s="16" t="inlineStr">
        <is>
          <t>LOAN_TENOR</t>
        </is>
      </c>
      <c r="C73" s="17" t="inlineStr">
        <is>
          <t>Tenor kredita</t>
        </is>
      </c>
      <c r="D73" s="18" t="n">
        <v>10</v>
      </c>
      <c r="E73" s="19" t="inlineStr">
        <is>
          <t>godina</t>
        </is>
      </c>
      <c r="F73" s="17" t="inlineStr">
        <is>
          <t>+ 36 m grace</t>
        </is>
      </c>
      <c r="G73" s="19" t="inlineStr">
        <is>
          <t>Hard</t>
        </is>
      </c>
      <c r="H73" s="20" t="inlineStr">
        <is>
          <t>Maturity matching</t>
        </is>
      </c>
    </row>
    <row r="74" ht="30" customFormat="1" customHeight="1" s="21" thickBot="1">
      <c r="A74" s="15" t="inlineStr">
        <is>
          <t>F6</t>
        </is>
      </c>
      <c r="B74" s="16" t="inlineStr">
        <is>
          <t>GRACE_PERIOD</t>
        </is>
      </c>
      <c r="C74" s="17" t="inlineStr">
        <is>
          <t>Grace period</t>
        </is>
      </c>
      <c r="D74" s="18" t="n">
        <v>36</v>
      </c>
      <c r="E74" s="19" t="inlineStr">
        <is>
          <t>mjeseci</t>
        </is>
      </c>
      <c r="F74" s="17" t="inlineStr">
        <is>
          <t>Do COD</t>
        </is>
      </c>
      <c r="G74" s="19" t="inlineStr">
        <is>
          <t>Hard</t>
        </is>
      </c>
      <c r="H74" s="20" t="inlineStr">
        <is>
          <t>Štit u ramp-upu</t>
        </is>
      </c>
    </row>
    <row r="75" ht="30" customFormat="1" customHeight="1" s="21" thickBot="1">
      <c r="A75" s="15" t="inlineStr">
        <is>
          <t>F8</t>
        </is>
      </c>
      <c r="B75" s="16" t="inlineStr">
        <is>
          <t>DSCR_MIN</t>
        </is>
      </c>
      <c r="C75" s="17" t="inlineStr">
        <is>
          <t>Min DSCR covenant</t>
        </is>
      </c>
      <c r="D75" s="18" t="n">
        <v>1.3</v>
      </c>
      <c r="E75" s="19" t="inlineStr">
        <is>
          <t>x</t>
        </is>
      </c>
      <c r="F75" s="17" t="inlineStr">
        <is>
          <t>IFC/EBRD</t>
        </is>
      </c>
      <c r="G75" s="19" t="inlineStr">
        <is>
          <t>Hard</t>
        </is>
      </c>
      <c r="H75" s="20" t="inlineStr">
        <is>
          <t>Model pokazuje 1.74x</t>
        </is>
      </c>
    </row>
    <row r="76" ht="52.5" customFormat="1" customHeight="1" s="14">
      <c r="A76" s="53" t="inlineStr">
        <is>
          <t>9. COST STRUCTURE SPLIT (CFO Optimizacija)</t>
        </is>
      </c>
    </row>
    <row r="77" ht="30" customFormat="1" customHeight="1" s="21" thickBot="1">
      <c r="A77" s="15" t="inlineStr">
        <is>
          <t>Br</t>
        </is>
      </c>
      <c r="B77" s="16" t="inlineStr">
        <is>
          <t>KEY</t>
        </is>
      </c>
      <c r="C77" s="17" t="inlineStr">
        <is>
          <t>Kategorija</t>
        </is>
      </c>
      <c r="D77" s="18" t="inlineStr">
        <is>
          <t>% od COGS/OPEX</t>
        </is>
      </c>
      <c r="E77" s="19" t="inlineStr">
        <is>
          <t>Iz nos na punom kapacitetu</t>
        </is>
      </c>
      <c r="F77" s="17" t="inlineStr">
        <is>
          <t>Napomena</t>
        </is>
      </c>
      <c r="G77" s="19" t="inlineStr">
        <is>
          <t>Status</t>
        </is>
      </c>
      <c r="H77" s="20" t="inlineStr">
        <is>
          <t>H – Finansijski uticaj / Rizik / Lekcija</t>
        </is>
      </c>
    </row>
    <row r="78" ht="30" customFormat="1" customHeight="1" s="21" thickBot="1">
      <c r="A78" s="15" t="inlineStr">
        <is>
          <t>CS1</t>
        </is>
      </c>
      <c r="B78" s="16" t="inlineStr">
        <is>
          <t>MATERIAL_COST_PCT</t>
        </is>
      </c>
      <c r="C78" s="17" t="inlineStr">
        <is>
          <t>Materijali (čelik)</t>
        </is>
      </c>
      <c r="D78" s="18" t="inlineStr">
        <is>
          <t>65–70</t>
        </is>
      </c>
      <c r="E78" s="19" t="inlineStr">
        <is>
          <t>~7.5–8.1 mil €</t>
        </is>
      </c>
      <c r="F78" s="17" t="inlineStr">
        <is>
          <t>Full pass-through</t>
        </is>
      </c>
      <c r="G78" s="19" t="inlineStr">
        <is>
          <t>Hard</t>
        </is>
      </c>
      <c r="H78" s="20" t="inlineStr">
        <is>
          <t>Najveći rizik – zaštićen indeksacijom</t>
        </is>
      </c>
    </row>
    <row r="79" ht="30" customFormat="1" customHeight="1" s="21" thickBot="1">
      <c r="A79" s="15" t="inlineStr">
        <is>
          <t>CS2</t>
        </is>
      </c>
      <c r="B79" s="16" t="inlineStr">
        <is>
          <t>LABOR_COST_PCT</t>
        </is>
      </c>
      <c r="C79" s="17" t="inlineStr">
        <is>
          <t>Radna snaga</t>
        </is>
      </c>
      <c r="D79" s="18" t="inlineStr">
        <is>
          <t>10–12</t>
        </is>
      </c>
      <c r="E79" s="19" t="inlineStr">
        <is>
          <t>~1.15–1.4 mil €</t>
        </is>
      </c>
      <c r="F79" s="17" t="inlineStr">
        <is>
          <t>55 radnika</t>
        </is>
      </c>
      <c r="G79" s="19" t="inlineStr">
        <is>
          <t>Hard</t>
        </is>
      </c>
      <c r="H79" s="20" t="inlineStr">
        <is>
          <t>Stabilno u CG</t>
        </is>
      </c>
    </row>
    <row r="80" ht="30" customFormat="1" customHeight="1" s="21" thickBot="1">
      <c r="A80" s="15" t="inlineStr">
        <is>
          <t>CS3</t>
        </is>
      </c>
      <c r="B80" s="16" t="inlineStr">
        <is>
          <t>ENERGY_COST_PCT</t>
        </is>
      </c>
      <c r="C80" s="17" t="inlineStr">
        <is>
          <t>Energija</t>
        </is>
      </c>
      <c r="D80" s="18" t="inlineStr">
        <is>
          <t>5–7</t>
        </is>
      </c>
      <c r="E80" s="19" t="inlineStr">
        <is>
          <t>~0.6–0.8 mil €</t>
        </is>
      </c>
      <c r="F80" s="17" t="inlineStr">
        <is>
          <t>Solar pokriva 10–15 %</t>
        </is>
      </c>
      <c r="G80" s="19" t="inlineStr">
        <is>
          <t>Hard</t>
        </is>
      </c>
      <c r="H80" s="20" t="inlineStr">
        <is>
          <t>Najjači lever za marginu</t>
        </is>
      </c>
    </row>
    <row r="81" ht="30" customFormat="1" customHeight="1" s="21" thickBot="1">
      <c r="A81" s="15" t="inlineStr">
        <is>
          <t>CS5</t>
        </is>
      </c>
      <c r="B81" s="16" t="inlineStr">
        <is>
          <t>FIXED_OPEX_PCT</t>
        </is>
      </c>
      <c r="C81" s="17" t="inlineStr">
        <is>
          <t>Fiksni troškovi</t>
        </is>
      </c>
      <c r="D81" s="18" t="inlineStr">
        <is>
          <t>5–8</t>
        </is>
      </c>
      <c r="E81" s="19" t="inlineStr">
        <is>
          <t>~0.6–0.9 mil €</t>
        </is>
      </c>
      <c r="F81" s="17" t="inlineStr">
        <is>
          <t>Maintenance + insurance</t>
        </is>
      </c>
      <c r="G81" s="19" t="inlineStr">
        <is>
          <t>Hard</t>
        </is>
      </c>
      <c r="H81" s="20" t="inlineStr">
        <is>
          <t>Stabilno</t>
        </is>
      </c>
    </row>
    <row r="82" ht="30" customFormat="1" customHeight="1" s="21" thickBot="1">
      <c r="A82" s="15" t="inlineStr">
        <is>
          <t>CS6</t>
        </is>
      </c>
      <c r="B82" s="16" t="inlineStr">
        <is>
          <t>TOTAL_COGS_PCT</t>
        </is>
      </c>
      <c r="C82" s="17" t="inlineStr">
        <is>
          <t>Ukupni COGS</t>
        </is>
      </c>
      <c r="D82" s="18" t="n">
        <v>100</v>
      </c>
      <c r="E82" s="19" t="inlineStr">
        <is>
          <t>~11.5–12.5 mil €</t>
        </is>
      </c>
      <c r="F82" s="17" t="inlineStr">
        <is>
          <t>Ciljana EBITDA 18–22 %</t>
        </is>
      </c>
      <c r="G82" s="19" t="inlineStr">
        <is>
          <t>Hard</t>
        </is>
      </c>
      <c r="H82" s="20" t="inlineStr">
        <is>
          <t>Osnova za DSCR</t>
        </is>
      </c>
    </row>
    <row r="83" ht="52.5" customFormat="1" customHeight="1" s="14">
      <c r="A83" s="53" t="inlineStr">
        <is>
          <t>10. ESG &amp; IMPACT</t>
        </is>
      </c>
    </row>
    <row r="84" ht="30" customFormat="1" customHeight="1" s="21" thickBot="1">
      <c r="A84" s="15" t="inlineStr">
        <is>
          <t>ESG1</t>
        </is>
      </c>
      <c r="B84" s="16" t="inlineStr">
        <is>
          <t>CO2_SAVINGS</t>
        </is>
      </c>
      <c r="C84" s="17" t="inlineStr">
        <is>
          <t>Godišnja ušteda CO₂</t>
        </is>
      </c>
      <c r="D84" s="18" t="n">
        <v>520</v>
      </c>
      <c r="E84" s="19" t="inlineStr">
        <is>
          <t>t/god</t>
        </is>
      </c>
      <c r="F84" s="17" t="inlineStr">
        <is>
          <t>Solar + efikasnost</t>
        </is>
      </c>
      <c r="G84" s="19" t="inlineStr">
        <is>
          <t>Hard</t>
        </is>
      </c>
      <c r="H84" s="20" t="inlineStr">
        <is>
          <t>Grant + greenium</t>
        </is>
      </c>
    </row>
    <row r="85" ht="30" customFormat="1" customHeight="1" s="21" thickBot="1">
      <c r="A85" s="15" t="inlineStr">
        <is>
          <t>ESG2</t>
        </is>
      </c>
      <c r="B85" s="16" t="inlineStr">
        <is>
          <t>JOBS_CREATED</t>
        </is>
      </c>
      <c r="C85" s="17" t="inlineStr">
        <is>
          <t>Nova radna mjesta</t>
        </is>
      </c>
      <c r="D85" s="18" t="inlineStr">
        <is>
          <t>55 + 30–40</t>
        </is>
      </c>
      <c r="E85" s="19" t="inlineStr">
        <is>
          <t>broj</t>
        </is>
      </c>
      <c r="F85" s="17" t="inlineStr">
        <is>
          <t>Direktno + indirektno</t>
        </is>
      </c>
      <c r="G85" s="19" t="inlineStr">
        <is>
          <t>Hard</t>
        </is>
      </c>
      <c r="H85" s="20" t="inlineStr">
        <is>
          <t>Socijalni KPI za grantove</t>
        </is>
      </c>
    </row>
    <row r="86" ht="30" customFormat="1" customHeight="1" s="21" thickBot="1">
      <c r="A86" s="15" t="inlineStr">
        <is>
          <t>ESG3</t>
        </is>
      </c>
      <c r="B86" s="16" t="inlineStr">
        <is>
          <t>ENERGY_COST_REDUCTION</t>
        </is>
      </c>
      <c r="C86" s="17" t="inlineStr">
        <is>
          <t>Smanjenje kupljene energije</t>
        </is>
      </c>
      <c r="D86" s="18" t="n">
        <v>30</v>
      </c>
      <c r="E86" s="19" t="inlineStr">
        <is>
          <t>%</t>
        </is>
      </c>
      <c r="F86" s="17" t="inlineStr">
        <is>
          <t>Solar + optimizacija</t>
        </is>
      </c>
      <c r="G86" s="19" t="inlineStr">
        <is>
          <t>Hard</t>
        </is>
      </c>
      <c r="H86" s="20" t="inlineStr">
        <is>
          <t>OPEX ušteda 250–350k €/god</t>
        </is>
      </c>
    </row>
    <row r="87" ht="52.5" customFormat="1" customHeight="1" s="14">
      <c r="A87" s="53" t="inlineStr">
        <is>
          <t>11. RISK &amp; DECOMMISSIONING</t>
        </is>
      </c>
    </row>
    <row r="88" ht="30" customFormat="1" customHeight="1" s="21" thickBot="1">
      <c r="A88" s="15" t="inlineStr">
        <is>
          <t>RD1</t>
        </is>
      </c>
      <c r="B88" s="16" t="inlineStr">
        <is>
          <t>INSURANCE_PREM</t>
        </is>
      </c>
      <c r="C88" s="17" t="inlineStr">
        <is>
          <t>Osiguranje</t>
        </is>
      </c>
      <c r="D88" s="18" t="n">
        <v>0.5</v>
      </c>
      <c r="E88" s="19" t="inlineStr">
        <is>
          <t>% CAPEX</t>
        </is>
      </c>
      <c r="F88" s="17" t="inlineStr">
        <is>
          <t>Property + BI + MB</t>
        </is>
      </c>
      <c r="G88" s="19" t="inlineStr">
        <is>
          <t>Hard</t>
        </is>
      </c>
      <c r="H88" s="20" t="inlineStr">
        <is>
          <t>Transfer rizika</t>
        </is>
      </c>
    </row>
    <row r="89" ht="30" customFormat="1" customHeight="1" s="21" thickBot="1">
      <c r="A89" s="15" t="inlineStr">
        <is>
          <t>RD2</t>
        </is>
      </c>
      <c r="B89" s="16" t="inlineStr">
        <is>
          <t>BI_COVERAGE</t>
        </is>
      </c>
      <c r="C89" s="17" t="inlineStr">
        <is>
          <t>Business Interruption</t>
        </is>
      </c>
      <c r="D89" s="18" t="n">
        <v>6</v>
      </c>
      <c r="E89" s="19" t="inlineStr">
        <is>
          <t>mjeseci</t>
        </is>
      </c>
      <c r="F89" s="17" t="inlineStr">
        <is>
          <t>Pokriva rate + fiksni troškovi</t>
        </is>
      </c>
      <c r="G89" s="19" t="inlineStr">
        <is>
          <t>Hard</t>
        </is>
      </c>
      <c r="H89" s="20" t="inlineStr">
        <is>
          <t>Keš jastuk</t>
        </is>
      </c>
    </row>
    <row r="90" ht="30" customFormat="1" customHeight="1" s="21" thickBot="1">
      <c r="A90" s="15" t="inlineStr">
        <is>
          <t>RD3</t>
        </is>
      </c>
      <c r="B90" s="16" t="inlineStr">
        <is>
          <t>DECOMM_COST</t>
        </is>
      </c>
      <c r="C90" s="17" t="inlineStr">
        <is>
          <t>Dekomisija</t>
        </is>
      </c>
      <c r="D90" s="18" t="n">
        <v>0.03</v>
      </c>
      <c r="E90" s="19" t="inlineStr">
        <is>
          <t>% assets</t>
        </is>
      </c>
      <c r="F90" s="17" t="inlineStr">
        <is>
          <t>IAS 37 ARO</t>
        </is>
      </c>
      <c r="G90" s="19" t="inlineStr">
        <is>
          <t>Hard</t>
        </is>
      </c>
      <c r="H90" s="20" t="inlineStr">
        <is>
          <t>DNSH princip</t>
        </is>
      </c>
    </row>
    <row r="91" ht="30" customFormat="1" customHeight="1" s="21" thickBot="1">
      <c r="A91" s="15" t="inlineStr">
        <is>
          <t>RD6</t>
        </is>
      </c>
      <c r="B91" s="16" t="inlineStr">
        <is>
          <t>MAINTENANCE_CAPEX</t>
        </is>
      </c>
      <c r="C91" s="17" t="inlineStr">
        <is>
          <t>Održavanje</t>
        </is>
      </c>
      <c r="D91" s="18" t="inlineStr">
        <is>
          <t>2–3</t>
        </is>
      </c>
      <c r="E91" s="19" t="inlineStr">
        <is>
          <t>% equipment</t>
        </is>
      </c>
      <c r="F91" s="17" t="inlineStr">
        <is>
          <t>Preventivno</t>
        </is>
      </c>
      <c r="G91" s="19" t="inlineStr">
        <is>
          <t>Hard</t>
        </is>
      </c>
      <c r="H91" s="20" t="inlineStr">
        <is>
          <t>Sprječava impairment</t>
        </is>
      </c>
    </row>
    <row r="92" ht="30" customFormat="1" customHeight="1" s="21" thickBot="1">
      <c r="A92" s="15" t="inlineStr">
        <is>
          <t>RD7</t>
        </is>
      </c>
      <c r="B92" s="16" t="inlineStr">
        <is>
          <t>DSRA</t>
        </is>
      </c>
      <c r="C92" s="17" t="inlineStr">
        <is>
          <t>Debt Service Reserve Account</t>
        </is>
      </c>
      <c r="D92" s="18" t="n">
        <v>6</v>
      </c>
      <c r="E92" s="19" t="inlineStr">
        <is>
          <t>mjeseci</t>
        </is>
      </c>
      <c r="F92" s="17" t="inlineStr">
        <is>
          <t>IFC/EBRD standard</t>
        </is>
      </c>
      <c r="G92" s="19" t="inlineStr">
        <is>
          <t>Hard</t>
        </is>
      </c>
      <c r="H92" s="20" t="inlineStr">
        <is>
          <t>Zaštita DSCR</t>
        </is>
      </c>
    </row>
    <row r="93" ht="52.5" customFormat="1" customHeight="1" s="14">
      <c r="A93" s="53" t="inlineStr">
        <is>
          <t>12. SCENARIOS &amp; SENSITIVITY (za banku)</t>
        </is>
      </c>
    </row>
    <row r="94" ht="30" customFormat="1" customHeight="1" s="21" thickBot="1">
      <c r="A94" s="15" t="n"/>
      <c r="B94" s="16" t="inlineStr">
        <is>
          <t>Scenarij</t>
        </is>
      </c>
      <c r="C94" s="17" t="inlineStr">
        <is>
          <t>Ključne promjene (u odnosu na base)</t>
        </is>
      </c>
      <c r="D94" s="18" t="inlineStr">
        <is>
          <t>Equity IRR</t>
        </is>
      </c>
      <c r="E94" s="19" t="inlineStr">
        <is>
          <t>Min DSCR (Y1–Y3)</t>
        </is>
      </c>
      <c r="F94" s="17" t="inlineStr">
        <is>
          <t>NPV @8 % (mil €)</t>
        </is>
      </c>
      <c r="G94" s="19" t="inlineStr">
        <is>
          <t>Bankarski komentar / Lekcija</t>
        </is>
      </c>
      <c r="H94" s="20" t="n"/>
    </row>
    <row r="95" ht="30" customFormat="1" customHeight="1" s="21" thickBot="1">
      <c r="A95" s="15" t="n"/>
      <c r="B95" s="16" t="inlineStr">
        <is>
          <t>Base Case</t>
        </is>
      </c>
      <c r="C95" s="17" t="inlineStr">
        <is>
          <t>COD 01.07.2029, steel 800 €/t, pass-through 1.0, energy 1.6 MWh/t, TRY 51.7, solar 100 %</t>
        </is>
      </c>
      <c r="D95" s="18" t="n">
        <v>0.26</v>
      </c>
      <c r="E95" s="19" t="inlineStr">
        <is>
          <t>1.74x</t>
        </is>
      </c>
      <c r="F95" s="17" t="n">
        <v>11.2</v>
      </c>
      <c r="G95" s="19" t="inlineStr">
        <is>
          <t>Realističan, bankabilan, grant-eligible</t>
        </is>
      </c>
      <c r="H95" s="20" t="n"/>
    </row>
    <row r="96" ht="30" customFormat="1" customHeight="1" s="21" thickBot="1">
      <c r="A96" s="15" t="n"/>
      <c r="B96" s="16" t="inlineStr">
        <is>
          <t>Downside – COD Delay 6m</t>
        </is>
      </c>
      <c r="C96" s="17" t="inlineStr">
        <is>
          <t>COD → 01.01.2030, grace skraćen, CAPEX inflacija +4 %, ramp-up kasni</t>
        </is>
      </c>
      <c r="D96" s="18" t="n">
        <v>0.208</v>
      </c>
      <c r="E96" s="19" t="inlineStr">
        <is>
          <t>0.92x</t>
        </is>
      </c>
      <c r="F96" s="17" t="n">
        <v>4.1</v>
      </c>
      <c r="G96" s="19" t="inlineStr">
        <is>
          <t>Najkritičniji rizik. EPC LD + equity cure obavezan. Contingency 9.5 % spašava</t>
        </is>
      </c>
      <c r="H96" s="20" t="n"/>
    </row>
    <row r="97" ht="30" customFormat="1" customHeight="1" s="21" thickBot="1">
      <c r="A97" s="15" t="n"/>
      <c r="B97" s="16" t="inlineStr">
        <is>
          <t>Downside – Steel Shock</t>
        </is>
      </c>
      <c r="C97" s="17" t="inlineStr">
        <is>
          <t>HRC +25 % (na 1.000 €/t), pass-through pada na 0.8 u Y1</t>
        </is>
      </c>
      <c r="D97" s="18" t="n">
        <v>0.224</v>
      </c>
      <c r="E97" s="19" t="inlineStr">
        <is>
          <t>1.18x</t>
        </is>
      </c>
      <c r="F97" s="17" t="n">
        <v>6.8</v>
      </c>
      <c r="G97" s="19" t="inlineStr">
        <is>
          <t>EBITDA -9 %. Sa RI3=1.0 → uticaj &lt;1 pp. Full indeksacija obavezna</t>
        </is>
      </c>
      <c r="H97" s="20" t="n"/>
    </row>
    <row r="98" ht="30" customFormat="1" customHeight="1" s="21" thickBot="1">
      <c r="A98" s="15" t="n"/>
      <c r="B98" s="16" t="inlineStr">
        <is>
          <t>Downside – TRY Weakness</t>
        </is>
      </c>
      <c r="C98" s="17" t="inlineStr">
        <is>
          <t>TRY -18 % (na 61), Machine Park +0.55 mil € CAPEX</t>
        </is>
      </c>
      <c r="D98" s="18" t="n">
        <v>0.241</v>
      </c>
      <c r="E98" s="19" t="inlineStr">
        <is>
          <t>1.35x</t>
        </is>
      </c>
      <c r="F98" s="17" t="n">
        <v>8.9</v>
      </c>
      <c r="G98" s="19" t="inlineStr">
        <is>
          <t>Hedžuj 80 % u EUR – bez hedža IRR pada ispod 22 %</t>
        </is>
      </c>
      <c r="H98" s="20" t="n"/>
    </row>
    <row r="99" ht="30" customFormat="1" customHeight="1" s="21" thickBot="1">
      <c r="A99" s="15" t="n"/>
      <c r="B99" s="16" t="inlineStr">
        <is>
          <t>Downside – Energy Spike</t>
        </is>
      </c>
      <c r="C99" s="17" t="inlineStr">
        <is>
          <t>Struja +22 % (bez solara), energy 7.5 % COGS</t>
        </is>
      </c>
      <c r="D99" s="18" t="n">
        <v>0.247</v>
      </c>
      <c r="E99" s="19" t="inlineStr">
        <is>
          <t>1.42x</t>
        </is>
      </c>
      <c r="F99" s="17" t="n">
        <v>9.300000000000001</v>
      </c>
      <c r="G99" s="19" t="inlineStr">
        <is>
          <t>Solar + PPA = ključni štit. Ušteda 280k €/god spašava marginu</t>
        </is>
      </c>
      <c r="H99" s="20" t="n"/>
    </row>
    <row r="100" ht="30" customFormat="1" customHeight="1" s="21" thickBot="1">
      <c r="A100" s="15" t="n"/>
      <c r="B100" s="16" t="inlineStr">
        <is>
          <t>Combined Downside</t>
        </is>
      </c>
      <c r="C100" s="17" t="inlineStr">
        <is>
          <t>Delay 6m + HRC +25 % + TRY -18 % + energy +15 % (najgori realni slučaj)</t>
        </is>
      </c>
      <c r="D100" s="18" t="n">
        <v>0.189</v>
      </c>
      <c r="E100" s="19" t="inlineStr">
        <is>
          <t>1.05x</t>
        </is>
      </c>
      <c r="F100" s="17" t="n">
        <v>2.8</v>
      </c>
      <c r="G100" s="19" t="inlineStr">
        <is>
          <t>IRR još uvijek &gt; WACC 9.5 %. DSCR blizu breakevena → DSRA + equity cure</t>
        </is>
      </c>
      <c r="H100" s="20" t="n"/>
    </row>
    <row r="101" ht="30" customFormat="1" customHeight="1" s="21" thickBot="1">
      <c r="A101" s="15" t="n"/>
      <c r="B101" s="16" t="inlineStr">
        <is>
          <t>Upside – Grant + Ramp</t>
        </is>
      </c>
      <c r="C101" s="17" t="inlineStr">
        <is>
          <t>Grant 20 %, ramp-up Y1 55 %, solar yield +12 %, full off-take od Y2</t>
        </is>
      </c>
      <c r="D101" s="18" t="n">
        <v>0.312</v>
      </c>
      <c r="E101" s="19" t="inlineStr">
        <is>
          <t>2.15x</t>
        </is>
      </c>
      <c r="F101" s="17" t="n">
        <v>18.4</v>
      </c>
      <c r="G101" s="19" t="inlineStr">
        <is>
          <t>Green premium + niža kamata (greenium -0.75 %)</t>
        </is>
      </c>
      <c r="H101" s="20" t="n"/>
    </row>
    <row r="102" ht="30" customFormat="1" customHeight="1" s="21" thickBot="1">
      <c r="A102" s="15" t="n"/>
      <c r="B102" s="16" t="inlineStr">
        <is>
          <t>Break-even</t>
        </is>
      </c>
      <c r="C102" s="17" t="inlineStr">
        <is>
          <t>Min potrebno za IRR = WACC 9.5 %</t>
        </is>
      </c>
      <c r="D102" s="18" t="n">
        <v>0.095</v>
      </c>
      <c r="E102" s="19" t="inlineStr">
        <is>
          <t>1.30x</t>
        </is>
      </c>
      <c r="F102" s="17" t="n">
        <v>0</v>
      </c>
      <c r="G102" s="19" t="inlineStr">
        <is>
          <t>Volume 58 kt/god ili steel pass-through ≥0.65</t>
        </is>
      </c>
      <c r="H102" s="20" t="n"/>
    </row>
    <row r="103" ht="30" customFormat="1" customHeight="1" s="21" thickBot="1">
      <c r="A103" s="15" t="n"/>
      <c r="B103" s="16" t="n"/>
      <c r="C103" s="17" t="n"/>
      <c r="D103" s="18" t="n"/>
      <c r="E103" s="19" t="n"/>
      <c r="F103" s="17" t="n"/>
      <c r="G103" s="19" t="n"/>
      <c r="H103" s="20" t="n"/>
    </row>
    <row r="104" ht="30" customFormat="1" customHeight="1" s="21" thickBot="1">
      <c r="A104" s="15" t="n"/>
      <c r="B104" s="16" t="n"/>
      <c r="C104" s="17" t="n"/>
      <c r="D104" s="18" t="n"/>
      <c r="E104" s="19" t="n"/>
      <c r="F104" s="17" t="n"/>
      <c r="G104" s="19" t="n"/>
      <c r="H104" s="20" t="n"/>
    </row>
    <row r="105" ht="30" customFormat="1" customHeight="1" s="21" thickBot="1">
      <c r="A105" s="15" t="n"/>
      <c r="B105" s="16" t="n"/>
      <c r="C105" s="17" t="n"/>
      <c r="D105" s="18" t="n"/>
      <c r="E105" s="19" t="n"/>
      <c r="F105" s="17" t="n"/>
      <c r="G105" s="19" t="n"/>
      <c r="H105" s="20" t="n"/>
    </row>
    <row r="106" ht="30" customFormat="1" customHeight="1" s="21" thickBot="1">
      <c r="A106" s="15" t="n"/>
      <c r="B106" s="16" t="n"/>
      <c r="C106" s="17" t="n"/>
      <c r="D106" s="18" t="n"/>
      <c r="E106" s="19" t="n"/>
      <c r="F106" s="17" t="n"/>
      <c r="G106" s="19" t="n"/>
      <c r="H106" s="20" t="n"/>
    </row>
    <row r="107" ht="30" customFormat="1" customHeight="1" s="21" thickBot="1">
      <c r="A107" s="15" t="n"/>
      <c r="B107" s="16" t="n"/>
      <c r="C107" s="17" t="n"/>
      <c r="D107" s="18" t="n"/>
      <c r="E107" s="19" t="n"/>
      <c r="F107" s="17" t="n"/>
      <c r="G107" s="19" t="n"/>
      <c r="H107" s="20" t="n"/>
    </row>
    <row r="108" ht="30" customFormat="1" customHeight="1" s="21" thickBot="1">
      <c r="A108" s="15" t="n"/>
      <c r="B108" s="16" t="n"/>
      <c r="C108" s="17" t="n"/>
      <c r="D108" s="18" t="n"/>
      <c r="E108" s="19" t="n"/>
      <c r="F108" s="17" t="n"/>
      <c r="G108" s="19" t="n"/>
      <c r="H108" s="20" t="n"/>
    </row>
    <row r="109" ht="30" customFormat="1" customHeight="1" s="21" thickBot="1">
      <c r="A109" s="15" t="n"/>
      <c r="B109" s="16" t="n"/>
      <c r="C109" s="17" t="n"/>
      <c r="D109" s="18" t="n"/>
      <c r="E109" s="19" t="n"/>
      <c r="F109" s="17" t="n"/>
      <c r="G109" s="19" t="n"/>
      <c r="H109" s="20" t="n"/>
    </row>
    <row r="110" ht="30" customFormat="1" customHeight="1" s="21" thickBot="1">
      <c r="A110" s="15" t="n"/>
      <c r="B110" s="16" t="n"/>
      <c r="C110" s="17" t="n"/>
      <c r="D110" s="18" t="n"/>
      <c r="E110" s="19" t="n"/>
      <c r="F110" s="17" t="n"/>
      <c r="G110" s="19" t="n"/>
      <c r="H110" s="20" t="n"/>
    </row>
    <row r="111" ht="30" customFormat="1" customHeight="1" s="21" thickBot="1">
      <c r="A111" s="15" t="n"/>
      <c r="B111" s="16" t="n"/>
      <c r="C111" s="17" t="n"/>
      <c r="D111" s="18" t="n"/>
      <c r="E111" s="19" t="n"/>
      <c r="F111" s="17" t="n"/>
      <c r="G111" s="19" t="n"/>
      <c r="H111" s="20" t="n"/>
    </row>
    <row r="112" ht="30" customFormat="1" customHeight="1" s="21" thickBot="1">
      <c r="A112" s="15" t="n"/>
      <c r="B112" s="16" t="n"/>
      <c r="C112" s="17" t="n"/>
      <c r="D112" s="18" t="n"/>
      <c r="E112" s="19" t="n"/>
      <c r="F112" s="17" t="n"/>
      <c r="G112" s="19" t="n"/>
      <c r="H112" s="20" t="n"/>
    </row>
    <row r="113" ht="30" customFormat="1" customHeight="1" s="21" thickBot="1">
      <c r="A113" s="15" t="n"/>
      <c r="B113" s="16" t="n"/>
      <c r="C113" s="17" t="n"/>
      <c r="D113" s="18" t="n"/>
      <c r="E113" s="19" t="n"/>
      <c r="F113" s="17" t="n"/>
      <c r="G113" s="19" t="n"/>
      <c r="H113" s="20" t="n"/>
    </row>
    <row r="114" ht="30" customFormat="1" customHeight="1" s="21" thickBot="1">
      <c r="A114" s="15" t="n"/>
      <c r="B114" s="16" t="n"/>
      <c r="C114" s="17" t="n"/>
      <c r="D114" s="18" t="n"/>
      <c r="E114" s="19" t="n"/>
      <c r="F114" s="17" t="n"/>
      <c r="G114" s="19" t="n"/>
      <c r="H114" s="20" t="n"/>
    </row>
    <row r="115" ht="30" customFormat="1" customHeight="1" s="21" thickBot="1">
      <c r="A115" s="15" t="n"/>
      <c r="B115" s="16" t="n"/>
      <c r="C115" s="17" t="n"/>
      <c r="D115" s="18" t="n"/>
      <c r="E115" s="19" t="n"/>
      <c r="F115" s="17" t="n"/>
      <c r="G115" s="19" t="n"/>
      <c r="H115" s="20" t="n"/>
    </row>
    <row r="116" ht="30" customFormat="1" customHeight="1" s="21" thickBot="1">
      <c r="A116" s="15" t="n"/>
      <c r="B116" s="16" t="n"/>
      <c r="C116" s="17" t="n"/>
      <c r="D116" s="18" t="n"/>
      <c r="E116" s="19" t="n"/>
      <c r="F116" s="17" t="n"/>
      <c r="G116" s="19" t="n"/>
      <c r="H116" s="20" t="n"/>
    </row>
    <row r="117" ht="30" customFormat="1" customHeight="1" s="21" thickBot="1">
      <c r="A117" s="15" t="n"/>
      <c r="B117" s="16" t="n"/>
      <c r="C117" s="17" t="n"/>
      <c r="D117" s="18" t="n"/>
      <c r="E117" s="19" t="n"/>
      <c r="F117" s="17" t="n"/>
      <c r="G117" s="19" t="n"/>
      <c r="H117" s="20" t="n"/>
    </row>
    <row r="118" ht="30" customFormat="1" customHeight="1" s="21" thickBot="1">
      <c r="A118" s="15" t="n"/>
      <c r="B118" s="16" t="n"/>
      <c r="C118" s="17" t="n"/>
      <c r="D118" s="18" t="n"/>
      <c r="E118" s="19" t="n"/>
      <c r="F118" s="17" t="n"/>
      <c r="G118" s="19" t="n"/>
      <c r="H118" s="20" t="n"/>
    </row>
    <row r="119" ht="30" customFormat="1" customHeight="1" s="21" thickBot="1">
      <c r="A119" s="15" t="n"/>
      <c r="B119" s="16" t="n"/>
      <c r="C119" s="17" t="n"/>
      <c r="D119" s="18" t="n"/>
      <c r="E119" s="19" t="n"/>
      <c r="F119" s="17" t="n"/>
      <c r="G119" s="19" t="n"/>
      <c r="H119" s="20" t="n"/>
    </row>
    <row r="120" ht="30" customFormat="1" customHeight="1" s="21" thickBot="1">
      <c r="A120" s="15" t="n"/>
      <c r="B120" s="16" t="n"/>
      <c r="C120" s="17" t="n"/>
      <c r="D120" s="18" t="n"/>
      <c r="E120" s="19" t="n"/>
      <c r="F120" s="17" t="n"/>
      <c r="G120" s="19" t="n"/>
      <c r="H120" s="20" t="n"/>
    </row>
    <row r="121" ht="30" customFormat="1" customHeight="1" s="21" thickBot="1">
      <c r="A121" s="15" t="n"/>
      <c r="B121" s="16" t="n"/>
      <c r="C121" s="17" t="n"/>
      <c r="D121" s="18" t="n"/>
      <c r="E121" s="19" t="n"/>
      <c r="F121" s="17" t="n"/>
      <c r="G121" s="19" t="n"/>
      <c r="H121" s="20" t="n"/>
    </row>
    <row r="122" ht="30" customFormat="1" customHeight="1" s="21" thickBot="1">
      <c r="A122" s="15" t="n"/>
      <c r="B122" s="16" t="n"/>
      <c r="C122" s="17" t="n"/>
      <c r="D122" s="18" t="n"/>
      <c r="E122" s="19" t="n"/>
      <c r="F122" s="17" t="n"/>
      <c r="G122" s="19" t="n"/>
      <c r="H122" s="20" t="n"/>
    </row>
    <row r="123" ht="30" customFormat="1" customHeight="1" s="21" thickBot="1">
      <c r="A123" s="15" t="n"/>
      <c r="B123" s="16" t="n"/>
      <c r="C123" s="17" t="n"/>
      <c r="D123" s="18" t="n"/>
      <c r="E123" s="19" t="n"/>
      <c r="F123" s="17" t="n"/>
      <c r="G123" s="19" t="n"/>
      <c r="H123" s="20" t="n"/>
    </row>
    <row r="124" ht="30" customFormat="1" customHeight="1" s="21" thickBot="1">
      <c r="A124" s="15" t="n"/>
      <c r="B124" s="16" t="n"/>
      <c r="C124" s="17" t="n"/>
      <c r="D124" s="18" t="n"/>
      <c r="E124" s="19" t="n"/>
      <c r="F124" s="17" t="n"/>
      <c r="G124" s="19" t="n"/>
      <c r="H124" s="20" t="n"/>
    </row>
    <row r="125" ht="30" customFormat="1" customHeight="1" s="21" thickBot="1">
      <c r="A125" s="15" t="n"/>
      <c r="B125" s="16" t="n"/>
      <c r="C125" s="17" t="n"/>
      <c r="D125" s="18" t="n"/>
      <c r="E125" s="19" t="n"/>
      <c r="F125" s="17" t="n"/>
      <c r="G125" s="19" t="n"/>
      <c r="H125" s="20" t="n"/>
    </row>
    <row r="126" ht="30" customFormat="1" customHeight="1" s="21" thickBot="1">
      <c r="A126" s="15" t="n"/>
      <c r="B126" s="16" t="n"/>
      <c r="C126" s="17" t="n"/>
      <c r="D126" s="18" t="n"/>
      <c r="E126" s="19" t="n"/>
      <c r="F126" s="17" t="n"/>
      <c r="G126" s="19" t="n"/>
      <c r="H126" s="20" t="n"/>
    </row>
    <row r="127" ht="30" customFormat="1" customHeight="1" s="21" thickBot="1">
      <c r="A127" s="15" t="n"/>
      <c r="B127" s="16" t="n"/>
      <c r="C127" s="17" t="n"/>
      <c r="D127" s="18" t="n"/>
      <c r="E127" s="19" t="n"/>
      <c r="F127" s="17" t="n"/>
      <c r="G127" s="19" t="n"/>
      <c r="H127" s="20" t="n"/>
    </row>
    <row r="128" ht="30" customFormat="1" customHeight="1" s="21" thickBot="1">
      <c r="A128" s="15" t="n"/>
      <c r="B128" s="16" t="n"/>
      <c r="C128" s="17" t="n"/>
      <c r="D128" s="18" t="n"/>
      <c r="E128" s="19" t="n"/>
      <c r="F128" s="17" t="n"/>
      <c r="G128" s="19" t="n"/>
      <c r="H128" s="20" t="n"/>
    </row>
    <row r="129" ht="30" customFormat="1" customHeight="1" s="21" thickBot="1">
      <c r="A129" s="15" t="n"/>
      <c r="B129" s="16" t="n"/>
      <c r="C129" s="17" t="n"/>
      <c r="D129" s="18" t="n"/>
      <c r="E129" s="19" t="n"/>
      <c r="F129" s="17" t="n"/>
      <c r="G129" s="19" t="n"/>
      <c r="H129" s="20" t="n"/>
    </row>
    <row r="130" ht="30" customFormat="1" customHeight="1" s="21" thickBot="1">
      <c r="A130" s="15" t="n"/>
      <c r="B130" s="16" t="n"/>
      <c r="C130" s="17" t="n"/>
      <c r="D130" s="18" t="n"/>
      <c r="E130" s="19" t="n"/>
      <c r="F130" s="17" t="n"/>
      <c r="G130" s="19" t="n"/>
      <c r="H130" s="20" t="n"/>
    </row>
    <row r="131" ht="30" customFormat="1" customHeight="1" s="21" thickBot="1">
      <c r="A131" s="15" t="n"/>
      <c r="B131" s="16" t="n"/>
      <c r="C131" s="17" t="n"/>
      <c r="D131" s="18" t="n"/>
      <c r="E131" s="19" t="n"/>
      <c r="F131" s="17" t="n"/>
      <c r="G131" s="19" t="n"/>
      <c r="H131" s="20" t="n"/>
    </row>
    <row r="132" ht="30" customFormat="1" customHeight="1" s="21" thickBot="1">
      <c r="A132" s="15" t="n"/>
      <c r="B132" s="16" t="n"/>
      <c r="C132" s="17" t="n"/>
      <c r="D132" s="18" t="n"/>
      <c r="E132" s="19" t="n"/>
      <c r="F132" s="17" t="n"/>
      <c r="G132" s="19" t="n"/>
      <c r="H132" s="20" t="n"/>
    </row>
    <row r="133" ht="30" customFormat="1" customHeight="1" s="21" thickBot="1">
      <c r="A133" s="15" t="n"/>
      <c r="B133" s="16" t="n"/>
      <c r="C133" s="17" t="n"/>
      <c r="D133" s="18" t="n"/>
      <c r="E133" s="19" t="n"/>
      <c r="F133" s="17" t="n"/>
      <c r="G133" s="19" t="n"/>
      <c r="H133" s="20" t="n"/>
    </row>
    <row r="134" ht="30" customFormat="1" customHeight="1" s="21" thickBot="1">
      <c r="A134" s="15" t="n"/>
      <c r="B134" s="16" t="n"/>
      <c r="C134" s="17" t="n"/>
      <c r="D134" s="18" t="n"/>
      <c r="E134" s="19" t="n"/>
      <c r="F134" s="17" t="n"/>
      <c r="G134" s="19" t="n"/>
      <c r="H134" s="20" t="n"/>
    </row>
    <row r="135" ht="30" customFormat="1" customHeight="1" s="21" thickBot="1">
      <c r="A135" s="15" t="n"/>
      <c r="B135" s="16" t="n"/>
      <c r="C135" s="17" t="n"/>
      <c r="D135" s="18" t="n"/>
      <c r="E135" s="19" t="n"/>
      <c r="F135" s="17" t="n"/>
      <c r="G135" s="19" t="n"/>
      <c r="H135" s="20" t="n"/>
    </row>
    <row r="136" ht="30" customFormat="1" customHeight="1" s="21" thickBot="1">
      <c r="A136" s="15" t="n"/>
      <c r="B136" s="16" t="n"/>
      <c r="C136" s="17" t="n"/>
      <c r="D136" s="18" t="n"/>
      <c r="E136" s="19" t="n"/>
      <c r="F136" s="17" t="n"/>
      <c r="G136" s="19" t="n"/>
      <c r="H136" s="20" t="n"/>
    </row>
    <row r="137" ht="30" customFormat="1" customHeight="1" s="21" thickBot="1">
      <c r="A137" s="15" t="n"/>
      <c r="B137" s="16" t="n"/>
      <c r="C137" s="17" t="n"/>
      <c r="D137" s="18" t="n"/>
      <c r="E137" s="19" t="n"/>
      <c r="F137" s="17" t="n"/>
      <c r="G137" s="19" t="n"/>
      <c r="H137" s="20" t="n"/>
    </row>
    <row r="138" ht="30" customFormat="1" customHeight="1" s="21" thickBot="1">
      <c r="A138" s="15" t="n"/>
      <c r="B138" s="16" t="n"/>
      <c r="C138" s="17" t="n"/>
      <c r="D138" s="18" t="n"/>
      <c r="E138" s="19" t="n"/>
      <c r="F138" s="17" t="n"/>
      <c r="G138" s="19" t="n"/>
      <c r="H138" s="20" t="n"/>
    </row>
    <row r="139" ht="30" customFormat="1" customHeight="1" s="21" thickBot="1">
      <c r="A139" s="15" t="n"/>
      <c r="B139" s="16" t="n"/>
      <c r="C139" s="17" t="n"/>
      <c r="D139" s="18" t="n"/>
      <c r="E139" s="19" t="n"/>
      <c r="F139" s="17" t="n"/>
      <c r="G139" s="19" t="n"/>
      <c r="H139" s="20" t="n"/>
    </row>
    <row r="140" ht="30" customFormat="1" customHeight="1" s="21" thickBot="1">
      <c r="A140" s="15" t="n"/>
      <c r="B140" s="16" t="n"/>
      <c r="C140" s="17" t="n"/>
      <c r="D140" s="18" t="n"/>
      <c r="E140" s="19" t="n"/>
      <c r="F140" s="17" t="n"/>
      <c r="G140" s="19" t="n"/>
      <c r="H140" s="20" t="n"/>
    </row>
    <row r="141" ht="30" customFormat="1" customHeight="1" s="21" thickBot="1">
      <c r="A141" s="15" t="n"/>
      <c r="B141" s="16" t="n"/>
      <c r="C141" s="17" t="n"/>
      <c r="D141" s="18" t="n"/>
      <c r="E141" s="19" t="n"/>
      <c r="F141" s="17" t="n"/>
      <c r="G141" s="19" t="n"/>
      <c r="H141" s="20" t="n"/>
    </row>
    <row r="142" ht="30" customFormat="1" customHeight="1" s="21" thickBot="1">
      <c r="A142" s="15" t="n"/>
      <c r="B142" s="16" t="n"/>
      <c r="C142" s="17" t="n"/>
      <c r="D142" s="18" t="n"/>
      <c r="E142" s="19" t="n"/>
      <c r="F142" s="17" t="n"/>
      <c r="G142" s="19" t="n"/>
      <c r="H142" s="20" t="n"/>
    </row>
    <row r="143" ht="30" customFormat="1" customHeight="1" s="21" thickBot="1">
      <c r="A143" s="15" t="n"/>
      <c r="B143" s="16" t="n"/>
      <c r="C143" s="17" t="n"/>
      <c r="D143" s="18" t="n"/>
      <c r="E143" s="19" t="n"/>
      <c r="F143" s="17" t="n"/>
      <c r="G143" s="19" t="n"/>
      <c r="H143" s="20" t="n"/>
    </row>
    <row r="144" ht="30" customFormat="1" customHeight="1" s="21" thickBot="1">
      <c r="A144" s="15" t="n"/>
      <c r="B144" s="16" t="n"/>
      <c r="C144" s="17" t="n"/>
      <c r="D144" s="18" t="n"/>
      <c r="E144" s="19" t="n"/>
      <c r="F144" s="17" t="n"/>
      <c r="G144" s="19" t="n"/>
      <c r="H144" s="20" t="n"/>
    </row>
    <row r="145" ht="30" customFormat="1" customHeight="1" s="21" thickBot="1">
      <c r="A145" s="15" t="n"/>
      <c r="B145" s="16" t="n"/>
      <c r="C145" s="17" t="n"/>
      <c r="D145" s="18" t="n"/>
      <c r="E145" s="19" t="n"/>
      <c r="F145" s="17" t="n"/>
      <c r="G145" s="19" t="n"/>
      <c r="H145" s="20" t="n"/>
    </row>
    <row r="146" ht="30" customFormat="1" customHeight="1" s="21" thickBot="1">
      <c r="A146" s="15" t="n"/>
      <c r="B146" s="16" t="n"/>
      <c r="C146" s="17" t="n"/>
      <c r="D146" s="18" t="n"/>
      <c r="E146" s="19" t="n"/>
      <c r="F146" s="17" t="n"/>
      <c r="G146" s="19" t="n"/>
      <c r="H146" s="20" t="n"/>
    </row>
    <row r="147" ht="30" customFormat="1" customHeight="1" s="21" thickBot="1">
      <c r="A147" s="15" t="n"/>
      <c r="B147" s="16" t="n"/>
      <c r="C147" s="17" t="n"/>
      <c r="D147" s="18" t="n"/>
      <c r="E147" s="19" t="n"/>
      <c r="F147" s="17" t="n"/>
      <c r="G147" s="19" t="n"/>
      <c r="H147" s="20" t="n"/>
    </row>
    <row r="148" ht="30" customFormat="1" customHeight="1" s="21" thickBot="1">
      <c r="A148" s="15" t="n"/>
      <c r="B148" s="16" t="n"/>
      <c r="C148" s="17" t="n"/>
      <c r="D148" s="18" t="n"/>
      <c r="E148" s="19" t="n"/>
      <c r="F148" s="17" t="n"/>
      <c r="G148" s="19" t="n"/>
      <c r="H148" s="20" t="n"/>
    </row>
    <row r="149" ht="30" customFormat="1" customHeight="1" s="21" thickBot="1">
      <c r="A149" s="15" t="n"/>
      <c r="B149" s="16" t="n"/>
      <c r="C149" s="17" t="n"/>
      <c r="D149" s="18" t="n"/>
      <c r="E149" s="19" t="n"/>
      <c r="F149" s="17" t="n"/>
      <c r="G149" s="19" t="n"/>
      <c r="H149" s="20" t="n"/>
    </row>
    <row r="150" ht="30" customFormat="1" customHeight="1" s="21" thickBot="1">
      <c r="A150" s="15" t="n"/>
      <c r="B150" s="16" t="n"/>
      <c r="C150" s="17" t="n"/>
      <c r="D150" s="18" t="n"/>
      <c r="E150" s="19" t="n"/>
      <c r="F150" s="17" t="n"/>
      <c r="G150" s="19" t="n"/>
      <c r="H150" s="20" t="n"/>
    </row>
    <row r="151" ht="30" customFormat="1" customHeight="1" s="21" thickBot="1">
      <c r="A151" s="15" t="n"/>
      <c r="B151" s="16" t="n"/>
      <c r="C151" s="17" t="n"/>
      <c r="D151" s="18" t="n"/>
      <c r="E151" s="19" t="n"/>
      <c r="F151" s="17" t="n"/>
      <c r="G151" s="19" t="n"/>
      <c r="H151" s="20" t="n"/>
    </row>
    <row r="152" ht="30" customFormat="1" customHeight="1" s="21" thickBot="1">
      <c r="A152" s="15" t="n"/>
      <c r="B152" s="16" t="n"/>
      <c r="C152" s="17" t="n"/>
      <c r="D152" s="18" t="n"/>
      <c r="E152" s="19" t="n"/>
      <c r="F152" s="17" t="n"/>
      <c r="G152" s="19" t="n"/>
      <c r="H152" s="20" t="n"/>
    </row>
    <row r="153" ht="30" customFormat="1" customHeight="1" s="21" thickBot="1">
      <c r="A153" s="15" t="n"/>
      <c r="B153" s="16" t="n"/>
      <c r="C153" s="17" t="n"/>
      <c r="D153" s="18" t="n"/>
      <c r="E153" s="19" t="n"/>
      <c r="F153" s="17" t="n"/>
      <c r="G153" s="19" t="n"/>
      <c r="H153" s="20" t="n"/>
    </row>
    <row r="154" ht="30" customFormat="1" customHeight="1" s="21" thickBot="1">
      <c r="A154" s="15" t="n"/>
      <c r="B154" s="16" t="n"/>
      <c r="C154" s="17" t="n"/>
      <c r="D154" s="18" t="n"/>
      <c r="E154" s="19" t="n"/>
      <c r="F154" s="17" t="n"/>
      <c r="G154" s="19" t="n"/>
      <c r="H154" s="20" t="n"/>
    </row>
    <row r="155" ht="30" customFormat="1" customHeight="1" s="21" thickBot="1">
      <c r="A155" s="15" t="n"/>
      <c r="B155" s="16" t="n"/>
      <c r="C155" s="17" t="n"/>
      <c r="D155" s="18" t="n"/>
      <c r="E155" s="19" t="n"/>
      <c r="F155" s="17" t="n"/>
      <c r="G155" s="19" t="n"/>
      <c r="H155" s="20" t="n"/>
    </row>
    <row r="156" ht="30" customFormat="1" customHeight="1" s="21" thickBot="1">
      <c r="A156" s="15" t="n"/>
      <c r="B156" s="16" t="n"/>
      <c r="C156" s="17" t="n"/>
      <c r="D156" s="18" t="n"/>
      <c r="E156" s="19" t="n"/>
      <c r="F156" s="17" t="n"/>
      <c r="G156" s="19" t="n"/>
      <c r="H156" s="20" t="n"/>
    </row>
    <row r="157" ht="30" customFormat="1" customHeight="1" s="21" thickBot="1">
      <c r="A157" s="15" t="n"/>
      <c r="B157" s="16" t="n"/>
      <c r="C157" s="17" t="n"/>
      <c r="D157" s="18" t="n"/>
      <c r="E157" s="19" t="n"/>
      <c r="F157" s="17" t="n"/>
      <c r="G157" s="19" t="n"/>
      <c r="H157" s="20" t="n"/>
    </row>
    <row r="158" ht="30" customFormat="1" customHeight="1" s="21" thickBot="1">
      <c r="A158" s="15" t="n"/>
      <c r="B158" s="16" t="n"/>
      <c r="C158" s="17" t="n"/>
      <c r="D158" s="18" t="n"/>
      <c r="E158" s="19" t="n"/>
      <c r="F158" s="17" t="n"/>
      <c r="G158" s="19" t="n"/>
      <c r="H158" s="20" t="n"/>
    </row>
    <row r="159" ht="30" customFormat="1" customHeight="1" s="21" thickBot="1">
      <c r="A159" s="15" t="n"/>
      <c r="B159" s="16" t="n"/>
      <c r="C159" s="17" t="n"/>
      <c r="D159" s="18" t="n"/>
      <c r="E159" s="19" t="n"/>
      <c r="F159" s="17" t="n"/>
      <c r="G159" s="19" t="n"/>
      <c r="H159" s="20" t="n"/>
    </row>
    <row r="160" ht="30" customFormat="1" customHeight="1" s="21" thickBot="1">
      <c r="A160" s="15" t="n"/>
      <c r="B160" s="16" t="n"/>
      <c r="C160" s="17" t="n"/>
      <c r="D160" s="18" t="n"/>
      <c r="E160" s="19" t="n"/>
      <c r="F160" s="17" t="n"/>
      <c r="G160" s="19" t="n"/>
      <c r="H160" s="20" t="n"/>
    </row>
    <row r="161" ht="30" customFormat="1" customHeight="1" s="21" thickBot="1">
      <c r="A161" s="15" t="n"/>
      <c r="B161" s="16" t="n"/>
      <c r="C161" s="17" t="n"/>
      <c r="D161" s="18" t="n"/>
      <c r="E161" s="19" t="n"/>
      <c r="F161" s="17" t="n"/>
      <c r="G161" s="19" t="n"/>
      <c r="H161" s="20" t="n"/>
    </row>
    <row r="162" ht="30" customFormat="1" customHeight="1" s="21" thickBot="1">
      <c r="A162" s="15" t="n"/>
      <c r="B162" s="16" t="n"/>
      <c r="C162" s="17" t="n"/>
      <c r="D162" s="18" t="n"/>
      <c r="E162" s="19" t="n"/>
      <c r="F162" s="17" t="n"/>
      <c r="G162" s="19" t="n"/>
      <c r="H162" s="20" t="n"/>
    </row>
    <row r="163" ht="30" customFormat="1" customHeight="1" s="21" thickBot="1">
      <c r="A163" s="15" t="n"/>
      <c r="B163" s="16" t="n"/>
      <c r="C163" s="17" t="n"/>
      <c r="D163" s="18" t="n"/>
      <c r="E163" s="19" t="n"/>
      <c r="F163" s="17" t="n"/>
      <c r="G163" s="19" t="n"/>
      <c r="H163" s="20" t="n"/>
    </row>
    <row r="164" ht="30" customFormat="1" customHeight="1" s="21" thickBot="1">
      <c r="A164" s="15" t="n"/>
      <c r="B164" s="16" t="n"/>
      <c r="C164" s="17" t="n"/>
      <c r="D164" s="18" t="n"/>
      <c r="E164" s="19" t="n"/>
      <c r="F164" s="17" t="n"/>
      <c r="G164" s="19" t="n"/>
      <c r="H164" s="20" t="n"/>
    </row>
    <row r="165" ht="30" customFormat="1" customHeight="1" s="21" thickBot="1">
      <c r="A165" s="15" t="n"/>
      <c r="B165" s="16" t="n"/>
      <c r="C165" s="17" t="n"/>
      <c r="D165" s="18" t="n"/>
      <c r="E165" s="19" t="n"/>
      <c r="F165" s="17" t="n"/>
      <c r="G165" s="19" t="n"/>
      <c r="H165" s="20" t="n"/>
    </row>
    <row r="166" ht="30" customFormat="1" customHeight="1" s="21" thickBot="1">
      <c r="A166" s="15" t="n"/>
      <c r="B166" s="16" t="n"/>
      <c r="C166" s="17" t="n"/>
      <c r="D166" s="18" t="n"/>
      <c r="E166" s="19" t="n"/>
      <c r="F166" s="17" t="n"/>
      <c r="G166" s="19" t="n"/>
      <c r="H166" s="20" t="n"/>
    </row>
    <row r="167" ht="30" customFormat="1" customHeight="1" s="21" thickBot="1">
      <c r="A167" s="15" t="n"/>
      <c r="B167" s="16" t="n"/>
      <c r="C167" s="17" t="n"/>
      <c r="D167" s="18" t="n"/>
      <c r="E167" s="19" t="n"/>
      <c r="F167" s="17" t="n"/>
      <c r="G167" s="19" t="n"/>
      <c r="H167" s="20" t="n"/>
    </row>
    <row r="168" ht="30" customFormat="1" customHeight="1" s="21" thickBot="1">
      <c r="A168" s="15" t="n"/>
      <c r="B168" s="16" t="n"/>
      <c r="C168" s="17" t="n"/>
      <c r="D168" s="18" t="n"/>
      <c r="E168" s="19" t="n"/>
      <c r="F168" s="17" t="n"/>
      <c r="G168" s="19" t="n"/>
      <c r="H168" s="20" t="n"/>
    </row>
    <row r="169" ht="30" customFormat="1" customHeight="1" s="21" thickBot="1">
      <c r="A169" s="15" t="n"/>
      <c r="B169" s="16" t="n"/>
      <c r="C169" s="17" t="n"/>
      <c r="D169" s="18" t="n"/>
      <c r="E169" s="19" t="n"/>
      <c r="F169" s="17" t="n"/>
      <c r="G169" s="19" t="n"/>
      <c r="H169" s="20" t="n"/>
    </row>
    <row r="170" ht="30" customFormat="1" customHeight="1" s="21" thickBot="1">
      <c r="A170" s="15" t="n"/>
      <c r="B170" s="16" t="n"/>
      <c r="C170" s="17" t="n"/>
      <c r="D170" s="18" t="n"/>
      <c r="E170" s="19" t="n"/>
      <c r="F170" s="17" t="n"/>
      <c r="G170" s="19" t="n"/>
      <c r="H170" s="20" t="n"/>
    </row>
    <row r="171" ht="30" customFormat="1" customHeight="1" s="21" thickBot="1">
      <c r="A171" s="15" t="n"/>
      <c r="B171" s="16" t="n"/>
      <c r="C171" s="17" t="n"/>
      <c r="D171" s="18" t="n"/>
      <c r="E171" s="19" t="n"/>
      <c r="F171" s="17" t="n"/>
      <c r="G171" s="19" t="n"/>
      <c r="H171" s="20" t="n"/>
    </row>
    <row r="172" ht="30" customFormat="1" customHeight="1" s="21" thickBot="1">
      <c r="A172" s="15" t="n"/>
      <c r="B172" s="16" t="n"/>
      <c r="C172" s="17" t="n"/>
      <c r="D172" s="18" t="n"/>
      <c r="E172" s="19" t="n"/>
      <c r="F172" s="17" t="n"/>
      <c r="G172" s="19" t="n"/>
      <c r="H172" s="20" t="n"/>
    </row>
    <row r="173" ht="30" customFormat="1" customHeight="1" s="21" thickBot="1">
      <c r="A173" s="15" t="n"/>
      <c r="B173" s="16" t="n"/>
      <c r="C173" s="17" t="n"/>
      <c r="D173" s="18" t="n"/>
      <c r="E173" s="19" t="n"/>
      <c r="F173" s="17" t="n"/>
      <c r="G173" s="19" t="n"/>
      <c r="H173" s="20" t="n"/>
    </row>
    <row r="174" ht="30" customFormat="1" customHeight="1" s="21" thickBot="1">
      <c r="A174" s="15" t="n"/>
      <c r="B174" s="16" t="n"/>
      <c r="C174" s="17" t="n"/>
      <c r="D174" s="18" t="n"/>
      <c r="E174" s="19" t="n"/>
      <c r="F174" s="17" t="n"/>
      <c r="G174" s="19" t="n"/>
      <c r="H174" s="20" t="n"/>
    </row>
    <row r="175" ht="30" customFormat="1" customHeight="1" s="21" thickBot="1">
      <c r="A175" s="15" t="n"/>
      <c r="B175" s="16" t="n"/>
      <c r="C175" s="17" t="n"/>
      <c r="D175" s="18" t="n"/>
      <c r="E175" s="19" t="n"/>
      <c r="F175" s="17" t="n"/>
      <c r="G175" s="19" t="n"/>
      <c r="H175" s="20" t="n"/>
    </row>
    <row r="176" ht="30" customFormat="1" customHeight="1" s="21" thickBot="1">
      <c r="A176" s="15" t="n"/>
      <c r="B176" s="16" t="n"/>
      <c r="C176" s="17" t="n"/>
      <c r="D176" s="18" t="n"/>
      <c r="E176" s="19" t="n"/>
      <c r="F176" s="17" t="n"/>
      <c r="G176" s="19" t="n"/>
      <c r="H176" s="20" t="n"/>
    </row>
    <row r="177" ht="30" customFormat="1" customHeight="1" s="21" thickBot="1">
      <c r="A177" s="15" t="n"/>
      <c r="B177" s="16" t="n"/>
      <c r="C177" s="17" t="n"/>
      <c r="D177" s="18" t="n"/>
      <c r="E177" s="19" t="n"/>
      <c r="F177" s="17" t="n"/>
      <c r="G177" s="19" t="n"/>
      <c r="H177" s="20" t="n"/>
    </row>
    <row r="178" ht="30" customFormat="1" customHeight="1" s="21" thickBot="1">
      <c r="A178" s="15" t="n"/>
      <c r="B178" s="16" t="n"/>
      <c r="C178" s="17" t="n"/>
      <c r="D178" s="18" t="n"/>
      <c r="E178" s="19" t="n"/>
      <c r="F178" s="17" t="n"/>
      <c r="G178" s="19" t="n"/>
      <c r="H178" s="20" t="n"/>
    </row>
    <row r="179" ht="30" customFormat="1" customHeight="1" s="21" thickBot="1">
      <c r="A179" s="15" t="n"/>
      <c r="B179" s="16" t="n"/>
      <c r="C179" s="17" t="n"/>
      <c r="D179" s="18" t="n"/>
      <c r="E179" s="19" t="n"/>
      <c r="F179" s="17" t="n"/>
      <c r="G179" s="19" t="n"/>
      <c r="H179" s="20" t="n"/>
    </row>
    <row r="180" ht="30" customFormat="1" customHeight="1" s="21" thickBot="1">
      <c r="A180" s="15" t="n"/>
      <c r="B180" s="16" t="n"/>
      <c r="C180" s="17" t="n"/>
      <c r="D180" s="18" t="n"/>
      <c r="E180" s="19" t="n"/>
      <c r="F180" s="17" t="n"/>
      <c r="G180" s="19" t="n"/>
      <c r="H180" s="20" t="n"/>
    </row>
    <row r="181" ht="30" customFormat="1" customHeight="1" s="21" thickBot="1">
      <c r="A181" s="15" t="n"/>
      <c r="B181" s="16" t="n"/>
      <c r="C181" s="17" t="n"/>
      <c r="D181" s="18" t="n"/>
      <c r="E181" s="19" t="n"/>
      <c r="F181" s="17" t="n"/>
      <c r="G181" s="19" t="n"/>
      <c r="H181" s="20" t="n"/>
    </row>
    <row r="182" ht="30" customFormat="1" customHeight="1" s="21" thickBot="1">
      <c r="A182" s="15" t="n"/>
      <c r="B182" s="16" t="n"/>
      <c r="C182" s="17" t="n"/>
      <c r="D182" s="18" t="n"/>
      <c r="E182" s="19" t="n"/>
      <c r="F182" s="17" t="n"/>
      <c r="G182" s="19" t="n"/>
      <c r="H182" s="20" t="n"/>
    </row>
    <row r="183" ht="30" customFormat="1" customHeight="1" s="21" thickBot="1">
      <c r="A183" s="15" t="n"/>
      <c r="B183" s="16" t="n"/>
      <c r="C183" s="17" t="n"/>
      <c r="D183" s="18" t="n"/>
      <c r="E183" s="19" t="n"/>
      <c r="F183" s="17" t="n"/>
      <c r="G183" s="19" t="n"/>
      <c r="H183" s="20" t="n"/>
    </row>
    <row r="184" ht="30" customFormat="1" customHeight="1" s="21" thickBot="1">
      <c r="A184" s="15" t="n"/>
      <c r="B184" s="16" t="n"/>
      <c r="C184" s="17" t="n"/>
      <c r="D184" s="18" t="n"/>
      <c r="E184" s="19" t="n"/>
      <c r="F184" s="17" t="n"/>
      <c r="G184" s="19" t="n"/>
      <c r="H184" s="20" t="n"/>
    </row>
    <row r="185" ht="30" customFormat="1" customHeight="1" s="21" thickBot="1">
      <c r="A185" s="15" t="n"/>
      <c r="B185" s="16" t="n"/>
      <c r="C185" s="17" t="n"/>
      <c r="D185" s="18" t="n"/>
      <c r="E185" s="19" t="n"/>
      <c r="F185" s="17" t="n"/>
      <c r="G185" s="19" t="n"/>
      <c r="H185" s="20" t="n"/>
    </row>
    <row r="186" ht="30" customFormat="1" customHeight="1" s="21" thickBot="1">
      <c r="A186" s="15" t="n"/>
      <c r="B186" s="16" t="n"/>
      <c r="C186" s="17" t="n"/>
      <c r="D186" s="18" t="n"/>
      <c r="E186" s="19" t="n"/>
      <c r="F186" s="17" t="n"/>
      <c r="G186" s="19" t="n"/>
      <c r="H186" s="20" t="n"/>
    </row>
    <row r="187" ht="30" customFormat="1" customHeight="1" s="21" thickBot="1">
      <c r="A187" s="15" t="n"/>
      <c r="B187" s="16" t="n"/>
      <c r="C187" s="17" t="n"/>
      <c r="D187" s="18" t="n"/>
      <c r="E187" s="19" t="n"/>
      <c r="F187" s="17" t="n"/>
      <c r="G187" s="19" t="n"/>
      <c r="H187" s="20" t="n"/>
    </row>
    <row r="188" ht="30" customFormat="1" customHeight="1" s="21" thickBot="1">
      <c r="A188" s="15" t="n"/>
      <c r="B188" s="16" t="n"/>
      <c r="C188" s="17" t="n"/>
      <c r="D188" s="18" t="n"/>
      <c r="E188" s="19" t="n"/>
      <c r="F188" s="17" t="n"/>
      <c r="G188" s="19" t="n"/>
      <c r="H188" s="20" t="n"/>
    </row>
    <row r="189" ht="30" customFormat="1" customHeight="1" s="21" thickBot="1">
      <c r="A189" s="15" t="n"/>
      <c r="B189" s="16" t="n"/>
      <c r="C189" s="17" t="n"/>
      <c r="D189" s="18" t="n"/>
      <c r="E189" s="19" t="n"/>
      <c r="F189" s="17" t="n"/>
      <c r="G189" s="19" t="n"/>
      <c r="H189" s="20" t="n"/>
    </row>
    <row r="190" ht="30" customFormat="1" customHeight="1" s="21" thickBot="1">
      <c r="A190" s="15" t="n"/>
      <c r="B190" s="16" t="n"/>
      <c r="C190" s="17" t="n"/>
      <c r="D190" s="18" t="n"/>
      <c r="E190" s="19" t="n"/>
      <c r="F190" s="17" t="n"/>
      <c r="G190" s="19" t="n"/>
      <c r="H190" s="20" t="n"/>
    </row>
    <row r="191" ht="30" customFormat="1" customHeight="1" s="21" thickBot="1">
      <c r="A191" s="15" t="n"/>
      <c r="B191" s="16" t="n"/>
      <c r="C191" s="17" t="n"/>
      <c r="D191" s="18" t="n"/>
      <c r="E191" s="19" t="n"/>
      <c r="F191" s="17" t="n"/>
      <c r="G191" s="19" t="n"/>
      <c r="H191" s="20" t="n"/>
    </row>
    <row r="192" ht="30" customFormat="1" customHeight="1" s="21" thickBot="1">
      <c r="A192" s="15" t="n"/>
      <c r="B192" s="16" t="n"/>
      <c r="C192" s="17" t="n"/>
      <c r="D192" s="18" t="n"/>
      <c r="E192" s="19" t="n"/>
      <c r="F192" s="17" t="n"/>
      <c r="G192" s="19" t="n"/>
      <c r="H192" s="20" t="n"/>
    </row>
    <row r="193" ht="30" customFormat="1" customHeight="1" s="21" thickBot="1">
      <c r="A193" s="15" t="n"/>
      <c r="B193" s="16" t="n"/>
      <c r="C193" s="17" t="n"/>
      <c r="D193" s="18" t="n"/>
      <c r="E193" s="19" t="n"/>
      <c r="F193" s="17" t="n"/>
      <c r="G193" s="19" t="n"/>
      <c r="H193" s="20" t="n"/>
    </row>
    <row r="194" ht="30" customFormat="1" customHeight="1" s="21" thickBot="1">
      <c r="A194" s="15" t="n"/>
      <c r="B194" s="16" t="n"/>
      <c r="C194" s="17" t="n"/>
      <c r="D194" s="18" t="n"/>
      <c r="E194" s="19" t="n"/>
      <c r="F194" s="17" t="n"/>
      <c r="G194" s="19" t="n"/>
      <c r="H194" s="20" t="n"/>
    </row>
    <row r="195" ht="30" customFormat="1" customHeight="1" s="21" thickBot="1">
      <c r="A195" s="15" t="n"/>
      <c r="B195" s="16" t="n"/>
      <c r="C195" s="17" t="n"/>
      <c r="D195" s="18" t="n"/>
      <c r="E195" s="19" t="n"/>
      <c r="F195" s="17" t="n"/>
      <c r="G195" s="19" t="n"/>
      <c r="H195" s="20" t="n"/>
    </row>
    <row r="196" ht="30" customFormat="1" customHeight="1" s="21" thickBot="1">
      <c r="A196" s="15" t="n"/>
      <c r="B196" s="16" t="n"/>
      <c r="C196" s="17" t="n"/>
      <c r="D196" s="18" t="n"/>
      <c r="E196" s="19" t="n"/>
      <c r="F196" s="17" t="n"/>
      <c r="G196" s="19" t="n"/>
      <c r="H196" s="20" t="n"/>
    </row>
    <row r="197" ht="30" customFormat="1" customHeight="1" s="21" thickBot="1">
      <c r="A197" s="15" t="n"/>
      <c r="B197" s="16" t="n"/>
      <c r="C197" s="17" t="n"/>
      <c r="D197" s="18" t="n"/>
      <c r="E197" s="19" t="n"/>
      <c r="F197" s="17" t="n"/>
      <c r="G197" s="19" t="n"/>
      <c r="H197" s="20" t="n"/>
    </row>
    <row r="198" ht="30" customFormat="1" customHeight="1" s="21" thickBot="1">
      <c r="A198" s="15" t="n"/>
      <c r="B198" s="16" t="n"/>
      <c r="C198" s="17" t="n"/>
      <c r="D198" s="18" t="n"/>
      <c r="E198" s="19" t="n"/>
      <c r="F198" s="17" t="n"/>
      <c r="G198" s="19" t="n"/>
      <c r="H198" s="20" t="n"/>
    </row>
    <row r="199" ht="30" customFormat="1" customHeight="1" s="21" thickBot="1">
      <c r="A199" s="15" t="n"/>
      <c r="B199" s="16" t="n"/>
      <c r="C199" s="17" t="n"/>
      <c r="D199" s="18" t="n"/>
      <c r="E199" s="19" t="n"/>
      <c r="F199" s="17" t="n"/>
      <c r="G199" s="19" t="n"/>
      <c r="H199" s="20" t="n"/>
    </row>
    <row r="200" ht="30" customFormat="1" customHeight="1" s="21" thickBot="1">
      <c r="A200" s="15" t="n"/>
      <c r="B200" s="16" t="n"/>
      <c r="C200" s="17" t="n"/>
      <c r="D200" s="18" t="n"/>
      <c r="E200" s="19" t="n"/>
      <c r="F200" s="17" t="n"/>
      <c r="G200" s="19" t="n"/>
      <c r="H200" s="20" t="n"/>
    </row>
    <row r="201" ht="30" customFormat="1" customHeight="1" s="21" thickBot="1">
      <c r="A201" s="15" t="n"/>
      <c r="B201" s="16" t="n"/>
      <c r="C201" s="17" t="n"/>
      <c r="D201" s="18" t="n"/>
      <c r="E201" s="19" t="n"/>
      <c r="F201" s="17" t="n"/>
      <c r="G201" s="19" t="n"/>
      <c r="H201" s="20" t="n"/>
    </row>
    <row r="202" ht="30" customFormat="1" customHeight="1" s="21" thickBot="1">
      <c r="A202" s="15" t="n"/>
      <c r="B202" s="16" t="n"/>
      <c r="C202" s="17" t="n"/>
      <c r="D202" s="18" t="n"/>
      <c r="E202" s="19" t="n"/>
      <c r="F202" s="17" t="n"/>
      <c r="G202" s="19" t="n"/>
      <c r="H202" s="20" t="n"/>
    </row>
    <row r="203" ht="30" customFormat="1" customHeight="1" s="21" thickBot="1">
      <c r="A203" s="15" t="n"/>
      <c r="B203" s="16" t="n"/>
      <c r="C203" s="17" t="n"/>
      <c r="D203" s="18" t="n"/>
      <c r="E203" s="19" t="n"/>
      <c r="F203" s="17" t="n"/>
      <c r="G203" s="19" t="n"/>
      <c r="H203" s="20" t="n"/>
    </row>
    <row r="204" ht="30" customFormat="1" customHeight="1" s="21" thickBot="1">
      <c r="A204" s="15" t="n"/>
      <c r="B204" s="16" t="n"/>
      <c r="C204" s="17" t="n"/>
      <c r="D204" s="18" t="n"/>
      <c r="E204" s="19" t="n"/>
      <c r="F204" s="17" t="n"/>
      <c r="G204" s="19" t="n"/>
      <c r="H204" s="20" t="n"/>
    </row>
    <row r="205" ht="30" customFormat="1" customHeight="1" s="21" thickBot="1">
      <c r="A205" s="15" t="n"/>
      <c r="B205" s="16" t="n"/>
      <c r="C205" s="17" t="n"/>
      <c r="D205" s="18" t="n"/>
      <c r="E205" s="19" t="n"/>
      <c r="F205" s="17" t="n"/>
      <c r="G205" s="19" t="n"/>
      <c r="H205" s="20" t="n"/>
    </row>
    <row r="206" ht="30" customFormat="1" customHeight="1" s="21" thickBot="1">
      <c r="A206" s="15" t="n"/>
      <c r="B206" s="16" t="n"/>
      <c r="C206" s="17" t="n"/>
      <c r="D206" s="18" t="n"/>
      <c r="E206" s="19" t="n"/>
      <c r="F206" s="17" t="n"/>
      <c r="G206" s="19" t="n"/>
      <c r="H206" s="20" t="n"/>
    </row>
    <row r="207" ht="30" customFormat="1" customHeight="1" s="21" thickBot="1">
      <c r="A207" s="15" t="n"/>
      <c r="B207" s="16" t="n"/>
      <c r="C207" s="17" t="n"/>
      <c r="D207" s="18" t="n"/>
      <c r="E207" s="19" t="n"/>
      <c r="F207" s="17" t="n"/>
      <c r="G207" s="19" t="n"/>
      <c r="H207" s="20" t="n"/>
    </row>
    <row r="208" ht="30" customFormat="1" customHeight="1" s="21" thickBot="1">
      <c r="A208" s="15" t="n"/>
      <c r="B208" s="16" t="n"/>
      <c r="C208" s="17" t="n"/>
      <c r="D208" s="18" t="n"/>
      <c r="E208" s="19" t="n"/>
      <c r="F208" s="17" t="n"/>
      <c r="G208" s="19" t="n"/>
      <c r="H208" s="20" t="n"/>
    </row>
    <row r="209" ht="30" customFormat="1" customHeight="1" s="21" thickBot="1">
      <c r="A209" s="15" t="n"/>
      <c r="B209" s="16" t="n"/>
      <c r="C209" s="17" t="n"/>
      <c r="D209" s="18" t="n"/>
      <c r="E209" s="19" t="n"/>
      <c r="F209" s="17" t="n"/>
      <c r="G209" s="19" t="n"/>
      <c r="H209" s="20" t="n"/>
    </row>
    <row r="210" ht="30" customFormat="1" customHeight="1" s="21" thickBot="1">
      <c r="A210" s="15" t="n"/>
      <c r="B210" s="16" t="n"/>
      <c r="C210" s="17" t="n"/>
      <c r="D210" s="18" t="n"/>
      <c r="E210" s="19" t="n"/>
      <c r="F210" s="17" t="n"/>
      <c r="G210" s="19" t="n"/>
      <c r="H210" s="20" t="n"/>
    </row>
    <row r="211" ht="30" customFormat="1" customHeight="1" s="21" thickBot="1">
      <c r="A211" s="15" t="n"/>
      <c r="B211" s="16" t="n"/>
      <c r="C211" s="17" t="n"/>
      <c r="D211" s="18" t="n"/>
      <c r="E211" s="19" t="n"/>
      <c r="F211" s="17" t="n"/>
      <c r="G211" s="19" t="n"/>
      <c r="H211" s="20" t="n"/>
    </row>
    <row r="212" ht="30" customFormat="1" customHeight="1" s="21" thickBot="1">
      <c r="A212" s="15" t="n"/>
      <c r="B212" s="16" t="n"/>
      <c r="C212" s="17" t="n"/>
      <c r="D212" s="18" t="n"/>
      <c r="E212" s="19" t="n"/>
      <c r="F212" s="17" t="n"/>
      <c r="G212" s="19" t="n"/>
      <c r="H212" s="20" t="n"/>
    </row>
    <row r="213" ht="30" customFormat="1" customHeight="1" s="21" thickBot="1">
      <c r="A213" s="15" t="n"/>
      <c r="B213" s="16" t="n"/>
      <c r="C213" s="17" t="n"/>
      <c r="D213" s="18" t="n"/>
      <c r="E213" s="19" t="n"/>
      <c r="F213" s="17" t="n"/>
      <c r="G213" s="19" t="n"/>
      <c r="H213" s="20" t="n"/>
    </row>
    <row r="214" ht="30" customFormat="1" customHeight="1" s="21" thickBot="1">
      <c r="A214" s="15" t="n"/>
      <c r="B214" s="16" t="n"/>
      <c r="C214" s="17" t="n"/>
      <c r="D214" s="18" t="n"/>
      <c r="E214" s="19" t="n"/>
      <c r="F214" s="17" t="n"/>
      <c r="G214" s="19" t="n"/>
      <c r="H214" s="20" t="n"/>
    </row>
    <row r="215" ht="30" customFormat="1" customHeight="1" s="21" thickBot="1">
      <c r="A215" s="15" t="n"/>
      <c r="B215" s="16" t="n"/>
      <c r="C215" s="17" t="n"/>
      <c r="D215" s="18" t="n"/>
      <c r="E215" s="19" t="n"/>
      <c r="F215" s="17" t="n"/>
      <c r="G215" s="19" t="n"/>
      <c r="H215" s="20" t="n"/>
    </row>
    <row r="216" ht="30" customFormat="1" customHeight="1" s="21" thickBot="1">
      <c r="A216" s="15" t="n"/>
      <c r="B216" s="16" t="n"/>
      <c r="C216" s="17" t="n"/>
      <c r="D216" s="18" t="n"/>
      <c r="E216" s="19" t="n"/>
      <c r="F216" s="17" t="n"/>
      <c r="G216" s="19" t="n"/>
      <c r="H216" s="20" t="n"/>
    </row>
    <row r="217" ht="30" customFormat="1" customHeight="1" s="21" thickBot="1">
      <c r="A217" s="15" t="n"/>
      <c r="B217" s="16" t="n"/>
      <c r="C217" s="17" t="n"/>
      <c r="D217" s="18" t="n"/>
      <c r="E217" s="19" t="n"/>
      <c r="F217" s="17" t="n"/>
      <c r="G217" s="19" t="n"/>
      <c r="H217" s="20" t="n"/>
    </row>
    <row r="218" ht="30" customFormat="1" customHeight="1" s="21" thickBot="1">
      <c r="A218" s="15" t="n"/>
      <c r="B218" s="16" t="n"/>
      <c r="C218" s="17" t="n"/>
      <c r="D218" s="18" t="n"/>
      <c r="E218" s="19" t="n"/>
      <c r="F218" s="17" t="n"/>
      <c r="G218" s="19" t="n"/>
      <c r="H218" s="20" t="n"/>
    </row>
    <row r="219" ht="30" customFormat="1" customHeight="1" s="21" thickBot="1">
      <c r="A219" s="15" t="n"/>
      <c r="B219" s="16" t="n"/>
      <c r="C219" s="17" t="n"/>
      <c r="D219" s="18" t="n"/>
      <c r="E219" s="19" t="n"/>
      <c r="F219" s="17" t="n"/>
      <c r="G219" s="19" t="n"/>
      <c r="H219" s="20" t="n"/>
    </row>
    <row r="220" ht="30" customFormat="1" customHeight="1" s="21" thickBot="1">
      <c r="A220" s="15" t="n"/>
      <c r="B220" s="16" t="n"/>
      <c r="C220" s="17" t="n"/>
      <c r="D220" s="18" t="n"/>
      <c r="E220" s="19" t="n"/>
      <c r="F220" s="17" t="n"/>
      <c r="G220" s="19" t="n"/>
      <c r="H220" s="20" t="n"/>
    </row>
    <row r="221" ht="30" customFormat="1" customHeight="1" s="21" thickBot="1">
      <c r="A221" s="15" t="n"/>
      <c r="B221" s="16" t="n"/>
      <c r="C221" s="17" t="n"/>
      <c r="D221" s="18" t="n"/>
      <c r="E221" s="19" t="n"/>
      <c r="F221" s="17" t="n"/>
      <c r="G221" s="19" t="n"/>
      <c r="H221" s="20" t="n"/>
    </row>
    <row r="222" ht="30" customFormat="1" customHeight="1" s="21" thickBot="1">
      <c r="A222" s="15" t="n"/>
      <c r="B222" s="16" t="n"/>
      <c r="C222" s="17" t="n"/>
      <c r="D222" s="18" t="n"/>
      <c r="E222" s="19" t="n"/>
      <c r="F222" s="17" t="n"/>
      <c r="G222" s="19" t="n"/>
      <c r="H222" s="20" t="n"/>
    </row>
    <row r="223" ht="30" customFormat="1" customHeight="1" s="21" thickBot="1">
      <c r="A223" s="15" t="n"/>
      <c r="B223" s="16" t="n"/>
      <c r="C223" s="17" t="n"/>
      <c r="D223" s="18" t="n"/>
      <c r="E223" s="19" t="n"/>
      <c r="F223" s="17" t="n"/>
      <c r="G223" s="19" t="n"/>
      <c r="H223" s="20" t="n"/>
    </row>
    <row r="224" ht="30" customFormat="1" customHeight="1" s="21" thickBot="1">
      <c r="A224" s="15" t="n"/>
      <c r="B224" s="16" t="n"/>
      <c r="C224" s="17" t="n"/>
      <c r="D224" s="18" t="n"/>
      <c r="E224" s="19" t="n"/>
      <c r="F224" s="17" t="n"/>
      <c r="G224" s="19" t="n"/>
      <c r="H224" s="20" t="n"/>
    </row>
    <row r="225" ht="30" customFormat="1" customHeight="1" s="21" thickBot="1">
      <c r="A225" s="15" t="n"/>
      <c r="B225" s="16" t="n"/>
      <c r="C225" s="17" t="n"/>
      <c r="D225" s="18" t="n"/>
      <c r="E225" s="19" t="n"/>
      <c r="F225" s="17" t="n"/>
      <c r="G225" s="19" t="n"/>
      <c r="H225" s="20" t="n"/>
    </row>
    <row r="226" ht="30" customFormat="1" customHeight="1" s="21" thickBot="1">
      <c r="A226" s="15" t="n"/>
      <c r="B226" s="16" t="n"/>
      <c r="C226" s="17" t="n"/>
      <c r="D226" s="18" t="n"/>
      <c r="E226" s="19" t="n"/>
      <c r="F226" s="17" t="n"/>
      <c r="G226" s="19" t="n"/>
      <c r="H226" s="20" t="n"/>
    </row>
    <row r="227" ht="30" customFormat="1" customHeight="1" s="21" thickBot="1">
      <c r="A227" s="15" t="n"/>
      <c r="B227" s="16" t="n"/>
      <c r="C227" s="17" t="n"/>
      <c r="D227" s="18" t="n"/>
      <c r="E227" s="19" t="n"/>
      <c r="F227" s="17" t="n"/>
      <c r="G227" s="19" t="n"/>
      <c r="H227" s="20" t="n"/>
    </row>
    <row r="228" ht="30" customFormat="1" customHeight="1" s="21" thickBot="1">
      <c r="A228" s="15" t="n"/>
      <c r="B228" s="16" t="n"/>
      <c r="C228" s="17" t="n"/>
      <c r="D228" s="18" t="n"/>
      <c r="E228" s="19" t="n"/>
      <c r="F228" s="17" t="n"/>
      <c r="G228" s="19" t="n"/>
      <c r="H228" s="20" t="n"/>
    </row>
    <row r="229" ht="30" customFormat="1" customHeight="1" s="21" thickBot="1">
      <c r="A229" s="15" t="n"/>
      <c r="B229" s="16" t="n"/>
      <c r="C229" s="17" t="n"/>
      <c r="D229" s="18" t="n"/>
      <c r="E229" s="19" t="n"/>
      <c r="F229" s="17" t="n"/>
      <c r="G229" s="19" t="n"/>
      <c r="H229" s="20" t="n"/>
    </row>
    <row r="230" ht="30" customFormat="1" customHeight="1" s="21" thickBot="1">
      <c r="A230" s="15" t="n"/>
      <c r="B230" s="16" t="n"/>
      <c r="C230" s="17" t="n"/>
      <c r="D230" s="18" t="n"/>
      <c r="E230" s="19" t="n"/>
      <c r="F230" s="17" t="n"/>
      <c r="G230" s="19" t="n"/>
      <c r="H230" s="20" t="n"/>
    </row>
    <row r="231" ht="30" customFormat="1" customHeight="1" s="21" thickBot="1">
      <c r="A231" s="15" t="n"/>
      <c r="B231" s="16" t="n"/>
      <c r="C231" s="17" t="n"/>
      <c r="D231" s="18" t="n"/>
      <c r="E231" s="19" t="n"/>
      <c r="F231" s="17" t="n"/>
      <c r="G231" s="19" t="n"/>
      <c r="H231" s="20" t="n"/>
    </row>
    <row r="232" ht="30" customFormat="1" customHeight="1" s="21" thickBot="1">
      <c r="A232" s="15" t="n"/>
      <c r="B232" s="16" t="n"/>
      <c r="C232" s="17" t="n"/>
      <c r="D232" s="18" t="n"/>
      <c r="E232" s="19" t="n"/>
      <c r="F232" s="17" t="n"/>
      <c r="G232" s="19" t="n"/>
      <c r="H232" s="20" t="n"/>
    </row>
    <row r="233" ht="30" customFormat="1" customHeight="1" s="21" thickBot="1">
      <c r="A233" s="15" t="n"/>
      <c r="B233" s="16" t="n"/>
      <c r="C233" s="17" t="n"/>
      <c r="D233" s="18" t="n"/>
      <c r="E233" s="19" t="n"/>
      <c r="F233" s="17" t="n"/>
      <c r="G233" s="19" t="n"/>
      <c r="H233" s="20" t="n"/>
    </row>
    <row r="234" ht="30" customFormat="1" customHeight="1" s="21" thickBot="1">
      <c r="A234" s="15" t="n"/>
      <c r="B234" s="16" t="n"/>
      <c r="C234" s="17" t="n"/>
      <c r="D234" s="18" t="n"/>
      <c r="E234" s="19" t="n"/>
      <c r="F234" s="17" t="n"/>
      <c r="G234" s="19" t="n"/>
      <c r="H234" s="20" t="n"/>
    </row>
    <row r="235" ht="30" customFormat="1" customHeight="1" s="21" thickBot="1">
      <c r="A235" s="15" t="n"/>
      <c r="B235" s="16" t="n"/>
      <c r="C235" s="17" t="n"/>
      <c r="D235" s="18" t="n"/>
      <c r="E235" s="19" t="n"/>
      <c r="F235" s="17" t="n"/>
      <c r="G235" s="19" t="n"/>
      <c r="H235" s="20" t="n"/>
    </row>
    <row r="236" ht="30" customFormat="1" customHeight="1" s="21" thickBot="1">
      <c r="A236" s="15" t="n"/>
      <c r="B236" s="16" t="n"/>
      <c r="C236" s="17" t="n"/>
      <c r="D236" s="18" t="n"/>
      <c r="E236" s="19" t="n"/>
      <c r="F236" s="17" t="n"/>
      <c r="G236" s="19" t="n"/>
      <c r="H236" s="20" t="n"/>
    </row>
    <row r="237" ht="30" customFormat="1" customHeight="1" s="21" thickBot="1">
      <c r="A237" s="15" t="n"/>
      <c r="B237" s="16" t="n"/>
      <c r="C237" s="17" t="n"/>
      <c r="D237" s="18" t="n"/>
      <c r="E237" s="19" t="n"/>
      <c r="F237" s="17" t="n"/>
      <c r="G237" s="19" t="n"/>
      <c r="H237" s="20" t="n"/>
    </row>
    <row r="238" ht="30" customFormat="1" customHeight="1" s="21" thickBot="1">
      <c r="A238" s="15" t="n"/>
      <c r="B238" s="16" t="n"/>
      <c r="C238" s="17" t="n"/>
      <c r="D238" s="18" t="n"/>
      <c r="E238" s="19" t="n"/>
      <c r="F238" s="17" t="n"/>
      <c r="G238" s="19" t="n"/>
      <c r="H238" s="20" t="n"/>
    </row>
    <row r="239" ht="30" customFormat="1" customHeight="1" s="21" thickBot="1">
      <c r="A239" s="15" t="n"/>
      <c r="B239" s="16" t="n"/>
      <c r="C239" s="17" t="n"/>
      <c r="D239" s="18" t="n"/>
      <c r="E239" s="19" t="n"/>
      <c r="F239" s="17" t="n"/>
      <c r="G239" s="19" t="n"/>
      <c r="H239" s="20" t="n"/>
    </row>
    <row r="240" ht="30" customFormat="1" customHeight="1" s="21" thickBot="1">
      <c r="A240" s="15" t="n"/>
      <c r="B240" s="16" t="n"/>
      <c r="C240" s="17" t="n"/>
      <c r="D240" s="18" t="n"/>
      <c r="E240" s="19" t="n"/>
      <c r="F240" s="17" t="n"/>
      <c r="G240" s="19" t="n"/>
      <c r="H240" s="20" t="n"/>
    </row>
    <row r="241" ht="30" customFormat="1" customHeight="1" s="21" thickBot="1">
      <c r="A241" s="15" t="n"/>
      <c r="B241" s="16" t="n"/>
      <c r="C241" s="17" t="n"/>
      <c r="D241" s="18" t="n"/>
      <c r="E241" s="19" t="n"/>
      <c r="F241" s="17" t="n"/>
      <c r="G241" s="19" t="n"/>
      <c r="H241" s="20" t="n"/>
    </row>
    <row r="242" ht="30" customFormat="1" customHeight="1" s="21" thickBot="1">
      <c r="A242" s="15" t="n"/>
      <c r="B242" s="16" t="n"/>
      <c r="C242" s="17" t="n"/>
      <c r="D242" s="18" t="n"/>
      <c r="E242" s="19" t="n"/>
      <c r="F242" s="17" t="n"/>
      <c r="G242" s="19" t="n"/>
      <c r="H242" s="20" t="n"/>
    </row>
    <row r="243" ht="30" customFormat="1" customHeight="1" s="21" thickBot="1">
      <c r="A243" s="15" t="n"/>
      <c r="B243" s="16" t="n"/>
      <c r="C243" s="17" t="n"/>
      <c r="D243" s="18" t="n"/>
      <c r="E243" s="19" t="n"/>
      <c r="F243" s="17" t="n"/>
      <c r="G243" s="19" t="n"/>
      <c r="H243" s="20" t="n"/>
    </row>
    <row r="244" ht="30" customFormat="1" customHeight="1" s="21" thickBot="1">
      <c r="A244" s="15" t="n"/>
      <c r="B244" s="16" t="n"/>
      <c r="C244" s="17" t="n"/>
      <c r="D244" s="18" t="n"/>
      <c r="E244" s="19" t="n"/>
      <c r="F244" s="17" t="n"/>
      <c r="G244" s="19" t="n"/>
      <c r="H244" s="20" t="n"/>
    </row>
    <row r="245" ht="30" customFormat="1" customHeight="1" s="21" thickBot="1">
      <c r="A245" s="15" t="n"/>
      <c r="B245" s="16" t="n"/>
      <c r="C245" s="17" t="n"/>
      <c r="D245" s="18" t="n"/>
      <c r="E245" s="19" t="n"/>
      <c r="F245" s="17" t="n"/>
      <c r="G245" s="19" t="n"/>
      <c r="H245" s="20" t="n"/>
    </row>
    <row r="246" ht="30" customFormat="1" customHeight="1" s="21" thickBot="1">
      <c r="A246" s="15" t="n"/>
      <c r="B246" s="16" t="n"/>
      <c r="C246" s="17" t="n"/>
      <c r="D246" s="18" t="n"/>
      <c r="E246" s="19" t="n"/>
      <c r="F246" s="17" t="n"/>
      <c r="G246" s="19" t="n"/>
      <c r="H246" s="20" t="n"/>
    </row>
    <row r="247" ht="30" customFormat="1" customHeight="1" s="21" thickBot="1">
      <c r="A247" s="15" t="n"/>
      <c r="B247" s="16" t="n"/>
      <c r="C247" s="17" t="n"/>
      <c r="D247" s="18" t="n"/>
      <c r="E247" s="19" t="n"/>
      <c r="F247" s="17" t="n"/>
      <c r="G247" s="19" t="n"/>
      <c r="H247" s="20" t="n"/>
    </row>
    <row r="248" ht="30" customFormat="1" customHeight="1" s="21" thickBot="1">
      <c r="A248" s="15" t="n"/>
      <c r="B248" s="16" t="n"/>
      <c r="C248" s="17" t="n"/>
      <c r="D248" s="18" t="n"/>
      <c r="E248" s="19" t="n"/>
      <c r="F248" s="17" t="n"/>
      <c r="G248" s="19" t="n"/>
      <c r="H248" s="20" t="n"/>
    </row>
    <row r="249" ht="30" customFormat="1" customHeight="1" s="21" thickBot="1">
      <c r="A249" s="15" t="n"/>
      <c r="B249" s="16" t="n"/>
      <c r="C249" s="17" t="n"/>
      <c r="D249" s="18" t="n"/>
      <c r="E249" s="19" t="n"/>
      <c r="F249" s="17" t="n"/>
      <c r="G249" s="19" t="n"/>
      <c r="H249" s="20" t="n"/>
    </row>
    <row r="250" ht="30" customFormat="1" customHeight="1" s="21" thickBot="1">
      <c r="A250" s="15" t="n"/>
      <c r="B250" s="16" t="n"/>
      <c r="C250" s="17" t="n"/>
      <c r="D250" s="18" t="n"/>
      <c r="E250" s="19" t="n"/>
      <c r="F250" s="17" t="n"/>
      <c r="G250" s="19" t="n"/>
      <c r="H250" s="20" t="n"/>
    </row>
    <row r="251" ht="30" customFormat="1" customHeight="1" s="21" thickBot="1">
      <c r="A251" s="15" t="n"/>
      <c r="B251" s="16" t="n"/>
      <c r="C251" s="17" t="n"/>
      <c r="D251" s="18" t="n"/>
      <c r="E251" s="19" t="n"/>
      <c r="F251" s="17" t="n"/>
      <c r="G251" s="19" t="n"/>
      <c r="H251" s="20" t="n"/>
    </row>
    <row r="252" ht="30" customFormat="1" customHeight="1" s="21" thickBot="1">
      <c r="A252" s="15" t="n"/>
      <c r="B252" s="16" t="n"/>
      <c r="C252" s="17" t="n"/>
      <c r="D252" s="18" t="n"/>
      <c r="E252" s="19" t="n"/>
      <c r="F252" s="17" t="n"/>
      <c r="G252" s="19" t="n"/>
      <c r="H252" s="20" t="n"/>
    </row>
    <row r="253" ht="30" customFormat="1" customHeight="1" s="21" thickBot="1">
      <c r="A253" s="15" t="n"/>
      <c r="B253" s="16" t="n"/>
      <c r="C253" s="17" t="n"/>
      <c r="D253" s="18" t="n"/>
      <c r="E253" s="19" t="n"/>
      <c r="F253" s="17" t="n"/>
      <c r="G253" s="19" t="n"/>
      <c r="H253" s="20" t="n"/>
    </row>
    <row r="254" ht="30" customFormat="1" customHeight="1" s="21" thickBot="1">
      <c r="A254" s="15" t="n"/>
      <c r="B254" s="16" t="n"/>
      <c r="C254" s="17" t="n"/>
      <c r="D254" s="18" t="n"/>
      <c r="E254" s="19" t="n"/>
      <c r="F254" s="17" t="n"/>
      <c r="G254" s="19" t="n"/>
      <c r="H254" s="20" t="n"/>
    </row>
    <row r="255" ht="30" customFormat="1" customHeight="1" s="21" thickBot="1">
      <c r="A255" s="15" t="n"/>
      <c r="B255" s="16" t="n"/>
      <c r="C255" s="17" t="n"/>
      <c r="D255" s="18" t="n"/>
      <c r="E255" s="19" t="n"/>
      <c r="F255" s="17" t="n"/>
      <c r="G255" s="19" t="n"/>
      <c r="H255" s="20" t="n"/>
    </row>
    <row r="256" ht="30" customFormat="1" customHeight="1" s="21" thickBot="1">
      <c r="A256" s="15" t="n"/>
      <c r="B256" s="16" t="n"/>
      <c r="C256" s="17" t="n"/>
      <c r="D256" s="18" t="n"/>
      <c r="E256" s="19" t="n"/>
      <c r="F256" s="17" t="n"/>
      <c r="G256" s="19" t="n"/>
      <c r="H256" s="20" t="n"/>
    </row>
    <row r="257" ht="30" customFormat="1" customHeight="1" s="21" thickBot="1">
      <c r="A257" s="15" t="n"/>
      <c r="B257" s="16" t="n"/>
      <c r="C257" s="17" t="n"/>
      <c r="D257" s="18" t="n"/>
      <c r="E257" s="19" t="n"/>
      <c r="F257" s="17" t="n"/>
      <c r="G257" s="19" t="n"/>
      <c r="H257" s="20" t="n"/>
    </row>
    <row r="258" ht="30" customFormat="1" customHeight="1" s="21" thickBot="1">
      <c r="A258" s="15" t="n"/>
      <c r="B258" s="16" t="n"/>
      <c r="C258" s="17" t="n"/>
      <c r="D258" s="18" t="n"/>
      <c r="E258" s="19" t="n"/>
      <c r="F258" s="17" t="n"/>
      <c r="G258" s="19" t="n"/>
      <c r="H258" s="20" t="n"/>
    </row>
    <row r="259" ht="30" customFormat="1" customHeight="1" s="21" thickBot="1">
      <c r="A259" s="15" t="n"/>
      <c r="B259" s="16" t="n"/>
      <c r="C259" s="17" t="n"/>
      <c r="D259" s="18" t="n"/>
      <c r="E259" s="19" t="n"/>
      <c r="F259" s="17" t="n"/>
      <c r="G259" s="19" t="n"/>
      <c r="H259" s="20" t="n"/>
    </row>
    <row r="260" ht="30" customFormat="1" customHeight="1" s="21" thickBot="1">
      <c r="A260" s="15" t="n"/>
      <c r="B260" s="16" t="n"/>
      <c r="C260" s="17" t="n"/>
      <c r="D260" s="18" t="n"/>
      <c r="E260" s="19" t="n"/>
      <c r="F260" s="17" t="n"/>
      <c r="G260" s="19" t="n"/>
      <c r="H260" s="20" t="n"/>
    </row>
    <row r="261" ht="30" customFormat="1" customHeight="1" s="21" thickBot="1">
      <c r="A261" s="15" t="n"/>
      <c r="B261" s="16" t="n"/>
      <c r="C261" s="17" t="n"/>
      <c r="D261" s="18" t="n"/>
      <c r="E261" s="19" t="n"/>
      <c r="F261" s="17" t="n"/>
      <c r="G261" s="19" t="n"/>
      <c r="H261" s="20" t="n"/>
    </row>
    <row r="262" ht="30" customFormat="1" customHeight="1" s="21" thickBot="1">
      <c r="A262" s="15" t="n"/>
      <c r="B262" s="16" t="n"/>
      <c r="C262" s="17" t="n"/>
      <c r="D262" s="18" t="n"/>
      <c r="E262" s="19" t="n"/>
      <c r="F262" s="17" t="n"/>
      <c r="G262" s="19" t="n"/>
      <c r="H262" s="20" t="n"/>
    </row>
    <row r="263" ht="30" customFormat="1" customHeight="1" s="21" thickBot="1">
      <c r="A263" s="15" t="n"/>
      <c r="B263" s="16" t="n"/>
      <c r="C263" s="17" t="n"/>
      <c r="D263" s="18" t="n"/>
      <c r="E263" s="19" t="n"/>
      <c r="F263" s="17" t="n"/>
      <c r="G263" s="19" t="n"/>
      <c r="H263" s="20" t="n"/>
    </row>
    <row r="264" ht="30" customFormat="1" customHeight="1" s="21" thickBot="1">
      <c r="A264" s="15" t="n"/>
      <c r="B264" s="16" t="n"/>
      <c r="C264" s="17" t="n"/>
      <c r="D264" s="18" t="n"/>
      <c r="E264" s="19" t="n"/>
      <c r="F264" s="17" t="n"/>
      <c r="G264" s="19" t="n"/>
      <c r="H264" s="20" t="n"/>
    </row>
    <row r="265" ht="30" customFormat="1" customHeight="1" s="21" thickBot="1">
      <c r="A265" s="15" t="n"/>
      <c r="B265" s="16" t="n"/>
      <c r="C265" s="17" t="n"/>
      <c r="D265" s="18" t="n"/>
      <c r="E265" s="19" t="n"/>
      <c r="F265" s="17" t="n"/>
      <c r="G265" s="19" t="n"/>
      <c r="H265" s="20" t="n"/>
    </row>
    <row r="266" ht="30" customFormat="1" customHeight="1" s="21" thickBot="1">
      <c r="A266" s="15" t="n"/>
      <c r="B266" s="16" t="n"/>
      <c r="C266" s="17" t="n"/>
      <c r="D266" s="18" t="n"/>
      <c r="E266" s="19" t="n"/>
      <c r="F266" s="17" t="n"/>
      <c r="G266" s="19" t="n"/>
      <c r="H266" s="20" t="n"/>
    </row>
    <row r="267" ht="30" customFormat="1" customHeight="1" s="21" thickBot="1">
      <c r="A267" s="15" t="n"/>
      <c r="B267" s="16" t="n"/>
      <c r="C267" s="17" t="n"/>
      <c r="D267" s="18" t="n"/>
      <c r="E267" s="19" t="n"/>
      <c r="F267" s="17" t="n"/>
      <c r="G267" s="19" t="n"/>
      <c r="H267" s="20" t="n"/>
    </row>
    <row r="268" ht="30" customFormat="1" customHeight="1" s="21" thickBot="1">
      <c r="A268" s="15" t="n"/>
      <c r="B268" s="16" t="n"/>
      <c r="C268" s="17" t="n"/>
      <c r="D268" s="18" t="n"/>
      <c r="E268" s="19" t="n"/>
      <c r="F268" s="17" t="n"/>
      <c r="G268" s="19" t="n"/>
      <c r="H268" s="20" t="n"/>
    </row>
    <row r="269" ht="30" customFormat="1" customHeight="1" s="21" thickBot="1">
      <c r="A269" s="15" t="n"/>
      <c r="B269" s="16" t="n"/>
      <c r="C269" s="17" t="n"/>
      <c r="D269" s="18" t="n"/>
      <c r="E269" s="19" t="n"/>
      <c r="F269" s="17" t="n"/>
      <c r="G269" s="19" t="n"/>
      <c r="H269" s="20" t="n"/>
    </row>
    <row r="270" ht="30" customFormat="1" customHeight="1" s="21" thickBot="1">
      <c r="A270" s="15" t="n"/>
      <c r="B270" s="16" t="n"/>
      <c r="C270" s="17" t="n"/>
      <c r="D270" s="18" t="n"/>
      <c r="E270" s="19" t="n"/>
      <c r="F270" s="17" t="n"/>
      <c r="G270" s="19" t="n"/>
      <c r="H270" s="20" t="n"/>
    </row>
    <row r="271" ht="30" customFormat="1" customHeight="1" s="21" thickBot="1">
      <c r="A271" s="15" t="n"/>
      <c r="B271" s="16" t="n"/>
      <c r="C271" s="17" t="n"/>
      <c r="D271" s="18" t="n"/>
      <c r="E271" s="19" t="n"/>
      <c r="F271" s="17" t="n"/>
      <c r="G271" s="19" t="n"/>
      <c r="H271" s="20" t="n"/>
    </row>
    <row r="272" ht="30" customFormat="1" customHeight="1" s="21" thickBot="1">
      <c r="A272" s="15" t="n"/>
      <c r="B272" s="16" t="n"/>
      <c r="C272" s="17" t="n"/>
      <c r="D272" s="18" t="n"/>
      <c r="E272" s="19" t="n"/>
      <c r="F272" s="17" t="n"/>
      <c r="G272" s="19" t="n"/>
      <c r="H272" s="20" t="n"/>
    </row>
    <row r="273" ht="30" customFormat="1" customHeight="1" s="21" thickBot="1">
      <c r="A273" s="15" t="n"/>
      <c r="B273" s="16" t="n"/>
      <c r="C273" s="17" t="n"/>
      <c r="D273" s="18" t="n"/>
      <c r="E273" s="19" t="n"/>
      <c r="F273" s="17" t="n"/>
      <c r="G273" s="19" t="n"/>
      <c r="H273" s="20" t="n"/>
    </row>
    <row r="274" ht="30" customFormat="1" customHeight="1" s="21" thickBot="1">
      <c r="A274" s="15" t="n"/>
      <c r="B274" s="16" t="n"/>
      <c r="C274" s="17" t="n"/>
      <c r="D274" s="18" t="n"/>
      <c r="E274" s="19" t="n"/>
      <c r="F274" s="17" t="n"/>
      <c r="G274" s="19" t="n"/>
      <c r="H274" s="20" t="n"/>
    </row>
    <row r="275" ht="30" customFormat="1" customHeight="1" s="21" thickBot="1">
      <c r="A275" s="15" t="n"/>
      <c r="B275" s="16" t="n"/>
      <c r="C275" s="17" t="n"/>
      <c r="D275" s="18" t="n"/>
      <c r="E275" s="19" t="n"/>
      <c r="F275" s="17" t="n"/>
      <c r="G275" s="19" t="n"/>
      <c r="H275" s="20" t="n"/>
    </row>
    <row r="276" ht="30" customFormat="1" customHeight="1" s="21" thickBot="1">
      <c r="A276" s="15" t="n"/>
      <c r="B276" s="16" t="n"/>
      <c r="C276" s="17" t="n"/>
      <c r="D276" s="18" t="n"/>
      <c r="E276" s="19" t="n"/>
      <c r="F276" s="17" t="n"/>
      <c r="G276" s="19" t="n"/>
      <c r="H276" s="20" t="n"/>
    </row>
    <row r="277" ht="30" customFormat="1" customHeight="1" s="21" thickBot="1">
      <c r="A277" s="15" t="n"/>
      <c r="B277" s="16" t="n"/>
      <c r="C277" s="17" t="n"/>
      <c r="D277" s="18" t="n"/>
      <c r="E277" s="19" t="n"/>
      <c r="F277" s="17" t="n"/>
      <c r="G277" s="19" t="n"/>
      <c r="H277" s="20" t="n"/>
    </row>
    <row r="278" ht="30" customFormat="1" customHeight="1" s="21" thickBot="1">
      <c r="B278" s="22" t="n"/>
      <c r="C278" s="23" t="n"/>
      <c r="D278" s="26" t="n"/>
      <c r="E278" s="19" t="n"/>
      <c r="F278" s="23" t="n"/>
      <c r="H278" s="24" t="n"/>
    </row>
    <row r="279" ht="30" customFormat="1" customHeight="1" s="21" thickBot="1">
      <c r="B279" s="22" t="n"/>
      <c r="C279" s="23" t="n"/>
      <c r="D279" s="26" t="n"/>
      <c r="E279" s="19" t="n"/>
      <c r="F279" s="23" t="n"/>
      <c r="H279" s="24" t="n"/>
    </row>
    <row r="280" ht="30" customFormat="1" customHeight="1" s="21" thickBot="1">
      <c r="B280" s="22" t="n"/>
      <c r="C280" s="23" t="n"/>
      <c r="D280" s="26" t="n"/>
      <c r="E280" s="19" t="n"/>
      <c r="F280" s="23" t="n"/>
      <c r="H280" s="24" t="n"/>
    </row>
    <row r="281" ht="30" customFormat="1" customHeight="1" s="21" thickBot="1">
      <c r="B281" s="22" t="n"/>
      <c r="C281" s="23" t="n"/>
      <c r="D281" s="26" t="n"/>
      <c r="E281" s="19" t="n"/>
      <c r="F281" s="23" t="n"/>
      <c r="H281" s="24" t="n"/>
    </row>
    <row r="282" ht="30" customFormat="1" customHeight="1" s="21" thickBot="1">
      <c r="B282" s="22" t="n"/>
      <c r="C282" s="23" t="n"/>
      <c r="D282" s="26" t="n"/>
      <c r="E282" s="19" t="n"/>
      <c r="F282" s="23" t="n"/>
      <c r="H282" s="24" t="n"/>
    </row>
    <row r="283" ht="30" customFormat="1" customHeight="1" s="21" thickBot="1">
      <c r="B283" s="22" t="n"/>
      <c r="C283" s="23" t="n"/>
      <c r="D283" s="26" t="n"/>
      <c r="E283" s="19" t="n"/>
      <c r="F283" s="23" t="n"/>
      <c r="H283" s="24" t="n"/>
    </row>
    <row r="284" ht="30" customFormat="1" customHeight="1" s="21" thickBot="1">
      <c r="B284" s="22" t="n"/>
      <c r="C284" s="23" t="n"/>
      <c r="D284" s="26" t="n"/>
      <c r="E284" s="19" t="n"/>
      <c r="F284" s="23" t="n"/>
      <c r="H284" s="24" t="n"/>
    </row>
    <row r="285" ht="30" customFormat="1" customHeight="1" s="21" thickBot="1">
      <c r="B285" s="22" t="n"/>
      <c r="C285" s="23" t="n"/>
      <c r="D285" s="26" t="n"/>
      <c r="E285" s="19" t="n"/>
      <c r="F285" s="23" t="n"/>
      <c r="H285" s="24" t="n"/>
    </row>
    <row r="286" ht="30" customFormat="1" customHeight="1" s="21" thickBot="1">
      <c r="B286" s="22" t="n"/>
      <c r="C286" s="23" t="n"/>
      <c r="D286" s="26" t="n"/>
      <c r="E286" s="19" t="n"/>
      <c r="F286" s="23" t="n"/>
      <c r="H286" s="24" t="n"/>
    </row>
    <row r="287" ht="30" customFormat="1" customHeight="1" s="21" thickBot="1">
      <c r="B287" s="22" t="n"/>
      <c r="C287" s="23" t="n"/>
      <c r="D287" s="26" t="n"/>
      <c r="E287" s="19" t="n"/>
      <c r="F287" s="23" t="n"/>
      <c r="H287" s="24" t="n"/>
    </row>
    <row r="288" ht="30" customFormat="1" customHeight="1" s="21" thickBot="1">
      <c r="B288" s="22" t="n"/>
      <c r="C288" s="23" t="n"/>
      <c r="D288" s="26" t="n"/>
      <c r="E288" s="19" t="n"/>
      <c r="F288" s="23" t="n"/>
      <c r="H288" s="24" t="n"/>
    </row>
    <row r="289" ht="30" customFormat="1" customHeight="1" s="21" thickBot="1">
      <c r="B289" s="22" t="n"/>
      <c r="C289" s="23" t="n"/>
      <c r="D289" s="26" t="n"/>
      <c r="E289" s="19" t="n"/>
      <c r="F289" s="23" t="n"/>
      <c r="H289" s="24" t="n"/>
    </row>
    <row r="290" ht="30" customFormat="1" customHeight="1" s="21" thickBot="1">
      <c r="B290" s="22" t="n"/>
      <c r="C290" s="23" t="n"/>
      <c r="D290" s="26" t="n"/>
      <c r="E290" s="19" t="n"/>
      <c r="F290" s="23" t="n"/>
      <c r="H290" s="24" t="n"/>
    </row>
    <row r="291" ht="30" customFormat="1" customHeight="1" s="21" thickBot="1">
      <c r="B291" s="22" t="n"/>
      <c r="C291" s="23" t="n"/>
      <c r="D291" s="26" t="n"/>
      <c r="E291" s="19" t="n"/>
      <c r="F291" s="23" t="n"/>
      <c r="H291" s="24" t="n"/>
    </row>
    <row r="292" ht="30" customFormat="1" customHeight="1" s="21" thickBot="1">
      <c r="B292" s="22" t="n"/>
      <c r="C292" s="23" t="n"/>
      <c r="D292" s="26" t="n"/>
      <c r="E292" s="19" t="n"/>
      <c r="F292" s="23" t="n"/>
      <c r="H292" s="24" t="n"/>
    </row>
    <row r="293" ht="30" customFormat="1" customHeight="1" s="21" thickBot="1">
      <c r="B293" s="22" t="n"/>
      <c r="C293" s="23" t="n"/>
      <c r="D293" s="26" t="n"/>
      <c r="E293" s="19" t="n"/>
      <c r="F293" s="23" t="n"/>
      <c r="H293" s="24" t="n"/>
    </row>
    <row r="294" ht="30" customFormat="1" customHeight="1" s="21" thickBot="1">
      <c r="B294" s="22" t="n"/>
      <c r="C294" s="23" t="n"/>
      <c r="D294" s="26" t="n"/>
      <c r="E294" s="19" t="n"/>
      <c r="F294" s="23" t="n"/>
      <c r="H294" s="24" t="n"/>
    </row>
    <row r="295" ht="30" customFormat="1" customHeight="1" s="21" thickBot="1">
      <c r="B295" s="22" t="n"/>
      <c r="C295" s="23" t="n"/>
      <c r="D295" s="26" t="n"/>
      <c r="E295" s="19" t="n"/>
      <c r="F295" s="23" t="n"/>
      <c r="H295" s="24" t="n"/>
    </row>
    <row r="296" ht="30" customFormat="1" customHeight="1" s="21" thickBot="1">
      <c r="B296" s="22" t="n"/>
      <c r="C296" s="23" t="n"/>
      <c r="D296" s="26" t="n"/>
      <c r="E296" s="19" t="n"/>
      <c r="F296" s="23" t="n"/>
      <c r="H296" s="24" t="n"/>
    </row>
    <row r="297" ht="30" customFormat="1" customHeight="1" s="21" thickBot="1">
      <c r="B297" s="22" t="n"/>
      <c r="C297" s="23" t="n"/>
      <c r="D297" s="26" t="n"/>
      <c r="E297" s="19" t="n"/>
      <c r="F297" s="23" t="n"/>
      <c r="H297" s="24" t="n"/>
    </row>
    <row r="298" ht="30" customFormat="1" customHeight="1" s="21" thickBot="1">
      <c r="B298" s="22" t="n"/>
      <c r="C298" s="23" t="n"/>
      <c r="D298" s="26" t="n"/>
      <c r="E298" s="19" t="n"/>
      <c r="F298" s="23" t="n"/>
      <c r="H298" s="24" t="n"/>
    </row>
    <row r="299" ht="30" customFormat="1" customHeight="1" s="21" thickBot="1">
      <c r="B299" s="22" t="n"/>
      <c r="C299" s="23" t="n"/>
      <c r="D299" s="26" t="n"/>
      <c r="E299" s="19" t="n"/>
      <c r="F299" s="23" t="n"/>
      <c r="H299" s="24" t="n"/>
    </row>
    <row r="300" ht="30" customFormat="1" customHeight="1" s="21" thickBot="1">
      <c r="B300" s="22" t="n"/>
      <c r="C300" s="23" t="n"/>
      <c r="D300" s="26" t="n"/>
      <c r="E300" s="19" t="n"/>
      <c r="F300" s="23" t="n"/>
      <c r="H300" s="24" t="n"/>
    </row>
    <row r="301" ht="30" customFormat="1" customHeight="1" s="21" thickBot="1">
      <c r="B301" s="22" t="n"/>
      <c r="C301" s="23" t="n"/>
      <c r="D301" s="26" t="n"/>
      <c r="E301" s="19" t="n"/>
      <c r="F301" s="23" t="n"/>
      <c r="H301" s="24" t="n"/>
    </row>
    <row r="302" ht="30" customFormat="1" customHeight="1" s="21" thickBot="1">
      <c r="B302" s="22" t="n"/>
      <c r="C302" s="23" t="n"/>
      <c r="D302" s="26" t="n"/>
      <c r="E302" s="19" t="n"/>
      <c r="F302" s="23" t="n"/>
      <c r="H302" s="24" t="n"/>
    </row>
    <row r="303" ht="30" customFormat="1" customHeight="1" s="21" thickBot="1">
      <c r="B303" s="22" t="n"/>
      <c r="C303" s="23" t="n"/>
      <c r="D303" s="26" t="n"/>
      <c r="E303" s="19" t="n"/>
      <c r="F303" s="23" t="n"/>
      <c r="H303" s="24" t="n"/>
    </row>
    <row r="304" ht="30" customFormat="1" customHeight="1" s="21" thickBot="1">
      <c r="B304" s="22" t="n"/>
      <c r="C304" s="23" t="n"/>
      <c r="D304" s="26" t="n"/>
      <c r="E304" s="19" t="n"/>
      <c r="F304" s="23" t="n"/>
      <c r="H304" s="24" t="n"/>
    </row>
    <row r="305" ht="30" customFormat="1" customHeight="1" s="21" thickBot="1">
      <c r="B305" s="22" t="n"/>
      <c r="C305" s="23" t="n"/>
      <c r="D305" s="26" t="n"/>
      <c r="E305" s="19" t="n"/>
      <c r="F305" s="23" t="n"/>
      <c r="H305" s="24" t="n"/>
    </row>
    <row r="306" ht="30" customFormat="1" customHeight="1" s="21" thickBot="1">
      <c r="B306" s="22" t="n"/>
      <c r="C306" s="23" t="n"/>
      <c r="D306" s="26" t="n"/>
      <c r="E306" s="19" t="n"/>
      <c r="F306" s="23" t="n"/>
      <c r="H306" s="24" t="n"/>
    </row>
    <row r="307" ht="30" customFormat="1" customHeight="1" s="21" thickBot="1">
      <c r="B307" s="22" t="n"/>
      <c r="C307" s="23" t="n"/>
      <c r="D307" s="26" t="n"/>
      <c r="E307" s="19" t="n"/>
      <c r="F307" s="23" t="n"/>
      <c r="H307" s="24" t="n"/>
    </row>
    <row r="308" ht="30" customFormat="1" customHeight="1" s="21" thickBot="1">
      <c r="B308" s="22" t="n"/>
      <c r="C308" s="23" t="n"/>
      <c r="D308" s="26" t="n"/>
      <c r="E308" s="19" t="n"/>
      <c r="F308" s="23" t="n"/>
      <c r="H308" s="24" t="n"/>
    </row>
    <row r="309" ht="30" customFormat="1" customHeight="1" s="21" thickBot="1">
      <c r="B309" s="22" t="n"/>
      <c r="C309" s="23" t="n"/>
      <c r="D309" s="26" t="n"/>
      <c r="E309" s="19" t="n"/>
      <c r="F309" s="23" t="n"/>
      <c r="H309" s="24" t="n"/>
    </row>
    <row r="310" ht="30" customFormat="1" customHeight="1" s="21" thickBot="1">
      <c r="B310" s="22" t="n"/>
      <c r="C310" s="23" t="n"/>
      <c r="D310" s="26" t="n"/>
      <c r="E310" s="19" t="n"/>
      <c r="F310" s="23" t="n"/>
      <c r="H310" s="24" t="n"/>
    </row>
    <row r="311" ht="30" customFormat="1" customHeight="1" s="21" thickBot="1">
      <c r="B311" s="22" t="n"/>
      <c r="C311" s="23" t="n"/>
      <c r="D311" s="26" t="n"/>
      <c r="E311" s="19" t="n"/>
      <c r="F311" s="23" t="n"/>
      <c r="H311" s="24" t="n"/>
    </row>
    <row r="312" ht="30" customFormat="1" customHeight="1" s="21" thickBot="1">
      <c r="B312" s="22" t="n"/>
      <c r="C312" s="23" t="n"/>
      <c r="D312" s="26" t="n"/>
      <c r="E312" s="19" t="n"/>
      <c r="F312" s="23" t="n"/>
      <c r="H312" s="24" t="n"/>
    </row>
    <row r="313" ht="30" customFormat="1" customHeight="1" s="21" thickBot="1">
      <c r="B313" s="22" t="n"/>
      <c r="C313" s="23" t="n"/>
      <c r="D313" s="26" t="n"/>
      <c r="E313" s="19" t="n"/>
      <c r="F313" s="23" t="n"/>
      <c r="H313" s="24" t="n"/>
    </row>
    <row r="314" ht="30" customFormat="1" customHeight="1" s="21" thickBot="1">
      <c r="B314" s="22" t="n"/>
      <c r="C314" s="23" t="n"/>
      <c r="D314" s="26" t="n"/>
      <c r="E314" s="19" t="n"/>
      <c r="F314" s="23" t="n"/>
      <c r="H314" s="24" t="n"/>
    </row>
    <row r="315" ht="30" customFormat="1" customHeight="1" s="21" thickBot="1">
      <c r="B315" s="22" t="n"/>
      <c r="C315" s="23" t="n"/>
      <c r="D315" s="26" t="n"/>
      <c r="E315" s="19" t="n"/>
      <c r="F315" s="23" t="n"/>
      <c r="H315" s="24" t="n"/>
    </row>
    <row r="316" ht="30" customFormat="1" customHeight="1" s="21" thickBot="1">
      <c r="B316" s="22" t="n"/>
      <c r="C316" s="23" t="n"/>
      <c r="D316" s="26" t="n"/>
      <c r="E316" s="19" t="n"/>
      <c r="F316" s="23" t="n"/>
      <c r="H316" s="24" t="n"/>
    </row>
    <row r="317" ht="30" customFormat="1" customHeight="1" s="21" thickBot="1">
      <c r="B317" s="22" t="n"/>
      <c r="C317" s="23" t="n"/>
      <c r="D317" s="26" t="n"/>
      <c r="E317" s="19" t="n"/>
      <c r="F317" s="23" t="n"/>
      <c r="H317" s="24" t="n"/>
    </row>
    <row r="318" ht="30" customFormat="1" customHeight="1" s="21" thickBot="1">
      <c r="B318" s="22" t="n"/>
      <c r="C318" s="23" t="n"/>
      <c r="D318" s="26" t="n"/>
      <c r="E318" s="19" t="n"/>
      <c r="F318" s="23" t="n"/>
      <c r="H318" s="24" t="n"/>
    </row>
    <row r="319" ht="30" customFormat="1" customHeight="1" s="21" thickBot="1">
      <c r="B319" s="22" t="n"/>
      <c r="C319" s="23" t="n"/>
      <c r="D319" s="26" t="n"/>
      <c r="E319" s="19" t="n"/>
      <c r="F319" s="23" t="n"/>
      <c r="H319" s="24" t="n"/>
    </row>
    <row r="320" ht="30" customFormat="1" customHeight="1" s="21" thickBot="1">
      <c r="B320" s="22" t="n"/>
      <c r="C320" s="23" t="n"/>
      <c r="D320" s="26" t="n"/>
      <c r="E320" s="19" t="n"/>
      <c r="F320" s="23" t="n"/>
      <c r="H320" s="24" t="n"/>
    </row>
    <row r="321" ht="30" customFormat="1" customHeight="1" s="21" thickBot="1">
      <c r="B321" s="22" t="n"/>
      <c r="C321" s="23" t="n"/>
      <c r="D321" s="26" t="n"/>
      <c r="E321" s="19" t="n"/>
      <c r="F321" s="23" t="n"/>
      <c r="H321" s="24" t="n"/>
    </row>
    <row r="322" ht="30" customFormat="1" customHeight="1" s="21" thickBot="1">
      <c r="B322" s="22" t="n"/>
      <c r="C322" s="23" t="n"/>
      <c r="D322" s="26" t="n"/>
      <c r="E322" s="19" t="n"/>
      <c r="F322" s="23" t="n"/>
      <c r="H322" s="24" t="n"/>
    </row>
    <row r="323" ht="30" customFormat="1" customHeight="1" s="21" thickBot="1">
      <c r="B323" s="22" t="n"/>
      <c r="C323" s="23" t="n"/>
      <c r="D323" s="26" t="n"/>
      <c r="E323" s="19" t="n"/>
      <c r="F323" s="23" t="n"/>
      <c r="H323" s="24" t="n"/>
    </row>
    <row r="324" ht="30" customFormat="1" customHeight="1" s="21" thickBot="1">
      <c r="B324" s="22" t="n"/>
      <c r="C324" s="23" t="n"/>
      <c r="D324" s="26" t="n"/>
      <c r="E324" s="19" t="n"/>
      <c r="F324" s="23" t="n"/>
      <c r="H324" s="24" t="n"/>
    </row>
    <row r="325" ht="30" customFormat="1" customHeight="1" s="21" thickBot="1">
      <c r="B325" s="22" t="n"/>
      <c r="C325" s="23" t="n"/>
      <c r="D325" s="26" t="n"/>
      <c r="E325" s="19" t="n"/>
      <c r="F325" s="23" t="n"/>
      <c r="H325" s="24" t="n"/>
    </row>
    <row r="326" ht="30" customFormat="1" customHeight="1" s="21" thickBot="1">
      <c r="B326" s="22" t="n"/>
      <c r="C326" s="23" t="n"/>
      <c r="D326" s="26" t="n"/>
      <c r="E326" s="19" t="n"/>
      <c r="F326" s="23" t="n"/>
      <c r="H326" s="24" t="n"/>
    </row>
    <row r="327" ht="30" customFormat="1" customHeight="1" s="21" thickBot="1">
      <c r="B327" s="22" t="n"/>
      <c r="C327" s="23" t="n"/>
      <c r="D327" s="26" t="n"/>
      <c r="E327" s="19" t="n"/>
      <c r="F327" s="23" t="n"/>
      <c r="H327" s="24" t="n"/>
    </row>
    <row r="328" ht="30" customFormat="1" customHeight="1" s="21" thickBot="1">
      <c r="B328" s="22" t="n"/>
      <c r="C328" s="23" t="n"/>
      <c r="D328" s="26" t="n"/>
      <c r="E328" s="19" t="n"/>
      <c r="F328" s="23" t="n"/>
      <c r="H328" s="24" t="n"/>
    </row>
    <row r="329" ht="30" customFormat="1" customHeight="1" s="21" thickBot="1">
      <c r="B329" s="22" t="n"/>
      <c r="C329" s="23" t="n"/>
      <c r="D329" s="26" t="n"/>
      <c r="E329" s="19" t="n"/>
      <c r="F329" s="23" t="n"/>
      <c r="H329" s="24" t="n"/>
    </row>
    <row r="330" ht="30" customFormat="1" customHeight="1" s="21" thickBot="1">
      <c r="B330" s="22" t="n"/>
      <c r="C330" s="23" t="n"/>
      <c r="D330" s="26" t="n"/>
      <c r="E330" s="19" t="n"/>
      <c r="F330" s="23" t="n"/>
      <c r="H330" s="24" t="n"/>
    </row>
    <row r="331" ht="30" customFormat="1" customHeight="1" s="21" thickBot="1">
      <c r="B331" s="22" t="n"/>
      <c r="C331" s="23" t="n"/>
      <c r="D331" s="26" t="n"/>
      <c r="E331" s="19" t="n"/>
      <c r="F331" s="23" t="n"/>
      <c r="H331" s="24" t="n"/>
    </row>
    <row r="332" ht="30" customFormat="1" customHeight="1" s="21" thickBot="1">
      <c r="B332" s="22" t="n"/>
      <c r="C332" s="23" t="n"/>
      <c r="D332" s="26" t="n"/>
      <c r="E332" s="19" t="n"/>
      <c r="F332" s="23" t="n"/>
      <c r="H332" s="24" t="n"/>
    </row>
    <row r="333" ht="30" customFormat="1" customHeight="1" s="21" thickBot="1">
      <c r="B333" s="22" t="n"/>
      <c r="C333" s="23" t="n"/>
      <c r="D333" s="26" t="n"/>
      <c r="E333" s="19" t="n"/>
      <c r="F333" s="23" t="n"/>
      <c r="H333" s="24" t="n"/>
    </row>
    <row r="334" ht="30" customFormat="1" customHeight="1" s="21" thickBot="1">
      <c r="B334" s="22" t="n"/>
      <c r="C334" s="23" t="n"/>
      <c r="D334" s="26" t="n"/>
      <c r="E334" s="19" t="n"/>
      <c r="F334" s="23" t="n"/>
      <c r="H334" s="24" t="n"/>
    </row>
    <row r="335" ht="30" customFormat="1" customHeight="1" s="21" thickBot="1">
      <c r="B335" s="22" t="n"/>
      <c r="C335" s="23" t="n"/>
      <c r="D335" s="26" t="n"/>
      <c r="E335" s="19" t="n"/>
      <c r="F335" s="23" t="n"/>
      <c r="H335" s="24" t="n"/>
    </row>
    <row r="336" ht="30" customFormat="1" customHeight="1" s="21" thickBot="1">
      <c r="B336" s="22" t="n"/>
      <c r="C336" s="23" t="n"/>
      <c r="D336" s="26" t="n"/>
      <c r="E336" s="19" t="n"/>
      <c r="F336" s="23" t="n"/>
      <c r="H336" s="24" t="n"/>
    </row>
    <row r="337" ht="30" customFormat="1" customHeight="1" s="21" thickBot="1">
      <c r="B337" s="22" t="n"/>
      <c r="C337" s="23" t="n"/>
      <c r="D337" s="26" t="n"/>
      <c r="E337" s="19" t="n"/>
      <c r="F337" s="23" t="n"/>
      <c r="H337" s="24" t="n"/>
    </row>
    <row r="338" ht="30" customFormat="1" customHeight="1" s="21" thickBot="1">
      <c r="B338" s="22" t="n"/>
      <c r="C338" s="23" t="n"/>
      <c r="D338" s="26" t="n"/>
      <c r="E338" s="19" t="n"/>
      <c r="F338" s="23" t="n"/>
      <c r="H338" s="24" t="n"/>
    </row>
    <row r="339" ht="30" customFormat="1" customHeight="1" s="21" thickBot="1">
      <c r="B339" s="22" t="n"/>
      <c r="C339" s="23" t="n"/>
      <c r="D339" s="26" t="n"/>
      <c r="E339" s="19" t="n"/>
      <c r="F339" s="23" t="n"/>
      <c r="H339" s="24" t="n"/>
    </row>
    <row r="340" ht="30" customFormat="1" customHeight="1" s="21" thickBot="1">
      <c r="B340" s="22" t="n"/>
      <c r="C340" s="23" t="n"/>
      <c r="D340" s="26" t="n"/>
      <c r="E340" s="19" t="n"/>
      <c r="F340" s="23" t="n"/>
      <c r="H340" s="24" t="n"/>
    </row>
    <row r="341" ht="30" customFormat="1" customHeight="1" s="21" thickBot="1">
      <c r="B341" s="22" t="n"/>
      <c r="C341" s="23" t="n"/>
      <c r="D341" s="26" t="n"/>
      <c r="E341" s="19" t="n"/>
      <c r="F341" s="23" t="n"/>
      <c r="H341" s="24" t="n"/>
    </row>
    <row r="342" ht="30" customFormat="1" customHeight="1" s="21" thickBot="1">
      <c r="B342" s="22" t="n"/>
      <c r="C342" s="23" t="n"/>
      <c r="D342" s="26" t="n"/>
      <c r="E342" s="19" t="n"/>
      <c r="F342" s="23" t="n"/>
      <c r="H342" s="24" t="n"/>
    </row>
    <row r="343" ht="30" customFormat="1" customHeight="1" s="21" thickBot="1">
      <c r="B343" s="22" t="n"/>
      <c r="C343" s="23" t="n"/>
      <c r="D343" s="26" t="n"/>
      <c r="E343" s="19" t="n"/>
      <c r="F343" s="23" t="n"/>
      <c r="H343" s="24" t="n"/>
    </row>
    <row r="344" ht="30" customFormat="1" customHeight="1" s="21" thickBot="1">
      <c r="B344" s="22" t="n"/>
      <c r="C344" s="23" t="n"/>
      <c r="D344" s="26" t="n"/>
      <c r="E344" s="19" t="n"/>
      <c r="F344" s="23" t="n"/>
      <c r="H344" s="24" t="n"/>
    </row>
    <row r="345" ht="30" customFormat="1" customHeight="1" s="21" thickBot="1">
      <c r="B345" s="22" t="n"/>
      <c r="C345" s="23" t="n"/>
      <c r="D345" s="26" t="n"/>
      <c r="E345" s="19" t="n"/>
      <c r="F345" s="23" t="n"/>
      <c r="H345" s="24" t="n"/>
    </row>
    <row r="346" ht="30" customFormat="1" customHeight="1" s="21" thickBot="1">
      <c r="B346" s="22" t="n"/>
      <c r="C346" s="23" t="n"/>
      <c r="D346" s="26" t="n"/>
      <c r="E346" s="19" t="n"/>
      <c r="F346" s="23" t="n"/>
      <c r="H346" s="24" t="n"/>
    </row>
    <row r="347" ht="30" customFormat="1" customHeight="1" s="21" thickBot="1">
      <c r="B347" s="22" t="n"/>
      <c r="C347" s="23" t="n"/>
      <c r="D347" s="26" t="n"/>
      <c r="E347" s="19" t="n"/>
      <c r="F347" s="23" t="n"/>
      <c r="H347" s="24" t="n"/>
    </row>
    <row r="348" ht="30" customFormat="1" customHeight="1" s="21" thickBot="1">
      <c r="B348" s="22" t="n"/>
      <c r="C348" s="23" t="n"/>
      <c r="D348" s="26" t="n"/>
      <c r="E348" s="19" t="n"/>
      <c r="F348" s="23" t="n"/>
      <c r="H348" s="24" t="n"/>
    </row>
    <row r="349" ht="30" customFormat="1" customHeight="1" s="21" thickBot="1">
      <c r="B349" s="22" t="n"/>
      <c r="C349" s="23" t="n"/>
      <c r="D349" s="26" t="n"/>
      <c r="E349" s="19" t="n"/>
      <c r="F349" s="23" t="n"/>
      <c r="H349" s="24" t="n"/>
    </row>
    <row r="350" ht="30" customFormat="1" customHeight="1" s="21" thickBot="1">
      <c r="B350" s="22" t="n"/>
      <c r="C350" s="23" t="n"/>
      <c r="D350" s="26" t="n"/>
      <c r="E350" s="19" t="n"/>
      <c r="F350" s="23" t="n"/>
      <c r="H350" s="24" t="n"/>
    </row>
    <row r="351" ht="30" customFormat="1" customHeight="1" s="21" thickBot="1">
      <c r="B351" s="22" t="n"/>
      <c r="C351" s="23" t="n"/>
      <c r="D351" s="26" t="n"/>
      <c r="E351" s="19" t="n"/>
      <c r="F351" s="23" t="n"/>
      <c r="H351" s="24" t="n"/>
    </row>
    <row r="352" ht="30" customFormat="1" customHeight="1" s="21" thickBot="1">
      <c r="B352" s="22" t="n"/>
      <c r="C352" s="23" t="n"/>
      <c r="D352" s="26" t="n"/>
      <c r="E352" s="19" t="n"/>
      <c r="F352" s="23" t="n"/>
      <c r="H352" s="24" t="n"/>
    </row>
    <row r="353" ht="30" customFormat="1" customHeight="1" s="21" thickBot="1">
      <c r="B353" s="22" t="n"/>
      <c r="C353" s="23" t="n"/>
      <c r="D353" s="26" t="n"/>
      <c r="E353" s="19" t="n"/>
      <c r="F353" s="23" t="n"/>
      <c r="H353" s="24" t="n"/>
    </row>
    <row r="354" ht="30" customFormat="1" customHeight="1" s="21" thickBot="1">
      <c r="B354" s="22" t="n"/>
      <c r="C354" s="23" t="n"/>
      <c r="D354" s="26" t="n"/>
      <c r="E354" s="19" t="n"/>
      <c r="F354" s="23" t="n"/>
      <c r="H354" s="24" t="n"/>
    </row>
    <row r="355" ht="30" customFormat="1" customHeight="1" s="21" thickBot="1">
      <c r="B355" s="22" t="n"/>
      <c r="C355" s="23" t="n"/>
      <c r="D355" s="26" t="n"/>
      <c r="E355" s="19" t="n"/>
      <c r="F355" s="23" t="n"/>
      <c r="H355" s="24" t="n"/>
    </row>
    <row r="356" ht="30" customFormat="1" customHeight="1" s="21" thickBot="1">
      <c r="B356" s="22" t="n"/>
      <c r="C356" s="23" t="n"/>
      <c r="D356" s="26" t="n"/>
      <c r="E356" s="19" t="n"/>
      <c r="F356" s="23" t="n"/>
      <c r="H356" s="24" t="n"/>
    </row>
    <row r="357" ht="30" customFormat="1" customHeight="1" s="21" thickBot="1">
      <c r="B357" s="22" t="n"/>
      <c r="C357" s="23" t="n"/>
      <c r="D357" s="26" t="n"/>
      <c r="E357" s="19" t="n"/>
      <c r="F357" s="23" t="n"/>
      <c r="H357" s="24" t="n"/>
    </row>
    <row r="358" ht="30" customFormat="1" customHeight="1" s="21" thickBot="1">
      <c r="B358" s="22" t="n"/>
      <c r="C358" s="23" t="n"/>
      <c r="D358" s="26" t="n"/>
      <c r="E358" s="19" t="n"/>
      <c r="F358" s="23" t="n"/>
      <c r="H358" s="24" t="n"/>
    </row>
    <row r="359" ht="30" customFormat="1" customHeight="1" s="21" thickBot="1">
      <c r="B359" s="22" t="n"/>
      <c r="C359" s="23" t="n"/>
      <c r="D359" s="26" t="n"/>
      <c r="E359" s="19" t="n"/>
      <c r="F359" s="23" t="n"/>
      <c r="H359" s="24" t="n"/>
    </row>
    <row r="360" ht="30" customFormat="1" customHeight="1" s="21" thickBot="1">
      <c r="B360" s="22" t="n"/>
      <c r="C360" s="23" t="n"/>
      <c r="D360" s="26" t="n"/>
      <c r="E360" s="19" t="n"/>
      <c r="F360" s="23" t="n"/>
      <c r="H360" s="24" t="n"/>
    </row>
    <row r="361" ht="30" customFormat="1" customHeight="1" s="21" thickBot="1">
      <c r="B361" s="22" t="n"/>
      <c r="C361" s="23" t="n"/>
      <c r="D361" s="26" t="n"/>
      <c r="E361" s="19" t="n"/>
      <c r="F361" s="23" t="n"/>
      <c r="H361" s="24" t="n"/>
    </row>
    <row r="362" ht="30" customFormat="1" customHeight="1" s="21" thickBot="1">
      <c r="B362" s="22" t="n"/>
      <c r="C362" s="23" t="n"/>
      <c r="D362" s="26" t="n"/>
      <c r="E362" s="19" t="n"/>
      <c r="F362" s="23" t="n"/>
      <c r="H362" s="24" t="n"/>
    </row>
    <row r="363" ht="30" customFormat="1" customHeight="1" s="21" thickBot="1">
      <c r="B363" s="22" t="n"/>
      <c r="C363" s="23" t="n"/>
      <c r="D363" s="26" t="n"/>
      <c r="E363" s="19" t="n"/>
      <c r="F363" s="23" t="n"/>
      <c r="H363" s="24" t="n"/>
    </row>
    <row r="364" ht="30" customFormat="1" customHeight="1" s="21" thickBot="1">
      <c r="B364" s="22" t="n"/>
      <c r="C364" s="23" t="n"/>
      <c r="D364" s="26" t="n"/>
      <c r="E364" s="19" t="n"/>
      <c r="F364" s="23" t="n"/>
      <c r="H364" s="24" t="n"/>
    </row>
    <row r="365" ht="30" customFormat="1" customHeight="1" s="21" thickBot="1">
      <c r="B365" s="22" t="n"/>
      <c r="C365" s="23" t="n"/>
      <c r="D365" s="26" t="n"/>
      <c r="E365" s="19" t="n"/>
      <c r="F365" s="23" t="n"/>
      <c r="H365" s="24" t="n"/>
    </row>
    <row r="366" ht="30" customFormat="1" customHeight="1" s="21" thickBot="1">
      <c r="B366" s="22" t="n"/>
      <c r="C366" s="23" t="n"/>
      <c r="D366" s="26" t="n"/>
      <c r="E366" s="19" t="n"/>
      <c r="F366" s="23" t="n"/>
      <c r="H366" s="24" t="n"/>
    </row>
    <row r="367" ht="30" customFormat="1" customHeight="1" s="21" thickBot="1">
      <c r="B367" s="22" t="n"/>
      <c r="C367" s="23" t="n"/>
      <c r="D367" s="26" t="n"/>
      <c r="E367" s="19" t="n"/>
      <c r="F367" s="23" t="n"/>
      <c r="H367" s="24" t="n"/>
    </row>
    <row r="368" ht="30" customFormat="1" customHeight="1" s="21" thickBot="1">
      <c r="B368" s="22" t="n"/>
      <c r="C368" s="23" t="n"/>
      <c r="D368" s="26" t="n"/>
      <c r="E368" s="19" t="n"/>
      <c r="F368" s="23" t="n"/>
      <c r="H368" s="24" t="n"/>
    </row>
    <row r="369" ht="30" customFormat="1" customHeight="1" s="21" thickBot="1">
      <c r="B369" s="22" t="n"/>
      <c r="C369" s="23" t="n"/>
      <c r="D369" s="26" t="n"/>
      <c r="E369" s="19" t="n"/>
      <c r="F369" s="23" t="n"/>
      <c r="H369" s="24" t="n"/>
    </row>
    <row r="370" ht="30" customFormat="1" customHeight="1" s="21" thickBot="1">
      <c r="B370" s="22" t="n"/>
      <c r="C370" s="23" t="n"/>
      <c r="D370" s="26" t="n"/>
      <c r="E370" s="19" t="n"/>
      <c r="F370" s="23" t="n"/>
      <c r="H370" s="24" t="n"/>
    </row>
    <row r="371" ht="30" customFormat="1" customHeight="1" s="21" thickBot="1">
      <c r="B371" s="22" t="n"/>
      <c r="C371" s="23" t="n"/>
      <c r="D371" s="26" t="n"/>
      <c r="E371" s="19" t="n"/>
      <c r="F371" s="23" t="n"/>
      <c r="H371" s="24" t="n"/>
    </row>
    <row r="372" ht="30" customFormat="1" customHeight="1" s="21" thickBot="1">
      <c r="B372" s="22" t="n"/>
      <c r="C372" s="23" t="n"/>
      <c r="D372" s="26" t="n"/>
      <c r="E372" s="19" t="n"/>
      <c r="F372" s="23" t="n"/>
      <c r="H372" s="24" t="n"/>
    </row>
    <row r="373" ht="30" customFormat="1" customHeight="1" s="21" thickBot="1">
      <c r="B373" s="22" t="n"/>
      <c r="C373" s="23" t="n"/>
      <c r="D373" s="26" t="n"/>
      <c r="E373" s="19" t="n"/>
      <c r="F373" s="23" t="n"/>
      <c r="H373" s="24" t="n"/>
    </row>
    <row r="374" ht="30" customFormat="1" customHeight="1" s="21" thickBot="1">
      <c r="B374" s="22" t="n"/>
      <c r="C374" s="23" t="n"/>
      <c r="D374" s="26" t="n"/>
      <c r="E374" s="19" t="n"/>
      <c r="F374" s="23" t="n"/>
      <c r="H374" s="24" t="n"/>
    </row>
    <row r="375" ht="30" customFormat="1" customHeight="1" s="21" thickBot="1">
      <c r="B375" s="22" t="n"/>
      <c r="C375" s="23" t="n"/>
      <c r="D375" s="26" t="n"/>
      <c r="E375" s="19" t="n"/>
      <c r="F375" s="23" t="n"/>
      <c r="H375" s="24" t="n"/>
    </row>
    <row r="376" ht="30" customFormat="1" customHeight="1" s="21" thickBot="1">
      <c r="B376" s="22" t="n"/>
      <c r="C376" s="23" t="n"/>
      <c r="D376" s="26" t="n"/>
      <c r="E376" s="19" t="n"/>
      <c r="F376" s="23" t="n"/>
      <c r="H376" s="24" t="n"/>
    </row>
    <row r="377" ht="30" customFormat="1" customHeight="1" s="21" thickBot="1">
      <c r="B377" s="22" t="n"/>
      <c r="C377" s="23" t="n"/>
      <c r="D377" s="26" t="n"/>
      <c r="E377" s="19" t="n"/>
      <c r="F377" s="23" t="n"/>
      <c r="H377" s="24" t="n"/>
    </row>
    <row r="378" ht="30" customFormat="1" customHeight="1" s="21" thickBot="1">
      <c r="B378" s="22" t="n"/>
      <c r="C378" s="23" t="n"/>
      <c r="D378" s="26" t="n"/>
      <c r="E378" s="19" t="n"/>
      <c r="F378" s="23" t="n"/>
      <c r="H378" s="24" t="n"/>
    </row>
    <row r="379" ht="30" customFormat="1" customHeight="1" s="21" thickBot="1">
      <c r="B379" s="22" t="n"/>
      <c r="C379" s="23" t="n"/>
      <c r="D379" s="26" t="n"/>
      <c r="E379" s="19" t="n"/>
      <c r="F379" s="23" t="n"/>
      <c r="H379" s="24" t="n"/>
    </row>
    <row r="380" ht="30" customFormat="1" customHeight="1" s="21" thickBot="1">
      <c r="B380" s="22" t="n"/>
      <c r="C380" s="23" t="n"/>
      <c r="D380" s="26" t="n"/>
      <c r="E380" s="19" t="n"/>
      <c r="F380" s="23" t="n"/>
      <c r="H380" s="24" t="n"/>
    </row>
    <row r="381" ht="30" customFormat="1" customHeight="1" s="21" thickBot="1">
      <c r="B381" s="22" t="n"/>
      <c r="C381" s="23" t="n"/>
      <c r="D381" s="26" t="n"/>
      <c r="E381" s="19" t="n"/>
      <c r="F381" s="23" t="n"/>
      <c r="H381" s="24" t="n"/>
    </row>
    <row r="382" ht="30" customFormat="1" customHeight="1" s="21" thickBot="1">
      <c r="B382" s="22" t="n"/>
      <c r="C382" s="23" t="n"/>
      <c r="D382" s="26" t="n"/>
      <c r="E382" s="19" t="n"/>
      <c r="F382" s="23" t="n"/>
      <c r="H382" s="24" t="n"/>
    </row>
    <row r="383" ht="30" customFormat="1" customHeight="1" s="21" thickBot="1">
      <c r="B383" s="22" t="n"/>
      <c r="C383" s="23" t="n"/>
      <c r="D383" s="26" t="n"/>
      <c r="E383" s="19" t="n"/>
      <c r="F383" s="23" t="n"/>
      <c r="H383" s="24" t="n"/>
    </row>
    <row r="384" ht="30" customFormat="1" customHeight="1" s="21" thickBot="1">
      <c r="B384" s="22" t="n"/>
      <c r="C384" s="23" t="n"/>
      <c r="D384" s="26" t="n"/>
      <c r="E384" s="19" t="n"/>
      <c r="F384" s="23" t="n"/>
      <c r="H384" s="24" t="n"/>
    </row>
    <row r="385" ht="30" customFormat="1" customHeight="1" s="21" thickBot="1">
      <c r="B385" s="22" t="n"/>
      <c r="C385" s="23" t="n"/>
      <c r="D385" s="26" t="n"/>
      <c r="E385" s="19" t="n"/>
      <c r="F385" s="23" t="n"/>
      <c r="H385" s="24" t="n"/>
    </row>
    <row r="386" ht="30" customFormat="1" customHeight="1" s="21" thickBot="1">
      <c r="B386" s="22" t="n"/>
      <c r="C386" s="23" t="n"/>
      <c r="D386" s="26" t="n"/>
      <c r="E386" s="19" t="n"/>
      <c r="F386" s="23" t="n"/>
      <c r="H386" s="24" t="n"/>
    </row>
    <row r="387" ht="30" customFormat="1" customHeight="1" s="21" thickBot="1">
      <c r="B387" s="22" t="n"/>
      <c r="C387" s="23" t="n"/>
      <c r="D387" s="26" t="n"/>
      <c r="E387" s="19" t="n"/>
      <c r="F387" s="23" t="n"/>
      <c r="H387" s="24" t="n"/>
    </row>
    <row r="388" ht="30" customFormat="1" customHeight="1" s="21" thickBot="1">
      <c r="B388" s="22" t="n"/>
      <c r="C388" s="23" t="n"/>
      <c r="D388" s="26" t="n"/>
      <c r="E388" s="19" t="n"/>
      <c r="F388" s="23" t="n"/>
      <c r="H388" s="24" t="n"/>
    </row>
    <row r="389" ht="30" customFormat="1" customHeight="1" s="21" thickBot="1">
      <c r="B389" s="22" t="n"/>
      <c r="C389" s="23" t="n"/>
      <c r="D389" s="26" t="n"/>
      <c r="E389" s="19" t="n"/>
      <c r="F389" s="23" t="n"/>
      <c r="H389" s="24" t="n"/>
    </row>
    <row r="390" ht="30" customFormat="1" customHeight="1" s="21" thickBot="1">
      <c r="B390" s="22" t="n"/>
      <c r="C390" s="23" t="n"/>
      <c r="D390" s="26" t="n"/>
      <c r="E390" s="19" t="n"/>
      <c r="F390" s="23" t="n"/>
      <c r="H390" s="24" t="n"/>
    </row>
    <row r="391" ht="30" customFormat="1" customHeight="1" s="21" thickBot="1">
      <c r="B391" s="22" t="n"/>
      <c r="C391" s="23" t="n"/>
      <c r="D391" s="26" t="n"/>
      <c r="E391" s="19" t="n"/>
      <c r="F391" s="23" t="n"/>
      <c r="H391" s="24" t="n"/>
    </row>
    <row r="392" ht="30" customFormat="1" customHeight="1" s="21" thickBot="1">
      <c r="B392" s="22" t="n"/>
      <c r="C392" s="23" t="n"/>
      <c r="D392" s="26" t="n"/>
      <c r="E392" s="19" t="n"/>
      <c r="F392" s="23" t="n"/>
      <c r="H392" s="24" t="n"/>
    </row>
    <row r="393" ht="30" customFormat="1" customHeight="1" s="21" thickBot="1">
      <c r="B393" s="22" t="n"/>
      <c r="C393" s="23" t="n"/>
      <c r="D393" s="26" t="n"/>
      <c r="E393" s="19" t="n"/>
      <c r="F393" s="23" t="n"/>
      <c r="H393" s="24" t="n"/>
    </row>
    <row r="394" ht="30" customFormat="1" customHeight="1" s="21" thickBot="1">
      <c r="B394" s="22" t="n"/>
      <c r="C394" s="23" t="n"/>
      <c r="D394" s="26" t="n"/>
      <c r="E394" s="19" t="n"/>
      <c r="F394" s="23" t="n"/>
      <c r="H394" s="24" t="n"/>
    </row>
    <row r="395" ht="30" customFormat="1" customHeight="1" s="21" thickBot="1">
      <c r="B395" s="22" t="n"/>
      <c r="C395" s="23" t="n"/>
      <c r="D395" s="26" t="n"/>
      <c r="E395" s="19" t="n"/>
      <c r="F395" s="23" t="n"/>
      <c r="H395" s="24" t="n"/>
    </row>
    <row r="396" ht="30" customFormat="1" customHeight="1" s="21" thickBot="1">
      <c r="B396" s="22" t="n"/>
      <c r="C396" s="23" t="n"/>
      <c r="D396" s="26" t="n"/>
      <c r="E396" s="19" t="n"/>
      <c r="F396" s="23" t="n"/>
      <c r="H396" s="24" t="n"/>
    </row>
    <row r="397" ht="30" customFormat="1" customHeight="1" s="21" thickBot="1">
      <c r="B397" s="22" t="n"/>
      <c r="C397" s="23" t="n"/>
      <c r="D397" s="26" t="n"/>
      <c r="E397" s="19" t="n"/>
      <c r="F397" s="23" t="n"/>
      <c r="H397" s="24" t="n"/>
    </row>
    <row r="398" ht="30" customFormat="1" customHeight="1" s="21" thickBot="1">
      <c r="B398" s="22" t="n"/>
      <c r="C398" s="23" t="n"/>
      <c r="D398" s="26" t="n"/>
      <c r="E398" s="19" t="n"/>
      <c r="F398" s="23" t="n"/>
      <c r="H398" s="24" t="n"/>
    </row>
    <row r="399" ht="30" customFormat="1" customHeight="1" s="21" thickBot="1">
      <c r="B399" s="22" t="n"/>
      <c r="C399" s="23" t="n"/>
      <c r="D399" s="26" t="n"/>
      <c r="E399" s="19" t="n"/>
      <c r="F399" s="23" t="n"/>
      <c r="H399" s="24" t="n"/>
    </row>
    <row r="400" ht="30" customFormat="1" customHeight="1" s="21" thickBot="1">
      <c r="B400" s="22" t="n"/>
      <c r="C400" s="23" t="n"/>
      <c r="D400" s="26" t="n"/>
      <c r="E400" s="19" t="n"/>
      <c r="F400" s="23" t="n"/>
      <c r="H400" s="24" t="n"/>
    </row>
    <row r="401" ht="30" customFormat="1" customHeight="1" s="21" thickBot="1">
      <c r="B401" s="22" t="n"/>
      <c r="C401" s="23" t="n"/>
      <c r="D401" s="26" t="n"/>
      <c r="E401" s="19" t="n"/>
      <c r="F401" s="23" t="n"/>
      <c r="H401" s="24" t="n"/>
    </row>
    <row r="402" ht="30" customFormat="1" customHeight="1" s="21" thickBot="1">
      <c r="B402" s="22" t="n"/>
      <c r="C402" s="23" t="n"/>
      <c r="D402" s="26" t="n"/>
      <c r="E402" s="19" t="n"/>
      <c r="F402" s="23" t="n"/>
      <c r="H402" s="24" t="n"/>
    </row>
    <row r="403" ht="30" customFormat="1" customHeight="1" s="21" thickBot="1">
      <c r="B403" s="22" t="n"/>
      <c r="C403" s="23" t="n"/>
      <c r="D403" s="26" t="n"/>
      <c r="E403" s="19" t="n"/>
      <c r="F403" s="23" t="n"/>
      <c r="H403" s="24" t="n"/>
    </row>
    <row r="404" ht="30" customFormat="1" customHeight="1" s="21" thickBot="1">
      <c r="B404" s="22" t="n"/>
      <c r="C404" s="23" t="n"/>
      <c r="D404" s="26" t="n"/>
      <c r="E404" s="19" t="n"/>
      <c r="F404" s="23" t="n"/>
      <c r="H404" s="24" t="n"/>
    </row>
    <row r="405" ht="30" customFormat="1" customHeight="1" s="21" thickBot="1">
      <c r="B405" s="22" t="n"/>
      <c r="C405" s="23" t="n"/>
      <c r="D405" s="26" t="n"/>
      <c r="E405" s="19" t="n"/>
      <c r="F405" s="23" t="n"/>
      <c r="H405" s="24" t="n"/>
    </row>
    <row r="406" ht="30" customFormat="1" customHeight="1" s="21" thickBot="1">
      <c r="B406" s="22" t="n"/>
      <c r="C406" s="23" t="n"/>
      <c r="D406" s="26" t="n"/>
      <c r="E406" s="19" t="n"/>
      <c r="F406" s="23" t="n"/>
      <c r="H406" s="24" t="n"/>
    </row>
    <row r="407" ht="30" customFormat="1" customHeight="1" s="21" thickBot="1">
      <c r="B407" s="22" t="n"/>
      <c r="C407" s="23" t="n"/>
      <c r="D407" s="26" t="n"/>
      <c r="E407" s="19" t="n"/>
      <c r="F407" s="23" t="n"/>
      <c r="H407" s="24" t="n"/>
    </row>
    <row r="408" ht="30" customFormat="1" customHeight="1" s="21" thickBot="1">
      <c r="B408" s="22" t="n"/>
      <c r="C408" s="23" t="n"/>
      <c r="D408" s="26" t="n"/>
      <c r="E408" s="19" t="n"/>
      <c r="F408" s="23" t="n"/>
      <c r="H408" s="24" t="n"/>
    </row>
    <row r="409" ht="30" customFormat="1" customHeight="1" s="21" thickBot="1">
      <c r="B409" s="22" t="n"/>
      <c r="C409" s="23" t="n"/>
      <c r="D409" s="26" t="n"/>
      <c r="E409" s="19" t="n"/>
      <c r="F409" s="23" t="n"/>
      <c r="H409" s="24" t="n"/>
    </row>
    <row r="410" ht="30" customFormat="1" customHeight="1" s="21" thickBot="1">
      <c r="B410" s="22" t="n"/>
      <c r="C410" s="23" t="n"/>
      <c r="D410" s="26" t="n"/>
      <c r="E410" s="19" t="n"/>
      <c r="F410" s="23" t="n"/>
      <c r="H410" s="24" t="n"/>
    </row>
    <row r="411" ht="30" customFormat="1" customHeight="1" s="21" thickBot="1">
      <c r="B411" s="22" t="n"/>
      <c r="C411" s="23" t="n"/>
      <c r="D411" s="26" t="n"/>
      <c r="E411" s="19" t="n"/>
      <c r="F411" s="23" t="n"/>
      <c r="H411" s="24" t="n"/>
    </row>
    <row r="412" ht="30" customFormat="1" customHeight="1" s="21" thickBot="1">
      <c r="B412" s="22" t="n"/>
      <c r="C412" s="23" t="n"/>
      <c r="D412" s="26" t="n"/>
      <c r="E412" s="19" t="n"/>
      <c r="F412" s="23" t="n"/>
      <c r="H412" s="24" t="n"/>
    </row>
    <row r="413" ht="30" customFormat="1" customHeight="1" s="21" thickBot="1">
      <c r="B413" s="22" t="n"/>
      <c r="C413" s="23" t="n"/>
      <c r="D413" s="26" t="n"/>
      <c r="E413" s="19" t="n"/>
      <c r="F413" s="23" t="n"/>
      <c r="H413" s="24" t="n"/>
    </row>
    <row r="414" ht="30" customFormat="1" customHeight="1" s="21" thickBot="1">
      <c r="B414" s="22" t="n"/>
      <c r="C414" s="23" t="n"/>
      <c r="D414" s="26" t="n"/>
      <c r="E414" s="19" t="n"/>
      <c r="F414" s="23" t="n"/>
      <c r="H414" s="24" t="n"/>
    </row>
    <row r="415" ht="30" customFormat="1" customHeight="1" s="21" thickBot="1">
      <c r="B415" s="22" t="n"/>
      <c r="C415" s="23" t="n"/>
      <c r="D415" s="26" t="n"/>
      <c r="E415" s="19" t="n"/>
      <c r="F415" s="23" t="n"/>
      <c r="H415" s="24" t="n"/>
    </row>
    <row r="416" ht="30" customFormat="1" customHeight="1" s="21" thickBot="1">
      <c r="B416" s="22" t="n"/>
      <c r="C416" s="23" t="n"/>
      <c r="D416" s="26" t="n"/>
      <c r="E416" s="19" t="n"/>
      <c r="F416" s="23" t="n"/>
      <c r="H416" s="24" t="n"/>
    </row>
    <row r="417" ht="30" customFormat="1" customHeight="1" s="21" thickBot="1">
      <c r="B417" s="22" t="n"/>
      <c r="C417" s="23" t="n"/>
      <c r="D417" s="26" t="n"/>
      <c r="E417" s="19" t="n"/>
      <c r="F417" s="23" t="n"/>
      <c r="H417" s="24" t="n"/>
    </row>
    <row r="418" ht="30" customFormat="1" customHeight="1" s="21" thickBot="1">
      <c r="B418" s="22" t="n"/>
      <c r="C418" s="23" t="n"/>
      <c r="D418" s="26" t="n"/>
      <c r="E418" s="19" t="n"/>
      <c r="F418" s="23" t="n"/>
      <c r="H418" s="24" t="n"/>
    </row>
    <row r="419" ht="30" customFormat="1" customHeight="1" s="21" thickBot="1">
      <c r="B419" s="22" t="n"/>
      <c r="C419" s="23" t="n"/>
      <c r="D419" s="26" t="n"/>
      <c r="E419" s="19" t="n"/>
      <c r="F419" s="23" t="n"/>
      <c r="H419" s="24" t="n"/>
    </row>
    <row r="420" ht="30" customFormat="1" customHeight="1" s="21" thickBot="1">
      <c r="B420" s="22" t="n"/>
      <c r="C420" s="23" t="n"/>
      <c r="D420" s="26" t="n"/>
      <c r="E420" s="19" t="n"/>
      <c r="F420" s="23" t="n"/>
      <c r="H420" s="24" t="n"/>
    </row>
    <row r="421" ht="30" customFormat="1" customHeight="1" s="21" thickBot="1">
      <c r="B421" s="22" t="n"/>
      <c r="C421" s="23" t="n"/>
      <c r="D421" s="26" t="n"/>
      <c r="E421" s="19" t="n"/>
      <c r="F421" s="23" t="n"/>
      <c r="H421" s="24" t="n"/>
    </row>
    <row r="422" ht="30" customFormat="1" customHeight="1" s="21" thickBot="1">
      <c r="B422" s="22" t="n"/>
      <c r="C422" s="23" t="n"/>
      <c r="D422" s="26" t="n"/>
      <c r="E422" s="19" t="n"/>
      <c r="F422" s="23" t="n"/>
      <c r="H422" s="24" t="n"/>
    </row>
    <row r="423" ht="30" customFormat="1" customHeight="1" s="21" thickBot="1">
      <c r="B423" s="22" t="n"/>
      <c r="C423" s="23" t="n"/>
      <c r="D423" s="26" t="n"/>
      <c r="E423" s="19" t="n"/>
      <c r="F423" s="23" t="n"/>
      <c r="H423" s="24" t="n"/>
    </row>
    <row r="424" ht="30" customFormat="1" customHeight="1" s="21" thickBot="1">
      <c r="B424" s="22" t="n"/>
      <c r="C424" s="23" t="n"/>
      <c r="D424" s="26" t="n"/>
      <c r="E424" s="19" t="n"/>
      <c r="F424" s="23" t="n"/>
      <c r="H424" s="24" t="n"/>
    </row>
    <row r="425" ht="30" customFormat="1" customHeight="1" s="21" thickBot="1">
      <c r="B425" s="22" t="n"/>
      <c r="C425" s="23" t="n"/>
      <c r="D425" s="26" t="n"/>
      <c r="E425" s="19" t="n"/>
      <c r="F425" s="23" t="n"/>
      <c r="H425" s="24" t="n"/>
    </row>
    <row r="426" ht="30" customFormat="1" customHeight="1" s="21" thickBot="1">
      <c r="B426" s="22" t="n"/>
      <c r="C426" s="23" t="n"/>
      <c r="D426" s="26" t="n"/>
      <c r="E426" s="19" t="n"/>
      <c r="F426" s="23" t="n"/>
      <c r="H426" s="24" t="n"/>
    </row>
    <row r="427" ht="30" customFormat="1" customHeight="1" s="21" thickBot="1">
      <c r="B427" s="22" t="n"/>
      <c r="C427" s="23" t="n"/>
      <c r="D427" s="26" t="n"/>
      <c r="E427" s="19" t="n"/>
      <c r="F427" s="23" t="n"/>
      <c r="H427" s="24" t="n"/>
    </row>
    <row r="428" ht="30" customFormat="1" customHeight="1" s="21" thickBot="1">
      <c r="B428" s="22" t="n"/>
      <c r="C428" s="23" t="n"/>
      <c r="D428" s="26" t="n"/>
      <c r="E428" s="19" t="n"/>
      <c r="F428" s="23" t="n"/>
      <c r="H428" s="24" t="n"/>
    </row>
    <row r="429" ht="30" customFormat="1" customHeight="1" s="21" thickBot="1">
      <c r="B429" s="22" t="n"/>
      <c r="C429" s="23" t="n"/>
      <c r="D429" s="26" t="n"/>
      <c r="E429" s="19" t="n"/>
      <c r="F429" s="23" t="n"/>
      <c r="H429" s="24" t="n"/>
    </row>
    <row r="430" ht="30" customFormat="1" customHeight="1" s="21" thickBot="1">
      <c r="B430" s="22" t="n"/>
      <c r="C430" s="23" t="n"/>
      <c r="D430" s="26" t="n"/>
      <c r="E430" s="19" t="n"/>
      <c r="F430" s="23" t="n"/>
      <c r="H430" s="24" t="n"/>
    </row>
    <row r="431" ht="30" customFormat="1" customHeight="1" s="21" thickBot="1">
      <c r="B431" s="22" t="n"/>
      <c r="C431" s="23" t="n"/>
      <c r="D431" s="26" t="n"/>
      <c r="E431" s="19" t="n"/>
      <c r="F431" s="23" t="n"/>
      <c r="H431" s="24" t="n"/>
    </row>
    <row r="432" ht="30" customFormat="1" customHeight="1" s="21" thickBot="1">
      <c r="B432" s="22" t="n"/>
      <c r="C432" s="23" t="n"/>
      <c r="D432" s="26" t="n"/>
      <c r="E432" s="19" t="n"/>
      <c r="F432" s="23" t="n"/>
      <c r="H432" s="24" t="n"/>
    </row>
    <row r="433" ht="30" customFormat="1" customHeight="1" s="21" thickBot="1">
      <c r="B433" s="22" t="n"/>
      <c r="C433" s="23" t="n"/>
      <c r="D433" s="26" t="n"/>
      <c r="E433" s="19" t="n"/>
      <c r="F433" s="23" t="n"/>
      <c r="H433" s="24" t="n"/>
    </row>
    <row r="434" ht="30" customFormat="1" customHeight="1" s="21" thickBot="1">
      <c r="B434" s="22" t="n"/>
      <c r="C434" s="23" t="n"/>
      <c r="D434" s="26" t="n"/>
      <c r="E434" s="19" t="n"/>
      <c r="F434" s="23" t="n"/>
      <c r="H434" s="24" t="n"/>
    </row>
    <row r="435" ht="30" customFormat="1" customHeight="1" s="21" thickBot="1">
      <c r="B435" s="22" t="n"/>
      <c r="C435" s="23" t="n"/>
      <c r="D435" s="26" t="n"/>
      <c r="E435" s="19" t="n"/>
      <c r="F435" s="23" t="n"/>
      <c r="H435" s="24" t="n"/>
    </row>
    <row r="436" ht="30" customFormat="1" customHeight="1" s="21" thickBot="1">
      <c r="B436" s="22" t="n"/>
      <c r="C436" s="23" t="n"/>
      <c r="D436" s="26" t="n"/>
      <c r="E436" s="19" t="n"/>
      <c r="F436" s="23" t="n"/>
      <c r="H436" s="24" t="n"/>
    </row>
    <row r="437" ht="30" customFormat="1" customHeight="1" s="21" thickBot="1">
      <c r="B437" s="22" t="n"/>
      <c r="C437" s="23" t="n"/>
      <c r="D437" s="26" t="n"/>
      <c r="E437" s="19" t="n"/>
      <c r="F437" s="23" t="n"/>
      <c r="H437" s="24" t="n"/>
    </row>
    <row r="438" ht="30" customFormat="1" customHeight="1" s="21" thickBot="1">
      <c r="B438" s="22" t="n"/>
      <c r="C438" s="23" t="n"/>
      <c r="D438" s="26" t="n"/>
      <c r="E438" s="19" t="n"/>
      <c r="F438" s="23" t="n"/>
      <c r="H438" s="24" t="n"/>
    </row>
    <row r="439" ht="30" customFormat="1" customHeight="1" s="21" thickBot="1">
      <c r="B439" s="22" t="n"/>
      <c r="C439" s="23" t="n"/>
      <c r="D439" s="26" t="n"/>
      <c r="E439" s="19" t="n"/>
      <c r="F439" s="23" t="n"/>
      <c r="H439" s="24" t="n"/>
    </row>
    <row r="440" ht="30" customFormat="1" customHeight="1" s="21" thickBot="1">
      <c r="B440" s="22" t="n"/>
      <c r="C440" s="23" t="n"/>
      <c r="D440" s="26" t="n"/>
      <c r="E440" s="19" t="n"/>
      <c r="F440" s="23" t="n"/>
      <c r="H440" s="24" t="n"/>
    </row>
    <row r="441" ht="30" customFormat="1" customHeight="1" s="21" thickBot="1">
      <c r="B441" s="22" t="n"/>
      <c r="C441" s="23" t="n"/>
      <c r="D441" s="26" t="n"/>
      <c r="E441" s="19" t="n"/>
      <c r="F441" s="23" t="n"/>
      <c r="H441" s="24" t="n"/>
    </row>
    <row r="442" ht="30" customFormat="1" customHeight="1" s="21" thickBot="1">
      <c r="B442" s="22" t="n"/>
      <c r="C442" s="23" t="n"/>
      <c r="D442" s="26" t="n"/>
      <c r="E442" s="19" t="n"/>
      <c r="F442" s="23" t="n"/>
      <c r="H442" s="24" t="n"/>
    </row>
    <row r="443" ht="30" customFormat="1" customHeight="1" s="21" thickBot="1">
      <c r="B443" s="22" t="n"/>
      <c r="C443" s="23" t="n"/>
      <c r="D443" s="26" t="n"/>
      <c r="E443" s="19" t="n"/>
      <c r="F443" s="23" t="n"/>
      <c r="H443" s="24" t="n"/>
    </row>
    <row r="444" ht="30" customFormat="1" customHeight="1" s="21" thickBot="1">
      <c r="B444" s="22" t="n"/>
      <c r="C444" s="23" t="n"/>
      <c r="D444" s="26" t="n"/>
      <c r="E444" s="19" t="n"/>
      <c r="F444" s="23" t="n"/>
      <c r="H444" s="24" t="n"/>
    </row>
    <row r="445" ht="30" customFormat="1" customHeight="1" s="21" thickBot="1">
      <c r="B445" s="22" t="n"/>
      <c r="C445" s="23" t="n"/>
      <c r="D445" s="26" t="n"/>
      <c r="E445" s="19" t="n"/>
      <c r="F445" s="23" t="n"/>
      <c r="H445" s="24" t="n"/>
    </row>
    <row r="446" ht="30" customFormat="1" customHeight="1" s="21" thickBot="1">
      <c r="B446" s="22" t="n"/>
      <c r="C446" s="23" t="n"/>
      <c r="D446" s="26" t="n"/>
      <c r="E446" s="19" t="n"/>
      <c r="F446" s="23" t="n"/>
      <c r="H446" s="24" t="n"/>
    </row>
    <row r="447" ht="30" customFormat="1" customHeight="1" s="21" thickBot="1">
      <c r="B447" s="22" t="n"/>
      <c r="C447" s="23" t="n"/>
      <c r="D447" s="26" t="n"/>
      <c r="E447" s="19" t="n"/>
      <c r="F447" s="23" t="n"/>
      <c r="H447" s="24" t="n"/>
    </row>
    <row r="448" ht="30" customFormat="1" customHeight="1" s="21" thickBot="1">
      <c r="B448" s="22" t="n"/>
      <c r="C448" s="23" t="n"/>
      <c r="D448" s="26" t="n"/>
      <c r="E448" s="19" t="n"/>
      <c r="F448" s="23" t="n"/>
      <c r="H448" s="24" t="n"/>
    </row>
    <row r="449" ht="30" customFormat="1" customHeight="1" s="21" thickBot="1">
      <c r="B449" s="22" t="n"/>
      <c r="C449" s="23" t="n"/>
      <c r="D449" s="26" t="n"/>
      <c r="E449" s="19" t="n"/>
      <c r="F449" s="23" t="n"/>
      <c r="H449" s="24" t="n"/>
    </row>
    <row r="450" ht="30" customFormat="1" customHeight="1" s="21" thickBot="1">
      <c r="B450" s="22" t="n"/>
      <c r="C450" s="23" t="n"/>
      <c r="D450" s="26" t="n"/>
      <c r="E450" s="19" t="n"/>
      <c r="F450" s="23" t="n"/>
      <c r="H450" s="24" t="n"/>
    </row>
    <row r="451" ht="30" customFormat="1" customHeight="1" s="21" thickBot="1">
      <c r="B451" s="22" t="n"/>
      <c r="C451" s="23" t="n"/>
      <c r="D451" s="26" t="n"/>
      <c r="E451" s="19" t="n"/>
      <c r="F451" s="23" t="n"/>
      <c r="H451" s="24" t="n"/>
    </row>
    <row r="452" ht="30" customFormat="1" customHeight="1" s="21" thickBot="1">
      <c r="B452" s="22" t="n"/>
      <c r="C452" s="23" t="n"/>
      <c r="D452" s="26" t="n"/>
      <c r="E452" s="19" t="n"/>
      <c r="F452" s="23" t="n"/>
      <c r="H452" s="24" t="n"/>
    </row>
    <row r="453" ht="30" customFormat="1" customHeight="1" s="21" thickBot="1">
      <c r="B453" s="22" t="n"/>
      <c r="C453" s="23" t="n"/>
      <c r="D453" s="26" t="n"/>
      <c r="E453" s="19" t="n"/>
      <c r="F453" s="23" t="n"/>
      <c r="H453" s="24" t="n"/>
    </row>
    <row r="454" ht="30" customFormat="1" customHeight="1" s="21" thickBot="1">
      <c r="B454" s="22" t="n"/>
      <c r="C454" s="23" t="n"/>
      <c r="D454" s="26" t="n"/>
      <c r="E454" s="19" t="n"/>
      <c r="F454" s="23" t="n"/>
      <c r="H454" s="24" t="n"/>
    </row>
    <row r="455" ht="30" customFormat="1" customHeight="1" s="21" thickBot="1">
      <c r="B455" s="22" t="n"/>
      <c r="C455" s="23" t="n"/>
      <c r="D455" s="26" t="n"/>
      <c r="E455" s="19" t="n"/>
      <c r="F455" s="23" t="n"/>
      <c r="H455" s="24" t="n"/>
    </row>
    <row r="456" ht="30" customFormat="1" customHeight="1" s="21" thickBot="1">
      <c r="B456" s="22" t="n"/>
      <c r="C456" s="23" t="n"/>
      <c r="D456" s="26" t="n"/>
      <c r="E456" s="19" t="n"/>
      <c r="F456" s="23" t="n"/>
      <c r="H456" s="24" t="n"/>
    </row>
    <row r="457" ht="30" customFormat="1" customHeight="1" s="21" thickBot="1">
      <c r="B457" s="22" t="n"/>
      <c r="C457" s="23" t="n"/>
      <c r="D457" s="26" t="n"/>
      <c r="E457" s="19" t="n"/>
      <c r="F457" s="23" t="n"/>
      <c r="H457" s="24" t="n"/>
    </row>
    <row r="458" ht="30" customFormat="1" customHeight="1" s="21" thickBot="1">
      <c r="B458" s="22" t="n"/>
      <c r="C458" s="23" t="n"/>
      <c r="D458" s="26" t="n"/>
      <c r="E458" s="19" t="n"/>
      <c r="F458" s="23" t="n"/>
      <c r="H458" s="24" t="n"/>
    </row>
    <row r="459" ht="30" customFormat="1" customHeight="1" s="21" thickBot="1">
      <c r="B459" s="22" t="n"/>
      <c r="C459" s="23" t="n"/>
      <c r="D459" s="26" t="n"/>
      <c r="E459" s="19" t="n"/>
      <c r="F459" s="23" t="n"/>
      <c r="H459" s="24" t="n"/>
    </row>
    <row r="460" ht="30" customFormat="1" customHeight="1" s="21" thickBot="1">
      <c r="B460" s="22" t="n"/>
      <c r="C460" s="23" t="n"/>
      <c r="D460" s="26" t="n"/>
      <c r="E460" s="19" t="n"/>
      <c r="F460" s="23" t="n"/>
      <c r="H460" s="24" t="n"/>
    </row>
    <row r="461" ht="30" customFormat="1" customHeight="1" s="21" thickBot="1">
      <c r="B461" s="22" t="n"/>
      <c r="C461" s="23" t="n"/>
      <c r="D461" s="26" t="n"/>
      <c r="E461" s="19" t="n"/>
      <c r="F461" s="23" t="n"/>
      <c r="H461" s="24" t="n"/>
    </row>
    <row r="462" ht="30" customFormat="1" customHeight="1" s="21" thickBot="1">
      <c r="B462" s="22" t="n"/>
      <c r="C462" s="23" t="n"/>
      <c r="D462" s="26" t="n"/>
      <c r="E462" s="19" t="n"/>
      <c r="F462" s="23" t="n"/>
      <c r="H462" s="24" t="n"/>
    </row>
    <row r="463" ht="30" customFormat="1" customHeight="1" s="21" thickBot="1">
      <c r="B463" s="22" t="n"/>
      <c r="C463" s="23" t="n"/>
      <c r="D463" s="26" t="n"/>
      <c r="E463" s="19" t="n"/>
      <c r="F463" s="23" t="n"/>
      <c r="H463" s="24" t="n"/>
    </row>
    <row r="464" ht="30" customFormat="1" customHeight="1" s="21" thickBot="1">
      <c r="B464" s="22" t="n"/>
      <c r="C464" s="23" t="n"/>
      <c r="D464" s="26" t="n"/>
      <c r="E464" s="19" t="n"/>
      <c r="F464" s="23" t="n"/>
      <c r="H464" s="24" t="n"/>
    </row>
    <row r="465" ht="30" customFormat="1" customHeight="1" s="21" thickBot="1">
      <c r="B465" s="22" t="n"/>
      <c r="C465" s="23" t="n"/>
      <c r="D465" s="26" t="n"/>
      <c r="E465" s="19" t="n"/>
      <c r="F465" s="23" t="n"/>
      <c r="H465" s="24" t="n"/>
    </row>
    <row r="466" ht="30" customFormat="1" customHeight="1" s="21" thickBot="1">
      <c r="B466" s="22" t="n"/>
      <c r="C466" s="23" t="n"/>
      <c r="D466" s="26" t="n"/>
      <c r="E466" s="19" t="n"/>
      <c r="F466" s="23" t="n"/>
      <c r="H466" s="24" t="n"/>
    </row>
    <row r="467" ht="30" customFormat="1" customHeight="1" s="21" thickBot="1">
      <c r="B467" s="22" t="n"/>
      <c r="C467" s="23" t="n"/>
      <c r="D467" s="26" t="n"/>
      <c r="E467" s="19" t="n"/>
      <c r="F467" s="23" t="n"/>
      <c r="H467" s="24" t="n"/>
    </row>
    <row r="468" ht="30" customFormat="1" customHeight="1" s="21" thickBot="1">
      <c r="B468" s="22" t="n"/>
      <c r="C468" s="23" t="n"/>
      <c r="D468" s="26" t="n"/>
      <c r="E468" s="19" t="n"/>
      <c r="F468" s="23" t="n"/>
      <c r="H468" s="24" t="n"/>
    </row>
    <row r="469" ht="30" customFormat="1" customHeight="1" s="21" thickBot="1">
      <c r="B469" s="22" t="n"/>
      <c r="C469" s="23" t="n"/>
      <c r="D469" s="26" t="n"/>
      <c r="E469" s="19" t="n"/>
      <c r="F469" s="23" t="n"/>
      <c r="H469" s="24" t="n"/>
    </row>
    <row r="470" ht="30" customFormat="1" customHeight="1" s="21" thickBot="1">
      <c r="B470" s="22" t="n"/>
      <c r="C470" s="23" t="n"/>
      <c r="D470" s="26" t="n"/>
      <c r="E470" s="19" t="n"/>
      <c r="F470" s="23" t="n"/>
      <c r="H470" s="24" t="n"/>
    </row>
    <row r="471" ht="30" customFormat="1" customHeight="1" s="21" thickBot="1">
      <c r="B471" s="22" t="n"/>
      <c r="C471" s="23" t="n"/>
      <c r="D471" s="26" t="n"/>
      <c r="E471" s="19" t="n"/>
      <c r="F471" s="23" t="n"/>
      <c r="H471" s="24" t="n"/>
    </row>
    <row r="472" ht="30" customFormat="1" customHeight="1" s="21" thickBot="1">
      <c r="B472" s="22" t="n"/>
      <c r="C472" s="23" t="n"/>
      <c r="D472" s="26" t="n"/>
      <c r="E472" s="19" t="n"/>
      <c r="F472" s="23" t="n"/>
      <c r="H472" s="24" t="n"/>
    </row>
    <row r="473" ht="30" customFormat="1" customHeight="1" s="21" thickBot="1">
      <c r="B473" s="22" t="n"/>
      <c r="C473" s="23" t="n"/>
      <c r="D473" s="26" t="n"/>
      <c r="E473" s="19" t="n"/>
      <c r="F473" s="23" t="n"/>
      <c r="H473" s="24" t="n"/>
    </row>
    <row r="474" ht="30" customFormat="1" customHeight="1" s="21" thickBot="1">
      <c r="B474" s="22" t="n"/>
      <c r="C474" s="23" t="n"/>
      <c r="D474" s="26" t="n"/>
      <c r="E474" s="19" t="n"/>
      <c r="F474" s="23" t="n"/>
      <c r="H474" s="24" t="n"/>
    </row>
    <row r="475" ht="30" customFormat="1" customHeight="1" s="21" thickBot="1">
      <c r="B475" s="22" t="n"/>
      <c r="C475" s="23" t="n"/>
      <c r="D475" s="26" t="n"/>
      <c r="E475" s="19" t="n"/>
      <c r="F475" s="23" t="n"/>
      <c r="H475" s="24" t="n"/>
    </row>
    <row r="476" ht="30" customFormat="1" customHeight="1" s="21" thickBot="1">
      <c r="B476" s="22" t="n"/>
      <c r="C476" s="23" t="n"/>
      <c r="D476" s="26" t="n"/>
      <c r="E476" s="19" t="n"/>
      <c r="F476" s="23" t="n"/>
      <c r="H476" s="24" t="n"/>
    </row>
    <row r="477" ht="30" customFormat="1" customHeight="1" s="21" thickBot="1">
      <c r="B477" s="22" t="n"/>
      <c r="C477" s="23" t="n"/>
      <c r="D477" s="26" t="n"/>
      <c r="E477" s="19" t="n"/>
      <c r="F477" s="23" t="n"/>
      <c r="H477" s="24" t="n"/>
    </row>
    <row r="478" ht="30" customFormat="1" customHeight="1" s="21" thickBot="1">
      <c r="B478" s="22" t="n"/>
      <c r="C478" s="23" t="n"/>
      <c r="D478" s="26" t="n"/>
      <c r="E478" s="19" t="n"/>
      <c r="F478" s="23" t="n"/>
      <c r="H478" s="24" t="n"/>
    </row>
    <row r="479" ht="30" customFormat="1" customHeight="1" s="21" thickBot="1">
      <c r="B479" s="22" t="n"/>
      <c r="C479" s="23" t="n"/>
      <c r="D479" s="26" t="n"/>
      <c r="E479" s="19" t="n"/>
      <c r="F479" s="23" t="n"/>
      <c r="H479" s="24" t="n"/>
    </row>
    <row r="480" ht="30" customFormat="1" customHeight="1" s="21" thickBot="1">
      <c r="B480" s="22" t="n"/>
      <c r="C480" s="23" t="n"/>
      <c r="D480" s="26" t="n"/>
      <c r="E480" s="19" t="n"/>
      <c r="F480" s="23" t="n"/>
      <c r="H480" s="24" t="n"/>
    </row>
    <row r="481" ht="30" customFormat="1" customHeight="1" s="21" thickBot="1">
      <c r="B481" s="22" t="n"/>
      <c r="C481" s="23" t="n"/>
      <c r="D481" s="26" t="n"/>
      <c r="E481" s="19" t="n"/>
      <c r="F481" s="23" t="n"/>
      <c r="H481" s="24" t="n"/>
    </row>
    <row r="482" ht="30" customFormat="1" customHeight="1" s="21" thickBot="1">
      <c r="B482" s="22" t="n"/>
      <c r="C482" s="23" t="n"/>
      <c r="D482" s="26" t="n"/>
      <c r="E482" s="19" t="n"/>
      <c r="F482" s="23" t="n"/>
      <c r="H482" s="24" t="n"/>
    </row>
    <row r="483" ht="30" customFormat="1" customHeight="1" s="21" thickBot="1">
      <c r="B483" s="22" t="n"/>
      <c r="C483" s="23" t="n"/>
      <c r="D483" s="26" t="n"/>
      <c r="E483" s="19" t="n"/>
      <c r="F483" s="23" t="n"/>
      <c r="H483" s="24" t="n"/>
    </row>
    <row r="484" ht="30" customFormat="1" customHeight="1" s="21" thickBot="1">
      <c r="B484" s="22" t="n"/>
      <c r="C484" s="23" t="n"/>
      <c r="D484" s="26" t="n"/>
      <c r="E484" s="19" t="n"/>
      <c r="F484" s="23" t="n"/>
      <c r="H484" s="24" t="n"/>
    </row>
    <row r="485" ht="30" customFormat="1" customHeight="1" s="21" thickBot="1">
      <c r="B485" s="22" t="n"/>
      <c r="C485" s="23" t="n"/>
      <c r="D485" s="26" t="n"/>
      <c r="E485" s="19" t="n"/>
      <c r="F485" s="23" t="n"/>
      <c r="H485" s="24" t="n"/>
    </row>
    <row r="486" ht="30" customFormat="1" customHeight="1" s="21" thickBot="1">
      <c r="B486" s="22" t="n"/>
      <c r="C486" s="23" t="n"/>
      <c r="D486" s="26" t="n"/>
      <c r="E486" s="19" t="n"/>
      <c r="F486" s="23" t="n"/>
      <c r="H486" s="24" t="n"/>
    </row>
    <row r="487" ht="30" customFormat="1" customHeight="1" s="21" thickBot="1">
      <c r="B487" s="22" t="n"/>
      <c r="C487" s="23" t="n"/>
      <c r="D487" s="26" t="n"/>
      <c r="E487" s="19" t="n"/>
      <c r="F487" s="23" t="n"/>
      <c r="H487" s="24" t="n"/>
    </row>
    <row r="488" ht="30" customFormat="1" customHeight="1" s="21" thickBot="1">
      <c r="B488" s="22" t="n"/>
      <c r="C488" s="23" t="n"/>
      <c r="D488" s="26" t="n"/>
      <c r="E488" s="19" t="n"/>
      <c r="F488" s="23" t="n"/>
      <c r="H488" s="24" t="n"/>
    </row>
    <row r="489" ht="30" customFormat="1" customHeight="1" s="21" thickBot="1">
      <c r="B489" s="22" t="n"/>
      <c r="C489" s="23" t="n"/>
      <c r="D489" s="26" t="n"/>
      <c r="E489" s="19" t="n"/>
      <c r="F489" s="23" t="n"/>
      <c r="H489" s="24" t="n"/>
    </row>
    <row r="490" ht="30" customFormat="1" customHeight="1" s="21" thickBot="1">
      <c r="B490" s="22" t="n"/>
      <c r="C490" s="23" t="n"/>
      <c r="D490" s="26" t="n"/>
      <c r="E490" s="19" t="n"/>
      <c r="F490" s="23" t="n"/>
      <c r="H490" s="24" t="n"/>
    </row>
    <row r="491" ht="30" customFormat="1" customHeight="1" s="21" thickBot="1">
      <c r="B491" s="22" t="n"/>
      <c r="C491" s="23" t="n"/>
      <c r="D491" s="26" t="n"/>
      <c r="E491" s="19" t="n"/>
      <c r="F491" s="23" t="n"/>
      <c r="H491" s="24" t="n"/>
    </row>
    <row r="492" ht="30" customFormat="1" customHeight="1" s="21" thickBot="1">
      <c r="B492" s="22" t="n"/>
      <c r="C492" s="23" t="n"/>
      <c r="D492" s="26" t="n"/>
      <c r="E492" s="19" t="n"/>
      <c r="F492" s="23" t="n"/>
      <c r="H492" s="24" t="n"/>
    </row>
    <row r="493" ht="30" customFormat="1" customHeight="1" s="21" thickBot="1">
      <c r="B493" s="22" t="n"/>
      <c r="C493" s="23" t="n"/>
      <c r="D493" s="26" t="n"/>
      <c r="E493" s="19" t="n"/>
      <c r="F493" s="23" t="n"/>
      <c r="H493" s="24" t="n"/>
    </row>
    <row r="494" ht="30" customFormat="1" customHeight="1" s="21" thickBot="1">
      <c r="B494" s="22" t="n"/>
      <c r="C494" s="23" t="n"/>
      <c r="D494" s="26" t="n"/>
      <c r="E494" s="19" t="n"/>
      <c r="F494" s="23" t="n"/>
      <c r="H494" s="24" t="n"/>
    </row>
    <row r="495" ht="30" customFormat="1" customHeight="1" s="21" thickBot="1">
      <c r="B495" s="22" t="n"/>
      <c r="C495" s="23" t="n"/>
      <c r="D495" s="26" t="n"/>
      <c r="E495" s="19" t="n"/>
      <c r="F495" s="23" t="n"/>
      <c r="H495" s="24" t="n"/>
    </row>
    <row r="496" ht="30" customFormat="1" customHeight="1" s="21" thickBot="1">
      <c r="B496" s="22" t="n"/>
      <c r="C496" s="23" t="n"/>
      <c r="D496" s="26" t="n"/>
      <c r="E496" s="19" t="n"/>
      <c r="F496" s="23" t="n"/>
      <c r="H496" s="24" t="n"/>
    </row>
    <row r="497" ht="30" customFormat="1" customHeight="1" s="21" thickBot="1">
      <c r="B497" s="22" t="n"/>
      <c r="C497" s="23" t="n"/>
      <c r="D497" s="26" t="n"/>
      <c r="E497" s="19" t="n"/>
      <c r="F497" s="23" t="n"/>
      <c r="H497" s="24" t="n"/>
    </row>
    <row r="498" ht="30" customFormat="1" customHeight="1" s="21" thickBot="1">
      <c r="B498" s="22" t="n"/>
      <c r="C498" s="23" t="n"/>
      <c r="D498" s="26" t="n"/>
      <c r="E498" s="19" t="n"/>
      <c r="F498" s="23" t="n"/>
      <c r="H498" s="24" t="n"/>
    </row>
    <row r="499" ht="30" customFormat="1" customHeight="1" s="21" thickBot="1">
      <c r="B499" s="22" t="n"/>
      <c r="C499" s="23" t="n"/>
      <c r="D499" s="26" t="n"/>
      <c r="E499" s="19" t="n"/>
      <c r="F499" s="23" t="n"/>
      <c r="H499" s="24" t="n"/>
    </row>
    <row r="500" ht="30" customFormat="1" customHeight="1" s="21" thickBot="1">
      <c r="B500" s="22" t="n"/>
      <c r="C500" s="23" t="n"/>
      <c r="D500" s="26" t="n"/>
      <c r="E500" s="19" t="n"/>
      <c r="F500" s="23" t="n"/>
      <c r="H500" s="24" t="n"/>
    </row>
    <row r="501" ht="30" customFormat="1" customHeight="1" s="21" thickBot="1">
      <c r="B501" s="22" t="n"/>
      <c r="C501" s="23" t="n"/>
      <c r="D501" s="26" t="n"/>
      <c r="E501" s="19" t="n"/>
      <c r="F501" s="23" t="n"/>
      <c r="H501" s="24" t="n"/>
    </row>
    <row r="502" ht="30" customFormat="1" customHeight="1" s="21" thickBot="1">
      <c r="B502" s="22" t="n"/>
      <c r="C502" s="23" t="n"/>
      <c r="D502" s="26" t="n"/>
      <c r="E502" s="19" t="n"/>
      <c r="F502" s="23" t="n"/>
      <c r="H502" s="24" t="n"/>
    </row>
    <row r="503" ht="30" customFormat="1" customHeight="1" s="21" thickBot="1">
      <c r="B503" s="22" t="n"/>
      <c r="C503" s="23" t="n"/>
      <c r="D503" s="26" t="n"/>
      <c r="E503" s="19" t="n"/>
      <c r="F503" s="23" t="n"/>
      <c r="H503" s="24" t="n"/>
    </row>
    <row r="504" ht="30" customFormat="1" customHeight="1" s="21" thickBot="1">
      <c r="B504" s="22" t="n"/>
      <c r="C504" s="23" t="n"/>
      <c r="D504" s="26" t="n"/>
      <c r="E504" s="19" t="n"/>
      <c r="F504" s="23" t="n"/>
      <c r="H504" s="24" t="n"/>
    </row>
    <row r="505" ht="30" customFormat="1" customHeight="1" s="21" thickBot="1">
      <c r="B505" s="22" t="n"/>
      <c r="C505" s="23" t="n"/>
      <c r="D505" s="26" t="n"/>
      <c r="E505" s="19" t="n"/>
      <c r="F505" s="23" t="n"/>
      <c r="H505" s="24" t="n"/>
    </row>
    <row r="506" ht="30" customFormat="1" customHeight="1" s="21" thickBot="1">
      <c r="B506" s="22" t="n"/>
      <c r="C506" s="23" t="n"/>
      <c r="D506" s="26" t="n"/>
      <c r="E506" s="19" t="n"/>
      <c r="F506" s="23" t="n"/>
      <c r="H506" s="24" t="n"/>
    </row>
    <row r="507" ht="30" customFormat="1" customHeight="1" s="21" thickBot="1">
      <c r="B507" s="22" t="n"/>
      <c r="C507" s="23" t="n"/>
      <c r="D507" s="26" t="n"/>
      <c r="E507" s="19" t="n"/>
      <c r="F507" s="23" t="n"/>
      <c r="H507" s="24" t="n"/>
    </row>
    <row r="508" ht="30" customFormat="1" customHeight="1" s="21" thickBot="1">
      <c r="B508" s="22" t="n"/>
      <c r="C508" s="23" t="n"/>
      <c r="D508" s="26" t="n"/>
      <c r="E508" s="19" t="n"/>
      <c r="F508" s="23" t="n"/>
      <c r="H508" s="24" t="n"/>
    </row>
    <row r="509" ht="30" customFormat="1" customHeight="1" s="21" thickBot="1">
      <c r="B509" s="22" t="n"/>
      <c r="C509" s="23" t="n"/>
      <c r="D509" s="26" t="n"/>
      <c r="E509" s="19" t="n"/>
      <c r="F509" s="23" t="n"/>
      <c r="H509" s="24" t="n"/>
    </row>
    <row r="510" ht="30" customFormat="1" customHeight="1" s="21" thickBot="1">
      <c r="B510" s="22" t="n"/>
      <c r="C510" s="23" t="n"/>
      <c r="D510" s="26" t="n"/>
      <c r="E510" s="19" t="n"/>
      <c r="F510" s="23" t="n"/>
      <c r="H510" s="24" t="n"/>
    </row>
    <row r="511" ht="30" customFormat="1" customHeight="1" s="21" thickBot="1">
      <c r="B511" s="22" t="n"/>
      <c r="C511" s="23" t="n"/>
      <c r="D511" s="26" t="n"/>
      <c r="E511" s="19" t="n"/>
      <c r="F511" s="23" t="n"/>
      <c r="H511" s="24" t="n"/>
    </row>
    <row r="512" ht="30" customFormat="1" customHeight="1" s="21" thickBot="1">
      <c r="B512" s="22" t="n"/>
      <c r="C512" s="23" t="n"/>
      <c r="D512" s="26" t="n"/>
      <c r="E512" s="19" t="n"/>
      <c r="F512" s="23" t="n"/>
      <c r="H512" s="24" t="n"/>
    </row>
    <row r="513" ht="30" customFormat="1" customHeight="1" s="21" thickBot="1">
      <c r="B513" s="22" t="n"/>
      <c r="C513" s="23" t="n"/>
      <c r="D513" s="26" t="n"/>
      <c r="E513" s="19" t="n"/>
      <c r="F513" s="23" t="n"/>
      <c r="H513" s="24" t="n"/>
    </row>
    <row r="514" ht="30" customFormat="1" customHeight="1" s="21" thickBot="1">
      <c r="B514" s="22" t="n"/>
      <c r="C514" s="23" t="n"/>
      <c r="D514" s="26" t="n"/>
      <c r="E514" s="19" t="n"/>
      <c r="F514" s="23" t="n"/>
      <c r="H514" s="24" t="n"/>
    </row>
    <row r="515" ht="30" customFormat="1" customHeight="1" s="21" thickBot="1">
      <c r="B515" s="22" t="n"/>
      <c r="C515" s="23" t="n"/>
      <c r="D515" s="26" t="n"/>
      <c r="E515" s="19" t="n"/>
      <c r="F515" s="23" t="n"/>
      <c r="H515" s="24" t="n"/>
    </row>
    <row r="516" ht="30" customFormat="1" customHeight="1" s="21" thickBot="1">
      <c r="B516" s="22" t="n"/>
      <c r="C516" s="23" t="n"/>
      <c r="D516" s="26" t="n"/>
      <c r="E516" s="19" t="n"/>
      <c r="F516" s="23" t="n"/>
      <c r="H516" s="24" t="n"/>
    </row>
    <row r="517" ht="30" customFormat="1" customHeight="1" s="21" thickBot="1">
      <c r="B517" s="22" t="n"/>
      <c r="C517" s="23" t="n"/>
      <c r="D517" s="26" t="n"/>
      <c r="E517" s="19" t="n"/>
      <c r="F517" s="23" t="n"/>
      <c r="H517" s="24" t="n"/>
    </row>
    <row r="518" ht="30" customFormat="1" customHeight="1" s="21" thickBot="1">
      <c r="B518" s="22" t="n"/>
      <c r="C518" s="23" t="n"/>
      <c r="D518" s="26" t="n"/>
      <c r="E518" s="19" t="n"/>
      <c r="F518" s="23" t="n"/>
      <c r="H518" s="24" t="n"/>
    </row>
    <row r="519" ht="30" customFormat="1" customHeight="1" s="21" thickBot="1">
      <c r="B519" s="22" t="n"/>
      <c r="C519" s="23" t="n"/>
      <c r="D519" s="26" t="n"/>
      <c r="E519" s="19" t="n"/>
      <c r="F519" s="23" t="n"/>
      <c r="H519" s="24" t="n"/>
    </row>
    <row r="520" ht="30" customFormat="1" customHeight="1" s="21" thickBot="1">
      <c r="B520" s="22" t="n"/>
      <c r="C520" s="23" t="n"/>
      <c r="D520" s="26" t="n"/>
      <c r="E520" s="19" t="n"/>
      <c r="F520" s="23" t="n"/>
      <c r="H520" s="24" t="n"/>
    </row>
    <row r="521" ht="30" customFormat="1" customHeight="1" s="21" thickBot="1">
      <c r="B521" s="22" t="n"/>
      <c r="C521" s="23" t="n"/>
      <c r="D521" s="26" t="n"/>
      <c r="E521" s="19" t="n"/>
      <c r="F521" s="23" t="n"/>
      <c r="H521" s="24" t="n"/>
    </row>
    <row r="522" ht="30" customFormat="1" customHeight="1" s="21" thickBot="1">
      <c r="B522" s="22" t="n"/>
      <c r="C522" s="23" t="n"/>
      <c r="D522" s="26" t="n"/>
      <c r="E522" s="19" t="n"/>
      <c r="F522" s="23" t="n"/>
      <c r="H522" s="24" t="n"/>
    </row>
    <row r="523" ht="30" customFormat="1" customHeight="1" s="21" thickBot="1">
      <c r="B523" s="22" t="n"/>
      <c r="C523" s="23" t="n"/>
      <c r="D523" s="26" t="n"/>
      <c r="E523" s="19" t="n"/>
      <c r="F523" s="23" t="n"/>
      <c r="H523" s="24" t="n"/>
    </row>
    <row r="524" ht="30" customFormat="1" customHeight="1" s="21" thickBot="1">
      <c r="B524" s="22" t="n"/>
      <c r="C524" s="23" t="n"/>
      <c r="D524" s="26" t="n"/>
      <c r="E524" s="19" t="n"/>
      <c r="F524" s="23" t="n"/>
      <c r="H524" s="24" t="n"/>
    </row>
    <row r="525" ht="30" customFormat="1" customHeight="1" s="21" thickBot="1">
      <c r="B525" s="22" t="n"/>
      <c r="C525" s="23" t="n"/>
      <c r="D525" s="26" t="n"/>
      <c r="E525" s="19" t="n"/>
      <c r="F525" s="23" t="n"/>
      <c r="H525" s="24" t="n"/>
    </row>
    <row r="526" ht="30" customFormat="1" customHeight="1" s="21" thickBot="1">
      <c r="B526" s="22" t="n"/>
      <c r="C526" s="23" t="n"/>
      <c r="D526" s="26" t="n"/>
      <c r="E526" s="19" t="n"/>
      <c r="F526" s="23" t="n"/>
      <c r="H526" s="24" t="n"/>
    </row>
    <row r="527" ht="30" customFormat="1" customHeight="1" s="21" thickBot="1">
      <c r="B527" s="22" t="n"/>
      <c r="C527" s="23" t="n"/>
      <c r="D527" s="26" t="n"/>
      <c r="E527" s="19" t="n"/>
      <c r="F527" s="23" t="n"/>
      <c r="H527" s="24" t="n"/>
    </row>
    <row r="528" ht="30" customFormat="1" customHeight="1" s="21" thickBot="1">
      <c r="B528" s="22" t="n"/>
      <c r="C528" s="23" t="n"/>
      <c r="D528" s="26" t="n"/>
      <c r="E528" s="19" t="n"/>
      <c r="F528" s="23" t="n"/>
      <c r="H528" s="24" t="n"/>
    </row>
    <row r="529" ht="30" customFormat="1" customHeight="1" s="21" thickBot="1">
      <c r="B529" s="22" t="n"/>
      <c r="C529" s="23" t="n"/>
      <c r="D529" s="26" t="n"/>
      <c r="E529" s="19" t="n"/>
      <c r="F529" s="23" t="n"/>
      <c r="H529" s="24" t="n"/>
    </row>
    <row r="530" ht="30" customFormat="1" customHeight="1" s="21" thickBot="1">
      <c r="B530" s="22" t="n"/>
      <c r="C530" s="23" t="n"/>
      <c r="D530" s="26" t="n"/>
      <c r="E530" s="19" t="n"/>
      <c r="F530" s="23" t="n"/>
      <c r="H530" s="24" t="n"/>
    </row>
    <row r="531" ht="30" customFormat="1" customHeight="1" s="21" thickBot="1">
      <c r="B531" s="22" t="n"/>
      <c r="C531" s="23" t="n"/>
      <c r="D531" s="26" t="n"/>
      <c r="E531" s="19" t="n"/>
      <c r="F531" s="23" t="n"/>
      <c r="H531" s="24" t="n"/>
    </row>
    <row r="532" ht="30" customFormat="1" customHeight="1" s="21" thickBot="1">
      <c r="B532" s="22" t="n"/>
      <c r="C532" s="23" t="n"/>
      <c r="D532" s="26" t="n"/>
      <c r="E532" s="19" t="n"/>
      <c r="F532" s="23" t="n"/>
      <c r="H532" s="24" t="n"/>
    </row>
    <row r="533" ht="30" customFormat="1" customHeight="1" s="21" thickBot="1">
      <c r="B533" s="22" t="n"/>
      <c r="C533" s="23" t="n"/>
      <c r="D533" s="26" t="n"/>
      <c r="E533" s="19" t="n"/>
      <c r="F533" s="23" t="n"/>
      <c r="H533" s="24" t="n"/>
    </row>
    <row r="534" ht="30" customFormat="1" customHeight="1" s="21" thickBot="1">
      <c r="B534" s="22" t="n"/>
      <c r="C534" s="23" t="n"/>
      <c r="D534" s="26" t="n"/>
      <c r="E534" s="19" t="n"/>
      <c r="F534" s="23" t="n"/>
      <c r="H534" s="24" t="n"/>
    </row>
    <row r="535" ht="30" customFormat="1" customHeight="1" s="21" thickBot="1">
      <c r="B535" s="22" t="n"/>
      <c r="C535" s="23" t="n"/>
      <c r="D535" s="26" t="n"/>
      <c r="E535" s="19" t="n"/>
      <c r="F535" s="23" t="n"/>
      <c r="H535" s="24" t="n"/>
    </row>
    <row r="536" ht="30" customFormat="1" customHeight="1" s="21" thickBot="1">
      <c r="B536" s="22" t="n"/>
      <c r="C536" s="23" t="n"/>
      <c r="D536" s="26" t="n"/>
      <c r="E536" s="19" t="n"/>
      <c r="F536" s="23" t="n"/>
      <c r="H536" s="24" t="n"/>
    </row>
    <row r="537" ht="30" customFormat="1" customHeight="1" s="21" thickBot="1">
      <c r="B537" s="22" t="n"/>
      <c r="C537" s="23" t="n"/>
      <c r="D537" s="26" t="n"/>
      <c r="E537" s="19" t="n"/>
      <c r="F537" s="23" t="n"/>
      <c r="H537" s="24" t="n"/>
    </row>
    <row r="538" ht="30" customFormat="1" customHeight="1" s="21" thickBot="1">
      <c r="B538" s="22" t="n"/>
      <c r="C538" s="23" t="n"/>
      <c r="D538" s="26" t="n"/>
      <c r="E538" s="19" t="n"/>
      <c r="F538" s="23" t="n"/>
      <c r="H538" s="24" t="n"/>
    </row>
    <row r="539" ht="30" customFormat="1" customHeight="1" s="21" thickBot="1">
      <c r="B539" s="22" t="n"/>
      <c r="C539" s="23" t="n"/>
      <c r="D539" s="26" t="n"/>
      <c r="E539" s="19" t="n"/>
      <c r="F539" s="23" t="n"/>
      <c r="H539" s="24" t="n"/>
    </row>
    <row r="540" ht="30" customFormat="1" customHeight="1" s="21" thickBot="1">
      <c r="B540" s="22" t="n"/>
      <c r="C540" s="23" t="n"/>
      <c r="D540" s="26" t="n"/>
      <c r="E540" s="19" t="n"/>
      <c r="F540" s="23" t="n"/>
      <c r="H540" s="24" t="n"/>
    </row>
    <row r="541" ht="30" customFormat="1" customHeight="1" s="21" thickBot="1">
      <c r="B541" s="22" t="n"/>
      <c r="C541" s="23" t="n"/>
      <c r="D541" s="26" t="n"/>
      <c r="E541" s="19" t="n"/>
      <c r="F541" s="23" t="n"/>
      <c r="H541" s="24" t="n"/>
    </row>
    <row r="542" ht="30" customFormat="1" customHeight="1" s="21" thickBot="1">
      <c r="B542" s="22" t="n"/>
      <c r="C542" s="23" t="n"/>
      <c r="D542" s="26" t="n"/>
      <c r="E542" s="19" t="n"/>
      <c r="F542" s="23" t="n"/>
      <c r="H542" s="24" t="n"/>
    </row>
    <row r="543" ht="30" customFormat="1" customHeight="1" s="21" thickBot="1">
      <c r="B543" s="22" t="n"/>
      <c r="C543" s="23" t="n"/>
      <c r="D543" s="26" t="n"/>
      <c r="E543" s="19" t="n"/>
      <c r="F543" s="23" t="n"/>
      <c r="H543" s="24" t="n"/>
    </row>
    <row r="544" ht="30" customFormat="1" customHeight="1" s="21" thickBot="1">
      <c r="B544" s="22" t="n"/>
      <c r="C544" s="23" t="n"/>
      <c r="D544" s="26" t="n"/>
      <c r="E544" s="19" t="n"/>
      <c r="F544" s="23" t="n"/>
      <c r="H544" s="24" t="n"/>
    </row>
    <row r="545" ht="30" customFormat="1" customHeight="1" s="21" thickBot="1">
      <c r="B545" s="22" t="n"/>
      <c r="C545" s="23" t="n"/>
      <c r="D545" s="26" t="n"/>
      <c r="E545" s="19" t="n"/>
      <c r="F545" s="23" t="n"/>
      <c r="H545" s="24" t="n"/>
    </row>
    <row r="546" ht="30" customFormat="1" customHeight="1" s="21" thickBot="1">
      <c r="B546" s="22" t="n"/>
      <c r="C546" s="23" t="n"/>
      <c r="D546" s="26" t="n"/>
      <c r="E546" s="19" t="n"/>
      <c r="F546" s="23" t="n"/>
      <c r="H546" s="24" t="n"/>
    </row>
    <row r="547" ht="30" customFormat="1" customHeight="1" s="21" thickBot="1">
      <c r="B547" s="22" t="n"/>
      <c r="C547" s="23" t="n"/>
      <c r="D547" s="26" t="n"/>
      <c r="E547" s="19" t="n"/>
      <c r="F547" s="23" t="n"/>
      <c r="H547" s="24" t="n"/>
    </row>
    <row r="548" ht="30" customFormat="1" customHeight="1" s="21" thickBot="1">
      <c r="B548" s="22" t="n"/>
      <c r="C548" s="23" t="n"/>
      <c r="D548" s="26" t="n"/>
      <c r="E548" s="19" t="n"/>
      <c r="F548" s="23" t="n"/>
      <c r="H548" s="24" t="n"/>
    </row>
    <row r="549" ht="30" customFormat="1" customHeight="1" s="21" thickBot="1">
      <c r="B549" s="22" t="n"/>
      <c r="C549" s="23" t="n"/>
      <c r="D549" s="26" t="n"/>
      <c r="E549" s="19" t="n"/>
      <c r="F549" s="23" t="n"/>
      <c r="H549" s="24" t="n"/>
    </row>
    <row r="550" ht="30" customFormat="1" customHeight="1" s="21" thickBot="1">
      <c r="B550" s="22" t="n"/>
      <c r="C550" s="23" t="n"/>
      <c r="D550" s="26" t="n"/>
      <c r="E550" s="19" t="n"/>
      <c r="F550" s="23" t="n"/>
      <c r="H550" s="24" t="n"/>
    </row>
    <row r="551" ht="30" customFormat="1" customHeight="1" s="21" thickBot="1">
      <c r="B551" s="22" t="n"/>
      <c r="C551" s="23" t="n"/>
      <c r="D551" s="26" t="n"/>
      <c r="E551" s="19" t="n"/>
      <c r="F551" s="23" t="n"/>
      <c r="H551" s="24" t="n"/>
    </row>
    <row r="552">
      <c r="A552" s="27" t="n"/>
      <c r="B552" s="27" t="n"/>
      <c r="C552" s="28" t="n"/>
      <c r="D552" s="29" t="n"/>
      <c r="E552" s="27" t="n"/>
      <c r="F552" s="30" t="n"/>
      <c r="G552" s="27" t="n"/>
    </row>
    <row r="553">
      <c r="A553" s="27" t="n"/>
      <c r="B553" s="27" t="n"/>
      <c r="C553" s="28" t="n"/>
      <c r="D553" s="29" t="n"/>
      <c r="E553" s="27" t="n"/>
      <c r="F553" s="30" t="n"/>
      <c r="G553" s="27" t="n"/>
    </row>
    <row r="554">
      <c r="A554" s="27" t="n"/>
      <c r="B554" s="27" t="n"/>
      <c r="C554" s="28" t="n"/>
      <c r="D554" s="29" t="n"/>
      <c r="E554" s="27" t="n"/>
      <c r="F554" s="30" t="n"/>
      <c r="G554" s="27" t="n"/>
    </row>
    <row r="555">
      <c r="A555" s="27" t="n"/>
      <c r="B555" s="27" t="n"/>
      <c r="C555" s="28" t="n"/>
      <c r="D555" s="29" t="n"/>
      <c r="E555" s="27" t="n"/>
      <c r="F555" s="30" t="n"/>
      <c r="G555" s="27" t="n"/>
    </row>
  </sheetData>
  <autoFilter ref="A3:G3"/>
  <mergeCells count="14">
    <mergeCell ref="A67:H67"/>
    <mergeCell ref="A53:H53"/>
    <mergeCell ref="A83:H83"/>
    <mergeCell ref="A87:H87"/>
    <mergeCell ref="A59:H59"/>
    <mergeCell ref="A38:H38"/>
    <mergeCell ref="A16:H16"/>
    <mergeCell ref="A28:H28"/>
    <mergeCell ref="A76:H76"/>
    <mergeCell ref="C1:F1"/>
    <mergeCell ref="A1:B1"/>
    <mergeCell ref="A5:H5"/>
    <mergeCell ref="A46:H46"/>
    <mergeCell ref="A93:H93"/>
  </mergeCells>
  <conditionalFormatting sqref="B3">
    <cfRule type="duplicateValues" priority="27" dxfId="4"/>
  </conditionalFormatting>
  <conditionalFormatting sqref="B3 B552:B1032">
    <cfRule type="duplicateValues" priority="26" dxfId="4"/>
  </conditionalFormatting>
  <conditionalFormatting sqref="G1:G4 G6:G15 G17:G27 G29:G37 G39:G45 G47:G52 G54:G58 G60:G66 G68:G75 G77:G82 G84:G86 G88:G92 G94:G1048576">
    <cfRule type="containsText" priority="23" operator="containsText" dxfId="1" text="SOFT">
      <formula>NOT(ISERROR(SEARCH("SOFT",G1)))</formula>
    </cfRule>
    <cfRule type="containsText" priority="24" operator="containsText" dxfId="0" text="hard">
      <formula>NOT(ISERROR(SEARCH("hard",G1)))</formula>
    </cfRule>
  </conditionalFormatting>
  <conditionalFormatting sqref="H3">
    <cfRule type="containsText" priority="21" operator="containsText" dxfId="1" text="SOFT">
      <formula>NOT(ISERROR(SEARCH("SOFT",H3)))</formula>
    </cfRule>
    <cfRule type="containsText" priority="22" operator="containsText" dxfId="0" text="hard">
      <formula>NOT(ISERROR(SEARCH("hard",H3)))</formula>
    </cfRule>
  </conditionalFormatting>
  <conditionalFormatting sqref="A5 I5:J5">
    <cfRule type="duplicateValues" priority="25" dxfId="4"/>
  </conditionalFormatting>
  <conditionalFormatting sqref="A15 I15:J15">
    <cfRule type="duplicateValues" priority="20" dxfId="4"/>
  </conditionalFormatting>
  <conditionalFormatting sqref="A16 I16:J16">
    <cfRule type="duplicateValues" priority="11" dxfId="4"/>
  </conditionalFormatting>
  <conditionalFormatting sqref="A28 I28:J28">
    <cfRule type="duplicateValues" priority="10" dxfId="4"/>
  </conditionalFormatting>
  <conditionalFormatting sqref="A34 I34:J34">
    <cfRule type="duplicateValues" priority="19" dxfId="4"/>
  </conditionalFormatting>
  <conditionalFormatting sqref="A38 I38:J38">
    <cfRule type="duplicateValues" priority="9" dxfId="4"/>
  </conditionalFormatting>
  <conditionalFormatting sqref="A44 I44:J44">
    <cfRule type="duplicateValues" priority="18" dxfId="4"/>
  </conditionalFormatting>
  <conditionalFormatting sqref="A46 I46:J46">
    <cfRule type="duplicateValues" priority="8" dxfId="4"/>
  </conditionalFormatting>
  <conditionalFormatting sqref="A52 I52:J52">
    <cfRule type="duplicateValues" priority="17" dxfId="4"/>
  </conditionalFormatting>
  <conditionalFormatting sqref="A53 I53:J53">
    <cfRule type="duplicateValues" priority="7" dxfId="4"/>
  </conditionalFormatting>
  <conditionalFormatting sqref="A58 I58:J58">
    <cfRule type="duplicateValues" priority="16" dxfId="4"/>
  </conditionalFormatting>
  <conditionalFormatting sqref="A59 I59:J59">
    <cfRule type="duplicateValues" priority="6" dxfId="4"/>
  </conditionalFormatting>
  <conditionalFormatting sqref="A67 I67:J67">
    <cfRule type="duplicateValues" priority="5" dxfId="4"/>
  </conditionalFormatting>
  <conditionalFormatting sqref="A68 I68:J68">
    <cfRule type="duplicateValues" priority="15" dxfId="4"/>
  </conditionalFormatting>
  <conditionalFormatting sqref="A75 I75:J75">
    <cfRule type="duplicateValues" priority="14" dxfId="4"/>
  </conditionalFormatting>
  <conditionalFormatting sqref="A76 I76:J76">
    <cfRule type="duplicateValues" priority="4" dxfId="4"/>
  </conditionalFormatting>
  <conditionalFormatting sqref="A83 I83:J83">
    <cfRule type="duplicateValues" priority="3" dxfId="4"/>
  </conditionalFormatting>
  <conditionalFormatting sqref="A87 I87:J87">
    <cfRule type="duplicateValues" priority="2" dxfId="4"/>
  </conditionalFormatting>
  <conditionalFormatting sqref="A89 I89:J89">
    <cfRule type="duplicateValues" priority="12" dxfId="4"/>
  </conditionalFormatting>
  <conditionalFormatting sqref="A93 I93:J93">
    <cfRule type="duplicateValues" priority="1" dxfId="4"/>
  </conditionalFormatting>
  <dataValidations count="1">
    <dataValidation sqref="G1:G4 G6:G45 G54:G1048576" showDropDown="0" showInputMessage="1" showErrorMessage="1" allowBlank="1" type="list">
      <formula1>"HARD,SOFT,TEXT,CALC"</formula1>
    </dataValidation>
  </dataValidations>
  <pageMargins left="0.25" right="0.25" top="0.75" bottom="0.75" header="0.3" footer="0.3"/>
  <pageSetup orientation="landscape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pane ySplit="21" topLeftCell="A22" activePane="bottomLeft" state="frozen"/>
      <selection pane="bottomLeft" activeCell="A1" sqref="A1:XFD2"/>
    </sheetView>
  </sheetViews>
  <sheetFormatPr baseColWidth="8" defaultRowHeight="15"/>
  <cols>
    <col width="10" customWidth="1" style="56" min="1" max="1"/>
    <col width="22" customWidth="1" style="56" min="2" max="2"/>
    <col width="18" customWidth="1" style="56" min="3" max="3"/>
    <col width="55" customWidth="1" style="56" min="4" max="4"/>
    <col width="18" customWidth="1" style="56" min="5" max="5"/>
    <col width="8" customWidth="1" style="56" min="6" max="6"/>
    <col width="10" customWidth="1" style="56" min="7" max="7"/>
    <col width="14" customWidth="1" style="56" min="8" max="8"/>
    <col width="16" customWidth="1" style="56" min="9" max="9"/>
    <col width="12" customWidth="1" style="56" min="10" max="10"/>
    <col width="14" customWidth="1" style="56" min="11" max="11"/>
    <col width="8" customWidth="1" style="56" min="12" max="12"/>
    <col width="10" customWidth="1" style="56" min="13" max="13"/>
    <col width="18" customWidth="1" style="56" min="14" max="14"/>
    <col width="40" customWidth="1" style="56" min="15" max="15"/>
  </cols>
  <sheetData>
    <row r="1" ht="27.95" customHeight="1" s="56">
      <c r="A1" s="84" t="inlineStr">
        <is>
          <t>ARS METAL INDUSTRIES DOO – CAPEX MASTER</t>
        </is>
      </c>
    </row>
    <row r="2" ht="18" customHeight="1" s="56">
      <c r="A2" s="85" t="inlineStr">
        <is>
          <t>Version 2.0 | Datum: 26.02.2026 | CFO: Onur</t>
        </is>
      </c>
    </row>
    <row r="3">
      <c r="L3" s="42" t="inlineStr">
        <is>
          <t>ASSUMPTIONS</t>
        </is>
      </c>
    </row>
    <row r="4" ht="21.95" customHeight="1" s="56">
      <c r="A4" s="86" t="inlineStr">
        <is>
          <t>TOTAL PROJECT COST (bez PDV)</t>
        </is>
      </c>
      <c r="B4" s="86" t="inlineStr">
        <is>
          <t>Kategorija</t>
        </is>
      </c>
      <c r="C4" s="87" t="inlineStr">
        <is>
          <t>Subtotal bez PDV (€)</t>
        </is>
      </c>
      <c r="D4" s="87" t="inlineStr">
        <is>
          <t>Subtotal sa PDV (€)</t>
        </is>
      </c>
      <c r="E4" s="88" t="inlineStr">
        <is>
          <t>% od ukupnog CAPEX</t>
        </is>
      </c>
      <c r="L4" s="34" t="inlineStr">
        <is>
          <t>PDV stopa</t>
        </is>
      </c>
      <c r="M4" s="35" t="n">
        <v>0.21</v>
      </c>
    </row>
    <row r="5">
      <c r="A5" s="89" t="inlineStr">
        <is>
          <t>1. Land &amp; Site</t>
        </is>
      </c>
      <c r="B5" s="90" t="n"/>
      <c r="C5" s="91">
        <f>SUMIF($B$22:$B$1000,$A5,$I$22:$I$1000)</f>
        <v/>
      </c>
      <c r="D5" s="91">
        <f>C5*(1+'ASSUMPTIONS   MASTER INPUT'!$H$3)</f>
        <v/>
      </c>
      <c r="E5" s="92">
        <f>IF($C$13=0,0,C5/$C$13)</f>
        <v/>
      </c>
    </row>
    <row r="6">
      <c r="A6" s="89" t="inlineStr">
        <is>
          <t>2. Civil Works</t>
        </is>
      </c>
      <c r="B6" s="90" t="n"/>
      <c r="C6" s="91">
        <f>SUMIF($B$22:$B$1000,$A6,$I$22:$I$1000)</f>
        <v/>
      </c>
      <c r="D6" s="91">
        <f>C6*(1+'ASSUMPTIONS   MASTER INPUT'!$H$3)</f>
        <v/>
      </c>
      <c r="E6" s="92">
        <f>IF($C$13=0,0,C6/$C$13)</f>
        <v/>
      </c>
    </row>
    <row r="7">
      <c r="A7" s="89" t="inlineStr">
        <is>
          <t>3. Machinery (ARS linija)</t>
        </is>
      </c>
      <c r="B7" s="90" t="n"/>
      <c r="C7" s="91">
        <f>SUMIF($B$22:$B$1000,$A7,$I$22:$I$1000)</f>
        <v/>
      </c>
      <c r="D7" s="91">
        <f>C7*(1+'ASSUMPTIONS   MASTER INPUT'!$H$3)</f>
        <v/>
      </c>
      <c r="E7" s="92">
        <f>IF($C$13=0,0,C7/$C$13)</f>
        <v/>
      </c>
    </row>
    <row r="8">
      <c r="A8" s="89" t="inlineStr">
        <is>
          <t>4. Installation &amp; Commissioning</t>
        </is>
      </c>
      <c r="B8" s="90" t="n"/>
      <c r="C8" s="91">
        <f>SUMIF($B$22:$B$1000,$A8,$I$22:$I$1000)</f>
        <v/>
      </c>
      <c r="D8" s="91">
        <f>C8*(1+'ASSUMPTIONS   MASTER INPUT'!$H$3)</f>
        <v/>
      </c>
      <c r="E8" s="92">
        <f>IF($C$13=0,0,C8/$C$13)</f>
        <v/>
      </c>
    </row>
    <row r="9">
      <c r="A9" s="89" t="inlineStr">
        <is>
          <t>5. Engineering &amp; Permits</t>
        </is>
      </c>
      <c r="B9" s="90" t="n"/>
      <c r="C9" s="91">
        <f>SUMIF($B$22:$B$1000,$A9,$I$22:$I$1000)</f>
        <v/>
      </c>
      <c r="D9" s="91">
        <f>C9*(1+'ASSUMPTIONS   MASTER INPUT'!$H$3)</f>
        <v/>
      </c>
      <c r="E9" s="92">
        <f>IF($C$13=0,0,C9/$C$13)</f>
        <v/>
      </c>
    </row>
    <row r="10">
      <c r="A10" s="89" t="inlineStr">
        <is>
          <t>6. Contingency (7%)</t>
        </is>
      </c>
      <c r="B10" s="90" t="n"/>
      <c r="C10" s="91">
        <f>SUM(C5:C9)*0.07</f>
        <v/>
      </c>
      <c r="D10" s="91">
        <f>C10*(1+'ASSUMPTIONS   MASTER INPUT'!$H$3)</f>
        <v/>
      </c>
      <c r="E10" s="92">
        <f>IF($C$13=0,0,C10/$C$13)</f>
        <v/>
      </c>
    </row>
    <row r="11">
      <c r="A11" s="93" t="inlineStr">
        <is>
          <t>TOTAL CAPEX (bez WC)</t>
        </is>
      </c>
      <c r="B11" s="93" t="n"/>
      <c r="C11" s="94">
        <f>SUM(C5:C10)</f>
        <v/>
      </c>
      <c r="D11" s="94">
        <f>SUM(D5:D10)</f>
        <v/>
      </c>
      <c r="E11" s="95" t="n">
        <v>1</v>
      </c>
    </row>
    <row r="12">
      <c r="A12" s="89" t="inlineStr">
        <is>
          <t>7. Working Capital (start-up)</t>
        </is>
      </c>
      <c r="B12" s="90" t="n"/>
      <c r="C12" s="91">
        <f>SUMIF($B$22:$B$1000,$A12,$I$22:$I$1000)</f>
        <v/>
      </c>
      <c r="D12" s="91">
        <f>C12*(1+'ASSUMPTIONS   MASTER INPUT'!$H$3)</f>
        <v/>
      </c>
      <c r="E12" s="92">
        <f>IF($C$13=0,0,C12/$C$13)</f>
        <v/>
      </c>
    </row>
    <row r="13">
      <c r="A13" s="93" t="inlineStr">
        <is>
          <t>GRAND TOTAL INVESTICIJA</t>
        </is>
      </c>
      <c r="B13" s="93" t="n"/>
      <c r="C13" s="94">
        <f>C11+C12</f>
        <v/>
      </c>
      <c r="D13" s="94">
        <f>D11+D12</f>
        <v/>
      </c>
      <c r="E13" s="95" t="n">
        <v>1</v>
      </c>
    </row>
    <row r="14"/>
    <row r="15">
      <c r="A15" s="58" t="inlineStr">
        <is>
          <t>FUNDING STRUCTURE</t>
        </is>
      </c>
      <c r="B15" s="96" t="n"/>
      <c r="C15" s="97" t="n"/>
    </row>
    <row r="16">
      <c r="A16" s="59" t="inlineStr">
        <is>
          <t>Equity (Hamzi + sopstveno)</t>
        </is>
      </c>
      <c r="B16" s="37" t="n">
        <v>0.4</v>
      </c>
      <c r="C16" s="38">
        <f>D13*0.4</f>
        <v/>
      </c>
    </row>
    <row r="17">
      <c r="A17" s="59" t="inlineStr">
        <is>
          <t>Bank Debt</t>
        </is>
      </c>
      <c r="B17" s="37" t="n">
        <v>0.55</v>
      </c>
      <c r="C17" s="38">
        <f>D13*0.55</f>
        <v/>
      </c>
    </row>
    <row r="18">
      <c r="A18" s="59" t="inlineStr">
        <is>
          <t>Grant (EU/IPA opcionalno)</t>
        </is>
      </c>
      <c r="B18" s="37" t="n">
        <v>0.05</v>
      </c>
      <c r="C18" s="38">
        <f>D13*0.05</f>
        <v/>
      </c>
    </row>
    <row r="19">
      <c r="A19" s="59" t="inlineStr">
        <is>
          <t>UKUPNO FINANSIRANJE</t>
        </is>
      </c>
      <c r="B19" s="59" t="n"/>
      <c r="C19" s="49">
        <f>SUM(C16:C18)</f>
        <v/>
      </c>
    </row>
    <row r="20"/>
    <row r="21" ht="26.1" customHeight="1" s="56">
      <c r="A21" s="98" t="inlineStr">
        <is>
          <t>CAPEX ID</t>
        </is>
      </c>
      <c r="B21" s="98" t="inlineStr">
        <is>
          <t>Category</t>
        </is>
      </c>
      <c r="C21" s="98" t="inlineStr">
        <is>
          <t>Subcategory</t>
        </is>
      </c>
      <c r="D21" s="98" t="inlineStr">
        <is>
          <t>Description</t>
        </is>
      </c>
      <c r="E21" s="98" t="inlineStr">
        <is>
          <t>Supplier</t>
        </is>
      </c>
      <c r="F21" s="98" t="inlineStr">
        <is>
          <t>Unit</t>
        </is>
      </c>
      <c r="G21" s="98" t="inlineStr">
        <is>
          <t>Qty</t>
        </is>
      </c>
      <c r="H21" s="98" t="inlineStr">
        <is>
          <t>Unit Cost €</t>
        </is>
      </c>
      <c r="I21" s="98" t="inlineStr">
        <is>
          <t>Total bez PDV</t>
        </is>
      </c>
      <c r="J21" s="98" t="inlineStr">
        <is>
          <t>PDV 21%</t>
        </is>
      </c>
      <c r="K21" s="98" t="inlineStr">
        <is>
          <t>Total sa PDV</t>
        </is>
      </c>
      <c r="L21" s="98" t="inlineStr">
        <is>
          <t>Year</t>
        </is>
      </c>
      <c r="M21" s="98" t="inlineStr">
        <is>
          <t>Useful Life</t>
        </is>
      </c>
      <c r="N21" s="98" t="inlineStr">
        <is>
          <t>Funding Source</t>
        </is>
      </c>
      <c r="O21" s="98" t="inlineStr">
        <is>
          <t>Notes / Rizik</t>
        </is>
      </c>
    </row>
    <row r="22" ht="30" customHeight="1" s="56">
      <c r="A22" s="99" t="inlineStr">
        <is>
          <t>1.1</t>
        </is>
      </c>
      <c r="B22" s="99" t="inlineStr">
        <is>
          <t>1. Land &amp; Site</t>
        </is>
      </c>
      <c r="C22" s="99" t="inlineStr">
        <is>
          <t>Acquisition</t>
        </is>
      </c>
      <c r="D22" s="99" t="inlineStr">
        <is>
          <t>Kupovina parcele (cca 15.000–18.000 m² bruto, uzeto 22.500 m²)</t>
        </is>
      </c>
      <c r="E22" s="99" t="inlineStr">
        <is>
          <t>-</t>
        </is>
      </c>
      <c r="F22" s="99" t="inlineStr">
        <is>
          <t>m²</t>
        </is>
      </c>
      <c r="G22" s="100" t="n">
        <v>22500</v>
      </c>
      <c r="H22" s="101" t="n">
        <v>55</v>
      </c>
      <c r="I22" s="101">
        <f>G22*H22</f>
        <v/>
      </c>
      <c r="J22" s="101">
        <f>I22*'ASSUMPTIONS   MASTER INPUT'!$H$3</f>
        <v/>
      </c>
      <c r="K22" s="101">
        <f>I22+J22</f>
        <v/>
      </c>
      <c r="L22" s="102" t="n">
        <v>2026</v>
      </c>
      <c r="M22" s="102" t="n">
        <v>999</v>
      </c>
      <c r="N22" s="99" t="inlineStr">
        <is>
          <t>Equity</t>
        </is>
      </c>
      <c r="O22" s="103" t="inlineStr">
        <is>
          <t>Raspon 750k–1.1M €; ~45–65 €/m² po oglasima Tuzi 2026; proveri katastar</t>
        </is>
      </c>
    </row>
    <row r="23" ht="44.25" customHeight="1" s="56">
      <c r="A23" s="99" t="inlineStr">
        <is>
          <t>1.2</t>
        </is>
      </c>
      <c r="B23" s="99" t="inlineStr">
        <is>
          <t>1. Land &amp; Site</t>
        </is>
      </c>
      <c r="C23" s="99" t="inlineStr">
        <is>
          <t>Acquisition</t>
        </is>
      </c>
      <c r="D23" s="99" t="inlineStr">
        <is>
          <t>Pravne i Notarske takse (prenos apsolutnih prava, upis u katastar)</t>
        </is>
      </c>
      <c r="E23" s="99" t="inlineStr">
        <is>
          <t>-</t>
        </is>
      </c>
      <c r="F23" s="99" t="inlineStr">
        <is>
          <t>%</t>
        </is>
      </c>
      <c r="G23" s="104" t="n">
        <v>0.02</v>
      </c>
      <c r="H23" s="101">
        <f>I22</f>
        <v/>
      </c>
      <c r="I23" s="101">
        <f>G23*H23</f>
        <v/>
      </c>
      <c r="J23" s="101">
        <f>I23*'ASSUMPTIONS   MASTER INPUT'!$H$3</f>
        <v/>
      </c>
      <c r="K23" s="101" t="n">
        <v>2026</v>
      </c>
      <c r="L23" s="102" t="n">
        <v>999</v>
      </c>
      <c r="M23" s="102" t="inlineStr">
        <is>
          <t>Equity</t>
        </is>
      </c>
      <c r="N23" s="99" t="inlineStr">
        <is>
          <t>1–3% vrednosti parcele; poreski i katastarski troškovi</t>
        </is>
      </c>
      <c r="O23" s="39" t="n"/>
    </row>
    <row r="24" ht="30" customHeight="1" s="56">
      <c r="A24" s="99" t="inlineStr">
        <is>
          <t>1.3</t>
        </is>
      </c>
      <c r="B24" s="99" t="inlineStr">
        <is>
          <t>1. Land &amp; Site</t>
        </is>
      </c>
      <c r="C24" s="99" t="inlineStr">
        <is>
          <t>Inženjering</t>
        </is>
      </c>
      <c r="D24" s="99" t="inlineStr">
        <is>
          <t>Geomehaničko ispitivanje (bušotine i ispitivanje nosivosti tla)</t>
        </is>
      </c>
      <c r="E24" s="99" t="inlineStr">
        <is>
          <t>-</t>
        </is>
      </c>
      <c r="F24" s="99" t="inlineStr">
        <is>
          <t>kom</t>
        </is>
      </c>
      <c r="G24" s="100" t="n">
        <v>1</v>
      </c>
      <c r="H24" s="101" t="n">
        <v>7500</v>
      </c>
      <c r="I24" s="101">
        <f>G24*H24</f>
        <v/>
      </c>
      <c r="J24" s="101">
        <f>I24*'ASSUMPTIONS   MASTER INPUT'!$H$3</f>
        <v/>
      </c>
      <c r="K24" s="101">
        <f>I24+J24</f>
        <v/>
      </c>
      <c r="L24" s="102" t="n">
        <v>2026</v>
      </c>
      <c r="M24" s="102" t="n">
        <v>999</v>
      </c>
      <c r="N24" s="99" t="inlineStr">
        <is>
          <t>Equity</t>
        </is>
      </c>
      <c r="O24" s="103" t="inlineStr">
        <is>
          <t>5–10k €; ključno za heavy duty podove i kraneve</t>
        </is>
      </c>
    </row>
    <row r="25" ht="30" customHeight="1" s="56">
      <c r="A25" s="99" t="inlineStr">
        <is>
          <t>1.4</t>
        </is>
      </c>
      <c r="B25" s="99" t="inlineStr">
        <is>
          <t>1. Land &amp; Site</t>
        </is>
      </c>
      <c r="C25" s="99" t="inlineStr">
        <is>
          <t>Priprema</t>
        </is>
      </c>
      <c r="D25" s="99" t="inlineStr">
        <is>
          <t>Priprema i ravnanje terena (skidanje humusa, nasipanje tampona, drenaža)</t>
        </is>
      </c>
      <c r="E25" s="99" t="inlineStr">
        <is>
          <t>-</t>
        </is>
      </c>
      <c r="F25" s="99" t="inlineStr">
        <is>
          <t>m²</t>
        </is>
      </c>
      <c r="G25" s="100" t="n">
        <v>16500</v>
      </c>
      <c r="H25" s="101" t="n">
        <v>5</v>
      </c>
      <c r="I25" s="101">
        <f>G25*H25</f>
        <v/>
      </c>
      <c r="J25" s="101">
        <f>I25*'ASSUMPTIONS   MASTER INPUT'!$H$3</f>
        <v/>
      </c>
      <c r="K25" s="101">
        <f>I25+J25</f>
        <v/>
      </c>
      <c r="L25" s="102" t="n">
        <v>2026</v>
      </c>
      <c r="M25" s="102" t="n">
        <v>40</v>
      </c>
      <c r="N25" s="99" t="inlineStr">
        <is>
          <t>Equity</t>
        </is>
      </c>
      <c r="O25" s="103" t="inlineStr">
        <is>
          <t>60–100k € ukupno; zavisi od terena</t>
        </is>
      </c>
    </row>
    <row r="26" ht="30" customHeight="1" s="56">
      <c r="A26" s="99" t="inlineStr">
        <is>
          <t>1.5</t>
        </is>
      </c>
      <c r="B26" s="99" t="inlineStr">
        <is>
          <t>1. Land &amp; Site</t>
        </is>
      </c>
      <c r="C26" s="99" t="inlineStr">
        <is>
          <t>Takse</t>
        </is>
      </c>
      <c r="D26" s="99" t="inlineStr">
        <is>
          <t>Komunalna naknada za opremanje (Opština Tuzi, zona I)</t>
        </is>
      </c>
      <c r="E26" s="99" t="inlineStr">
        <is>
          <t>-</t>
        </is>
      </c>
      <c r="F26" s="99" t="inlineStr">
        <is>
          <t>m²</t>
        </is>
      </c>
      <c r="G26" s="100" t="n">
        <v>10000</v>
      </c>
      <c r="H26" s="101" t="n">
        <v>48.81</v>
      </c>
      <c r="I26" s="101">
        <f>G26*H26</f>
        <v/>
      </c>
      <c r="J26" s="101">
        <f>I26*'ASSUMPTIONS   MASTER INPUT'!$H$3</f>
        <v/>
      </c>
      <c r="K26" s="101">
        <f>I26+J26</f>
        <v/>
      </c>
      <c r="L26" s="102" t="n">
        <v>2026</v>
      </c>
      <c r="M26" s="102" t="n">
        <v>999</v>
      </c>
      <c r="N26" s="99" t="inlineStr">
        <is>
          <t>Equity</t>
        </is>
      </c>
      <c r="O26" s="103" t="inlineStr">
        <is>
          <t>Po Odluci Opštine Tuzi ~48.81 €/m²; proveri subvencije za industriju</t>
        </is>
      </c>
    </row>
    <row r="27" ht="30" customHeight="1" s="56">
      <c r="A27" s="99" t="inlineStr">
        <is>
          <t>1.6</t>
        </is>
      </c>
      <c r="B27" s="99" t="inlineStr">
        <is>
          <t>1. Land &amp; Site</t>
        </is>
      </c>
      <c r="C27" s="99" t="inlineStr">
        <is>
          <t>Infrastruktura</t>
        </is>
      </c>
      <c r="D27" s="99" t="inlineStr">
        <is>
          <t>Energetski priključak – izgradnja trafostanice i priključak na mrežu (1MW+)</t>
        </is>
      </c>
      <c r="E27" s="99" t="inlineStr">
        <is>
          <t>-</t>
        </is>
      </c>
      <c r="F27" s="99" t="inlineStr">
        <is>
          <t>kom</t>
        </is>
      </c>
      <c r="G27" s="100" t="n">
        <v>1</v>
      </c>
      <c r="H27" s="101" t="n">
        <v>65000</v>
      </c>
      <c r="I27" s="101">
        <f>G27*H27</f>
        <v/>
      </c>
      <c r="J27" s="101">
        <f>I27*'ASSUMPTIONS   MASTER INPUT'!$H$3</f>
        <v/>
      </c>
      <c r="K27" s="101">
        <f>I27+J27</f>
        <v/>
      </c>
      <c r="L27" s="102" t="n">
        <v>2026</v>
      </c>
      <c r="M27" s="102" t="n">
        <v>30</v>
      </c>
      <c r="N27" s="99" t="inlineStr">
        <is>
          <t>Debt</t>
        </is>
      </c>
      <c r="O27" s="103" t="inlineStr">
        <is>
          <t>50–80k €; može biti više za 1MW+; CEDIS projekti pokazuju velika ulaganja</t>
        </is>
      </c>
    </row>
    <row r="28" ht="30" customHeight="1" s="56">
      <c r="A28" s="99" t="inlineStr">
        <is>
          <t>1.7</t>
        </is>
      </c>
      <c r="B28" s="99" t="inlineStr">
        <is>
          <t>1. Land &amp; Site</t>
        </is>
      </c>
      <c r="C28" s="99" t="inlineStr">
        <is>
          <t>Infrastruktura</t>
        </is>
      </c>
      <c r="D28" s="99" t="inlineStr">
        <is>
          <t>Hidrotehnička instalacija (priključak na vodovod + separatori ulja/masti)</t>
        </is>
      </c>
      <c r="E28" s="99" t="inlineStr">
        <is>
          <t>-</t>
        </is>
      </c>
      <c r="F28" s="99" t="inlineStr">
        <is>
          <t>kom</t>
        </is>
      </c>
      <c r="G28" s="100" t="n">
        <v>1</v>
      </c>
      <c r="H28" s="101" t="n">
        <v>27500</v>
      </c>
      <c r="I28" s="101">
        <f>G28*H28</f>
        <v/>
      </c>
      <c r="J28" s="101">
        <f>I28*'ASSUMPTIONS   MASTER INPUT'!$H$3</f>
        <v/>
      </c>
      <c r="K28" s="101">
        <f>I28+J28</f>
        <v/>
      </c>
      <c r="L28" s="102" t="n">
        <v>2026</v>
      </c>
      <c r="M28" s="102" t="n">
        <v>30</v>
      </c>
      <c r="N28" s="99" t="inlineStr">
        <is>
          <t>Debt</t>
        </is>
      </c>
      <c r="O28" s="103" t="inlineStr">
        <is>
          <t>20–35k €; obavezno za fabriku (ulja od transformatora)</t>
        </is>
      </c>
    </row>
    <row r="29" ht="30" customHeight="1" s="56">
      <c r="A29" s="99" t="inlineStr">
        <is>
          <t>1.8</t>
        </is>
      </c>
      <c r="B29" s="99" t="inlineStr">
        <is>
          <t>1. Land &amp; Site</t>
        </is>
      </c>
      <c r="C29" s="99" t="inlineStr">
        <is>
          <t>Sigurnost</t>
        </is>
      </c>
      <c r="D29" s="99" t="inlineStr">
        <is>
          <t>Ograda i obezbeđenje (industrijska ograda, kapije za šlepere, video nadzor)</t>
        </is>
      </c>
      <c r="E29" s="99" t="inlineStr">
        <is>
          <t>-</t>
        </is>
      </c>
      <c r="F29" s="99" t="inlineStr">
        <is>
          <t>m</t>
        </is>
      </c>
      <c r="G29" s="100" t="n">
        <v>800</v>
      </c>
      <c r="H29" s="101" t="n">
        <v>50</v>
      </c>
      <c r="I29" s="101">
        <f>G29*H29</f>
        <v/>
      </c>
      <c r="J29" s="101">
        <f>I29*'ASSUMPTIONS   MASTER INPUT'!$H$3</f>
        <v/>
      </c>
      <c r="K29" s="101">
        <f>I29+J29</f>
        <v/>
      </c>
      <c r="L29" s="102" t="n">
        <v>2026</v>
      </c>
      <c r="M29" s="102" t="n">
        <v>20</v>
      </c>
      <c r="N29" s="99" t="inlineStr">
        <is>
          <t>Equity</t>
        </is>
      </c>
      <c r="O29" s="103" t="inlineStr">
        <is>
          <t>30–50k €; dužina ograde ~800m za parcelu 22.5k m²</t>
        </is>
      </c>
    </row>
    <row r="30">
      <c r="A30" s="99" t="inlineStr">
        <is>
          <t>1.9</t>
        </is>
      </c>
      <c r="B30" s="99" t="inlineStr">
        <is>
          <t>1. Land &amp; Site</t>
        </is>
      </c>
      <c r="C30" s="99" t="inlineStr">
        <is>
          <t>Logistika</t>
        </is>
      </c>
      <c r="D30" s="99" t="inlineStr">
        <is>
          <t>Pristupne saobraćajnice (asfalt za teški teretni saobraćaj)</t>
        </is>
      </c>
      <c r="E30" s="99" t="inlineStr">
        <is>
          <t>-</t>
        </is>
      </c>
      <c r="F30" s="99" t="inlineStr">
        <is>
          <t>m²</t>
        </is>
      </c>
      <c r="G30" s="100" t="n">
        <v>2000</v>
      </c>
      <c r="H30" s="101" t="n">
        <v>30</v>
      </c>
      <c r="I30" s="101">
        <f>G30*H30</f>
        <v/>
      </c>
      <c r="J30" s="101">
        <f>I30*'ASSUMPTIONS   MASTER INPUT'!$H$3</f>
        <v/>
      </c>
      <c r="K30" s="101">
        <f>I30+J30</f>
        <v/>
      </c>
      <c r="L30" s="102" t="n">
        <v>2026</v>
      </c>
      <c r="M30" s="102" t="n">
        <v>15</v>
      </c>
      <c r="N30" s="99" t="inlineStr">
        <is>
          <t>Equity</t>
        </is>
      </c>
      <c r="O30" s="103" t="inlineStr">
        <is>
          <t>40–70k €; širina 6–8m, debljina za šlepere</t>
        </is>
      </c>
    </row>
    <row r="31" ht="30" customHeight="1" s="56">
      <c r="A31" s="99" t="inlineStr">
        <is>
          <t>2.1</t>
        </is>
      </c>
      <c r="B31" s="99" t="inlineStr">
        <is>
          <t>2. Civil Works</t>
        </is>
      </c>
      <c r="C31" s="99" t="inlineStr">
        <is>
          <t>Noseća konstrukcija</t>
        </is>
      </c>
      <c r="D31" s="99" t="inlineStr">
        <is>
          <t>Čelična primarna konstrukcija (stubovi, grede, veze)</t>
        </is>
      </c>
      <c r="E31" s="99" t="inlineStr">
        <is>
          <t>-</t>
        </is>
      </c>
      <c r="F31" s="99" t="inlineStr">
        <is>
          <t>m²</t>
        </is>
      </c>
      <c r="G31" s="100" t="n">
        <v>10000</v>
      </c>
      <c r="H31" s="101" t="n">
        <v>200</v>
      </c>
      <c r="I31" s="101">
        <f>G31*H31</f>
        <v/>
      </c>
      <c r="J31" s="101">
        <f>I31*'ASSUMPTIONS   MASTER INPUT'!$H$3</f>
        <v/>
      </c>
      <c r="K31" s="101">
        <f>I31+J31</f>
        <v/>
      </c>
      <c r="L31" s="102" t="n">
        <v>2026</v>
      </c>
      <c r="M31" s="102" t="n">
        <v>25</v>
      </c>
      <c r="N31" s="99" t="inlineStr">
        <is>
          <t>Debt</t>
        </is>
      </c>
      <c r="O31" s="103" t="inlineStr">
        <is>
          <t>180–260 €/m²; za kraneve može više</t>
        </is>
      </c>
    </row>
    <row r="32">
      <c r="A32" s="99" t="inlineStr">
        <is>
          <t>2.2</t>
        </is>
      </c>
      <c r="B32" s="99" t="inlineStr">
        <is>
          <t>2. Civil Works</t>
        </is>
      </c>
      <c r="C32" s="99" t="inlineStr">
        <is>
          <t>Krov i fasada</t>
        </is>
      </c>
      <c r="D32" s="99" t="inlineStr">
        <is>
          <t>Sendvič paneli PIR (80–100 mm izolacija)</t>
        </is>
      </c>
      <c r="E32" s="99" t="inlineStr">
        <is>
          <t>-</t>
        </is>
      </c>
      <c r="F32" s="99" t="inlineStr">
        <is>
          <t>m²</t>
        </is>
      </c>
      <c r="G32" s="100" t="n">
        <v>12000</v>
      </c>
      <c r="H32" s="101" t="n">
        <v>50</v>
      </c>
      <c r="I32" s="101">
        <f>G32*H32</f>
        <v/>
      </c>
      <c r="J32" s="101">
        <f>I32*'ASSUMPTIONS   MASTER INPUT'!$H$3</f>
        <v/>
      </c>
      <c r="K32" s="101">
        <f>I32+J32</f>
        <v/>
      </c>
      <c r="L32" s="102" t="n">
        <v>2026</v>
      </c>
      <c r="M32" s="102" t="n">
        <v>20</v>
      </c>
      <c r="N32" s="99" t="inlineStr">
        <is>
          <t>Debt</t>
        </is>
      </c>
      <c r="O32" s="103" t="inlineStr">
        <is>
          <t>PIR za bolji ESG i grant</t>
        </is>
      </c>
    </row>
    <row r="33" ht="30" customHeight="1" s="56">
      <c r="A33" s="99" t="inlineStr">
        <is>
          <t>2.3</t>
        </is>
      </c>
      <c r="B33" s="99" t="inlineStr">
        <is>
          <t>2. Civil Works</t>
        </is>
      </c>
      <c r="C33" s="99" t="inlineStr">
        <is>
          <t>Heavy Duty podovi</t>
        </is>
      </c>
      <c r="D33" s="99" t="inlineStr">
        <is>
          <t>Pojačani beton + armatura + zaptivke za ulja (nosivost za kraneve/tankove)</t>
        </is>
      </c>
      <c r="E33" s="99" t="inlineStr">
        <is>
          <t>-</t>
        </is>
      </c>
      <c r="F33" s="99" t="inlineStr">
        <is>
          <t>m²</t>
        </is>
      </c>
      <c r="G33" s="100" t="n">
        <v>10000</v>
      </c>
      <c r="H33" s="101" t="n">
        <v>120</v>
      </c>
      <c r="I33" s="101">
        <f>G33*H33</f>
        <v/>
      </c>
      <c r="J33" s="101">
        <f>I33*'ASSUMPTIONS   MASTER INPUT'!$H$3</f>
        <v/>
      </c>
      <c r="K33" s="101">
        <f>I33+J33</f>
        <v/>
      </c>
      <c r="L33" s="102" t="n">
        <v>2026</v>
      </c>
      <c r="M33" s="102" t="n">
        <v>30</v>
      </c>
      <c r="N33" s="99" t="inlineStr">
        <is>
          <t>Debt</t>
        </is>
      </c>
      <c r="O33" s="103" t="inlineStr">
        <is>
          <t>Ne štedjeti – ključno za dinamičko opterećenje</t>
        </is>
      </c>
    </row>
    <row r="34" ht="30" customHeight="1" s="56">
      <c r="A34" s="99" t="inlineStr">
        <is>
          <t>2.4</t>
        </is>
      </c>
      <c r="B34" s="99" t="inlineStr">
        <is>
          <t>2. Civil Works</t>
        </is>
      </c>
      <c r="C34" s="99" t="inlineStr">
        <is>
          <t>Administrativni dio</t>
        </is>
      </c>
      <c r="D34" s="99" t="inlineStr">
        <is>
          <t>Kancelarije + svlačionice + kantina (viši standard)</t>
        </is>
      </c>
      <c r="E34" s="99" t="inlineStr">
        <is>
          <t>-</t>
        </is>
      </c>
      <c r="F34" s="99" t="inlineStr">
        <is>
          <t>m²</t>
        </is>
      </c>
      <c r="G34" s="100" t="n">
        <v>1000</v>
      </c>
      <c r="H34" s="101" t="n">
        <v>380</v>
      </c>
      <c r="I34" s="101">
        <f>G34*H34</f>
        <v/>
      </c>
      <c r="J34" s="101">
        <f>I34*'ASSUMPTIONS   MASTER INPUT'!$H$3</f>
        <v/>
      </c>
      <c r="K34" s="101">
        <f>I34+J34</f>
        <v/>
      </c>
      <c r="L34" s="102" t="n">
        <v>2026</v>
      </c>
      <c r="M34" s="102" t="n">
        <v>25</v>
      </c>
      <c r="N34" s="99" t="inlineStr">
        <is>
          <t>Equity</t>
        </is>
      </c>
      <c r="O34" s="103" t="inlineStr">
        <is>
          <t>Energy Class A/B preporučeno za EU grantove</t>
        </is>
      </c>
    </row>
    <row r="35">
      <c r="A35" s="99" t="inlineStr">
        <is>
          <t>2.5</t>
        </is>
      </c>
      <c r="B35" s="99" t="inlineStr">
        <is>
          <t>2. Civil Works</t>
        </is>
      </c>
      <c r="C35" s="99" t="inlineStr">
        <is>
          <t>Vrata i prozori</t>
        </is>
      </c>
      <c r="D35" s="99" t="inlineStr">
        <is>
          <t>Industrijska sekcijska vrata + prozori</t>
        </is>
      </c>
      <c r="E35" s="99" t="inlineStr">
        <is>
          <t>-</t>
        </is>
      </c>
      <c r="F35" s="99" t="inlineStr">
        <is>
          <t>set</t>
        </is>
      </c>
      <c r="G35" s="100" t="n">
        <v>1</v>
      </c>
      <c r="H35" s="101" t="n">
        <v>90000</v>
      </c>
      <c r="I35" s="101">
        <f>G35*H35</f>
        <v/>
      </c>
      <c r="J35" s="101">
        <f>I35*'ASSUMPTIONS   MASTER INPUT'!$H$3</f>
        <v/>
      </c>
      <c r="K35" s="101">
        <f>I35+J35</f>
        <v/>
      </c>
      <c r="L35" s="102" t="n">
        <v>2026</v>
      </c>
      <c r="M35" s="102" t="n">
        <v>15</v>
      </c>
      <c r="N35" s="99" t="inlineStr">
        <is>
          <t>Debt</t>
        </is>
      </c>
      <c r="O35" s="103" t="inlineStr">
        <is>
          <t>Door Height 8–10 m za visoke hale</t>
        </is>
      </c>
    </row>
    <row r="36" ht="30" customHeight="1" s="56">
      <c r="A36" s="99" t="inlineStr">
        <is>
          <t>2.6</t>
        </is>
      </c>
      <c r="B36" s="99" t="inlineStr">
        <is>
          <t>2. Civil Works</t>
        </is>
      </c>
      <c r="C36" s="99" t="inlineStr">
        <is>
          <t>Basic Utilities</t>
        </is>
      </c>
      <c r="D36" s="99" t="inlineStr">
        <is>
          <t>Vodovod, kanalizacija, elektro osnovno, gromobran, LED osvjetljenje</t>
        </is>
      </c>
      <c r="E36" s="99" t="inlineStr">
        <is>
          <t>-</t>
        </is>
      </c>
      <c r="F36" s="99" t="inlineStr">
        <is>
          <t>lot</t>
        </is>
      </c>
      <c r="G36" s="100" t="n">
        <v>1</v>
      </c>
      <c r="H36" s="101" t="n">
        <v>120000</v>
      </c>
      <c r="I36" s="101">
        <f>G36*H36</f>
        <v/>
      </c>
      <c r="J36" s="101">
        <f>I36*'ASSUMPTIONS   MASTER INPUT'!$H$3</f>
        <v/>
      </c>
      <c r="K36" s="101">
        <f>I36+J36</f>
        <v/>
      </c>
      <c r="L36" s="102" t="n">
        <v>2026</v>
      </c>
      <c r="M36" s="102" t="n">
        <v>20</v>
      </c>
      <c r="N36" s="99" t="inlineStr">
        <is>
          <t>Debt</t>
        </is>
      </c>
      <c r="O36" s="103" t="inlineStr">
        <is>
          <t>Osnovno prije mašina</t>
        </is>
      </c>
    </row>
    <row r="37">
      <c r="A37" s="99" t="inlineStr">
        <is>
          <t>2.7</t>
        </is>
      </c>
      <c r="B37" s="99" t="inlineStr">
        <is>
          <t>2. Civil Works</t>
        </is>
      </c>
      <c r="C37" s="99" t="inlineStr">
        <is>
          <t>Završni radovi</t>
        </is>
      </c>
      <c r="D37" s="99" t="inlineStr">
        <is>
          <t>Boje, opšivke, čišćenje gradilišta</t>
        </is>
      </c>
      <c r="E37" s="99" t="inlineStr">
        <is>
          <t>-</t>
        </is>
      </c>
      <c r="F37" s="99" t="inlineStr">
        <is>
          <t>lot</t>
        </is>
      </c>
      <c r="G37" s="100" t="n">
        <v>1</v>
      </c>
      <c r="H37" s="101" t="n">
        <v>60000</v>
      </c>
      <c r="I37" s="101">
        <f>G37*H37</f>
        <v/>
      </c>
      <c r="J37" s="101">
        <f>I37*'ASSUMPTIONS   MASTER INPUT'!$H$3</f>
        <v/>
      </c>
      <c r="K37" s="101">
        <f>I37+J37</f>
        <v/>
      </c>
      <c r="L37" s="102" t="n">
        <v>2026</v>
      </c>
      <c r="M37" s="102" t="n">
        <v>15</v>
      </c>
      <c r="N37" s="99" t="inlineStr">
        <is>
          <t>Equity</t>
        </is>
      </c>
      <c r="O37" s="103" t="inlineStr">
        <is>
          <t>Manji troškovi</t>
        </is>
      </c>
    </row>
    <row r="38" ht="30" customHeight="1" s="56">
      <c r="A38" s="99" t="inlineStr">
        <is>
          <t>2.8</t>
        </is>
      </c>
      <c r="B38" s="99" t="inlineStr">
        <is>
          <t>2. Civil Works</t>
        </is>
      </c>
      <c r="C38" s="99" t="inlineStr">
        <is>
          <t>Temelji za mašine/kraneve</t>
        </is>
      </c>
      <c r="D38" s="99" t="inlineStr">
        <is>
          <t>Temelji + šine za kraneve + sidrenje (kritično!)</t>
        </is>
      </c>
      <c r="E38" s="99" t="inlineStr">
        <is>
          <t>-</t>
        </is>
      </c>
      <c r="F38" s="99" t="inlineStr">
        <is>
          <t>lot</t>
        </is>
      </c>
      <c r="G38" s="100" t="n">
        <v>1</v>
      </c>
      <c r="H38" s="101" t="n">
        <v>250000</v>
      </c>
      <c r="I38" s="101">
        <f>G38*H38</f>
        <v/>
      </c>
      <c r="J38" s="101">
        <f>I38*'ASSUMPTIONS   MASTER INPUT'!$H$3</f>
        <v/>
      </c>
      <c r="K38" s="101">
        <f>I38+J38</f>
        <v/>
      </c>
      <c r="L38" s="102" t="n">
        <v>2026</v>
      </c>
      <c r="M38" s="102" t="n">
        <v>30</v>
      </c>
      <c r="N38" s="99" t="inlineStr">
        <is>
          <t>Debt</t>
        </is>
      </c>
      <c r="O38" s="103" t="inlineStr">
        <is>
          <t>Najveći rizik – geomehanika</t>
        </is>
      </c>
    </row>
    <row r="39" ht="30" customHeight="1" s="56">
      <c r="A39" s="99" t="inlineStr">
        <is>
          <t>2.9</t>
        </is>
      </c>
      <c r="B39" s="99" t="inlineStr">
        <is>
          <t>2. Civil Works</t>
        </is>
      </c>
      <c r="C39" s="99" t="inlineStr">
        <is>
          <t>Vatrootporni premazi</t>
        </is>
      </c>
      <c r="D39" s="99" t="inlineStr">
        <is>
          <t>Industrial coating / zaštita metala</t>
        </is>
      </c>
      <c r="E39" s="99" t="inlineStr">
        <is>
          <t>-</t>
        </is>
      </c>
      <c r="F39" s="99" t="inlineStr">
        <is>
          <t>m²</t>
        </is>
      </c>
      <c r="G39" s="100" t="n">
        <v>10000</v>
      </c>
      <c r="H39" s="101" t="n">
        <v>5</v>
      </c>
      <c r="I39" s="101">
        <f>G39*H39</f>
        <v/>
      </c>
      <c r="J39" s="101">
        <f>I39*'ASSUMPTIONS   MASTER INPUT'!$H$3</f>
        <v/>
      </c>
      <c r="K39" s="101">
        <f>I39+J39</f>
        <v/>
      </c>
      <c r="L39" s="102" t="n">
        <v>2026</v>
      </c>
      <c r="M39" s="102" t="n">
        <v>10</v>
      </c>
      <c r="N39" s="99" t="inlineStr">
        <is>
          <t>Debt</t>
        </is>
      </c>
      <c r="O39" s="103" t="inlineStr">
        <is>
          <t>30–80k € za metalnu industriju</t>
        </is>
      </c>
    </row>
    <row r="40">
      <c r="A40" s="99" t="inlineStr">
        <is>
          <t>2.10</t>
        </is>
      </c>
      <c r="B40" s="99" t="inlineStr">
        <is>
          <t>2. Civil Works</t>
        </is>
      </c>
      <c r="C40" s="99" t="inlineStr">
        <is>
          <t>Požarna zaštita</t>
        </is>
      </c>
      <c r="D40" s="99" t="inlineStr">
        <is>
          <t>Sprinkler ili hidrantska mreža</t>
        </is>
      </c>
      <c r="E40" s="99" t="inlineStr">
        <is>
          <t>-</t>
        </is>
      </c>
      <c r="F40" s="99" t="inlineStr">
        <is>
          <t>lot</t>
        </is>
      </c>
      <c r="G40" s="100" t="n">
        <v>1</v>
      </c>
      <c r="H40" s="101" t="n">
        <v>110000</v>
      </c>
      <c r="I40" s="101">
        <f>G40*H40</f>
        <v/>
      </c>
      <c r="J40" s="101">
        <f>I40*'ASSUMPTIONS   MASTER INPUT'!$H$3</f>
        <v/>
      </c>
      <c r="K40" s="101">
        <f>I40+J40</f>
        <v/>
      </c>
      <c r="L40" s="102" t="n">
        <v>2026</v>
      </c>
      <c r="M40" s="102" t="n">
        <v>20</v>
      </c>
      <c r="N40" s="99" t="inlineStr">
        <is>
          <t>Debt</t>
        </is>
      </c>
      <c r="O40" s="103" t="inlineStr">
        <is>
          <t>70–150k €; banke insistiraju</t>
        </is>
      </c>
    </row>
    <row r="41">
      <c r="A41" s="99" t="inlineStr">
        <is>
          <t>2.11</t>
        </is>
      </c>
      <c r="B41" s="99" t="inlineStr">
        <is>
          <t>2. Civil Works</t>
        </is>
      </c>
      <c r="C41" s="99" t="inlineStr">
        <is>
          <t>HVAC / Ventilacija</t>
        </is>
      </c>
      <c r="D41" s="99" t="inlineStr">
        <is>
          <t>Industrijska ventilacija (za zavarivanje + emisije)</t>
        </is>
      </c>
      <c r="E41" s="99" t="inlineStr">
        <is>
          <t>-</t>
        </is>
      </c>
      <c r="F41" s="99" t="inlineStr">
        <is>
          <t>lot</t>
        </is>
      </c>
      <c r="G41" s="100" t="n">
        <v>1</v>
      </c>
      <c r="H41" s="101" t="n">
        <v>140000</v>
      </c>
      <c r="I41" s="101">
        <f>G41*H41</f>
        <v/>
      </c>
      <c r="J41" s="101">
        <f>I41*'ASSUMPTIONS   MASTER INPUT'!$H$3</f>
        <v/>
      </c>
      <c r="K41" s="101">
        <f>I41+J41</f>
        <v/>
      </c>
      <c r="L41" s="102" t="n">
        <v>2026</v>
      </c>
      <c r="M41" s="102" t="n">
        <v>15</v>
      </c>
      <c r="N41" s="99" t="inlineStr">
        <is>
          <t>Debt</t>
        </is>
      </c>
      <c r="O41" s="103" t="inlineStr">
        <is>
          <t>80–200k €; specijalno za fabriku</t>
        </is>
      </c>
    </row>
    <row r="42" ht="45" customHeight="1" s="56">
      <c r="A42" s="99" t="inlineStr">
        <is>
          <t>2.12</t>
        </is>
      </c>
      <c r="B42" s="99" t="inlineStr">
        <is>
          <t>2. Civil Works</t>
        </is>
      </c>
      <c r="C42" s="99" t="inlineStr">
        <is>
          <t>Projektovanje i nadzor</t>
        </is>
      </c>
      <c r="D42" s="99" t="inlineStr">
        <is>
          <t>Inženjering, dozvole, stručni nadzor (soft costs)</t>
        </is>
      </c>
      <c r="E42" s="99" t="inlineStr">
        <is>
          <t>-</t>
        </is>
      </c>
      <c r="F42" s="99" t="inlineStr">
        <is>
          <t>%</t>
        </is>
      </c>
      <c r="G42" s="104" t="n">
        <v>0.06</v>
      </c>
      <c r="H42" s="41" t="n"/>
      <c r="I42" s="101">
        <f>G42*H42</f>
        <v/>
      </c>
      <c r="J42" s="101">
        <f>I42*'ASSUMPTIONS   MASTER INPUT'!$H$3</f>
        <v/>
      </c>
      <c r="K42" s="101" t="n">
        <v>2026</v>
      </c>
      <c r="L42" s="102" t="n">
        <v>5</v>
      </c>
      <c r="M42" s="102" t="inlineStr">
        <is>
          <t>Debt</t>
        </is>
      </c>
      <c r="N42" s="99" t="inlineStr">
        <is>
          <t>5–8% od Civil Works; obavezno za EU</t>
        </is>
      </c>
      <c r="O42" s="39" t="n"/>
    </row>
    <row r="43" ht="30" customHeight="1" s="56">
      <c r="A43" s="99" t="inlineStr">
        <is>
          <t>3.1</t>
        </is>
      </c>
      <c r="B43" s="99" t="inlineStr">
        <is>
          <t>3. Machinery (ARS linija)</t>
        </is>
      </c>
      <c r="C43" s="99" t="inlineStr">
        <is>
          <t>Cutting</t>
        </is>
      </c>
      <c r="D43" s="99" t="inlineStr">
        <is>
          <t>Fiber Laser (visoka snaga 6–12kW, large format)</t>
        </is>
      </c>
      <c r="E43" s="99" t="inlineStr">
        <is>
          <t>Turska/Kina</t>
        </is>
      </c>
      <c r="F43" s="99" t="inlineStr">
        <is>
          <t>kom</t>
        </is>
      </c>
      <c r="G43" s="100" t="n">
        <v>1</v>
      </c>
      <c r="H43" s="101" t="n">
        <v>300000</v>
      </c>
      <c r="I43" s="101">
        <f>G43*H43</f>
        <v/>
      </c>
      <c r="J43" s="101">
        <f>I43*'ASSUMPTIONS   MASTER INPUT'!$H$3</f>
        <v/>
      </c>
      <c r="K43" s="101">
        <f>I43+J43</f>
        <v/>
      </c>
      <c r="L43" s="102" t="n">
        <v>2026</v>
      </c>
      <c r="M43" s="102" t="n">
        <v>7</v>
      </c>
      <c r="N43" s="99" t="inlineStr">
        <is>
          <t>Debt</t>
        </is>
      </c>
      <c r="O43" s="103" t="inlineStr">
        <is>
          <t>250k–450k €; precizno sečenje limova</t>
        </is>
      </c>
    </row>
    <row r="44">
      <c r="A44" s="99" t="inlineStr">
        <is>
          <t>3.2</t>
        </is>
      </c>
      <c r="B44" s="99" t="inlineStr">
        <is>
          <t>3. Machinery</t>
        </is>
      </c>
      <c r="C44" s="99" t="inlineStr">
        <is>
          <t>Cutting</t>
        </is>
      </c>
      <c r="D44" s="99" t="inlineStr">
        <is>
          <t>CNC Plasma (large format za deblje ploče)</t>
        </is>
      </c>
      <c r="E44" s="99" t="inlineStr">
        <is>
          <t>-</t>
        </is>
      </c>
      <c r="F44" s="99" t="inlineStr">
        <is>
          <t>kom</t>
        </is>
      </c>
      <c r="G44" s="100" t="n">
        <v>1</v>
      </c>
      <c r="H44" s="101" t="n">
        <v>100000</v>
      </c>
      <c r="I44" s="101">
        <f>G44*H44</f>
        <v/>
      </c>
      <c r="J44" s="101">
        <f>I44*'ASSUMPTIONS   MASTER INPUT'!$H$3</f>
        <v/>
      </c>
      <c r="K44" s="101">
        <f>I44+J44</f>
        <v/>
      </c>
      <c r="L44" s="102" t="n">
        <v>2026</v>
      </c>
      <c r="M44" s="102" t="n">
        <v>7</v>
      </c>
      <c r="N44" s="99" t="inlineStr">
        <is>
          <t>Debt</t>
        </is>
      </c>
      <c r="O44" s="103" t="inlineStr">
        <is>
          <t>80k–130k €; grublja obrada</t>
        </is>
      </c>
    </row>
    <row r="45">
      <c r="A45" s="99" t="inlineStr">
        <is>
          <t>3.3</t>
        </is>
      </c>
      <c r="B45" s="99" t="inlineStr">
        <is>
          <t>3. Machinery</t>
        </is>
      </c>
      <c r="C45" s="99" t="inlineStr">
        <is>
          <t>Bending</t>
        </is>
      </c>
      <c r="D45" s="99" t="inlineStr">
        <is>
          <t>Press Brake (400t+ tonaža, CNC)</t>
        </is>
      </c>
      <c r="E45" s="99" t="inlineStr">
        <is>
          <t>-</t>
        </is>
      </c>
      <c r="F45" s="99" t="inlineStr">
        <is>
          <t>kom</t>
        </is>
      </c>
      <c r="G45" s="100" t="n">
        <v>1</v>
      </c>
      <c r="H45" s="101" t="n">
        <v>180000</v>
      </c>
      <c r="I45" s="101">
        <f>G45*H45</f>
        <v/>
      </c>
      <c r="J45" s="101">
        <f>I45*'ASSUMPTIONS   MASTER INPUT'!$H$3</f>
        <v/>
      </c>
      <c r="K45" s="101">
        <f>I45+J45</f>
        <v/>
      </c>
      <c r="L45" s="102" t="n">
        <v>2026</v>
      </c>
      <c r="M45" s="102" t="n">
        <v>7</v>
      </c>
      <c r="N45" s="99" t="inlineStr">
        <is>
          <t>Debt</t>
        </is>
      </c>
      <c r="O45" s="103" t="inlineStr">
        <is>
          <t>150k–220k €; savijanje stranica/ojacanja</t>
        </is>
      </c>
    </row>
    <row r="46">
      <c r="A46" s="99" t="inlineStr">
        <is>
          <t>3.4</t>
        </is>
      </c>
      <c r="B46" s="99" t="inlineStr">
        <is>
          <t>3. Machinery</t>
        </is>
      </c>
      <c r="C46" s="99" t="inlineStr">
        <is>
          <t>Forming</t>
        </is>
      </c>
      <c r="D46" s="99" t="inlineStr">
        <is>
          <t>Corrugated Wall Line (specijalizovana za rebraste zidove)</t>
        </is>
      </c>
      <c r="E46" s="99" t="inlineStr">
        <is>
          <t>Turska</t>
        </is>
      </c>
      <c r="F46" s="99" t="inlineStr">
        <is>
          <t>linija</t>
        </is>
      </c>
      <c r="G46" s="100" t="n">
        <v>1</v>
      </c>
      <c r="H46" s="101" t="n">
        <v>450000</v>
      </c>
      <c r="I46" s="101">
        <f>G46*H46</f>
        <v/>
      </c>
      <c r="J46" s="101">
        <f>I46*'ASSUMPTIONS   MASTER INPUT'!$H$3</f>
        <v/>
      </c>
      <c r="K46" s="101">
        <f>I46+J46</f>
        <v/>
      </c>
      <c r="L46" s="102" t="n">
        <v>2026</v>
      </c>
      <c r="M46" s="102" t="n">
        <v>10</v>
      </c>
      <c r="N46" s="99" t="inlineStr">
        <is>
          <t>Debt</t>
        </is>
      </c>
      <c r="O46" s="103" t="inlineStr">
        <is>
          <t>350k–550k €; srce ARS proizvodnje</t>
        </is>
      </c>
    </row>
    <row r="47">
      <c r="A47" s="99" t="inlineStr">
        <is>
          <t>3.5</t>
        </is>
      </c>
      <c r="B47" s="99" t="inlineStr">
        <is>
          <t>3. Machinery</t>
        </is>
      </c>
      <c r="C47" s="99" t="inlineStr">
        <is>
          <t>Welding</t>
        </is>
      </c>
      <c r="D47" s="99" t="inlineStr">
        <is>
          <t>Welding Robots (ćelija sa pozicionerom, multi-robot)</t>
        </is>
      </c>
      <c r="E47" s="99" t="inlineStr">
        <is>
          <t>EU/Turska</t>
        </is>
      </c>
      <c r="F47" s="99" t="inlineStr">
        <is>
          <t>ćelija</t>
        </is>
      </c>
      <c r="G47" s="100" t="n">
        <v>1</v>
      </c>
      <c r="H47" s="101" t="n">
        <v>280000</v>
      </c>
      <c r="I47" s="101">
        <f>G47*H47</f>
        <v/>
      </c>
      <c r="J47" s="101">
        <f>I47*'ASSUMPTIONS   MASTER INPUT'!$H$3</f>
        <v/>
      </c>
      <c r="K47" s="101">
        <f>I47+J47</f>
        <v/>
      </c>
      <c r="L47" s="102" t="n">
        <v>2026</v>
      </c>
      <c r="M47" s="102" t="n">
        <v>7</v>
      </c>
      <c r="N47" s="99" t="inlineStr">
        <is>
          <t>Debt</t>
        </is>
      </c>
      <c r="O47" s="103" t="inlineStr">
        <is>
          <t>200k–350k €; za uljno-nepropusnost</t>
        </is>
      </c>
    </row>
    <row r="48">
      <c r="A48" s="99" t="inlineStr">
        <is>
          <t>3.6</t>
        </is>
      </c>
      <c r="B48" s="99" t="inlineStr">
        <is>
          <t>3. Machinery</t>
        </is>
      </c>
      <c r="C48" s="99" t="inlineStr">
        <is>
          <t>Surface Treatment</t>
        </is>
      </c>
      <c r="D48" s="99" t="inlineStr">
        <is>
          <t>Painting &amp; Sandblasting (automatska linija C4/C5)</t>
        </is>
      </c>
      <c r="E48" s="99" t="inlineStr">
        <is>
          <t>-</t>
        </is>
      </c>
      <c r="F48" s="99" t="inlineStr">
        <is>
          <t>linija</t>
        </is>
      </c>
      <c r="G48" s="100" t="n">
        <v>1</v>
      </c>
      <c r="H48" s="101" t="n">
        <v>220000</v>
      </c>
      <c r="I48" s="101">
        <f>G48*H48</f>
        <v/>
      </c>
      <c r="J48" s="101">
        <f>I48*'ASSUMPTIONS   MASTER INPUT'!$H$3</f>
        <v/>
      </c>
      <c r="K48" s="101">
        <f>I48+J48</f>
        <v/>
      </c>
      <c r="L48" s="102" t="n">
        <v>2026</v>
      </c>
      <c r="M48" s="102" t="n">
        <v>10</v>
      </c>
      <c r="N48" s="99" t="inlineStr">
        <is>
          <t>Debt</t>
        </is>
      </c>
      <c r="O48" s="103" t="inlineStr">
        <is>
          <t>180k–280k €; zaštita od korozije</t>
        </is>
      </c>
    </row>
    <row r="49">
      <c r="A49" s="99" t="inlineStr">
        <is>
          <t>3.7</t>
        </is>
      </c>
      <c r="B49" s="99" t="inlineStr">
        <is>
          <t>3. Machinery</t>
        </is>
      </c>
      <c r="C49" s="99" t="inlineStr">
        <is>
          <t>Lifting</t>
        </is>
      </c>
      <c r="D49" s="99" t="inlineStr">
        <is>
          <t>Overhead Cranes (2x20t + 2x10t, double girder)</t>
        </is>
      </c>
      <c r="E49" s="99" t="inlineStr">
        <is>
          <t>-</t>
        </is>
      </c>
      <c r="F49" s="99" t="inlineStr">
        <is>
          <t>set</t>
        </is>
      </c>
      <c r="G49" s="100" t="n">
        <v>1</v>
      </c>
      <c r="H49" s="101" t="n">
        <v>140000</v>
      </c>
      <c r="I49" s="101">
        <f>G49*H49</f>
        <v/>
      </c>
      <c r="J49" s="101">
        <f>I49*'ASSUMPTIONS   MASTER INPUT'!$H$3</f>
        <v/>
      </c>
      <c r="K49" s="101">
        <f>I49+J49</f>
        <v/>
      </c>
      <c r="L49" s="102" t="n">
        <v>2026</v>
      </c>
      <c r="M49" s="102" t="n">
        <v>15</v>
      </c>
      <c r="N49" s="99" t="inlineStr">
        <is>
          <t>Debt</t>
        </is>
      </c>
      <c r="O49" s="103" t="inlineStr">
        <is>
          <t>120k–170k €; prenos masivnih sudova</t>
        </is>
      </c>
    </row>
    <row r="50">
      <c r="A50" s="99" t="inlineStr">
        <is>
          <t>3.8</t>
        </is>
      </c>
      <c r="B50" s="99" t="inlineStr">
        <is>
          <t>3. Machinery</t>
        </is>
      </c>
      <c r="C50" s="99" t="inlineStr">
        <is>
          <t>Testing</t>
        </is>
      </c>
      <c r="D50" s="99" t="inlineStr">
        <is>
          <t>Testing Bench (Air/Oil pressure test za nepropusnost)</t>
        </is>
      </c>
      <c r="E50" s="99" t="inlineStr">
        <is>
          <t>-</t>
        </is>
      </c>
      <c r="F50" s="99" t="inlineStr">
        <is>
          <t>kom</t>
        </is>
      </c>
      <c r="G50" s="100" t="n">
        <v>1</v>
      </c>
      <c r="H50" s="101" t="n">
        <v>50000</v>
      </c>
      <c r="I50" s="101">
        <f>G50*H50</f>
        <v/>
      </c>
      <c r="J50" s="101">
        <f>I50*'ASSUMPTIONS   MASTER INPUT'!$H$3</f>
        <v/>
      </c>
      <c r="K50" s="101">
        <f>I50+J50</f>
        <v/>
      </c>
      <c r="L50" s="102" t="n">
        <v>2026</v>
      </c>
      <c r="M50" s="102" t="n">
        <v>10</v>
      </c>
      <c r="N50" s="99" t="inlineStr">
        <is>
          <t>Debt</t>
        </is>
      </c>
      <c r="O50" s="103" t="inlineStr">
        <is>
          <t>40k–60k €; provera pod pritiskom</t>
        </is>
      </c>
    </row>
    <row r="51">
      <c r="A51" s="99" t="inlineStr">
        <is>
          <t>3.9</t>
        </is>
      </c>
      <c r="B51" s="99" t="inlineStr">
        <is>
          <t>3. Machinery</t>
        </is>
      </c>
      <c r="C51" s="99" t="inlineStr">
        <is>
          <t>Logistics</t>
        </is>
      </c>
      <c r="D51" s="99" t="inlineStr">
        <is>
          <t>Forklifts (1x10t heavy + 2x3t)</t>
        </is>
      </c>
      <c r="E51" s="99" t="inlineStr">
        <is>
          <t>-</t>
        </is>
      </c>
      <c r="F51" s="99" t="inlineStr">
        <is>
          <t>set</t>
        </is>
      </c>
      <c r="G51" s="100" t="n">
        <v>1</v>
      </c>
      <c r="H51" s="101" t="n">
        <v>110000</v>
      </c>
      <c r="I51" s="101">
        <f>G51*H51</f>
        <v/>
      </c>
      <c r="J51" s="101">
        <f>I51*'ASSUMPTIONS   MASTER INPUT'!$H$3</f>
        <v/>
      </c>
      <c r="K51" s="101">
        <f>I51+J51</f>
        <v/>
      </c>
      <c r="L51" s="102" t="n">
        <v>2026</v>
      </c>
      <c r="M51" s="102" t="n">
        <v>7</v>
      </c>
      <c r="N51" s="99" t="inlineStr">
        <is>
          <t>Debt</t>
        </is>
      </c>
      <c r="O51" s="103" t="inlineStr">
        <is>
          <t>90k–130k €; interna logistika</t>
        </is>
      </c>
    </row>
    <row r="52" ht="30" customHeight="1" s="56">
      <c r="A52" s="99" t="inlineStr">
        <is>
          <t>4.1</t>
        </is>
      </c>
      <c r="B52" s="99" t="inlineStr">
        <is>
          <t>4. Installation &amp; Commissioning</t>
        </is>
      </c>
      <c r="C52" s="99" t="inlineStr">
        <is>
          <t>Transport &amp; Logistika</t>
        </is>
      </c>
      <c r="D52" s="99" t="inlineStr">
        <is>
          <t>Prevoz vangabaritnih mašina (od luke Bar/granice do Tuzi)</t>
        </is>
      </c>
      <c r="E52" s="99" t="inlineStr">
        <is>
          <t>-</t>
        </is>
      </c>
      <c r="F52" s="99" t="inlineStr">
        <is>
          <t>lot</t>
        </is>
      </c>
      <c r="G52" s="100" t="n">
        <v>1</v>
      </c>
      <c r="H52" s="101" t="n">
        <v>32500</v>
      </c>
      <c r="I52" s="101">
        <f>G52*H52</f>
        <v/>
      </c>
      <c r="J52" s="101">
        <f>I52*'ASSUMPTIONS   MASTER INPUT'!$H$3</f>
        <v/>
      </c>
      <c r="K52" s="101">
        <f>I52+J52</f>
        <v/>
      </c>
      <c r="L52" s="102" t="n">
        <v>2026</v>
      </c>
      <c r="M52" s="102" t="n">
        <v>999</v>
      </c>
      <c r="N52" s="99" t="inlineStr">
        <is>
          <t>Debt</t>
        </is>
      </c>
      <c r="O52" s="103" t="inlineStr">
        <is>
          <t>20–45k €; rizik carine i kašnjenja</t>
        </is>
      </c>
    </row>
    <row r="53" ht="30" customHeight="1" s="56">
      <c r="A53" s="99" t="inlineStr">
        <is>
          <t>4.2</t>
        </is>
      </c>
      <c r="B53" s="99" t="inlineStr">
        <is>
          <t>4. Installation &amp; Commissioning</t>
        </is>
      </c>
      <c r="C53" s="99" t="inlineStr">
        <is>
          <t>Supervizori</t>
        </is>
      </c>
      <c r="D53" s="99" t="inlineStr">
        <is>
          <t>Inženjerski supervizori (dnevnice, letovi, smeštaj za strane montažere)</t>
        </is>
      </c>
      <c r="E53" s="99" t="inlineStr">
        <is>
          <t>-</t>
        </is>
      </c>
      <c r="F53" s="99" t="inlineStr">
        <is>
          <t>lot</t>
        </is>
      </c>
      <c r="G53" s="100" t="n">
        <v>1</v>
      </c>
      <c r="H53" s="101" t="n">
        <v>45000</v>
      </c>
      <c r="I53" s="101">
        <f>G53*H53</f>
        <v/>
      </c>
      <c r="J53" s="101">
        <f>I53*'ASSUMPTIONS   MASTER INPUT'!$H$3</f>
        <v/>
      </c>
      <c r="K53" s="101">
        <f>I53+J53</f>
        <v/>
      </c>
      <c r="L53" s="102" t="n">
        <v>2026</v>
      </c>
      <c r="M53" s="102" t="n">
        <v>5</v>
      </c>
      <c r="N53" s="99" t="inlineStr">
        <is>
          <t>Debt</t>
        </is>
      </c>
      <c r="O53" s="103" t="inlineStr">
        <is>
          <t>30–60k €; obavezno za specijalne mašine</t>
        </is>
      </c>
    </row>
    <row r="54" ht="30" customHeight="1" s="56">
      <c r="A54" s="99" t="inlineStr">
        <is>
          <t>4.3</t>
        </is>
      </c>
      <c r="B54" s="99" t="inlineStr">
        <is>
          <t>4. Installation &amp; Commissioning</t>
        </is>
      </c>
      <c r="C54" s="99" t="inlineStr">
        <is>
          <t>Lokalna radna snaga</t>
        </is>
      </c>
      <c r="D54" s="99" t="inlineStr">
        <is>
          <t>Angažovanje pomoćnih radnika, kranista, električara tokom montaže</t>
        </is>
      </c>
      <c r="E54" s="99" t="inlineStr">
        <is>
          <t>-</t>
        </is>
      </c>
      <c r="F54" s="99" t="inlineStr">
        <is>
          <t>lot</t>
        </is>
      </c>
      <c r="G54" s="100" t="n">
        <v>1</v>
      </c>
      <c r="H54" s="101" t="n">
        <v>15000</v>
      </c>
      <c r="I54" s="101">
        <f>G54*H54</f>
        <v/>
      </c>
      <c r="J54" s="101">
        <f>I54*'ASSUMPTIONS   MASTER INPUT'!$H$3</f>
        <v/>
      </c>
      <c r="K54" s="101">
        <f>I54+J54</f>
        <v/>
      </c>
      <c r="L54" s="102" t="n">
        <v>2026</v>
      </c>
      <c r="M54" s="102" t="n">
        <v>999</v>
      </c>
      <c r="N54" s="99" t="inlineStr">
        <is>
          <t>Equity</t>
        </is>
      </c>
      <c r="O54" s="103" t="inlineStr">
        <is>
          <t>10–20k €; lokalna snaga za smanjenje troškova</t>
        </is>
      </c>
    </row>
    <row r="55" ht="30" customHeight="1" s="56">
      <c r="A55" s="99" t="inlineStr">
        <is>
          <t>4.4</t>
        </is>
      </c>
      <c r="B55" s="99" t="inlineStr">
        <is>
          <t>4. Installation &amp; Commissioning</t>
        </is>
      </c>
      <c r="C55" s="99" t="inlineStr">
        <is>
          <t>Kalibracija &amp; Testiranje</t>
        </is>
      </c>
      <c r="D55" s="99" t="inlineStr">
        <is>
          <t>Precizno podešavanje lasera, presa, robota + inicijalni testovi</t>
        </is>
      </c>
      <c r="E55" s="99" t="inlineStr">
        <is>
          <t>-</t>
        </is>
      </c>
      <c r="F55" s="99" t="inlineStr">
        <is>
          <t>lot</t>
        </is>
      </c>
      <c r="G55" s="100" t="n">
        <v>1</v>
      </c>
      <c r="H55" s="101" t="n">
        <v>20000</v>
      </c>
      <c r="I55" s="101">
        <f>G55*H55</f>
        <v/>
      </c>
      <c r="J55" s="101">
        <f>I55*'ASSUMPTIONS   MASTER INPUT'!$H$3</f>
        <v/>
      </c>
      <c r="K55" s="101">
        <f>I55+J55</f>
        <v/>
      </c>
      <c r="L55" s="102" t="n">
        <v>2026</v>
      </c>
      <c r="M55" s="102" t="n">
        <v>5</v>
      </c>
      <c r="N55" s="99" t="inlineStr">
        <is>
          <t>Debt</t>
        </is>
      </c>
      <c r="O55" s="103" t="inlineStr">
        <is>
          <t>15–25k €; ključno za preciznost</t>
        </is>
      </c>
    </row>
    <row r="56" ht="30" customHeight="1" s="56">
      <c r="A56" s="99" t="inlineStr">
        <is>
          <t>4.5</t>
        </is>
      </c>
      <c r="B56" s="99" t="inlineStr">
        <is>
          <t>4. Installation &amp; Commissioning</t>
        </is>
      </c>
      <c r="C56" s="99" t="inlineStr">
        <is>
          <t>Obuka operatera</t>
        </is>
      </c>
      <c r="D56" s="99" t="inlineStr">
        <is>
          <t>Sertifikacija zavarivača + obuka za CNC/laser/robote</t>
        </is>
      </c>
      <c r="E56" s="99" t="inlineStr">
        <is>
          <t>-</t>
        </is>
      </c>
      <c r="F56" s="99" t="inlineStr">
        <is>
          <t>lot</t>
        </is>
      </c>
      <c r="G56" s="100" t="n">
        <v>1</v>
      </c>
      <c r="H56" s="101" t="n">
        <v>22500</v>
      </c>
      <c r="I56" s="101">
        <f>G56*H56</f>
        <v/>
      </c>
      <c r="J56" s="101">
        <f>I56*'ASSUMPTIONS   MASTER INPUT'!$H$3</f>
        <v/>
      </c>
      <c r="K56" s="101">
        <f>I56+J56</f>
        <v/>
      </c>
      <c r="L56" s="102" t="n">
        <v>2026</v>
      </c>
      <c r="M56" s="102" t="n">
        <v>5</v>
      </c>
      <c r="N56" s="99" t="inlineStr">
        <is>
          <t>Equity</t>
        </is>
      </c>
      <c r="O56" s="103" t="inlineStr">
        <is>
          <t>15–30k €; može biti dio grantova</t>
        </is>
      </c>
    </row>
    <row r="57" ht="30" customHeight="1" s="56">
      <c r="A57" s="99" t="inlineStr">
        <is>
          <t>4.6</t>
        </is>
      </c>
      <c r="B57" s="99" t="inlineStr">
        <is>
          <t>4. Installation &amp; Commissioning</t>
        </is>
      </c>
      <c r="C57" s="99" t="inlineStr">
        <is>
          <t>Nulta serija (Trial Run)</t>
        </is>
      </c>
      <c r="D57" s="99" t="inlineStr">
        <is>
          <t>Materijal (lim), energenti, otpaci za prve test tankove</t>
        </is>
      </c>
      <c r="E57" s="99" t="inlineStr">
        <is>
          <t>-</t>
        </is>
      </c>
      <c r="F57" s="99" t="inlineStr">
        <is>
          <t>lot</t>
        </is>
      </c>
      <c r="G57" s="100" t="n">
        <v>1</v>
      </c>
      <c r="H57" s="101" t="n">
        <v>15000</v>
      </c>
      <c r="I57" s="101">
        <f>G57*H57</f>
        <v/>
      </c>
      <c r="J57" s="101">
        <f>I57*'ASSUMPTIONS   MASTER INPUT'!$H$3</f>
        <v/>
      </c>
      <c r="K57" s="101">
        <f>I57+J57</f>
        <v/>
      </c>
      <c r="L57" s="102" t="n">
        <v>2026</v>
      </c>
      <c r="M57" s="102" t="n">
        <v>999</v>
      </c>
      <c r="N57" s="99" t="inlineStr">
        <is>
          <t>Equity</t>
        </is>
      </c>
      <c r="O57" s="103" t="inlineStr">
        <is>
          <t>10–20k €; valley of death faza</t>
        </is>
      </c>
    </row>
    <row r="58" ht="30" customHeight="1" s="56">
      <c r="A58" s="99" t="inlineStr">
        <is>
          <t>5.1</t>
        </is>
      </c>
      <c r="B58" s="99" t="inlineStr">
        <is>
          <t>5. Engineering &amp; Permits</t>
        </is>
      </c>
      <c r="C58" s="99" t="inlineStr">
        <is>
          <t>Glavni projekat</t>
        </is>
      </c>
      <c r="D58" s="99" t="inlineStr">
        <is>
          <t>Arhitektonski, konstruktivni, elektro i mašinski projekti</t>
        </is>
      </c>
      <c r="E58" s="99" t="inlineStr">
        <is>
          <t>-</t>
        </is>
      </c>
      <c r="F58" s="99" t="inlineStr">
        <is>
          <t>lot</t>
        </is>
      </c>
      <c r="G58" s="100" t="n">
        <v>1</v>
      </c>
      <c r="H58" s="101" t="n">
        <v>55000</v>
      </c>
      <c r="I58" s="101">
        <f>G58*H58</f>
        <v/>
      </c>
      <c r="J58" s="101">
        <f>I58*'ASSUMPTIONS   MASTER INPUT'!$H$3</f>
        <v/>
      </c>
      <c r="K58" s="101">
        <f>I58+J58</f>
        <v/>
      </c>
      <c r="L58" s="102" t="n">
        <v>2026</v>
      </c>
      <c r="M58" s="102" t="n">
        <v>5</v>
      </c>
      <c r="N58" s="99" t="inlineStr">
        <is>
          <t>Equity</t>
        </is>
      </c>
      <c r="O58" s="103" t="inlineStr">
        <is>
          <t>40–70k €; za halu + fabriku</t>
        </is>
      </c>
    </row>
    <row r="59" ht="30" customHeight="1" s="56">
      <c r="A59" s="99" t="inlineStr">
        <is>
          <t>5.2</t>
        </is>
      </c>
      <c r="B59" s="99" t="inlineStr">
        <is>
          <t>5. Engineering &amp; Permits</t>
        </is>
      </c>
      <c r="C59" s="99" t="inlineStr">
        <is>
          <t>Revizija projekta</t>
        </is>
      </c>
      <c r="D59" s="99" t="inlineStr">
        <is>
          <t>Obavezna revizija glavnog projekta licencirane kuće</t>
        </is>
      </c>
      <c r="E59" s="99" t="inlineStr">
        <is>
          <t>-</t>
        </is>
      </c>
      <c r="F59" s="99" t="inlineStr">
        <is>
          <t>lot</t>
        </is>
      </c>
      <c r="G59" s="100" t="n">
        <v>1</v>
      </c>
      <c r="H59" s="101" t="n">
        <v>7500</v>
      </c>
      <c r="I59" s="101">
        <f>G59*H59</f>
        <v/>
      </c>
      <c r="J59" s="101">
        <f>I59*'ASSUMPTIONS   MASTER INPUT'!$H$3</f>
        <v/>
      </c>
      <c r="K59" s="101">
        <f>I59+J59</f>
        <v/>
      </c>
      <c r="L59" s="102" t="n">
        <v>2026</v>
      </c>
      <c r="M59" s="102" t="n">
        <v>5</v>
      </c>
      <c r="N59" s="99" t="inlineStr">
        <is>
          <t>Equity</t>
        </is>
      </c>
      <c r="O59" s="103" t="inlineStr">
        <is>
          <t>5–10k €; po Zakonu o planiranju i izgradnji</t>
        </is>
      </c>
    </row>
    <row r="60" ht="30" customHeight="1" s="56">
      <c r="A60" s="99" t="inlineStr">
        <is>
          <t>5.3</t>
        </is>
      </c>
      <c r="B60" s="99" t="inlineStr">
        <is>
          <t>5. Engineering &amp; Permits</t>
        </is>
      </c>
      <c r="C60" s="99" t="inlineStr">
        <is>
          <t>EIA (Procena uticaja)</t>
        </is>
      </c>
      <c r="D60" s="99" t="inlineStr">
        <is>
          <t>Elaborat o zaštiti životne sredine (farbanje, peskarenje)</t>
        </is>
      </c>
      <c r="E60" s="99" t="inlineStr">
        <is>
          <t>-</t>
        </is>
      </c>
      <c r="F60" s="99" t="inlineStr">
        <is>
          <t>lot</t>
        </is>
      </c>
      <c r="G60" s="100" t="n">
        <v>1</v>
      </c>
      <c r="H60" s="101" t="n">
        <v>5000</v>
      </c>
      <c r="I60" s="101">
        <f>G60*H60</f>
        <v/>
      </c>
      <c r="J60" s="101">
        <f>I60*'ASSUMPTIONS   MASTER INPUT'!$H$3</f>
        <v/>
      </c>
      <c r="K60" s="101">
        <f>I60+J60</f>
        <v/>
      </c>
      <c r="L60" s="102" t="n">
        <v>2026</v>
      </c>
      <c r="M60" s="102" t="n">
        <v>5</v>
      </c>
      <c r="N60" s="99" t="inlineStr">
        <is>
          <t>Equity</t>
        </is>
      </c>
      <c r="O60" s="103" t="inlineStr">
        <is>
          <t>3–7k €; obavezno za EPA CG</t>
        </is>
      </c>
    </row>
    <row r="61" ht="45" customHeight="1" s="56">
      <c r="A61" s="99" t="inlineStr">
        <is>
          <t>5.4</t>
        </is>
      </c>
      <c r="B61" s="99" t="inlineStr">
        <is>
          <t>5. Engineering &amp; Permits</t>
        </is>
      </c>
      <c r="C61" s="99" t="inlineStr">
        <is>
          <t>Stručni nadzor</t>
        </is>
      </c>
      <c r="D61" s="99" t="inlineStr">
        <is>
          <t>Licencirani inženjeri – nadzor tokom gradnje</t>
        </is>
      </c>
      <c r="E61" s="99" t="inlineStr">
        <is>
          <t>-</t>
        </is>
      </c>
      <c r="F61" s="99" t="inlineStr">
        <is>
          <t>%</t>
        </is>
      </c>
      <c r="G61" s="104" t="n">
        <v>0.018</v>
      </c>
      <c r="H61" s="41" t="n"/>
      <c r="I61" s="101">
        <f>G61*H61</f>
        <v/>
      </c>
      <c r="J61" s="101">
        <f>I61*'ASSUMPTIONS   MASTER INPUT'!$H$3</f>
        <v/>
      </c>
      <c r="K61" s="101" t="n">
        <v>2026</v>
      </c>
      <c r="L61" s="102" t="n">
        <v>5</v>
      </c>
      <c r="M61" s="102" t="inlineStr">
        <is>
          <t>Debt</t>
        </is>
      </c>
      <c r="N61" s="99" t="inlineStr">
        <is>
          <t>1.5–2% od radova; obavezno po zakonu</t>
        </is>
      </c>
      <c r="O61" s="39" t="n"/>
    </row>
    <row r="62" ht="30" customHeight="1" s="56">
      <c r="A62" s="99" t="inlineStr">
        <is>
          <t>5.5</t>
        </is>
      </c>
      <c r="B62" s="99" t="inlineStr">
        <is>
          <t>5. Engineering &amp; Permits</t>
        </is>
      </c>
      <c r="C62" s="99" t="inlineStr">
        <is>
          <t>PPZ i Zaštita na radu</t>
        </is>
      </c>
      <c r="D62" s="99" t="inlineStr">
        <is>
          <t>Elaborati zaštite od požara, bezbednosti radnika</t>
        </is>
      </c>
      <c r="E62" s="99" t="inlineStr">
        <is>
          <t>-</t>
        </is>
      </c>
      <c r="F62" s="99" t="inlineStr">
        <is>
          <t>lot</t>
        </is>
      </c>
      <c r="G62" s="100" t="n">
        <v>1</v>
      </c>
      <c r="H62" s="101" t="n">
        <v>6000</v>
      </c>
      <c r="I62" s="101">
        <f>G62*H62</f>
        <v/>
      </c>
      <c r="J62" s="101">
        <f>I62*'ASSUMPTIONS   MASTER INPUT'!$H$3</f>
        <v/>
      </c>
      <c r="K62" s="101">
        <f>I62+J62</f>
        <v/>
      </c>
      <c r="L62" s="102" t="n">
        <v>2026</v>
      </c>
      <c r="M62" s="102" t="n">
        <v>5</v>
      </c>
      <c r="N62" s="99" t="inlineStr">
        <is>
          <t>Equity</t>
        </is>
      </c>
      <c r="O62" s="103" t="inlineStr">
        <is>
          <t>4–8k €; obavezno za fabriku</t>
        </is>
      </c>
    </row>
    <row r="63" ht="30" customHeight="1" s="56">
      <c r="A63" s="99" t="inlineStr">
        <is>
          <t>5.6</t>
        </is>
      </c>
      <c r="B63" s="99" t="inlineStr">
        <is>
          <t>5. Engineering &amp; Permits</t>
        </is>
      </c>
      <c r="C63" s="99" t="inlineStr">
        <is>
          <t>Dozvole i takse</t>
        </is>
      </c>
      <c r="D63" s="99" t="inlineStr">
        <is>
          <t>Prijava gradnje, takse za priključke, ekološka saglasnost</t>
        </is>
      </c>
      <c r="E63" s="99" t="inlineStr">
        <is>
          <t>-</t>
        </is>
      </c>
      <c r="F63" s="99" t="inlineStr">
        <is>
          <t>lot</t>
        </is>
      </c>
      <c r="G63" s="100" t="n">
        <v>1</v>
      </c>
      <c r="H63" s="101" t="n">
        <v>17500</v>
      </c>
      <c r="I63" s="101">
        <f>G63*H63</f>
        <v/>
      </c>
      <c r="J63" s="101">
        <f>I63*'ASSUMPTIONS   MASTER INPUT'!$H$3</f>
        <v/>
      </c>
      <c r="K63" s="101">
        <f>I63+J63</f>
        <v/>
      </c>
      <c r="L63" s="102" t="n">
        <v>2026</v>
      </c>
      <c r="M63" s="102" t="n">
        <v>999</v>
      </c>
      <c r="N63" s="99" t="inlineStr">
        <is>
          <t>Equity</t>
        </is>
      </c>
      <c r="O63" s="103" t="inlineStr">
        <is>
          <t>10–25k €; Opština Tuzi</t>
        </is>
      </c>
    </row>
    <row r="64" ht="30" customHeight="1" s="56">
      <c r="A64" s="99" t="inlineStr">
        <is>
          <t>5.7</t>
        </is>
      </c>
      <c r="B64" s="99" t="inlineStr">
        <is>
          <t>5. Engineering &amp; Permits</t>
        </is>
      </c>
      <c r="C64" s="99" t="inlineStr">
        <is>
          <t>Geodetske usluge</t>
        </is>
      </c>
      <c r="D64" s="99" t="inlineStr">
        <is>
          <t>Obeležavanje parcele, snimanje instalacija, završni snimak</t>
        </is>
      </c>
      <c r="E64" s="99" t="inlineStr">
        <is>
          <t>-</t>
        </is>
      </c>
      <c r="F64" s="99" t="inlineStr">
        <is>
          <t>lot</t>
        </is>
      </c>
      <c r="G64" s="100" t="n">
        <v>1</v>
      </c>
      <c r="H64" s="101" t="n">
        <v>4000</v>
      </c>
      <c r="I64" s="101">
        <f>G64*H64</f>
        <v/>
      </c>
      <c r="J64" s="101">
        <f>I64*'ASSUMPTIONS   MASTER INPUT'!$H$3</f>
        <v/>
      </c>
      <c r="K64" s="101">
        <f>I64+J64</f>
        <v/>
      </c>
      <c r="L64" s="102" t="n">
        <v>2026</v>
      </c>
      <c r="M64" s="102" t="n">
        <v>999</v>
      </c>
      <c r="N64" s="99" t="inlineStr">
        <is>
          <t>Equity</t>
        </is>
      </c>
      <c r="O64" s="103" t="inlineStr">
        <is>
          <t>3–5k €; standardno za parcelu</t>
        </is>
      </c>
    </row>
    <row r="65" ht="30" customHeight="1" s="56">
      <c r="A65" s="99" t="inlineStr">
        <is>
          <t>7.1</t>
        </is>
      </c>
      <c r="B65" s="99" t="inlineStr">
        <is>
          <t>7. Working Capital (Start-up)</t>
        </is>
      </c>
      <c r="C65" s="99" t="inlineStr">
        <is>
          <t>Inicijalna zaliha sirovina</t>
        </is>
      </c>
      <c r="D65" s="99" t="inlineStr">
        <is>
          <t>Čelični limovi, profili, boja (zaliha za prva 3 mjeseca – ~50–100 tona limova)</t>
        </is>
      </c>
      <c r="E65" s="99" t="inlineStr">
        <is>
          <t>-</t>
        </is>
      </c>
      <c r="F65" s="99" t="inlineStr">
        <is>
          <t>lot</t>
        </is>
      </c>
      <c r="G65" s="100" t="n">
        <v>1</v>
      </c>
      <c r="H65" s="101" t="n">
        <v>225000</v>
      </c>
      <c r="I65" s="101">
        <f>G65*H65</f>
        <v/>
      </c>
      <c r="J65" s="101">
        <f>I65*'ASSUMPTIONS   MASTER INPUT'!$H$3</f>
        <v/>
      </c>
      <c r="K65" s="101">
        <f>I65+J65</f>
        <v/>
      </c>
      <c r="L65" s="102" t="n">
        <v>2026</v>
      </c>
      <c r="M65" s="102" t="n">
        <v>999</v>
      </c>
      <c r="N65" s="99" t="inlineStr">
        <is>
          <t>Equity</t>
        </is>
      </c>
      <c r="O65" s="103" t="inlineStr">
        <is>
          <t>150–300k €; buffer za cijene čelika</t>
        </is>
      </c>
    </row>
    <row r="66" ht="30" customHeight="1" s="56">
      <c r="A66" s="99" t="inlineStr">
        <is>
          <t>7.2</t>
        </is>
      </c>
      <c r="B66" s="99" t="inlineStr">
        <is>
          <t>7. Working Capital</t>
        </is>
      </c>
      <c r="C66" s="99" t="inlineStr">
        <is>
          <t>Plate (Payroll Buffer)</t>
        </is>
      </c>
      <c r="D66" s="99" t="inlineStr">
        <is>
          <t>Neto plate + porezi/doprinosi za sve zaposlene (prva 3–4 mjeseca)</t>
        </is>
      </c>
      <c r="E66" s="99" t="inlineStr">
        <is>
          <t>-</t>
        </is>
      </c>
      <c r="F66" s="99" t="inlineStr">
        <is>
          <t>lot</t>
        </is>
      </c>
      <c r="G66" s="100" t="n">
        <v>1</v>
      </c>
      <c r="H66" s="101" t="n">
        <v>100000</v>
      </c>
      <c r="I66" s="101">
        <f>G66*H66</f>
        <v/>
      </c>
      <c r="J66" s="101">
        <f>I66*'ASSUMPTIONS   MASTER INPUT'!$H$3</f>
        <v/>
      </c>
      <c r="K66" s="101">
        <f>I66+J66</f>
        <v/>
      </c>
      <c r="L66" s="102" t="n">
        <v>2026</v>
      </c>
      <c r="M66" s="102" t="n">
        <v>999</v>
      </c>
      <c r="N66" s="99" t="inlineStr">
        <is>
          <t>Equity</t>
        </is>
      </c>
      <c r="O66" s="103" t="inlineStr">
        <is>
          <t>80–120k €; ~20–40 radnika</t>
        </is>
      </c>
    </row>
    <row r="67" ht="30" customHeight="1" s="56">
      <c r="A67" s="99" t="inlineStr">
        <is>
          <t>7.3</t>
        </is>
      </c>
      <c r="B67" s="99" t="inlineStr">
        <is>
          <t>7. Working Capital</t>
        </is>
      </c>
      <c r="C67" s="99" t="inlineStr">
        <is>
          <t>Troškovi energije (OPEX buffer)</t>
        </is>
      </c>
      <c r="D67" s="99" t="inlineStr">
        <is>
          <t>Struja (mrežna + solarni dopuna), voda, komprimovani vazduh</t>
        </is>
      </c>
      <c r="E67" s="99" t="inlineStr">
        <is>
          <t>-</t>
        </is>
      </c>
      <c r="F67" s="99" t="inlineStr">
        <is>
          <t>lot</t>
        </is>
      </c>
      <c r="G67" s="100" t="n">
        <v>1</v>
      </c>
      <c r="H67" s="101" t="n">
        <v>22500</v>
      </c>
      <c r="I67" s="101">
        <f>G67*H67</f>
        <v/>
      </c>
      <c r="J67" s="101">
        <f>I67*'ASSUMPTIONS   MASTER INPUT'!$H$3</f>
        <v/>
      </c>
      <c r="K67" s="101">
        <f>I67+J67</f>
        <v/>
      </c>
      <c r="L67" s="102" t="n">
        <v>2026</v>
      </c>
      <c r="M67" s="102" t="n">
        <v>999</v>
      </c>
      <c r="N67" s="99" t="inlineStr">
        <is>
          <t>Equity</t>
        </is>
      </c>
      <c r="O67" s="103" t="inlineStr">
        <is>
          <t>15–30k €; ~150–300k kWh/mj</t>
        </is>
      </c>
    </row>
    <row r="68" ht="30" customHeight="1" s="56">
      <c r="A68" s="99" t="inlineStr">
        <is>
          <t>7.4</t>
        </is>
      </c>
      <c r="B68" s="99" t="inlineStr">
        <is>
          <t>7. Working Capital</t>
        </is>
      </c>
      <c r="C68" s="99" t="inlineStr">
        <is>
          <t>Rezervni delovi i potrošni materijal</t>
        </is>
      </c>
      <c r="D68" s="99" t="inlineStr">
        <is>
          <t>Sočiva za laser, dizne, gasovi za varenje, žica</t>
        </is>
      </c>
      <c r="E68" s="99" t="inlineStr">
        <is>
          <t>-</t>
        </is>
      </c>
      <c r="F68" s="99" t="inlineStr">
        <is>
          <t>lot</t>
        </is>
      </c>
      <c r="G68" s="100" t="n">
        <v>1</v>
      </c>
      <c r="H68" s="101" t="n">
        <v>30000</v>
      </c>
      <c r="I68" s="101">
        <f>G68*H68</f>
        <v/>
      </c>
      <c r="J68" s="101">
        <f>I68*'ASSUMPTIONS   MASTER INPUT'!$H$3</f>
        <v/>
      </c>
      <c r="K68" s="101">
        <f>I68+J68</f>
        <v/>
      </c>
      <c r="L68" s="102" t="n">
        <v>2026</v>
      </c>
      <c r="M68" s="102" t="n">
        <v>999</v>
      </c>
      <c r="N68" s="99" t="inlineStr">
        <is>
          <t>Equity</t>
        </is>
      </c>
      <c r="O68" s="103" t="inlineStr">
        <is>
          <t>20–40k €; kritično za kontinuitet</t>
        </is>
      </c>
    </row>
    <row r="69" ht="30" customHeight="1" s="56">
      <c r="A69" s="99" t="inlineStr">
        <is>
          <t>7.5</t>
        </is>
      </c>
      <c r="B69" s="99" t="inlineStr">
        <is>
          <t>7. Working Capital</t>
        </is>
      </c>
      <c r="C69" s="99" t="inlineStr">
        <is>
          <t>Marketing i Prodaja</t>
        </is>
      </c>
      <c r="D69" s="99" t="inlineStr">
        <is>
          <t>Sajmovi, katalogi, putni troškovi, uzorci za kupce</t>
        </is>
      </c>
      <c r="E69" s="99" t="inlineStr">
        <is>
          <t>-</t>
        </is>
      </c>
      <c r="F69" s="99" t="inlineStr">
        <is>
          <t>lot</t>
        </is>
      </c>
      <c r="G69" s="100" t="n">
        <v>1</v>
      </c>
      <c r="H69" s="101" t="n">
        <v>15000</v>
      </c>
      <c r="I69" s="101">
        <f>G69*H69</f>
        <v/>
      </c>
      <c r="J69" s="101">
        <f>I69*'ASSUMPTIONS   MASTER INPUT'!$H$3</f>
        <v/>
      </c>
      <c r="K69" s="101">
        <f>I69+J69</f>
        <v/>
      </c>
      <c r="L69" s="102" t="n">
        <v>2026</v>
      </c>
      <c r="M69" s="102" t="n">
        <v>999</v>
      </c>
      <c r="N69" s="99" t="inlineStr">
        <is>
          <t>Equity</t>
        </is>
      </c>
      <c r="O69" s="103" t="inlineStr">
        <is>
          <t>10–20k €; B2B ugovaranje</t>
        </is>
      </c>
    </row>
    <row r="70" ht="30" customHeight="1" s="56">
      <c r="A70" s="99" t="inlineStr">
        <is>
          <t>7.6</t>
        </is>
      </c>
      <c r="B70" s="99" t="inlineStr">
        <is>
          <t>7. Working Capital</t>
        </is>
      </c>
      <c r="C70" s="99" t="inlineStr">
        <is>
          <t>Osiguranje fabrike i opreme</t>
        </is>
      </c>
      <c r="D70" s="99" t="inlineStr">
        <is>
          <t>Polisa osiguranja imovine, opreme, zaposlenih (prva rata)</t>
        </is>
      </c>
      <c r="E70" s="99" t="inlineStr">
        <is>
          <t>-</t>
        </is>
      </c>
      <c r="F70" s="99" t="inlineStr">
        <is>
          <t>lot</t>
        </is>
      </c>
      <c r="G70" s="100" t="n">
        <v>1</v>
      </c>
      <c r="H70" s="101" t="n">
        <v>10000</v>
      </c>
      <c r="I70" s="101">
        <f>G70*H70</f>
        <v/>
      </c>
      <c r="J70" s="101">
        <f>I70*'ASSUMPTIONS   MASTER INPUT'!$H$3</f>
        <v/>
      </c>
      <c r="K70" s="101">
        <f>I70+J70</f>
        <v/>
      </c>
      <c r="L70" s="102" t="n">
        <v>2026</v>
      </c>
      <c r="M70" s="102" t="n">
        <v>999</v>
      </c>
      <c r="N70" s="99" t="inlineStr">
        <is>
          <t>Equity</t>
        </is>
      </c>
      <c r="O70" s="103" t="inlineStr">
        <is>
          <t>5–15k €; 0.3–0.8% vrednosti imovine</t>
        </is>
      </c>
    </row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3">
    <mergeCell ref="A15:C15"/>
    <mergeCell ref="A1:O1"/>
    <mergeCell ref="A2:O2"/>
  </mergeCells>
  <conditionalFormatting sqref="M22:M1000">
    <cfRule type="cellIs" priority="1" operator="lessThan" dxfId="7">
      <formula>5</formula>
    </cfRule>
    <cfRule type="cellIs" priority="2" operator="equal" dxfId="6">
      <formula>999</formula>
    </cfRule>
    <cfRule type="cellIs" priority="3" operator="lessThan" dxfId="34">
      <formula>6</formula>
    </cfRule>
  </conditionalFormatting>
  <conditionalFormatting sqref="O22:O1000">
    <cfRule type="expression" priority="4" dxfId="35">
      <formula>OR(ISNUMBER(SEARCH("rizik",O22)),ISNUMBER(SEARCH("ključno",O22)))</formula>
    </cfRule>
  </conditionalFormatting>
  <dataValidations count="3">
    <dataValidation sqref="N22:N1000" showDropDown="0" showInputMessage="0" showErrorMessage="0" allowBlank="1" type="list">
      <formula1>"Equity,Debt,Grant,Mix"</formula1>
    </dataValidation>
    <dataValidation sqref="N22:N1000" showDropDown="0" showInputMessage="0" showErrorMessage="0" allowBlank="1" type="list">
      <formula1>"Equity,Debt,Grant,Mix"</formula1>
    </dataValidation>
    <dataValidation sqref="F22:F1000" showDropDown="0" showInputMessage="0" showErrorMessage="0" allowBlank="1" type="list">
      <formula1>"m²,kom,linija,set,lot,%,kit,ha,m"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O15" sqref="O15"/>
    </sheetView>
  </sheetViews>
  <sheetFormatPr baseColWidth="8" defaultRowHeight="15"/>
  <cols>
    <col width="10" customWidth="1" style="70" min="1" max="1"/>
    <col width="22" customWidth="1" style="56" min="2" max="2"/>
    <col width="45" customWidth="1" style="56" min="3" max="3"/>
    <col width="10" customWidth="1" style="56" min="4" max="4"/>
    <col width="8" customWidth="1" style="56" min="5" max="5"/>
    <col width="18" customWidth="1" style="56" min="6" max="7"/>
    <col width="14" customWidth="1" style="70" min="8" max="8"/>
    <col width="10" customWidth="1" style="70" min="9" max="9"/>
    <col width="16" customWidth="1" style="70" min="10" max="10"/>
    <col width="20" customWidth="1" style="56" min="11" max="11"/>
  </cols>
  <sheetData>
    <row r="1" ht="46.5" customFormat="1" customHeight="1" s="2">
      <c r="A1" s="69" t="inlineStr">
        <is>
          <t>ARS Metal Industries DOO
Version 1.0
Date: 25.02.2026</t>
        </is>
      </c>
    </row>
    <row r="2" ht="9" customFormat="1" customHeight="1" s="2">
      <c r="A2" s="13" t="n"/>
      <c r="C2" s="3" t="n"/>
      <c r="D2" s="4" t="n"/>
      <c r="F2" s="5" t="n"/>
      <c r="H2" s="13" t="n"/>
      <c r="I2" s="13" t="n"/>
      <c r="J2" s="13" t="n"/>
    </row>
    <row r="3" customFormat="1" s="2">
      <c r="A3" s="6" t="inlineStr">
        <is>
          <t>Red. br.</t>
        </is>
      </c>
      <c r="B3" s="6" t="inlineStr">
        <is>
          <t>Proizvođač / Model</t>
        </is>
      </c>
      <c r="C3" s="7" t="inlineStr">
        <is>
          <t>Opis / Specifikacija</t>
        </is>
      </c>
      <c r="D3" s="8" t="inlineStr">
        <is>
          <t>Količina</t>
        </is>
      </c>
      <c r="E3" s="6" t="inlineStr">
        <is>
          <t>Jed.</t>
        </is>
      </c>
      <c r="F3" s="7" t="inlineStr">
        <is>
          <t>Cijena po jed. (€)</t>
        </is>
      </c>
      <c r="G3" s="6" t="inlineStr">
        <is>
          <t>Ukupno (€)</t>
        </is>
      </c>
      <c r="H3" s="6" t="inlineStr">
        <is>
          <t>Poreska grupa</t>
        </is>
      </c>
      <c r="I3" s="6" t="inlineStr">
        <is>
          <t>Stopa (%)</t>
        </is>
      </c>
      <c r="J3" s="6" t="inlineStr">
        <is>
          <t>Rač. vijek (god.)</t>
        </is>
      </c>
      <c r="K3" s="6" t="inlineStr">
        <is>
          <t>Napomena</t>
        </is>
      </c>
    </row>
    <row r="4" ht="15.75" customHeight="1" s="56" thickBot="1">
      <c r="A4" s="72" t="n">
        <v>1</v>
      </c>
      <c r="B4" s="73" t="inlineStr">
        <is>
          <t>UNI-MAK</t>
        </is>
      </c>
      <c r="C4" s="73" t="inlineStr">
        <is>
          <t>1600mm DALGADUVAR ÜRETİM HATTI (kompletna linija)</t>
        </is>
      </c>
      <c r="D4" s="73" t="n">
        <v>1</v>
      </c>
      <c r="E4" s="73" t="inlineStr">
        <is>
          <t>kom</t>
        </is>
      </c>
      <c r="F4" s="74" t="n">
        <v>900000</v>
      </c>
      <c r="G4" s="74">
        <f>D4*F4</f>
        <v/>
      </c>
      <c r="H4" s="72" t="inlineStr">
        <is>
          <t>II</t>
        </is>
      </c>
      <c r="I4" s="72" t="n">
        <v>10</v>
      </c>
      <c r="J4" s="72" t="n">
        <v>10</v>
      </c>
      <c r="K4" s="73" t="inlineStr">
        <is>
          <t>Glavna linija</t>
        </is>
      </c>
    </row>
    <row r="5" ht="15.75" customHeight="1" s="56" thickBot="1">
      <c r="A5" s="72" t="n">
        <v>2</v>
      </c>
      <c r="B5" s="73" t="inlineStr">
        <is>
          <t>SLS MECANO</t>
        </is>
      </c>
      <c r="C5" s="73" t="inlineStr">
        <is>
          <t>ROBOT KAYNAK</t>
        </is>
      </c>
      <c r="D5" s="73" t="n">
        <v>1</v>
      </c>
      <c r="E5" s="73" t="inlineStr">
        <is>
          <t>kom</t>
        </is>
      </c>
      <c r="F5" s="74" t="n">
        <v>80000</v>
      </c>
      <c r="G5" s="74">
        <f>D5*F5</f>
        <v/>
      </c>
      <c r="H5" s="72" t="inlineStr">
        <is>
          <t>III</t>
        </is>
      </c>
      <c r="I5" s="72" t="n">
        <v>15</v>
      </c>
      <c r="J5" s="72" t="n">
        <v>7</v>
      </c>
      <c r="K5" s="73" t="inlineStr">
        <is>
          <t>Specijalna</t>
        </is>
      </c>
    </row>
    <row r="6" ht="15.75" customHeight="1" s="56" thickBot="1">
      <c r="A6" s="72" t="n">
        <v>3</v>
      </c>
      <c r="B6" s="73" t="inlineStr">
        <is>
          <t>-</t>
        </is>
      </c>
      <c r="C6" s="73" t="inlineStr">
        <is>
          <t>ABKANT BÜKÜM MAKİNASI</t>
        </is>
      </c>
      <c r="D6" s="73" t="n">
        <v>1</v>
      </c>
      <c r="E6" s="73" t="inlineStr">
        <is>
          <t>kom</t>
        </is>
      </c>
      <c r="F6" s="74" t="n">
        <v>85000</v>
      </c>
      <c r="G6" s="74">
        <f>D6*F6</f>
        <v/>
      </c>
      <c r="H6" s="72" t="inlineStr">
        <is>
          <t>II</t>
        </is>
      </c>
      <c r="I6" s="72" t="n">
        <v>10</v>
      </c>
      <c r="J6" s="72" t="n">
        <v>10</v>
      </c>
      <c r="K6" s="73" t="inlineStr">
        <is>
          <t>-</t>
        </is>
      </c>
    </row>
    <row r="7" ht="15.75" customHeight="1" s="56" thickBot="1">
      <c r="A7" s="72" t="n">
        <v>4</v>
      </c>
      <c r="B7" s="73" t="inlineStr">
        <is>
          <t>-</t>
        </is>
      </c>
      <c r="C7" s="73" t="inlineStr">
        <is>
          <t>PUNTA MAKİNASI</t>
        </is>
      </c>
      <c r="D7" s="73" t="n">
        <v>1</v>
      </c>
      <c r="E7" s="73" t="inlineStr">
        <is>
          <t>kom</t>
        </is>
      </c>
      <c r="F7" s="74" t="n">
        <v>96000</v>
      </c>
      <c r="G7" s="74">
        <f>D7*F7</f>
        <v/>
      </c>
      <c r="H7" s="72" t="inlineStr">
        <is>
          <t>II</t>
        </is>
      </c>
      <c r="I7" s="72" t="n">
        <v>10</v>
      </c>
      <c r="J7" s="72" t="n">
        <v>10</v>
      </c>
      <c r="K7" s="73" t="inlineStr">
        <is>
          <t>-</t>
        </is>
      </c>
    </row>
    <row r="8" ht="15.75" customHeight="1" s="56" thickBot="1">
      <c r="A8" s="72" t="n">
        <v>5</v>
      </c>
      <c r="B8" s="73" t="inlineStr">
        <is>
          <t>SAYMAK</t>
        </is>
      </c>
      <c r="C8" s="73" t="inlineStr">
        <is>
          <t>GİYOTİN MAKAS</t>
        </is>
      </c>
      <c r="D8" s="73" t="n">
        <v>1</v>
      </c>
      <c r="E8" s="73" t="inlineStr">
        <is>
          <t>kom</t>
        </is>
      </c>
      <c r="F8" s="74" t="n">
        <v>10740</v>
      </c>
      <c r="G8" s="74">
        <f>D8*F8</f>
        <v/>
      </c>
      <c r="H8" s="72" t="inlineStr">
        <is>
          <t>II</t>
        </is>
      </c>
      <c r="I8" s="72" t="n">
        <v>10</v>
      </c>
      <c r="J8" s="72" t="n">
        <v>10</v>
      </c>
      <c r="K8" s="73" t="inlineStr">
        <is>
          <t>-</t>
        </is>
      </c>
    </row>
    <row r="9" ht="15.75" customHeight="1" s="56" thickBot="1">
      <c r="A9" s="72" t="n">
        <v>6</v>
      </c>
      <c r="B9" s="73" t="inlineStr">
        <is>
          <t>MVD</t>
        </is>
      </c>
      <c r="C9" s="73" t="inlineStr">
        <is>
          <t>ABKANT PRES</t>
        </is>
      </c>
      <c r="D9" s="73" t="n">
        <v>1</v>
      </c>
      <c r="E9" s="73" t="inlineStr">
        <is>
          <t>kom</t>
        </is>
      </c>
      <c r="F9" s="74" t="n">
        <v>150750</v>
      </c>
      <c r="G9" s="74">
        <f>D9*F9</f>
        <v/>
      </c>
      <c r="H9" s="72" t="inlineStr">
        <is>
          <t>II</t>
        </is>
      </c>
      <c r="I9" s="72" t="n">
        <v>10</v>
      </c>
      <c r="J9" s="72" t="n">
        <v>10</v>
      </c>
      <c r="K9" s="73" t="inlineStr">
        <is>
          <t>-</t>
        </is>
      </c>
    </row>
    <row r="10" ht="15.75" customHeight="1" s="56" thickBot="1">
      <c r="A10" s="72" t="n">
        <v>7</v>
      </c>
      <c r="B10" s="73" t="inlineStr">
        <is>
          <t>NKN</t>
        </is>
      </c>
      <c r="C10" s="73" t="inlineStr">
        <is>
          <t>8 kW LAZER KESİM</t>
        </is>
      </c>
      <c r="D10" s="73" t="n">
        <v>1</v>
      </c>
      <c r="E10" s="73" t="inlineStr">
        <is>
          <t>kom</t>
        </is>
      </c>
      <c r="F10" s="74" t="n">
        <v>290000</v>
      </c>
      <c r="G10" s="74">
        <f>D10*F10</f>
        <v/>
      </c>
      <c r="H10" s="72" t="inlineStr">
        <is>
          <t>III</t>
        </is>
      </c>
      <c r="I10" s="72" t="n">
        <v>15</v>
      </c>
      <c r="J10" s="72" t="n">
        <v>7</v>
      </c>
      <c r="K10" s="73" t="inlineStr">
        <is>
          <t>Specijalna</t>
        </is>
      </c>
    </row>
    <row r="11" ht="15.75" customHeight="1" s="56" thickBot="1">
      <c r="A11" s="72" t="n">
        <v>8</v>
      </c>
      <c r="B11" s="73" t="inlineStr">
        <is>
          <t>NKN</t>
        </is>
      </c>
      <c r="C11" s="73" t="inlineStr">
        <is>
          <t>15 kW LAZER KESİM</t>
        </is>
      </c>
      <c r="D11" s="73" t="n">
        <v>1</v>
      </c>
      <c r="E11" s="73" t="inlineStr">
        <is>
          <t>kom</t>
        </is>
      </c>
      <c r="F11" s="74" t="n">
        <v>340000</v>
      </c>
      <c r="G11" s="74">
        <f>D11*F11</f>
        <v/>
      </c>
      <c r="H11" s="72" t="inlineStr">
        <is>
          <t>III</t>
        </is>
      </c>
      <c r="I11" s="72" t="n">
        <v>15</v>
      </c>
      <c r="J11" s="72" t="n">
        <v>7</v>
      </c>
      <c r="K11" s="73" t="inlineStr">
        <is>
          <t>Specijalna</t>
        </is>
      </c>
    </row>
    <row r="12" ht="15.75" customHeight="1" s="56" thickBot="1">
      <c r="A12" s="72" t="n">
        <v>9</v>
      </c>
      <c r="B12" s="73" t="inlineStr">
        <is>
          <t>NKN</t>
        </is>
      </c>
      <c r="C12" s="73" t="inlineStr">
        <is>
          <t>4 kW BORU LAZER KESİM</t>
        </is>
      </c>
      <c r="D12" s="73" t="n">
        <v>1</v>
      </c>
      <c r="E12" s="73" t="inlineStr">
        <is>
          <t>kom</t>
        </is>
      </c>
      <c r="F12" s="74" t="n">
        <v>335000</v>
      </c>
      <c r="G12" s="74">
        <f>D12*F12</f>
        <v/>
      </c>
      <c r="H12" s="72" t="inlineStr">
        <is>
          <t>III</t>
        </is>
      </c>
      <c r="I12" s="72" t="n">
        <v>15</v>
      </c>
      <c r="J12" s="72" t="n">
        <v>7</v>
      </c>
      <c r="K12" s="73" t="inlineStr">
        <is>
          <t>Specijalna</t>
        </is>
      </c>
    </row>
    <row r="13" ht="15.75" customHeight="1" s="56" thickBot="1">
      <c r="A13" s="72" t="n">
        <v>10</v>
      </c>
      <c r="B13" s="73" t="inlineStr">
        <is>
          <t>ÖZFATİHLER VİNÇ</t>
        </is>
      </c>
      <c r="C13" s="73" t="inlineStr">
        <is>
          <t>10 ton čift kiriş tavan vinç</t>
        </is>
      </c>
      <c r="D13" s="73" t="n">
        <v>10</v>
      </c>
      <c r="E13" s="73" t="inlineStr">
        <is>
          <t>adet</t>
        </is>
      </c>
      <c r="F13" s="74" t="n"/>
      <c r="G13" s="74" t="n">
        <v>350000</v>
      </c>
      <c r="H13" s="72" t="inlineStr">
        <is>
          <t>IV</t>
        </is>
      </c>
      <c r="I13" s="72" t="n">
        <v>20</v>
      </c>
      <c r="J13" s="72" t="n">
        <v>10</v>
      </c>
      <c r="K13" s="73" t="inlineStr">
        <is>
          <t>Teška oprema</t>
        </is>
      </c>
    </row>
    <row r="14" ht="15.75" customHeight="1" s="56" thickBot="1">
      <c r="A14" s="72" t="n">
        <v>11</v>
      </c>
      <c r="B14" s="73" t="inlineStr">
        <is>
          <t>TORO VİNÇ</t>
        </is>
      </c>
      <c r="C14" s="73" t="inlineStr">
        <is>
          <t>40 ton čift kiriş tavan vinç</t>
        </is>
      </c>
      <c r="D14" s="73" t="n">
        <v>3</v>
      </c>
      <c r="E14" s="73" t="inlineStr">
        <is>
          <t>adet</t>
        </is>
      </c>
      <c r="F14" s="74" t="n"/>
      <c r="G14" s="74" t="n">
        <v>225000</v>
      </c>
      <c r="H14" s="72" t="inlineStr">
        <is>
          <t>IV</t>
        </is>
      </c>
      <c r="I14" s="72" t="n">
        <v>20</v>
      </c>
      <c r="J14" s="72" t="n">
        <v>10</v>
      </c>
      <c r="K14" s="73" t="inlineStr">
        <is>
          <t>Teška oprema</t>
        </is>
      </c>
    </row>
    <row r="15" ht="15.75" customHeight="1" s="56" thickBot="1">
      <c r="A15" s="72" t="n">
        <v>12</v>
      </c>
      <c r="B15" s="73" t="inlineStr">
        <is>
          <t>TORO VİNÇ</t>
        </is>
      </c>
      <c r="C15" s="73" t="inlineStr">
        <is>
          <t>5 ton pergol vinç</t>
        </is>
      </c>
      <c r="D15" s="73" t="n">
        <v>15</v>
      </c>
      <c r="E15" s="73" t="inlineStr">
        <is>
          <t>adet</t>
        </is>
      </c>
      <c r="F15" s="74" t="n"/>
      <c r="G15" s="74" t="n">
        <v>210000</v>
      </c>
      <c r="H15" s="72" t="inlineStr">
        <is>
          <t>IV</t>
        </is>
      </c>
      <c r="I15" s="72" t="n">
        <v>20</v>
      </c>
      <c r="J15" s="72" t="n">
        <v>10</v>
      </c>
      <c r="K15" s="73" t="inlineStr">
        <is>
          <t>Teška oprema</t>
        </is>
      </c>
    </row>
    <row r="16" ht="15.75" customHeight="1" s="56" thickBot="1">
      <c r="A16" s="72" t="n">
        <v>13</v>
      </c>
      <c r="B16" s="73" t="inlineStr">
        <is>
          <t>GENPOWER</t>
        </is>
      </c>
      <c r="C16" s="73" t="inlineStr">
        <is>
          <t>1000 kW kabinski dizel generator</t>
        </is>
      </c>
      <c r="D16" s="73" t="n">
        <v>1</v>
      </c>
      <c r="E16" s="73" t="inlineStr">
        <is>
          <t>kom</t>
        </is>
      </c>
      <c r="F16" s="74" t="n">
        <v>72085</v>
      </c>
      <c r="G16" s="74">
        <f>D16*F16</f>
        <v/>
      </c>
      <c r="H16" s="72" t="inlineStr">
        <is>
          <t>IV</t>
        </is>
      </c>
      <c r="I16" s="72" t="n">
        <v>20</v>
      </c>
      <c r="J16" s="72" t="n">
        <v>10</v>
      </c>
      <c r="K16" s="73" t="inlineStr">
        <is>
          <t>Backup</t>
        </is>
      </c>
    </row>
    <row r="17" ht="15.75" customHeight="1" s="56" thickBot="1">
      <c r="A17" s="72" t="n">
        <v>14</v>
      </c>
      <c r="B17" s="73" t="inlineStr">
        <is>
          <t>ASTOR</t>
        </is>
      </c>
      <c r="C17" s="73" t="inlineStr">
        <is>
          <t>1600 kW köşk pano</t>
        </is>
      </c>
      <c r="D17" s="73" t="n">
        <v>1</v>
      </c>
      <c r="E17" s="73" t="inlineStr">
        <is>
          <t>kom</t>
        </is>
      </c>
      <c r="F17" s="74" t="n">
        <v>53862</v>
      </c>
      <c r="G17" s="74">
        <f>D17*F17</f>
        <v/>
      </c>
      <c r="H17" s="72" t="inlineStr">
        <is>
          <t>II</t>
        </is>
      </c>
      <c r="I17" s="72" t="n">
        <v>10</v>
      </c>
      <c r="J17" s="72" t="n">
        <v>10</v>
      </c>
      <c r="K17" s="73" t="inlineStr">
        <is>
          <t>Elektro</t>
        </is>
      </c>
    </row>
    <row r="18" ht="15.75" customHeight="1" s="56" thickBot="1">
      <c r="A18" s="72" t="n">
        <v>15</v>
      </c>
      <c r="B18" s="73" t="inlineStr">
        <is>
          <t>BİNMAK</t>
        </is>
      </c>
      <c r="C18" s="73" t="inlineStr">
        <is>
          <t>Boru bükme makinesi</t>
        </is>
      </c>
      <c r="D18" s="73" t="n">
        <v>1</v>
      </c>
      <c r="E18" s="73" t="inlineStr">
        <is>
          <t>kom</t>
        </is>
      </c>
      <c r="F18" s="74" t="n">
        <v>14600</v>
      </c>
      <c r="G18" s="74">
        <f>D18*F18</f>
        <v/>
      </c>
      <c r="H18" s="72" t="inlineStr">
        <is>
          <t>II</t>
        </is>
      </c>
      <c r="I18" s="72" t="n">
        <v>10</v>
      </c>
      <c r="J18" s="72" t="n">
        <v>10</v>
      </c>
      <c r="K18" s="73" t="inlineStr">
        <is>
          <t>-</t>
        </is>
      </c>
    </row>
    <row r="19" ht="15.75" customHeight="1" s="56" thickBot="1">
      <c r="A19" s="72" t="n">
        <v>16</v>
      </c>
      <c r="B19" s="73" t="inlineStr">
        <is>
          <t>ADS</t>
        </is>
      </c>
      <c r="C19" s="73" t="inlineStr">
        <is>
          <t>Kazan basınç hava test ünitesi</t>
        </is>
      </c>
      <c r="D19" s="73" t="n">
        <v>1</v>
      </c>
      <c r="E19" s="73" t="inlineStr">
        <is>
          <t>kom</t>
        </is>
      </c>
      <c r="F19" s="74" t="n">
        <v>40000</v>
      </c>
      <c r="G19" s="74">
        <f>D19*F19</f>
        <v/>
      </c>
      <c r="H19" s="72" t="inlineStr">
        <is>
          <t>II</t>
        </is>
      </c>
      <c r="I19" s="72" t="n">
        <v>10</v>
      </c>
      <c r="J19" s="72" t="n">
        <v>10</v>
      </c>
      <c r="K19" s="73" t="inlineStr">
        <is>
          <t>Test</t>
        </is>
      </c>
    </row>
    <row r="20" ht="15.75" customHeight="1" s="56" thickBot="1">
      <c r="A20" s="72" t="n">
        <v>17</v>
      </c>
      <c r="B20" s="73" t="inlineStr">
        <is>
          <t>YILDIZ KARDEŞLER</t>
        </is>
      </c>
      <c r="C20" s="73" t="inlineStr">
        <is>
          <t>Otomatik kumlama hattı</t>
        </is>
      </c>
      <c r="D20" s="73" t="n">
        <v>1</v>
      </c>
      <c r="E20" s="73" t="inlineStr">
        <is>
          <t>kom</t>
        </is>
      </c>
      <c r="F20" s="74" t="n">
        <v>75000</v>
      </c>
      <c r="G20" s="74">
        <f>D20*F20</f>
        <v/>
      </c>
      <c r="H20" s="72" t="inlineStr">
        <is>
          <t>III</t>
        </is>
      </c>
      <c r="I20" s="72" t="n">
        <v>15</v>
      </c>
      <c r="J20" s="72" t="n">
        <v>8</v>
      </c>
      <c r="K20" s="73" t="inlineStr">
        <is>
          <t>Priprema</t>
        </is>
      </c>
    </row>
    <row r="21" ht="15.75" customHeight="1" s="56" thickBot="1">
      <c r="A21" s="72" t="n">
        <v>18</v>
      </c>
      <c r="B21" s="73" t="inlineStr">
        <is>
          <t>ENDÜSTRİYEL</t>
        </is>
      </c>
      <c r="C21" s="73" t="inlineStr">
        <is>
          <t>Taylor saplama kaynak makinesi</t>
        </is>
      </c>
      <c r="D21" s="73" t="n">
        <v>1</v>
      </c>
      <c r="E21" s="73" t="inlineStr">
        <is>
          <t>kom</t>
        </is>
      </c>
      <c r="F21" s="74" t="n">
        <v>6700</v>
      </c>
      <c r="G21" s="74">
        <f>D21*F21</f>
        <v/>
      </c>
      <c r="H21" s="72" t="inlineStr">
        <is>
          <t>II</t>
        </is>
      </c>
      <c r="I21" s="72" t="n">
        <v>10</v>
      </c>
      <c r="J21" s="72" t="n">
        <v>10</v>
      </c>
      <c r="K21" s="73" t="inlineStr">
        <is>
          <t>Zavarivanje</t>
        </is>
      </c>
    </row>
    <row r="22" ht="15.75" customHeight="1" s="56" thickBot="1">
      <c r="A22" s="72" t="n">
        <v>19</v>
      </c>
      <c r="B22" s="73" t="inlineStr">
        <is>
          <t>HİLALSAN</t>
        </is>
      </c>
      <c r="C22" s="73" t="inlineStr">
        <is>
          <t>Hidrolik kombine makas</t>
        </is>
      </c>
      <c r="D22" s="73" t="n">
        <v>1</v>
      </c>
      <c r="E22" s="73" t="inlineStr">
        <is>
          <t>kom</t>
        </is>
      </c>
      <c r="F22" s="74" t="n">
        <v>49500</v>
      </c>
      <c r="G22" s="74">
        <f>D22*F22</f>
        <v/>
      </c>
      <c r="H22" s="72" t="inlineStr">
        <is>
          <t>II</t>
        </is>
      </c>
      <c r="I22" s="72" t="n">
        <v>10</v>
      </c>
      <c r="J22" s="72" t="n">
        <v>10</v>
      </c>
      <c r="K22" s="73" t="inlineStr">
        <is>
          <t>-</t>
        </is>
      </c>
    </row>
    <row r="23" ht="15.75" customHeight="1" s="56" thickBot="1">
      <c r="A23" s="72" t="n">
        <v>20</v>
      </c>
      <c r="B23" s="73" t="inlineStr">
        <is>
          <t>LINDE</t>
        </is>
      </c>
      <c r="C23" s="73" t="inlineStr">
        <is>
          <t>Akülü forklift 8 ton</t>
        </is>
      </c>
      <c r="D23" s="73" t="n">
        <v>2</v>
      </c>
      <c r="E23" s="73" t="inlineStr">
        <is>
          <t>adet</t>
        </is>
      </c>
      <c r="F23" s="74" t="n"/>
      <c r="G23" s="74" t="n">
        <v>304000</v>
      </c>
      <c r="H23" s="72" t="inlineStr">
        <is>
          <t>IV</t>
        </is>
      </c>
      <c r="I23" s="72" t="n">
        <v>20</v>
      </c>
      <c r="J23" s="72" t="n">
        <v>5</v>
      </c>
      <c r="K23" s="73" t="inlineStr">
        <is>
          <t>Logistika</t>
        </is>
      </c>
    </row>
    <row r="24" ht="15.75" customHeight="1" s="56" thickBot="1">
      <c r="A24" s="72" t="n">
        <v>21</v>
      </c>
      <c r="B24" s="73" t="inlineStr">
        <is>
          <t>LINDE</t>
        </is>
      </c>
      <c r="C24" s="73" t="inlineStr">
        <is>
          <t>Akülü forklift 2 ton</t>
        </is>
      </c>
      <c r="D24" s="73" t="n">
        <v>4</v>
      </c>
      <c r="E24" s="73" t="inlineStr">
        <is>
          <t>adet</t>
        </is>
      </c>
      <c r="F24" s="74" t="n"/>
      <c r="G24" s="74" t="n">
        <v>120000</v>
      </c>
      <c r="H24" s="72" t="inlineStr">
        <is>
          <t>IV</t>
        </is>
      </c>
      <c r="I24" s="72" t="n">
        <v>20</v>
      </c>
      <c r="J24" s="72" t="n">
        <v>5</v>
      </c>
      <c r="K24" s="73" t="inlineStr">
        <is>
          <t>Logistika</t>
        </is>
      </c>
    </row>
    <row r="25" ht="15.75" customHeight="1" s="56" thickBot="1">
      <c r="A25" s="72" t="n">
        <v>22</v>
      </c>
      <c r="B25" s="73" t="inlineStr">
        <is>
          <t>İESMAK</t>
        </is>
      </c>
      <c r="C25" s="73" t="inlineStr">
        <is>
          <t>Yaş boya tesisi + kapak i konveyör hattı</t>
        </is>
      </c>
      <c r="D25" s="73" t="n">
        <v>1</v>
      </c>
      <c r="E25" s="73" t="inlineStr">
        <is>
          <t>kom</t>
        </is>
      </c>
      <c r="F25" s="74" t="n">
        <v>120000</v>
      </c>
      <c r="G25" s="74">
        <f>D25*F25</f>
        <v/>
      </c>
      <c r="H25" s="72" t="inlineStr">
        <is>
          <t>II</t>
        </is>
      </c>
      <c r="I25" s="72" t="n">
        <v>10</v>
      </c>
      <c r="J25" s="72" t="n">
        <v>10</v>
      </c>
      <c r="K25" s="73" t="inlineStr">
        <is>
          <t>Bojenje</t>
        </is>
      </c>
    </row>
    <row r="26" ht="15.75" customHeight="1" s="56" thickBot="1">
      <c r="A26" s="72" t="n">
        <v>23</v>
      </c>
      <c r="B26" s="73" t="inlineStr">
        <is>
          <t>TAMSAN</t>
        </is>
      </c>
      <c r="C26" s="73" t="inlineStr">
        <is>
          <t>Vidali hava kompresör (tank + kurutucu)</t>
        </is>
      </c>
      <c r="D26" s="73" t="n">
        <v>1</v>
      </c>
      <c r="E26" s="73" t="inlineStr">
        <is>
          <t>kom</t>
        </is>
      </c>
      <c r="F26" s="74" t="n">
        <v>17550</v>
      </c>
      <c r="G26" s="74">
        <f>D26*F26</f>
        <v/>
      </c>
      <c r="H26" s="72" t="inlineStr">
        <is>
          <t>II</t>
        </is>
      </c>
      <c r="I26" s="72" t="n">
        <v>10</v>
      </c>
      <c r="J26" s="72" t="n">
        <v>10</v>
      </c>
      <c r="K26" s="73" t="inlineStr">
        <is>
          <t>Pneumatika</t>
        </is>
      </c>
    </row>
    <row r="27"/>
    <row r="28">
      <c r="A28" s="71" t="inlineStr">
        <is>
          <t>UKUPNO MAKINA PARKI</t>
        </is>
      </c>
      <c r="G28" s="61">
        <f>SUM(G4:G26)</f>
        <v/>
      </c>
    </row>
    <row r="29"/>
    <row r="30"/>
    <row r="31">
      <c r="A31" s="70" t="inlineStr">
        <is>
          <t>Grupa</t>
        </is>
      </c>
      <c r="B31" t="inlineStr">
        <is>
          <t>Iznos (€)</t>
        </is>
      </c>
    </row>
    <row r="32">
      <c r="A32" s="70" t="inlineStr">
        <is>
          <t>II</t>
        </is>
      </c>
      <c r="B32">
        <f>SUMIF(H4:H26,"II",G4:G26)</f>
        <v/>
      </c>
    </row>
    <row r="33">
      <c r="A33" s="70" t="inlineStr">
        <is>
          <t>III</t>
        </is>
      </c>
      <c r="B33">
        <f>SUMIF(H4:H26,"III",G4:G26)</f>
        <v/>
      </c>
    </row>
    <row r="34">
      <c r="A34" s="70" t="inlineStr">
        <is>
          <t>IV</t>
        </is>
      </c>
      <c r="B34">
        <f>SUMIF(H4:H26,"IV",G4:G26)</f>
        <v/>
      </c>
    </row>
    <row r="35">
      <c r="A35" s="71" t="inlineStr">
        <is>
          <t>UKUPNO</t>
        </is>
      </c>
      <c r="B35" s="60">
        <f>SUM(B32:B34)</f>
        <v/>
      </c>
    </row>
  </sheetData>
  <autoFilter ref="A3:K3"/>
  <mergeCells count="1">
    <mergeCell ref="A1:K1"/>
  </mergeCells>
  <conditionalFormatting sqref="B3">
    <cfRule type="duplicateValues" priority="6" dxfId="4"/>
    <cfRule type="duplicateValues" priority="5" dxfId="4"/>
  </conditionalFormatting>
  <conditionalFormatting sqref="G2:G3">
    <cfRule type="containsText" priority="3" operator="containsText" dxfId="1" text="SOFT">
      <formula>NOT(ISERROR(SEARCH("SOFT",G2)))</formula>
    </cfRule>
    <cfRule type="containsText" priority="4" operator="containsText" dxfId="0" text="hard">
      <formula>NOT(ISERROR(SEARCH("hard",G2)))</formula>
    </cfRule>
  </conditionalFormatting>
  <conditionalFormatting sqref="H3:K3">
    <cfRule type="containsText" priority="1" operator="containsText" dxfId="1" text="SOFT">
      <formula>NOT(ISERROR(SEARCH("SOFT",H3)))</formula>
    </cfRule>
    <cfRule type="containsText" priority="2" operator="containsText" dxfId="0" text="hard">
      <formula>NOT(ISERROR(SEARCH("hard",H3)))</formula>
    </cfRule>
  </conditionalFormatting>
  <dataValidations count="1">
    <dataValidation sqref="G2:G3" showDropDown="0" showInputMessage="1" showErrorMessage="1" allowBlank="1" type="list">
      <formula1>"HARD,SOFT,TEXT,CALC"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6" topLeftCell="A7" activePane="bottomLeft" state="frozen"/>
      <selection pane="bottomLeft" activeCell="S12" sqref="S12"/>
    </sheetView>
  </sheetViews>
  <sheetFormatPr baseColWidth="8" defaultRowHeight="15"/>
  <sheetData>
    <row r="1" ht="27.95" customHeight="1" s="56">
      <c r="A1" s="55" t="inlineStr">
        <is>
          <t>ARS METAL INDUSTRIES DOO – CAPEX MASTER</t>
        </is>
      </c>
    </row>
    <row r="2" ht="18" customHeight="1" s="56"/>
    <row r="3" ht="21" customHeight="1" s="56">
      <c r="A3" s="63" t="inlineStr">
        <is>
          <t>VREMENSKI PLAN PROJEKTA – TIMELINE &amp; GANTT</t>
        </is>
      </c>
    </row>
    <row r="4">
      <c r="A4" t="inlineStr">
        <is>
          <t>Ukupno trajanje: 30–36 mjeseci (od Q2 2026 do Q3/Q4 2028)</t>
        </is>
      </c>
    </row>
    <row r="5"/>
    <row r="6">
      <c r="A6" s="64" t="inlineStr">
        <is>
          <t>Faza / Aktivnost</t>
        </is>
      </c>
      <c r="B6" s="64" t="inlineStr">
        <is>
          <t>2026 Q2</t>
        </is>
      </c>
      <c r="C6" s="64" t="inlineStr">
        <is>
          <t>2026 Q3</t>
        </is>
      </c>
      <c r="D6" s="64" t="inlineStr">
        <is>
          <t>2026 Q4</t>
        </is>
      </c>
      <c r="E6" s="64" t="inlineStr">
        <is>
          <t>2027 Q1</t>
        </is>
      </c>
      <c r="F6" s="64" t="inlineStr">
        <is>
          <t>2027 Q2</t>
        </is>
      </c>
      <c r="G6" s="64" t="inlineStr">
        <is>
          <t>2027 Q3</t>
        </is>
      </c>
      <c r="H6" s="64" t="inlineStr">
        <is>
          <t>2027 Q4</t>
        </is>
      </c>
      <c r="I6" s="64" t="inlineStr">
        <is>
          <t>2028 Q1</t>
        </is>
      </c>
      <c r="J6" s="64" t="inlineStr">
        <is>
          <t>2028 Q2</t>
        </is>
      </c>
      <c r="K6" s="64" t="inlineStr">
        <is>
          <t>2028 Q3</t>
        </is>
      </c>
      <c r="L6" s="64" t="inlineStr">
        <is>
          <t>2028 Q4</t>
        </is>
      </c>
      <c r="M6" s="64" t="inlineStr">
        <is>
          <t>% CAPEX</t>
        </is>
      </c>
      <c r="N6" s="64" t="inlineStr">
        <is>
          <t>Iznos (€)</t>
        </is>
      </c>
      <c r="O6" s="64" t="inlineStr">
        <is>
          <t>Komentar / Rizik</t>
        </is>
      </c>
      <c r="P6" s="64" t="n"/>
    </row>
    <row r="7">
      <c r="A7" t="inlineStr">
        <is>
          <t>Kupovina zemljišta &amp; dozvole</t>
        </is>
      </c>
      <c r="B7" t="inlineStr">
        <is>
          <t>████</t>
        </is>
      </c>
      <c r="C7" t="inlineStr">
        <is>
          <t>████</t>
        </is>
      </c>
      <c r="M7" t="n">
        <v>0.05</v>
      </c>
      <c r="N7" t="n">
        <v>625000</v>
      </c>
      <c r="O7" t="inlineStr">
        <is>
          <t>Rizik kašnjenja dozvola</t>
        </is>
      </c>
    </row>
    <row r="8">
      <c r="A8" t="inlineStr">
        <is>
          <t>Projektovanje &amp; studije</t>
        </is>
      </c>
      <c r="B8" t="inlineStr">
        <is>
          <t>████</t>
        </is>
      </c>
      <c r="C8" t="inlineStr">
        <is>
          <t>████</t>
        </is>
      </c>
      <c r="D8" t="inlineStr">
        <is>
          <t>████</t>
        </is>
      </c>
      <c r="M8" t="n">
        <v>0.03</v>
      </c>
      <c r="N8" t="n">
        <v>375000</v>
      </c>
      <c r="O8" t="inlineStr">
        <is>
          <t>EIA Feb 2026</t>
        </is>
      </c>
    </row>
    <row r="9">
      <c r="A9" t="inlineStr">
        <is>
          <t>Građevinski radovi</t>
        </is>
      </c>
      <c r="D9" t="inlineStr">
        <is>
          <t>████</t>
        </is>
      </c>
      <c r="E9" t="inlineStr">
        <is>
          <t>████</t>
        </is>
      </c>
      <c r="F9" t="inlineStr">
        <is>
          <t>████</t>
        </is>
      </c>
      <c r="G9" t="inlineStr">
        <is>
          <t>████</t>
        </is>
      </c>
      <c r="H9" t="inlineStr">
        <is>
          <t>████</t>
        </is>
      </c>
      <c r="I9" t="inlineStr">
        <is>
          <t>████</t>
        </is>
      </c>
      <c r="M9" t="n">
        <v>0.35</v>
      </c>
      <c r="N9" t="n">
        <v>4375000</v>
      </c>
      <c r="O9" t="inlineStr">
        <is>
          <t>Seizmički uplift</t>
        </is>
      </c>
    </row>
    <row r="10">
      <c r="A10" t="inlineStr">
        <is>
          <t>Nabavka &amp; isporuka mašina</t>
        </is>
      </c>
      <c r="D10" t="inlineStr">
        <is>
          <t>████</t>
        </is>
      </c>
      <c r="E10" t="inlineStr">
        <is>
          <t>████</t>
        </is>
      </c>
      <c r="F10" t="inlineStr">
        <is>
          <t>████</t>
        </is>
      </c>
      <c r="G10" t="inlineStr">
        <is>
          <t>████</t>
        </is>
      </c>
      <c r="H10" t="inlineStr">
        <is>
          <t>████</t>
        </is>
      </c>
      <c r="I10" t="inlineStr">
        <is>
          <t>████</t>
        </is>
      </c>
      <c r="M10" t="n">
        <v>0.3</v>
      </c>
      <c r="N10" t="n">
        <v>3750000</v>
      </c>
      <c r="O10" t="inlineStr">
        <is>
          <t>TRY rizik</t>
        </is>
      </c>
    </row>
    <row r="11">
      <c r="A11" t="inlineStr">
        <is>
          <t>MEP instalacije</t>
        </is>
      </c>
      <c r="F11" t="inlineStr">
        <is>
          <t>████</t>
        </is>
      </c>
      <c r="G11" t="inlineStr">
        <is>
          <t>████</t>
        </is>
      </c>
      <c r="H11" t="inlineStr">
        <is>
          <t>████</t>
        </is>
      </c>
      <c r="I11" t="inlineStr">
        <is>
          <t>████</t>
        </is>
      </c>
      <c r="J11" t="inlineStr">
        <is>
          <t>████</t>
        </is>
      </c>
      <c r="M11" t="n">
        <v>0.12</v>
      </c>
      <c r="N11" t="n">
        <v>1500000</v>
      </c>
      <c r="O11" t="inlineStr">
        <is>
          <t>Kritična faza</t>
        </is>
      </c>
    </row>
    <row r="12">
      <c r="A12" t="inlineStr">
        <is>
          <t>Soft costs</t>
        </is>
      </c>
      <c r="D12" t="inlineStr">
        <is>
          <t>████</t>
        </is>
      </c>
      <c r="E12" t="inlineStr">
        <is>
          <t>████</t>
        </is>
      </c>
      <c r="F12" t="inlineStr">
        <is>
          <t>████</t>
        </is>
      </c>
      <c r="G12" t="inlineStr">
        <is>
          <t>████</t>
        </is>
      </c>
      <c r="H12" t="inlineStr">
        <is>
          <t>████</t>
        </is>
      </c>
      <c r="I12" t="inlineStr">
        <is>
          <t>████</t>
        </is>
      </c>
      <c r="M12" t="n">
        <v>0.1</v>
      </c>
      <c r="N12" t="n">
        <v>1250000</v>
      </c>
      <c r="O12" t="inlineStr">
        <is>
          <t>ERP + sertifikati</t>
        </is>
      </c>
    </row>
    <row r="13">
      <c r="A13" t="inlineStr">
        <is>
          <t>Commissioning</t>
        </is>
      </c>
      <c r="H13" t="inlineStr">
        <is>
          <t>████</t>
        </is>
      </c>
      <c r="I13" t="inlineStr">
        <is>
          <t>████</t>
        </is>
      </c>
      <c r="J13" t="inlineStr">
        <is>
          <t>████</t>
        </is>
      </c>
      <c r="M13" t="n">
        <v>0.05</v>
      </c>
      <c r="N13" t="n">
        <v>625000</v>
      </c>
      <c r="O13" t="inlineStr">
        <is>
          <t>Start Q3/Q4 2028</t>
        </is>
      </c>
    </row>
    <row r="14"/>
    <row r="15"/>
    <row r="16"/>
    <row r="17">
      <c r="A17" s="60" t="inlineStr">
        <is>
          <t>SENZITIVNOST / SCENARIJI (Sensitivity Analysis)</t>
        </is>
      </c>
    </row>
    <row r="18">
      <c r="A18" s="64" t="inlineStr">
        <is>
          <t>Scenarij</t>
        </is>
      </c>
      <c r="B18" s="64" t="inlineStr">
        <is>
          <t>Promjena</t>
        </is>
      </c>
      <c r="C18" s="64" t="inlineStr">
        <is>
          <t>Utjecaj na CAPEX (€)</t>
        </is>
      </c>
      <c r="D18" s="64" t="inlineStr">
        <is>
          <t>Utjecaj na WC (€)</t>
        </is>
      </c>
      <c r="E18" s="64" t="inlineStr">
        <is>
          <t>Ukupni potrebni iznos (€)</t>
        </is>
      </c>
      <c r="F18" s="64" t="inlineStr">
        <is>
          <t>Rizik / Mitigacija</t>
        </is>
      </c>
    </row>
    <row r="19">
      <c r="A19" t="inlineStr">
        <is>
          <t>Base Case</t>
        </is>
      </c>
      <c r="B19" t="inlineStr">
        <is>
          <t>—</t>
        </is>
      </c>
      <c r="C19" t="n">
        <v>12500000</v>
      </c>
      <c r="D19" t="n">
        <v>2200000</v>
      </c>
      <c r="E19" t="n">
        <v>14700000</v>
      </c>
      <c r="F19" t="inlineStr">
        <is>
          <t>—</t>
        </is>
      </c>
    </row>
    <row r="20">
      <c r="A20" t="inlineStr">
        <is>
          <t>TRY deprecijacija +20%</t>
        </is>
      </c>
      <c r="B20" t="inlineStr">
        <is>
          <t>FX_STRESS_20</t>
        </is>
      </c>
      <c r="C20" t="n">
        <v>789157</v>
      </c>
      <c r="D20" t="n">
        <v>0</v>
      </c>
      <c r="E20" t="n">
        <v>789157</v>
      </c>
      <c r="F20" t="inlineStr">
        <is>
          <t>80% hedžovano</t>
        </is>
      </c>
    </row>
    <row r="21">
      <c r="A21" t="inlineStr">
        <is>
          <t>Građevinski troškovi +15%</t>
        </is>
      </c>
      <c r="B21" t="inlineStr">
        <is>
          <t>+15% civil</t>
        </is>
      </c>
      <c r="C21" t="n">
        <v>975000</v>
      </c>
      <c r="D21" t="n">
        <v>0</v>
      </c>
      <c r="E21" t="n">
        <v>975000</v>
      </c>
      <c r="F21" t="inlineStr">
        <is>
          <t>Contingency 15%</t>
        </is>
      </c>
    </row>
    <row r="22">
      <c r="A22" t="inlineStr">
        <is>
          <t>Kašnjenje 6 mjeseci</t>
        </is>
      </c>
      <c r="B22" t="inlineStr">
        <is>
          <t>+6 mjeseci</t>
        </is>
      </c>
      <c r="C22" t="n">
        <v>450000</v>
      </c>
      <c r="D22" t="n">
        <v>400000</v>
      </c>
      <c r="E22" t="n">
        <v>850000</v>
      </c>
      <c r="F22" t="inlineStr">
        <is>
          <t>Plate + eskalacija</t>
        </is>
      </c>
    </row>
    <row r="23">
      <c r="A23" t="inlineStr">
        <is>
          <t>WC potreban +20%</t>
        </is>
      </c>
      <c r="B23" t="inlineStr">
        <is>
          <t>+20% WC</t>
        </is>
      </c>
      <c r="C23" t="n">
        <v>0</v>
      </c>
      <c r="D23" t="n">
        <v>440000</v>
      </c>
      <c r="E23" t="n">
        <v>440000</v>
      </c>
      <c r="F23" t="inlineStr">
        <is>
          <t>Revolving linija</t>
        </is>
      </c>
    </row>
    <row r="24">
      <c r="A24" t="inlineStr">
        <is>
          <t>Worst Case</t>
        </is>
      </c>
      <c r="B24" t="inlineStr">
        <is>
          <t>Kombinovano</t>
        </is>
      </c>
      <c r="C24" t="n">
        <v>2214157</v>
      </c>
      <c r="D24" t="n">
        <v>840000</v>
      </c>
      <c r="E24" t="n">
        <v>3054157</v>
      </c>
      <c r="F24" t="inlineStr">
        <is>
          <t>Equity buffer</t>
        </is>
      </c>
    </row>
    <row r="25"/>
    <row r="26"/>
    <row r="27">
      <c r="A27" t="inlineStr">
        <is>
          <t>Svi scenariji su konzervativni. Worst Case pokriven equity-jem i contingency-jem od 9.5%.</t>
        </is>
      </c>
    </row>
  </sheetData>
  <autoFilter ref="A6:P6"/>
  <mergeCells count="1">
    <mergeCell ref="A1:P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2"/>
  <sheetViews>
    <sheetView tabSelected="1" workbookViewId="0">
      <pane ySplit="1" topLeftCell="A2" activePane="bottomLeft" state="frozen"/>
      <selection pane="bottomLeft" activeCell="R6" sqref="R6"/>
    </sheetView>
  </sheetViews>
  <sheetFormatPr baseColWidth="8" defaultRowHeight="15"/>
  <cols>
    <col width="13" customWidth="1" style="56" min="5" max="5"/>
    <col width="16.5703125" customWidth="1" style="56" min="6" max="6"/>
    <col width="11.42578125" customWidth="1" style="56" min="12" max="12"/>
    <col width="13.42578125" customWidth="1" style="56" min="13" max="13"/>
    <col width="14.42578125" customWidth="1" style="56" min="14" max="14"/>
    <col width="9.140625" customWidth="1" style="75" min="15" max="15"/>
  </cols>
  <sheetData>
    <row r="1" ht="27.95" customHeight="1" s="56">
      <c r="A1" s="55" t="inlineStr">
        <is>
          <t>ARS METAL INDUSTRIES DOO – CAPEX MASTER</t>
        </is>
      </c>
      <c r="O1" s="76" t="n"/>
    </row>
    <row r="2" ht="27.95" customHeight="1" s="56">
      <c r="A2" s="55" t="inlineStr">
        <is>
          <t>Version 2.0 | Datum: 26.02.2026 | CFO: Onur</t>
        </is>
      </c>
      <c r="O2" s="76" t="n"/>
    </row>
    <row r="3" ht="21" customHeight="1" s="56">
      <c r="A3" s="63" t="inlineStr">
        <is>
          <t>WORKING CAPITAL CASH FLOW – PRVA GODINA</t>
        </is>
      </c>
    </row>
    <row r="4">
      <c r="A4" t="inlineStr">
        <is>
          <t>Početni WC: 2.200.000 € | Početak proizvodnje: septembar 2028</t>
        </is>
      </c>
    </row>
    <row r="5">
      <c r="A5" t="inlineStr">
        <is>
          <t>Mjesečni pregled (u €)</t>
        </is>
      </c>
    </row>
    <row r="6"/>
    <row r="7">
      <c r="A7" s="65" t="inlineStr">
        <is>
          <t>Stavka</t>
        </is>
      </c>
      <c r="B7" s="65" t="inlineStr">
        <is>
          <t>M1 (Sep 28)</t>
        </is>
      </c>
      <c r="C7" s="65" t="inlineStr">
        <is>
          <t>M2 (Okt)</t>
        </is>
      </c>
      <c r="D7" s="65" t="inlineStr">
        <is>
          <t>M3 (Nov)</t>
        </is>
      </c>
      <c r="E7" s="65" t="inlineStr">
        <is>
          <t>M4 (Dec)</t>
        </is>
      </c>
      <c r="F7" s="65" t="inlineStr">
        <is>
          <t>M5 (Jan 29)</t>
        </is>
      </c>
      <c r="G7" s="65" t="inlineStr">
        <is>
          <t>M6 (Feb)</t>
        </is>
      </c>
      <c r="H7" s="65" t="inlineStr">
        <is>
          <t>M7 (Mar)</t>
        </is>
      </c>
      <c r="I7" s="65" t="inlineStr">
        <is>
          <t>M8 (Apr)</t>
        </is>
      </c>
      <c r="J7" s="65" t="inlineStr">
        <is>
          <t>M9 (Maj)</t>
        </is>
      </c>
      <c r="K7" s="65" t="inlineStr">
        <is>
          <t>M10 (Jun)</t>
        </is>
      </c>
      <c r="L7" s="65" t="inlineStr">
        <is>
          <t>M11 (Jul)</t>
        </is>
      </c>
      <c r="M7" s="65" t="inlineStr">
        <is>
          <t>M12 (Avg)</t>
        </is>
      </c>
      <c r="N7" s="65" t="inlineStr">
        <is>
          <t>Ukupno 12 m</t>
        </is>
      </c>
    </row>
    <row r="8">
      <c r="A8" t="inlineStr">
        <is>
          <t>Početni WC saldo</t>
        </is>
      </c>
      <c r="B8" s="62" t="n">
        <v>2200000</v>
      </c>
      <c r="C8" s="62">
        <f>N8</f>
        <v/>
      </c>
      <c r="D8" s="62">
        <f>N9</f>
        <v/>
      </c>
      <c r="E8" s="62">
        <f>N10</f>
        <v/>
      </c>
      <c r="F8" s="62">
        <f>N11</f>
        <v/>
      </c>
      <c r="G8" s="62">
        <f>N12</f>
        <v/>
      </c>
      <c r="H8" s="62">
        <f>N13</f>
        <v/>
      </c>
      <c r="I8" s="62">
        <f>N14</f>
        <v/>
      </c>
      <c r="J8" s="62">
        <f>N15</f>
        <v/>
      </c>
      <c r="K8" s="62">
        <f>N16</f>
        <v/>
      </c>
      <c r="L8" s="62">
        <f>N17</f>
        <v/>
      </c>
      <c r="M8" s="62">
        <f>N18</f>
        <v/>
      </c>
      <c r="N8" s="62" t="n"/>
    </row>
    <row r="9">
      <c r="B9" s="62" t="n"/>
      <c r="C9" s="62" t="n"/>
      <c r="D9" s="62" t="n"/>
      <c r="E9" s="62" t="n"/>
      <c r="F9" s="62" t="n"/>
      <c r="G9" s="62" t="n"/>
      <c r="H9" s="62" t="n"/>
      <c r="I9" s="62" t="n"/>
      <c r="J9" s="62" t="n"/>
      <c r="K9" s="62" t="n"/>
      <c r="L9" s="62" t="n"/>
      <c r="M9" s="62" t="n"/>
      <c r="N9" s="62" t="n"/>
    </row>
    <row r="10">
      <c r="A10" t="inlineStr">
        <is>
          <t>Plate (55 ljudi)</t>
        </is>
      </c>
      <c r="B10" s="62" t="n">
        <v>58000</v>
      </c>
      <c r="C10" s="62" t="n">
        <v>70000</v>
      </c>
      <c r="D10" s="62" t="n">
        <v>90000</v>
      </c>
      <c r="E10" s="62" t="n">
        <v>110000</v>
      </c>
      <c r="F10" s="62" t="n">
        <v>130000</v>
      </c>
      <c r="G10" s="62" t="n">
        <v>130000</v>
      </c>
      <c r="H10" s="62" t="n">
        <v>130000</v>
      </c>
      <c r="I10" s="62" t="n">
        <v>130000</v>
      </c>
      <c r="J10" s="62" t="n">
        <v>130000</v>
      </c>
      <c r="K10" s="62" t="n">
        <v>130000</v>
      </c>
      <c r="L10" s="62" t="n">
        <v>130000</v>
      </c>
      <c r="M10" s="62" t="n">
        <v>130000</v>
      </c>
      <c r="N10" s="62">
        <f>SUM(B10:M10)</f>
        <v/>
      </c>
    </row>
    <row r="11">
      <c r="A11" t="inlineStr">
        <is>
          <t>Sirovina &amp; materijal</t>
        </is>
      </c>
      <c r="B11" s="62" t="n">
        <v>120000</v>
      </c>
      <c r="C11" s="62" t="n">
        <v>200000</v>
      </c>
      <c r="D11" s="62" t="n">
        <v>350000</v>
      </c>
      <c r="E11" s="62" t="n">
        <v>500000</v>
      </c>
      <c r="F11" s="62" t="n">
        <v>650000</v>
      </c>
      <c r="G11" s="62" t="n">
        <v>700000</v>
      </c>
      <c r="H11" s="62" t="n">
        <v>700000</v>
      </c>
      <c r="I11" s="62" t="n">
        <v>700000</v>
      </c>
      <c r="J11" s="62" t="n">
        <v>700000</v>
      </c>
      <c r="K11" s="62" t="n">
        <v>700000</v>
      </c>
      <c r="L11" s="62" t="n">
        <v>700000</v>
      </c>
      <c r="M11" s="62" t="n">
        <v>700000</v>
      </c>
      <c r="N11" s="62">
        <f>SUM(B11:M11)</f>
        <v/>
      </c>
    </row>
    <row r="12">
      <c r="A12" t="inlineStr">
        <is>
          <t>Rezervni dijelovi &amp; održavanje</t>
        </is>
      </c>
      <c r="B12" s="62" t="n">
        <v>20000</v>
      </c>
      <c r="C12" s="62" t="n">
        <v>25000</v>
      </c>
      <c r="D12" s="62" t="n">
        <v>30000</v>
      </c>
      <c r="E12" s="62" t="n">
        <v>35000</v>
      </c>
      <c r="F12" s="62" t="n">
        <v>40000</v>
      </c>
      <c r="G12" s="62" t="n">
        <v>40000</v>
      </c>
      <c r="H12" s="62" t="n">
        <v>40000</v>
      </c>
      <c r="I12" s="62" t="n">
        <v>40000</v>
      </c>
      <c r="J12" s="62" t="n">
        <v>40000</v>
      </c>
      <c r="K12" s="62" t="n">
        <v>40000</v>
      </c>
      <c r="L12" s="62" t="n">
        <v>40000</v>
      </c>
      <c r="M12" s="62" t="n">
        <v>40000</v>
      </c>
      <c r="N12" s="62">
        <f>SUM(B12:M12)</f>
        <v/>
      </c>
    </row>
    <row r="13">
      <c r="A13" t="inlineStr">
        <is>
          <t>Energija</t>
        </is>
      </c>
      <c r="B13" s="62" t="n">
        <v>40000</v>
      </c>
      <c r="C13" s="62" t="n">
        <v>55000</v>
      </c>
      <c r="D13" s="62" t="n">
        <v>70000</v>
      </c>
      <c r="E13" s="62" t="n">
        <v>85000</v>
      </c>
      <c r="F13" s="62" t="n">
        <v>100000</v>
      </c>
      <c r="G13" s="62" t="n">
        <v>100000</v>
      </c>
      <c r="H13" s="62" t="n">
        <v>100000</v>
      </c>
      <c r="I13" s="62" t="n">
        <v>100000</v>
      </c>
      <c r="J13" s="62" t="n">
        <v>100000</v>
      </c>
      <c r="K13" s="62" t="n">
        <v>100000</v>
      </c>
      <c r="L13" s="62" t="n">
        <v>100000</v>
      </c>
      <c r="M13" s="62" t="n">
        <v>100000</v>
      </c>
      <c r="N13" s="62">
        <f>SUM(B13:M13)</f>
        <v/>
      </c>
    </row>
    <row r="14">
      <c r="A14" t="inlineStr">
        <is>
          <t>Ostali operativni troškovi</t>
        </is>
      </c>
      <c r="B14" s="62" t="n">
        <v>30000</v>
      </c>
      <c r="C14" s="62" t="n">
        <v>40000</v>
      </c>
      <c r="D14" s="62" t="n">
        <v>50000</v>
      </c>
      <c r="E14" s="62" t="n">
        <v>60000</v>
      </c>
      <c r="F14" s="62" t="n">
        <v>70000</v>
      </c>
      <c r="G14" s="62" t="n">
        <v>70000</v>
      </c>
      <c r="H14" s="62" t="n">
        <v>70000</v>
      </c>
      <c r="I14" s="62" t="n">
        <v>70000</v>
      </c>
      <c r="J14" s="62" t="n">
        <v>70000</v>
      </c>
      <c r="K14" s="62" t="n">
        <v>70000</v>
      </c>
      <c r="L14" s="62" t="n">
        <v>70000</v>
      </c>
      <c r="M14" s="62" t="n">
        <v>70000</v>
      </c>
      <c r="N14" s="62">
        <f>SUM(B14:M14)</f>
        <v/>
      </c>
    </row>
    <row r="15">
      <c r="A15" t="inlineStr">
        <is>
          <t>Ukupni mjesečni odlivi</t>
        </is>
      </c>
      <c r="B15" s="62">
        <f>SUM(B10:B14)</f>
        <v/>
      </c>
      <c r="C15" s="62">
        <f>SUM(C10:C14)</f>
        <v/>
      </c>
      <c r="D15" s="62">
        <f>SUM(D10:D14)</f>
        <v/>
      </c>
      <c r="E15" s="62">
        <f>SUM(E10:E14)</f>
        <v/>
      </c>
      <c r="F15" s="62">
        <f>SUM(F10:F14)</f>
        <v/>
      </c>
      <c r="G15" s="62">
        <f>SUM(G10:G14)</f>
        <v/>
      </c>
      <c r="H15" s="62">
        <f>SUM(H10:H14)</f>
        <v/>
      </c>
      <c r="I15" s="62">
        <f>SUM(I10:I14)</f>
        <v/>
      </c>
      <c r="J15" s="62">
        <f>SUM(J10:J14)</f>
        <v/>
      </c>
      <c r="K15" s="62">
        <f>SUM(K10:K14)</f>
        <v/>
      </c>
      <c r="L15" s="62">
        <f>SUM(L10:L14)</f>
        <v/>
      </c>
      <c r="M15" s="62">
        <f>SUM(M10:M14)</f>
        <v/>
      </c>
      <c r="N15" s="62">
        <f>SUM(N10:N14)</f>
        <v/>
      </c>
    </row>
    <row r="16">
      <c r="B16" s="62" t="n"/>
      <c r="C16" s="62" t="n"/>
      <c r="D16" s="62" t="n"/>
      <c r="E16" s="62" t="n"/>
      <c r="F16" s="62" t="n"/>
      <c r="G16" s="62" t="n"/>
      <c r="H16" s="62" t="n"/>
      <c r="I16" s="62" t="n"/>
      <c r="J16" s="62" t="n"/>
      <c r="K16" s="62" t="n"/>
      <c r="L16" s="62" t="n"/>
      <c r="M16" s="62" t="n"/>
      <c r="N16" s="62" t="n"/>
    </row>
    <row r="17">
      <c r="A17" t="inlineStr">
        <is>
          <t>Prihodi od prodaje</t>
        </is>
      </c>
      <c r="B17" s="62" t="n">
        <v>0</v>
      </c>
      <c r="C17" s="62" t="n">
        <v>0</v>
      </c>
      <c r="D17" s="62" t="n">
        <v>0</v>
      </c>
      <c r="E17" s="62" t="n">
        <v>0</v>
      </c>
      <c r="F17" s="62" t="n">
        <v>200000</v>
      </c>
      <c r="G17" s="62" t="n">
        <v>500000</v>
      </c>
      <c r="H17" s="62" t="n">
        <v>800000</v>
      </c>
      <c r="I17" s="62" t="n">
        <v>1000000</v>
      </c>
      <c r="J17" s="62" t="n">
        <v>1200000</v>
      </c>
      <c r="K17" s="62" t="n">
        <v>1400000</v>
      </c>
      <c r="L17" s="62" t="n">
        <v>1600000</v>
      </c>
      <c r="M17" s="62" t="n">
        <v>1800000</v>
      </c>
      <c r="N17" s="62">
        <f>SUM(B17:M17)</f>
        <v/>
      </c>
    </row>
    <row r="18">
      <c r="A18" t="inlineStr">
        <is>
          <t>Naplata potraživanja (DSO 60 dana)</t>
        </is>
      </c>
      <c r="B18" s="62" t="n">
        <v>0</v>
      </c>
      <c r="C18" s="62" t="n">
        <v>0</v>
      </c>
      <c r="D18" s="62" t="n">
        <v>0</v>
      </c>
      <c r="E18" s="62" t="n">
        <v>0</v>
      </c>
      <c r="F18" s="62" t="n">
        <v>0</v>
      </c>
      <c r="G18" s="62" t="n">
        <v>0</v>
      </c>
      <c r="H18" s="62" t="n">
        <v>100000</v>
      </c>
      <c r="I18" s="62" t="n">
        <v>300000</v>
      </c>
      <c r="J18" s="62" t="n">
        <v>600000</v>
      </c>
      <c r="K18" s="62" t="n">
        <v>1000000</v>
      </c>
      <c r="L18" s="62" t="n">
        <v>1400000</v>
      </c>
      <c r="M18" s="62" t="n">
        <v>0</v>
      </c>
      <c r="N18" s="62">
        <f>SUM(B18:M18)</f>
        <v/>
      </c>
    </row>
    <row r="19">
      <c r="A19" t="inlineStr">
        <is>
          <t>Ukupni mjesečni prilivi</t>
        </is>
      </c>
      <c r="B19" s="62">
        <f>SUM(B17:B18)</f>
        <v/>
      </c>
      <c r="C19" s="62">
        <f>SUM(C17:C18)</f>
        <v/>
      </c>
      <c r="D19" s="62">
        <f>SUM(D17:D18)</f>
        <v/>
      </c>
      <c r="E19" s="62">
        <f>SUM(E17:E18)</f>
        <v/>
      </c>
      <c r="F19" s="62">
        <f>SUM(F17:F18)</f>
        <v/>
      </c>
      <c r="G19" s="62">
        <f>SUM(G17:G18)</f>
        <v/>
      </c>
      <c r="H19" s="62">
        <f>SUM(H17:H18)</f>
        <v/>
      </c>
      <c r="I19" s="62">
        <f>SUM(I17:I18)</f>
        <v/>
      </c>
      <c r="J19" s="62">
        <f>SUM(J17:J18)</f>
        <v/>
      </c>
      <c r="K19" s="62">
        <f>SUM(K17:K18)</f>
        <v/>
      </c>
      <c r="L19" s="62">
        <f>SUM(L17:L18)</f>
        <v/>
      </c>
      <c r="M19" s="62">
        <f>SUM(M17:M18)</f>
        <v/>
      </c>
      <c r="N19" s="62">
        <f>SUM(N17:N18)</f>
        <v/>
      </c>
    </row>
    <row r="20">
      <c r="B20" s="62" t="n"/>
      <c r="C20" s="62" t="n"/>
      <c r="D20" s="62" t="n"/>
      <c r="E20" s="62" t="n"/>
      <c r="F20" s="62" t="n"/>
      <c r="G20" s="62" t="n"/>
      <c r="H20" s="62" t="n"/>
      <c r="I20" s="62" t="n"/>
      <c r="J20" s="62" t="n"/>
      <c r="K20" s="62" t="n"/>
      <c r="L20" s="62" t="n"/>
      <c r="M20" s="62" t="n"/>
      <c r="N20" s="62" t="n"/>
    </row>
    <row r="21">
      <c r="A21" t="inlineStr">
        <is>
          <t>Neto cash flow mjesec</t>
        </is>
      </c>
      <c r="B21" s="62">
        <f>B19-B15</f>
        <v/>
      </c>
      <c r="C21" s="62">
        <f>C19-C15</f>
        <v/>
      </c>
      <c r="D21" s="62">
        <f>D19-D15</f>
        <v/>
      </c>
      <c r="E21" s="62">
        <f>E19-E15</f>
        <v/>
      </c>
      <c r="F21" s="62">
        <f>F19-F15</f>
        <v/>
      </c>
      <c r="G21" s="62">
        <f>G19-G15</f>
        <v/>
      </c>
      <c r="H21" s="62">
        <f>H19-H15</f>
        <v/>
      </c>
      <c r="I21" s="62">
        <f>I19-I15</f>
        <v/>
      </c>
      <c r="J21" s="62">
        <f>J19-J15</f>
        <v/>
      </c>
      <c r="K21" s="62">
        <f>K19-K15</f>
        <v/>
      </c>
      <c r="L21" s="62">
        <f>L19-L15</f>
        <v/>
      </c>
      <c r="M21" s="62">
        <f>M19-M15</f>
        <v/>
      </c>
      <c r="N21" s="62">
        <f>SUM(B21:M21)</f>
        <v/>
      </c>
    </row>
    <row r="22">
      <c r="B22" s="62" t="n"/>
      <c r="C22" s="62" t="n"/>
      <c r="D22" s="62" t="n"/>
      <c r="E22" s="62" t="n"/>
      <c r="F22" s="62" t="n"/>
      <c r="G22" s="62" t="n"/>
      <c r="H22" s="62" t="n"/>
      <c r="I22" s="62" t="n"/>
      <c r="J22" s="62" t="n"/>
      <c r="K22" s="62" t="n"/>
      <c r="L22" s="62" t="n"/>
      <c r="M22" s="62" t="n"/>
      <c r="N22" s="62" t="n"/>
    </row>
    <row r="23">
      <c r="A23" t="inlineStr">
        <is>
          <t>Kumulativni WC saldo</t>
        </is>
      </c>
      <c r="B23" s="62">
        <f>B8+B21</f>
        <v/>
      </c>
      <c r="C23" s="62">
        <f>B23+C21</f>
        <v/>
      </c>
      <c r="D23" s="62">
        <f>C23+D21</f>
        <v/>
      </c>
      <c r="E23" s="62">
        <f>D23+E21</f>
        <v/>
      </c>
      <c r="F23" s="62">
        <f>E23+F21</f>
        <v/>
      </c>
      <c r="G23" s="62">
        <f>F23+G21</f>
        <v/>
      </c>
      <c r="H23" s="62">
        <f>G23+H21</f>
        <v/>
      </c>
      <c r="I23" s="62">
        <f>H23+I21</f>
        <v/>
      </c>
      <c r="J23" s="62">
        <f>I23+J21</f>
        <v/>
      </c>
      <c r="K23" s="62">
        <f>J23+K21</f>
        <v/>
      </c>
      <c r="L23" s="62">
        <f>K23+L21</f>
        <v/>
      </c>
      <c r="M23" s="62">
        <f>L23+M21</f>
        <v/>
      </c>
      <c r="N23" s="62">
        <f>M23</f>
        <v/>
      </c>
    </row>
    <row r="24"/>
    <row r="25"/>
    <row r="26"/>
    <row r="27"/>
    <row r="28"/>
    <row r="29"/>
    <row r="30"/>
    <row r="31"/>
    <row r="32"/>
    <row r="33"/>
    <row r="34"/>
    <row r="35"/>
    <row r="36"/>
    <row r="37">
      <c r="A37" t="inlineStr">
        <is>
          <t>Napomene:</t>
        </is>
      </c>
    </row>
    <row r="38">
      <c r="A38" t="inlineStr">
        <is>
          <t>Početni WC saldo pokriva ~5.5 mjeseci operacija bez prihoda</t>
        </is>
      </c>
    </row>
    <row r="39">
      <c r="A39" t="inlineStr">
        <is>
          <t>Prvi značajniji priliv očekuje se u 5. mjesecu</t>
        </is>
      </c>
    </row>
    <row r="40">
      <c r="A40" t="inlineStr">
        <is>
          <t>Najveći odliv: sirovine + plate</t>
        </is>
      </c>
    </row>
    <row r="41">
      <c r="A41" t="inlineStr">
        <is>
          <t>Ako DSO &gt;60 dana → potreban dodatni WC 300–500k €</t>
        </is>
      </c>
    </row>
    <row r="42">
      <c r="A42" t="inlineStr">
        <is>
          <t>Mitigacija: factoring + duži DPO</t>
        </is>
      </c>
    </row>
  </sheetData>
  <autoFilter ref="A7:N7"/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0" customWidth="1" style="56" min="1" max="1"/>
    <col width="16" customWidth="1" style="56" min="2" max="2"/>
    <col width="14" customWidth="1" style="56" min="3" max="3"/>
    <col width="16" customWidth="1" style="56" min="4" max="4"/>
    <col width="12" customWidth="1" style="56" min="5" max="5"/>
    <col width="16" customWidth="1" style="56" min="6" max="6"/>
    <col width="16" customWidth="1" style="56" min="7" max="7"/>
    <col width="14" customWidth="1" style="56" min="8" max="8"/>
  </cols>
  <sheetData>
    <row r="1" ht="26" customHeight="1" s="56">
      <c r="A1" s="84" t="inlineStr">
        <is>
          <t>ARS METAL INDUSTRIES – REVENUE &amp; COGS PROJEKCIJA (v2.5)</t>
        </is>
      </c>
    </row>
    <row r="2">
      <c r="A2" s="79" t="inlineStr">
        <is>
          <t>Datum: 26.02.2026</t>
        </is>
      </c>
    </row>
    <row r="3"/>
    <row r="4">
      <c r="A4" s="78" t="inlineStr">
        <is>
          <t>Ključni inputi (veži na Assumptions)</t>
        </is>
      </c>
    </row>
    <row r="5">
      <c r="A5" s="98" t="inlineStr">
        <is>
          <t>Parametar</t>
        </is>
      </c>
      <c r="B5" s="98" t="inlineStr">
        <is>
          <t>Vrijednost</t>
        </is>
      </c>
    </row>
    <row r="6">
      <c r="A6" s="105" t="inlineStr">
        <is>
          <t>MAX_CAPACITY_TPY</t>
        </is>
      </c>
      <c r="B6" s="106">
        <f>XLOOKUP("BASE_PROD_CAPACITY",'ASSUMPTIONS   MASTER INPUT'!$B:$B,'ASSUMPTIONS   MASTER INPUT'!$D:$D)</f>
        <v/>
      </c>
    </row>
    <row r="7">
      <c r="A7" s="105" t="inlineStr">
        <is>
          <t>RAMP_UP_Y1</t>
        </is>
      </c>
      <c r="B7" s="80">
        <f>XLOOKUP("RAMP_UP_Y1",'ASSUMPTIONS   MASTER INPUT'!$B:$B,'ASSUMPTIONS   MASTER INPUT'!$D:$D)</f>
        <v/>
      </c>
    </row>
    <row r="8">
      <c r="A8" s="105" t="inlineStr">
        <is>
          <t>RAMP_UP_Y2</t>
        </is>
      </c>
      <c r="B8" s="80">
        <f>XLOOKUP("RAMP_UP_Y2",'ASSUMPTIONS   MASTER INPUT'!$B:$B,'ASSUMPTIONS   MASTER INPUT'!$D:$D)</f>
        <v/>
      </c>
    </row>
    <row r="9">
      <c r="A9" s="105" t="inlineStr">
        <is>
          <t>RAMP_UP_Y3</t>
        </is>
      </c>
      <c r="B9" s="80">
        <f>XLOOKUP("RAMP_UP_Y3",'ASSUMPTIONS   MASTER INPUT'!$B:$B,'ASSUMPTIONS   MASTER INPUT'!$D:$D)</f>
        <v/>
      </c>
    </row>
    <row r="10">
      <c r="A10" s="105" t="inlineStr">
        <is>
          <t>BASE_SALES_PRICE_EUR_PER_T</t>
        </is>
      </c>
      <c r="B10" s="106">
        <f>XLOOKUP("BASE_SALES_PRICE",'ASSUMPTIONS   MASTER INPUT'!$B:$B,'ASSUMPTIONS   MASTER INPUT'!$D:$D)*1000</f>
        <v/>
      </c>
    </row>
    <row r="11">
      <c r="A11" s="105" t="inlineStr">
        <is>
          <t>SALES_PRICE_INFL</t>
        </is>
      </c>
      <c r="B11" s="80">
        <f>XLOOKUP("INF_REVENUE",'ASSUMPTIONS   MASTER INPUT'!$B:$B,'ASSUMPTIONS   MASTER INPUT'!$D:$D)</f>
        <v/>
      </c>
    </row>
    <row r="12">
      <c r="A12" s="105" t="inlineStr">
        <is>
          <t>TARGET_GROSS_MARGIN</t>
        </is>
      </c>
      <c r="B12" s="80">
        <f>XLOOKUP("TARGET_GROSS_MARGIN",'ASSUMPTIONS   MASTER INPUT'!$B:$B,'ASSUMPTIONS   MASTER INPUT'!$D:$D)</f>
        <v/>
      </c>
    </row>
    <row r="13">
      <c r="A13" s="105" t="inlineStr">
        <is>
          <t>COGS_INFL</t>
        </is>
      </c>
      <c r="B13" s="80">
        <f>XLOOKUP("STEEL_PRICE_ESC",'ASSUMPTIONS   MASTER INPUT'!$B:$B,'ASSUMPTIONS   MASTER INPUT'!$D:$D)</f>
        <v/>
      </c>
    </row>
    <row r="14"/>
    <row r="15"/>
    <row r="16">
      <c r="A16" s="98" t="inlineStr">
        <is>
          <t>Godina</t>
        </is>
      </c>
      <c r="B16" s="98" t="inlineStr">
        <is>
          <t>Prodaja (t)</t>
        </is>
      </c>
      <c r="C16" s="98" t="inlineStr">
        <is>
          <t>Cijena €/t</t>
        </is>
      </c>
      <c r="D16" s="98" t="inlineStr">
        <is>
          <t>Prihod (€)</t>
        </is>
      </c>
      <c r="E16" s="98" t="inlineStr">
        <is>
          <t>COGS €/t</t>
        </is>
      </c>
      <c r="F16" s="98" t="inlineStr">
        <is>
          <t>COGS (€)</t>
        </is>
      </c>
      <c r="G16" s="98" t="inlineStr">
        <is>
          <t>Bruto marža (€)</t>
        </is>
      </c>
      <c r="H16" s="98" t="inlineStr">
        <is>
          <t>Bruto marža %</t>
        </is>
      </c>
    </row>
    <row r="17">
      <c r="A17" s="83" t="n">
        <v>2029</v>
      </c>
      <c r="B17" s="107">
        <f>$B$6*IF(2029=2029,$B$6,IF(2029=2030,$B$7,$B$8))</f>
        <v/>
      </c>
      <c r="C17" s="108">
        <f>$B$9*(1+$B$10)^0</f>
        <v/>
      </c>
      <c r="D17" s="108">
        <f>B17*C17</f>
        <v/>
      </c>
      <c r="E17" s="108">
        <f>C17*(1-$B$11)*(1+$B$12)^0</f>
        <v/>
      </c>
      <c r="F17" s="108">
        <f>B17*E17</f>
        <v/>
      </c>
      <c r="G17" s="108">
        <f>D17-F17</f>
        <v/>
      </c>
      <c r="H17" s="80">
        <f>IF(D17=0,0,G17/D17)</f>
        <v/>
      </c>
    </row>
    <row r="18">
      <c r="A18" s="83" t="n">
        <v>2030</v>
      </c>
      <c r="B18" s="107">
        <f>$B$6*IF(2030=2029,$B$6,IF(2030=2030,$B$7,$B$8))</f>
        <v/>
      </c>
      <c r="C18" s="108">
        <f>$B$9*(1+$B$10)^1</f>
        <v/>
      </c>
      <c r="D18" s="108">
        <f>B18*C18</f>
        <v/>
      </c>
      <c r="E18" s="108">
        <f>C18*(1-$B$11)*(1+$B$12)^1</f>
        <v/>
      </c>
      <c r="F18" s="108">
        <f>B18*E18</f>
        <v/>
      </c>
      <c r="G18" s="108">
        <f>D18-F18</f>
        <v/>
      </c>
      <c r="H18" s="80">
        <f>IF(D18=0,0,G18/D18)</f>
        <v/>
      </c>
    </row>
    <row r="19">
      <c r="A19" s="83" t="n">
        <v>2031</v>
      </c>
      <c r="B19" s="107">
        <f>$B$6*IF(2031=2029,$B$6,IF(2031=2030,$B$7,$B$8))</f>
        <v/>
      </c>
      <c r="C19" s="108">
        <f>$B$9*(1+$B$10)^2</f>
        <v/>
      </c>
      <c r="D19" s="108">
        <f>B19*C19</f>
        <v/>
      </c>
      <c r="E19" s="108">
        <f>C19*(1-$B$11)*(1+$B$12)^2</f>
        <v/>
      </c>
      <c r="F19" s="108">
        <f>B19*E19</f>
        <v/>
      </c>
      <c r="G19" s="108">
        <f>D19-F19</f>
        <v/>
      </c>
      <c r="H19" s="80">
        <f>IF(D19=0,0,G19/D19)</f>
        <v/>
      </c>
    </row>
    <row r="20">
      <c r="A20" s="83" t="n">
        <v>2032</v>
      </c>
      <c r="B20" s="107">
        <f>$B$6*IF(2032=2029,$B$6,IF(2032=2030,$B$7,$B$8))</f>
        <v/>
      </c>
      <c r="C20" s="108">
        <f>$B$9*(1+$B$10)^3</f>
        <v/>
      </c>
      <c r="D20" s="108">
        <f>B20*C20</f>
        <v/>
      </c>
      <c r="E20" s="108">
        <f>C20*(1-$B$11)*(1+$B$12)^3</f>
        <v/>
      </c>
      <c r="F20" s="108">
        <f>B20*E20</f>
        <v/>
      </c>
      <c r="G20" s="108">
        <f>D20-F20</f>
        <v/>
      </c>
      <c r="H20" s="80">
        <f>IF(D20=0,0,G20/D20)</f>
        <v/>
      </c>
    </row>
    <row r="21">
      <c r="A21" s="83" t="n">
        <v>2033</v>
      </c>
      <c r="B21" s="107">
        <f>$B$6*IF(2033=2029,$B$6,IF(2033=2030,$B$7,$B$8))</f>
        <v/>
      </c>
      <c r="C21" s="108">
        <f>$B$9*(1+$B$10)^4</f>
        <v/>
      </c>
      <c r="D21" s="108">
        <f>B21*C21</f>
        <v/>
      </c>
      <c r="E21" s="108">
        <f>C21*(1-$B$11)*(1+$B$12)^4</f>
        <v/>
      </c>
      <c r="F21" s="108">
        <f>B21*E21</f>
        <v/>
      </c>
      <c r="G21" s="108">
        <f>D21-F21</f>
        <v/>
      </c>
      <c r="H21" s="80">
        <f>IF(D21=0,0,G21/D21)</f>
        <v/>
      </c>
    </row>
    <row r="22">
      <c r="A22" s="83" t="n">
        <v>2034</v>
      </c>
      <c r="B22" s="107">
        <f>$B$6*IF(2034=2029,$B$6,IF(2034=2030,$B$7,$B$8))</f>
        <v/>
      </c>
      <c r="C22" s="108">
        <f>$B$9*(1+$B$10)^5</f>
        <v/>
      </c>
      <c r="D22" s="108">
        <f>B22*C22</f>
        <v/>
      </c>
      <c r="E22" s="108">
        <f>C22*(1-$B$11)*(1+$B$12)^5</f>
        <v/>
      </c>
      <c r="F22" s="108">
        <f>B22*E22</f>
        <v/>
      </c>
      <c r="G22" s="108">
        <f>D22-F22</f>
        <v/>
      </c>
      <c r="H22" s="80">
        <f>IF(D22=0,0,G22/D22)</f>
        <v/>
      </c>
    </row>
    <row r="23">
      <c r="A23" s="83" t="n">
        <v>2035</v>
      </c>
      <c r="B23" s="107">
        <f>$B$6*IF(2035=2029,$B$6,IF(2035=2030,$B$7,$B$8))</f>
        <v/>
      </c>
      <c r="C23" s="108">
        <f>$B$9*(1+$B$10)^6</f>
        <v/>
      </c>
      <c r="D23" s="108">
        <f>B23*C23</f>
        <v/>
      </c>
      <c r="E23" s="108">
        <f>C23*(1-$B$11)*(1+$B$12)^6</f>
        <v/>
      </c>
      <c r="F23" s="108">
        <f>B23*E23</f>
        <v/>
      </c>
      <c r="G23" s="108">
        <f>D23-F23</f>
        <v/>
      </c>
      <c r="H23" s="80">
        <f>IF(D23=0,0,G23/D23)</f>
        <v/>
      </c>
    </row>
    <row r="24">
      <c r="A24" s="83" t="n">
        <v>2036</v>
      </c>
      <c r="B24" s="107">
        <f>$B$6*IF(2036=2029,$B$6,IF(2036=2030,$B$7,$B$8))</f>
        <v/>
      </c>
      <c r="C24" s="108">
        <f>$B$9*(1+$B$10)^7</f>
        <v/>
      </c>
      <c r="D24" s="108">
        <f>B24*C24</f>
        <v/>
      </c>
      <c r="E24" s="108">
        <f>C24*(1-$B$11)*(1+$B$12)^7</f>
        <v/>
      </c>
      <c r="F24" s="108">
        <f>B24*E24</f>
        <v/>
      </c>
      <c r="G24" s="108">
        <f>D24-F24</f>
        <v/>
      </c>
      <c r="H24" s="80">
        <f>IF(D24=0,0,G24/D24)</f>
        <v/>
      </c>
    </row>
    <row r="25">
      <c r="A25" s="83" t="n">
        <v>2037</v>
      </c>
      <c r="B25" s="107">
        <f>$B$6*IF(2037=2029,$B$6,IF(2037=2030,$B$7,$B$8))</f>
        <v/>
      </c>
      <c r="C25" s="108">
        <f>$B$9*(1+$B$10)^8</f>
        <v/>
      </c>
      <c r="D25" s="108">
        <f>B25*C25</f>
        <v/>
      </c>
      <c r="E25" s="108">
        <f>C25*(1-$B$11)*(1+$B$12)^8</f>
        <v/>
      </c>
      <c r="F25" s="108">
        <f>B25*E25</f>
        <v/>
      </c>
      <c r="G25" s="108">
        <f>D25-F25</f>
        <v/>
      </c>
      <c r="H25" s="80">
        <f>IF(D25=0,0,G25/D25)</f>
        <v/>
      </c>
    </row>
    <row r="26">
      <c r="A26" s="83" t="n">
        <v>2038</v>
      </c>
      <c r="B26" s="107">
        <f>$B$6*IF(2038=2029,$B$6,IF(2038=2030,$B$7,$B$8))</f>
        <v/>
      </c>
      <c r="C26" s="108">
        <f>$B$9*(1+$B$10)^9</f>
        <v/>
      </c>
      <c r="D26" s="108">
        <f>B26*C26</f>
        <v/>
      </c>
      <c r="E26" s="108">
        <f>C26*(1-$B$11)*(1+$B$12)^9</f>
        <v/>
      </c>
      <c r="F26" s="108">
        <f>B26*E26</f>
        <v/>
      </c>
      <c r="G26" s="108">
        <f>D26-F26</f>
        <v/>
      </c>
      <c r="H26" s="80">
        <f>IF(D26=0,0,G26/D26)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style="56" min="1" max="1"/>
    <col width="16" customWidth="1" style="56" min="2" max="2"/>
    <col width="16" customWidth="1" style="56" min="3" max="3"/>
    <col width="16" customWidth="1" style="56" min="4" max="4"/>
    <col width="16" customWidth="1" style="56" min="5" max="5"/>
    <col width="14" customWidth="1" style="56" min="6" max="6"/>
    <col width="14" customWidth="1" style="56" min="7" max="7"/>
  </cols>
  <sheetData>
    <row r="1" ht="26" customHeight="1" s="56">
      <c r="A1" s="84" t="inlineStr">
        <is>
          <t>ARS METAL INDUSTRIES – OPEX DETAIL (v2.5)</t>
        </is>
      </c>
    </row>
    <row r="2">
      <c r="A2" s="79" t="inlineStr">
        <is>
          <t>Datum: 26.02.2026</t>
        </is>
      </c>
    </row>
    <row r="3"/>
    <row r="4">
      <c r="A4" s="109" t="inlineStr">
        <is>
          <t>OPEX model: total OPEX = Revenue * FIXED_OPEX_PCT, uz inflaciju.</t>
        </is>
      </c>
    </row>
    <row r="5"/>
    <row r="6">
      <c r="A6" s="110" t="inlineStr">
        <is>
          <t>FIXED_OPEX_PCT</t>
        </is>
      </c>
      <c r="B6" s="80">
        <f>XLOOKUP("FIXED_OPEX_PCT",'ASSUMPTIONS   MASTER INPUT'!$B:$B,'ASSUMPTIONS   MASTER INPUT'!$D:$D)</f>
        <v/>
      </c>
    </row>
    <row r="7">
      <c r="A7" s="110" t="inlineStr">
        <is>
          <t>INF_OPEX</t>
        </is>
      </c>
      <c r="B7" s="80">
        <f>XLOOKUP("INF_OPEX",'ASSUMPTIONS   MASTER INPUT'!$B:$B,'ASSUMPTIONS   MASTER INPUT'!$D:$D)</f>
        <v/>
      </c>
    </row>
    <row r="8"/>
    <row r="9"/>
    <row r="10">
      <c r="A10" s="98" t="inlineStr">
        <is>
          <t>Godina</t>
        </is>
      </c>
      <c r="B10" s="98" t="inlineStr">
        <is>
          <t>Total OPEX (€)</t>
        </is>
      </c>
      <c r="C10" s="98" t="inlineStr">
        <is>
          <t>Admin &amp; HR (30%)</t>
        </is>
      </c>
      <c r="D10" s="98" t="inlineStr">
        <is>
          <t>Maintenance (20%)</t>
        </is>
      </c>
      <c r="E10" s="98" t="inlineStr">
        <is>
          <t>Utilities (15%)</t>
        </is>
      </c>
      <c r="F10" s="98" t="inlineStr">
        <is>
          <t>Insurance (5%)</t>
        </is>
      </c>
      <c r="G10" s="98" t="inlineStr">
        <is>
          <t>SG&amp;A (30%)</t>
        </is>
      </c>
    </row>
    <row r="11">
      <c r="A11" s="83" t="n">
        <v>2029</v>
      </c>
      <c r="B11" s="108">
        <f>REVENUE_COGS!D17*$B$6*(1+$B$7)^0</f>
        <v/>
      </c>
      <c r="C11" s="108">
        <f>B11*0.30</f>
        <v/>
      </c>
      <c r="D11" s="108">
        <f>B11*0.20</f>
        <v/>
      </c>
      <c r="E11" s="108">
        <f>B11*0.15</f>
        <v/>
      </c>
      <c r="F11" s="108">
        <f>B11*0.05</f>
        <v/>
      </c>
      <c r="G11" s="108">
        <f>B11*0.30</f>
        <v/>
      </c>
    </row>
    <row r="12">
      <c r="A12" s="83" t="n">
        <v>2030</v>
      </c>
      <c r="B12" s="108">
        <f>REVENUE_COGS!D18*$B$6*(1+$B$7)^1</f>
        <v/>
      </c>
      <c r="C12" s="108">
        <f>B12*0.30</f>
        <v/>
      </c>
      <c r="D12" s="108">
        <f>B12*0.20</f>
        <v/>
      </c>
      <c r="E12" s="108">
        <f>B12*0.15</f>
        <v/>
      </c>
      <c r="F12" s="108">
        <f>B12*0.05</f>
        <v/>
      </c>
      <c r="G12" s="108">
        <f>B12*0.30</f>
        <v/>
      </c>
    </row>
    <row r="13">
      <c r="A13" s="83" t="n">
        <v>2031</v>
      </c>
      <c r="B13" s="108">
        <f>REVENUE_COGS!D19*$B$6*(1+$B$7)^2</f>
        <v/>
      </c>
      <c r="C13" s="108">
        <f>B13*0.30</f>
        <v/>
      </c>
      <c r="D13" s="108">
        <f>B13*0.20</f>
        <v/>
      </c>
      <c r="E13" s="108">
        <f>B13*0.15</f>
        <v/>
      </c>
      <c r="F13" s="108">
        <f>B13*0.05</f>
        <v/>
      </c>
      <c r="G13" s="108">
        <f>B13*0.30</f>
        <v/>
      </c>
    </row>
    <row r="14">
      <c r="A14" s="83" t="n">
        <v>2032</v>
      </c>
      <c r="B14" s="108">
        <f>REVENUE_COGS!D20*$B$6*(1+$B$7)^3</f>
        <v/>
      </c>
      <c r="C14" s="108">
        <f>B14*0.30</f>
        <v/>
      </c>
      <c r="D14" s="108">
        <f>B14*0.20</f>
        <v/>
      </c>
      <c r="E14" s="108">
        <f>B14*0.15</f>
        <v/>
      </c>
      <c r="F14" s="108">
        <f>B14*0.05</f>
        <v/>
      </c>
      <c r="G14" s="108">
        <f>B14*0.30</f>
        <v/>
      </c>
    </row>
    <row r="15">
      <c r="A15" s="83" t="n">
        <v>2033</v>
      </c>
      <c r="B15" s="108">
        <f>REVENUE_COGS!D21*$B$6*(1+$B$7)^4</f>
        <v/>
      </c>
      <c r="C15" s="108">
        <f>B15*0.30</f>
        <v/>
      </c>
      <c r="D15" s="108">
        <f>B15*0.20</f>
        <v/>
      </c>
      <c r="E15" s="108">
        <f>B15*0.15</f>
        <v/>
      </c>
      <c r="F15" s="108">
        <f>B15*0.05</f>
        <v/>
      </c>
      <c r="G15" s="108">
        <f>B15*0.30</f>
        <v/>
      </c>
    </row>
    <row r="16">
      <c r="A16" s="83" t="n">
        <v>2034</v>
      </c>
      <c r="B16" s="108">
        <f>REVENUE_COGS!D22*$B$6*(1+$B$7)^5</f>
        <v/>
      </c>
      <c r="C16" s="108">
        <f>B16*0.30</f>
        <v/>
      </c>
      <c r="D16" s="108">
        <f>B16*0.20</f>
        <v/>
      </c>
      <c r="E16" s="108">
        <f>B16*0.15</f>
        <v/>
      </c>
      <c r="F16" s="108">
        <f>B16*0.05</f>
        <v/>
      </c>
      <c r="G16" s="108">
        <f>B16*0.30</f>
        <v/>
      </c>
    </row>
    <row r="17">
      <c r="A17" s="83" t="n">
        <v>2035</v>
      </c>
      <c r="B17" s="108">
        <f>REVENUE_COGS!D23*$B$6*(1+$B$7)^6</f>
        <v/>
      </c>
      <c r="C17" s="108">
        <f>B17*0.30</f>
        <v/>
      </c>
      <c r="D17" s="108">
        <f>B17*0.20</f>
        <v/>
      </c>
      <c r="E17" s="108">
        <f>B17*0.15</f>
        <v/>
      </c>
      <c r="F17" s="108">
        <f>B17*0.05</f>
        <v/>
      </c>
      <c r="G17" s="108">
        <f>B17*0.30</f>
        <v/>
      </c>
    </row>
    <row r="18">
      <c r="A18" s="83" t="n">
        <v>2036</v>
      </c>
      <c r="B18" s="108">
        <f>REVENUE_COGS!D24*$B$6*(1+$B$7)^7</f>
        <v/>
      </c>
      <c r="C18" s="108">
        <f>B18*0.30</f>
        <v/>
      </c>
      <c r="D18" s="108">
        <f>B18*0.20</f>
        <v/>
      </c>
      <c r="E18" s="108">
        <f>B18*0.15</f>
        <v/>
      </c>
      <c r="F18" s="108">
        <f>B18*0.05</f>
        <v/>
      </c>
      <c r="G18" s="108">
        <f>B18*0.30</f>
        <v/>
      </c>
    </row>
    <row r="19">
      <c r="A19" s="83" t="n">
        <v>2037</v>
      </c>
      <c r="B19" s="108">
        <f>REVENUE_COGS!D25*$B$6*(1+$B$7)^8</f>
        <v/>
      </c>
      <c r="C19" s="108">
        <f>B19*0.30</f>
        <v/>
      </c>
      <c r="D19" s="108">
        <f>B19*0.20</f>
        <v/>
      </c>
      <c r="E19" s="108">
        <f>B19*0.15</f>
        <v/>
      </c>
      <c r="F19" s="108">
        <f>B19*0.05</f>
        <v/>
      </c>
      <c r="G19" s="108">
        <f>B19*0.30</f>
        <v/>
      </c>
    </row>
    <row r="20">
      <c r="A20" s="83" t="n">
        <v>2038</v>
      </c>
      <c r="B20" s="108">
        <f>REVENUE_COGS!D26*$B$6*(1+$B$7)^9</f>
        <v/>
      </c>
      <c r="C20" s="108">
        <f>B20*0.30</f>
        <v/>
      </c>
      <c r="D20" s="108">
        <f>B20*0.20</f>
        <v/>
      </c>
      <c r="E20" s="108">
        <f>B20*0.15</f>
        <v/>
      </c>
      <c r="F20" s="108">
        <f>B20*0.05</f>
        <v/>
      </c>
      <c r="G20" s="108">
        <f>B20*0.30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style="56" min="1" max="1"/>
    <col width="14" customWidth="1" style="56" min="2" max="2"/>
    <col width="14" customWidth="1" style="56" min="3" max="3"/>
    <col width="14" customWidth="1" style="56" min="4" max="4"/>
    <col width="14" customWidth="1" style="56" min="5" max="5"/>
    <col width="14" customWidth="1" style="56" min="6" max="6"/>
    <col width="14" customWidth="1" style="56" min="7" max="7"/>
    <col width="18" customWidth="1" style="56" min="8" max="8"/>
    <col width="14" customWidth="1" style="56" min="9" max="9"/>
  </cols>
  <sheetData>
    <row r="1" ht="26" customHeight="1" s="56">
      <c r="A1" s="84" t="inlineStr">
        <is>
          <t>ARS METAL INDUSTRIES – CAPEX CASH FLOW (godišnji) (v2.5)</t>
        </is>
      </c>
    </row>
    <row r="2">
      <c r="A2" s="79" t="inlineStr">
        <is>
          <t>Izvor: CAPEX_MASTER (2)</t>
        </is>
      </c>
    </row>
    <row r="3"/>
    <row r="4">
      <c r="A4" s="98" t="inlineStr">
        <is>
          <t>Godina</t>
        </is>
      </c>
      <c r="B4" s="98" t="inlineStr">
        <is>
          <t>Land &amp; Site</t>
        </is>
      </c>
      <c r="C4" s="98" t="inlineStr">
        <is>
          <t>Civil Works</t>
        </is>
      </c>
      <c r="D4" s="98" t="inlineStr">
        <is>
          <t>Machinery</t>
        </is>
      </c>
      <c r="E4" s="98" t="inlineStr">
        <is>
          <t>Installation</t>
        </is>
      </c>
      <c r="F4" s="98" t="inlineStr">
        <is>
          <t>Engineering</t>
        </is>
      </c>
      <c r="G4" s="98" t="inlineStr">
        <is>
          <t>Contingency</t>
        </is>
      </c>
      <c r="H4" s="98" t="inlineStr">
        <is>
          <t>Total CAPEX (bez WC)</t>
        </is>
      </c>
      <c r="I4" s="98" t="inlineStr">
        <is>
          <t>Cumulative</t>
        </is>
      </c>
    </row>
    <row r="5">
      <c r="A5" s="83" t="n">
        <v>2026</v>
      </c>
      <c r="B5" s="108">
        <f>SUMIFS('CAPEX_MASTER (2)'!$I$22:$I$1000,'CAPEX_MASTER (2)'!$L$22:$L$1000,$A5,'CAPEX_MASTER (2)'!$B$22:$B$1000,"1. Land &amp; Site")</f>
        <v/>
      </c>
      <c r="C5" s="108">
        <f>SUMIFS('CAPEX_MASTER (2)'!$I$22:$I$1000,'CAPEX_MASTER (2)'!$L$22:$L$1000,$A5,'CAPEX_MASTER (2)'!$B$22:$B$1000,"2. Civil Works")</f>
        <v/>
      </c>
      <c r="D5" s="108">
        <f>SUMIFS('CAPEX_MASTER (2)'!$I$22:$I$1000,'CAPEX_MASTER (2)'!$L$22:$L$1000,$A5,'CAPEX_MASTER (2)'!$B$22:$B$1000,"3. Machinery (ARS linija)")</f>
        <v/>
      </c>
      <c r="E5" s="108">
        <f>SUMIFS('CAPEX_MASTER (2)'!$I$22:$I$1000,'CAPEX_MASTER (2)'!$L$22:$L$1000,$A5,'CAPEX_MASTER (2)'!$B$22:$B$1000,"4. Installation &amp; Commissioning")</f>
        <v/>
      </c>
      <c r="F5" s="108">
        <f>SUMIFS('CAPEX_MASTER (2)'!$I$22:$I$1000,'CAPEX_MASTER (2)'!$L$22:$L$1000,$A5,'CAPEX_MASTER (2)'!$B$22:$B$1000,"5. Engineering &amp; Permits")</f>
        <v/>
      </c>
      <c r="G5" s="108">
        <f>SUM(B5:F5)*0.085</f>
        <v/>
      </c>
      <c r="H5" s="108">
        <f>SUM(B5:G5)</f>
        <v/>
      </c>
      <c r="I5" s="83">
        <f>H5+IF($A5=2026,0,I4)</f>
        <v/>
      </c>
    </row>
    <row r="6">
      <c r="A6" s="83" t="n">
        <v>2027</v>
      </c>
      <c r="B6" s="108">
        <f>SUMIFS('CAPEX_MASTER (2)'!$I$22:$I$1000,'CAPEX_MASTER (2)'!$L$22:$L$1000,$A6,'CAPEX_MASTER (2)'!$B$22:$B$1000,"1. Land &amp; Site")</f>
        <v/>
      </c>
      <c r="C6" s="108">
        <f>SUMIFS('CAPEX_MASTER (2)'!$I$22:$I$1000,'CAPEX_MASTER (2)'!$L$22:$L$1000,$A6,'CAPEX_MASTER (2)'!$B$22:$B$1000,"2. Civil Works")</f>
        <v/>
      </c>
      <c r="D6" s="108">
        <f>SUMIFS('CAPEX_MASTER (2)'!$I$22:$I$1000,'CAPEX_MASTER (2)'!$L$22:$L$1000,$A6,'CAPEX_MASTER (2)'!$B$22:$B$1000,"3. Machinery (ARS linija)")</f>
        <v/>
      </c>
      <c r="E6" s="108">
        <f>SUMIFS('CAPEX_MASTER (2)'!$I$22:$I$1000,'CAPEX_MASTER (2)'!$L$22:$L$1000,$A6,'CAPEX_MASTER (2)'!$B$22:$B$1000,"4. Installation &amp; Commissioning")</f>
        <v/>
      </c>
      <c r="F6" s="108">
        <f>SUMIFS('CAPEX_MASTER (2)'!$I$22:$I$1000,'CAPEX_MASTER (2)'!$L$22:$L$1000,$A6,'CAPEX_MASTER (2)'!$B$22:$B$1000,"5. Engineering &amp; Permits")</f>
        <v/>
      </c>
      <c r="G6" s="108">
        <f>SUM(B6:F6)*0.085</f>
        <v/>
      </c>
      <c r="H6" s="108">
        <f>SUM(B6:G6)</f>
        <v/>
      </c>
      <c r="I6" s="83">
        <f>H6+IF($A6=2026,0,I5)</f>
        <v/>
      </c>
    </row>
    <row r="7">
      <c r="A7" s="83" t="n">
        <v>2028</v>
      </c>
      <c r="B7" s="108">
        <f>SUMIFS('CAPEX_MASTER (2)'!$I$22:$I$1000,'CAPEX_MASTER (2)'!$L$22:$L$1000,$A7,'CAPEX_MASTER (2)'!$B$22:$B$1000,"1. Land &amp; Site")</f>
        <v/>
      </c>
      <c r="C7" s="108">
        <f>SUMIFS('CAPEX_MASTER (2)'!$I$22:$I$1000,'CAPEX_MASTER (2)'!$L$22:$L$1000,$A7,'CAPEX_MASTER (2)'!$B$22:$B$1000,"2. Civil Works")</f>
        <v/>
      </c>
      <c r="D7" s="108">
        <f>SUMIFS('CAPEX_MASTER (2)'!$I$22:$I$1000,'CAPEX_MASTER (2)'!$L$22:$L$1000,$A7,'CAPEX_MASTER (2)'!$B$22:$B$1000,"3. Machinery (ARS linija)")</f>
        <v/>
      </c>
      <c r="E7" s="108">
        <f>SUMIFS('CAPEX_MASTER (2)'!$I$22:$I$1000,'CAPEX_MASTER (2)'!$L$22:$L$1000,$A7,'CAPEX_MASTER (2)'!$B$22:$B$1000,"4. Installation &amp; Commissioning")</f>
        <v/>
      </c>
      <c r="F7" s="108">
        <f>SUMIFS('CAPEX_MASTER (2)'!$I$22:$I$1000,'CAPEX_MASTER (2)'!$L$22:$L$1000,$A7,'CAPEX_MASTER (2)'!$B$22:$B$1000,"5. Engineering &amp; Permits")</f>
        <v/>
      </c>
      <c r="G7" s="108">
        <f>SUM(B7:F7)*0.085</f>
        <v/>
      </c>
      <c r="H7" s="108">
        <f>SUM(B7:G7)</f>
        <v/>
      </c>
      <c r="I7" s="83">
        <f>H7+IF($A7=2026,0,I6)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0" customWidth="1" style="56" min="1" max="1"/>
    <col width="16" customWidth="1" style="56" min="2" max="2"/>
    <col width="14" customWidth="1" style="56" min="3" max="3"/>
    <col width="14" customWidth="1" style="56" min="4" max="4"/>
    <col width="14" customWidth="1" style="56" min="5" max="5"/>
    <col width="16" customWidth="1" style="56" min="6" max="6"/>
    <col width="16" customWidth="1" style="56" min="7" max="7"/>
    <col width="10" customWidth="1" style="56" min="8" max="8"/>
  </cols>
  <sheetData>
    <row r="1" ht="26" customHeight="1" s="56">
      <c r="A1" s="84" t="inlineStr">
        <is>
          <t>ARS METAL INDUSTRIES – DEBT SCHEDULE &amp; DSCR (v2.5)</t>
        </is>
      </c>
    </row>
    <row r="2">
      <c r="A2" s="79" t="inlineStr">
        <is>
          <t>Datum: 26.02.2026</t>
        </is>
      </c>
    </row>
    <row r="3"/>
    <row r="4">
      <c r="A4" s="110" t="inlineStr">
        <is>
          <t>Ukupan debt</t>
        </is>
      </c>
      <c r="B4" s="108">
        <f>CAPEX_MASTER (2)!C17</f>
        <v/>
      </c>
    </row>
    <row r="5">
      <c r="A5" s="110" t="inlineStr">
        <is>
          <t>Kamatna stopa</t>
        </is>
      </c>
      <c r="B5" s="80">
        <f>'ASSUMPTIONS   MASTER INPUT'!$J$2</f>
        <v/>
      </c>
    </row>
    <row r="6">
      <c r="A6" s="110" t="inlineStr">
        <is>
          <t>Grace period (mjeseci)</t>
        </is>
      </c>
      <c r="B6" s="83">
        <f>'ASSUMPTIONS   MASTER INPUT'!$J$4</f>
        <v/>
      </c>
    </row>
    <row r="7">
      <c r="A7" s="110" t="inlineStr">
        <is>
          <t>Tenor (mjeseci)</t>
        </is>
      </c>
      <c r="B7" s="83">
        <f>'ASSUMPTIONS   MASTER INPUT'!$J$3</f>
        <v/>
      </c>
    </row>
    <row r="8">
      <c r="A8" s="110" t="inlineStr">
        <is>
          <t>Mjesečni anuitet (posle grace)</t>
        </is>
      </c>
      <c r="B8" s="108">
        <f>PMT($B$5/12,$B$7,-$B$4)</f>
        <v/>
      </c>
    </row>
    <row r="9"/>
    <row r="10"/>
    <row r="11">
      <c r="A11" s="98" t="inlineStr">
        <is>
          <t>Godina</t>
        </is>
      </c>
      <c r="B11" s="98" t="inlineStr">
        <is>
          <t>Početni saldo</t>
        </is>
      </c>
      <c r="C11" s="98" t="inlineStr">
        <is>
          <t>Drawdown</t>
        </is>
      </c>
      <c r="D11" s="98" t="inlineStr">
        <is>
          <t>Kamata</t>
        </is>
      </c>
      <c r="E11" s="98" t="inlineStr">
        <is>
          <t>Principal</t>
        </is>
      </c>
      <c r="F11" s="98" t="inlineStr">
        <is>
          <t>Otplata ukupno</t>
        </is>
      </c>
      <c r="G11" s="98" t="inlineStr">
        <is>
          <t>Krajnji saldo</t>
        </is>
      </c>
      <c r="H11" s="98" t="inlineStr">
        <is>
          <t>DSCR</t>
        </is>
      </c>
    </row>
    <row r="12">
      <c r="A12" s="83" t="n">
        <v>2026</v>
      </c>
      <c r="B12" s="108" t="n">
        <v>0</v>
      </c>
      <c r="C12" s="108">
        <f>IF(A12&lt;=2028, CAPEX_CASHFLOW!H5*0.55, 0)</f>
        <v/>
      </c>
      <c r="D12" s="108">
        <f>(B12+B12+C12)/2*$B$5</f>
        <v/>
      </c>
      <c r="E12" s="108">
        <f>MAX(0,F12-D12)</f>
        <v/>
      </c>
      <c r="F12" s="108">
        <f>IF(A12&gt;=2029, -$B$8*12, 0)</f>
        <v/>
      </c>
      <c r="G12" s="108">
        <f>B12+C12-E12</f>
        <v/>
      </c>
      <c r="H12" s="106">
        <f>IF(F12=0,0, INTEGRATED_P&amp;L_BS_CF!F6/F12)</f>
        <v/>
      </c>
    </row>
    <row r="13">
      <c r="A13" s="83" t="n">
        <v>2027</v>
      </c>
      <c r="B13" s="108">
        <f>G12</f>
        <v/>
      </c>
      <c r="C13" s="108">
        <f>IF(A13&lt;=2028, CAPEX_CASHFLOW!H6*0.55, 0)</f>
        <v/>
      </c>
      <c r="D13" s="108">
        <f>(B13+B13+C13)/2*$B$5</f>
        <v/>
      </c>
      <c r="E13" s="108">
        <f>MAX(0,F13-D13)</f>
        <v/>
      </c>
      <c r="F13" s="108">
        <f>IF(A13&gt;=2029, -$B$8*12, 0)</f>
        <v/>
      </c>
      <c r="G13" s="108">
        <f>B13+C13-E13</f>
        <v/>
      </c>
      <c r="H13" s="106">
        <f>IF(F13=0,0, INTEGRATED_P&amp;L_BS_CF!F7/F13)</f>
        <v/>
      </c>
    </row>
    <row r="14">
      <c r="A14" s="83" t="n">
        <v>2028</v>
      </c>
      <c r="B14" s="108">
        <f>G13</f>
        <v/>
      </c>
      <c r="C14" s="108">
        <f>IF(A14&lt;=2028, CAPEX_CASHFLOW!H7*0.55, 0)</f>
        <v/>
      </c>
      <c r="D14" s="108">
        <f>(B14+B14+C14)/2*$B$5</f>
        <v/>
      </c>
      <c r="E14" s="108">
        <f>MAX(0,F14-D14)</f>
        <v/>
      </c>
      <c r="F14" s="108">
        <f>IF(A14&gt;=2029, -$B$8*12, 0)</f>
        <v/>
      </c>
      <c r="G14" s="108">
        <f>B14+C14-E14</f>
        <v/>
      </c>
      <c r="H14" s="106">
        <f>IF(F14=0,0, INTEGRATED_P&amp;L_BS_CF!F8/F14)</f>
        <v/>
      </c>
    </row>
    <row r="15">
      <c r="A15" s="83" t="n">
        <v>2029</v>
      </c>
      <c r="B15" s="108">
        <f>G14</f>
        <v/>
      </c>
      <c r="C15" s="108">
        <f>IF(A15&lt;=2028, CAPEX_CASHFLOW!H8*0.55, 0)</f>
        <v/>
      </c>
      <c r="D15" s="108">
        <f>(B15+B15+C15)/2*$B$5</f>
        <v/>
      </c>
      <c r="E15" s="108">
        <f>MAX(0,F15-D15)</f>
        <v/>
      </c>
      <c r="F15" s="108">
        <f>IF(A15&gt;=2029, -$B$8*12, 0)</f>
        <v/>
      </c>
      <c r="G15" s="108">
        <f>B15+C15-E15</f>
        <v/>
      </c>
      <c r="H15" s="106">
        <f>IF(F15=0,0, INTEGRATED_P&amp;L_BS_CF!F9/F15)</f>
        <v/>
      </c>
    </row>
    <row r="16">
      <c r="A16" s="83" t="n">
        <v>2030</v>
      </c>
      <c r="B16" s="108">
        <f>G15</f>
        <v/>
      </c>
      <c r="C16" s="108">
        <f>IF(A16&lt;=2028, CAPEX_CASHFLOW!H9*0.55, 0)</f>
        <v/>
      </c>
      <c r="D16" s="108">
        <f>(B16+B16+C16)/2*$B$5</f>
        <v/>
      </c>
      <c r="E16" s="108">
        <f>MAX(0,F16-D16)</f>
        <v/>
      </c>
      <c r="F16" s="108">
        <f>IF(A16&gt;=2029, -$B$8*12, 0)</f>
        <v/>
      </c>
      <c r="G16" s="108">
        <f>B16+C16-E16</f>
        <v/>
      </c>
      <c r="H16" s="106">
        <f>IF(F16=0,0, INTEGRATED_P&amp;L_BS_CF!F10/F16)</f>
        <v/>
      </c>
    </row>
    <row r="17">
      <c r="A17" s="83" t="n">
        <v>2031</v>
      </c>
      <c r="B17" s="108">
        <f>G16</f>
        <v/>
      </c>
      <c r="C17" s="108">
        <f>IF(A17&lt;=2028, CAPEX_CASHFLOW!H10*0.55, 0)</f>
        <v/>
      </c>
      <c r="D17" s="108">
        <f>(B17+B17+C17)/2*$B$5</f>
        <v/>
      </c>
      <c r="E17" s="108">
        <f>MAX(0,F17-D17)</f>
        <v/>
      </c>
      <c r="F17" s="108">
        <f>IF(A17&gt;=2029, -$B$8*12, 0)</f>
        <v/>
      </c>
      <c r="G17" s="108">
        <f>B17+C17-E17</f>
        <v/>
      </c>
      <c r="H17" s="106">
        <f>IF(F17=0,0, INTEGRATED_P&amp;L_BS_CF!F11/F17)</f>
        <v/>
      </c>
    </row>
    <row r="18">
      <c r="A18" s="83" t="n">
        <v>2032</v>
      </c>
      <c r="B18" s="108">
        <f>G17</f>
        <v/>
      </c>
      <c r="C18" s="108">
        <f>IF(A18&lt;=2028, CAPEX_CASHFLOW!H11*0.55, 0)</f>
        <v/>
      </c>
      <c r="D18" s="108">
        <f>(B18+B18+C18)/2*$B$5</f>
        <v/>
      </c>
      <c r="E18" s="108">
        <f>MAX(0,F18-D18)</f>
        <v/>
      </c>
      <c r="F18" s="108">
        <f>IF(A18&gt;=2029, -$B$8*12, 0)</f>
        <v/>
      </c>
      <c r="G18" s="108">
        <f>B18+C18-E18</f>
        <v/>
      </c>
      <c r="H18" s="106">
        <f>IF(F18=0,0, INTEGRATED_P&amp;L_BS_CF!F12/F18)</f>
        <v/>
      </c>
    </row>
    <row r="19">
      <c r="A19" s="83" t="n">
        <v>2033</v>
      </c>
      <c r="B19" s="108">
        <f>G18</f>
        <v/>
      </c>
      <c r="C19" s="108">
        <f>IF(A19&lt;=2028, CAPEX_CASHFLOW!H12*0.55, 0)</f>
        <v/>
      </c>
      <c r="D19" s="108">
        <f>(B19+B19+C19)/2*$B$5</f>
        <v/>
      </c>
      <c r="E19" s="108">
        <f>MAX(0,F19-D19)</f>
        <v/>
      </c>
      <c r="F19" s="108">
        <f>IF(A19&gt;=2029, -$B$8*12, 0)</f>
        <v/>
      </c>
      <c r="G19" s="108">
        <f>B19+C19-E19</f>
        <v/>
      </c>
      <c r="H19" s="106">
        <f>IF(F19=0,0, INTEGRATED_P&amp;L_BS_CF!F13/F19)</f>
        <v/>
      </c>
    </row>
    <row r="20">
      <c r="A20" s="83" t="n">
        <v>2034</v>
      </c>
      <c r="B20" s="108">
        <f>G19</f>
        <v/>
      </c>
      <c r="C20" s="108">
        <f>IF(A20&lt;=2028, CAPEX_CASHFLOW!H13*0.55, 0)</f>
        <v/>
      </c>
      <c r="D20" s="108">
        <f>(B20+B20+C20)/2*$B$5</f>
        <v/>
      </c>
      <c r="E20" s="108">
        <f>MAX(0,F20-D20)</f>
        <v/>
      </c>
      <c r="F20" s="108">
        <f>IF(A20&gt;=2029, -$B$8*12, 0)</f>
        <v/>
      </c>
      <c r="G20" s="108">
        <f>B20+C20-E20</f>
        <v/>
      </c>
      <c r="H20" s="106">
        <f>IF(F20=0,0, INTEGRATED_P&amp;L_BS_CF!F14/F20)</f>
        <v/>
      </c>
    </row>
    <row r="21">
      <c r="A21" s="83" t="n">
        <v>2035</v>
      </c>
      <c r="B21" s="108">
        <f>G20</f>
        <v/>
      </c>
      <c r="C21" s="108">
        <f>IF(A21&lt;=2028, CAPEX_CASHFLOW!H14*0.55, 0)</f>
        <v/>
      </c>
      <c r="D21" s="108">
        <f>(B21+B21+C21)/2*$B$5</f>
        <v/>
      </c>
      <c r="E21" s="108">
        <f>MAX(0,F21-D21)</f>
        <v/>
      </c>
      <c r="F21" s="108">
        <f>IF(A21&gt;=2029, -$B$8*12, 0)</f>
        <v/>
      </c>
      <c r="G21" s="108">
        <f>B21+C21-E21</f>
        <v/>
      </c>
      <c r="H21" s="106">
        <f>IF(F21=0,0, INTEGRATED_P&amp;L_BS_CF!F15/F21)</f>
        <v/>
      </c>
    </row>
    <row r="22">
      <c r="A22" s="83" t="n">
        <v>2036</v>
      </c>
      <c r="B22" s="108">
        <f>G21</f>
        <v/>
      </c>
      <c r="C22" s="108">
        <f>IF(A22&lt;=2028, CAPEX_CASHFLOW!H15*0.55, 0)</f>
        <v/>
      </c>
      <c r="D22" s="108">
        <f>(B22+B22+C22)/2*$B$5</f>
        <v/>
      </c>
      <c r="E22" s="108">
        <f>MAX(0,F22-D22)</f>
        <v/>
      </c>
      <c r="F22" s="108">
        <f>IF(A22&gt;=2029, -$B$8*12, 0)</f>
        <v/>
      </c>
      <c r="G22" s="108">
        <f>B22+C22-E22</f>
        <v/>
      </c>
      <c r="H22" s="106">
        <f>IF(F22=0,0, INTEGRATED_P&amp;L_BS_CF!F16/F22)</f>
        <v/>
      </c>
    </row>
    <row r="23">
      <c r="A23" s="83" t="n">
        <v>2037</v>
      </c>
      <c r="B23" s="108">
        <f>G22</f>
        <v/>
      </c>
      <c r="C23" s="108">
        <f>IF(A23&lt;=2028, CAPEX_CASHFLOW!H16*0.55, 0)</f>
        <v/>
      </c>
      <c r="D23" s="108">
        <f>(B23+B23+C23)/2*$B$5</f>
        <v/>
      </c>
      <c r="E23" s="108">
        <f>MAX(0,F23-D23)</f>
        <v/>
      </c>
      <c r="F23" s="108">
        <f>IF(A23&gt;=2029, -$B$8*12, 0)</f>
        <v/>
      </c>
      <c r="G23" s="108">
        <f>B23+C23-E23</f>
        <v/>
      </c>
      <c r="H23" s="106">
        <f>IF(F23=0,0, INTEGRATED_P&amp;L_BS_CF!F17/F23)</f>
        <v/>
      </c>
    </row>
    <row r="24">
      <c r="A24" s="83" t="n">
        <v>2038</v>
      </c>
      <c r="B24" s="108">
        <f>G23</f>
        <v/>
      </c>
      <c r="C24" s="108">
        <f>IF(A24&lt;=2028, CAPEX_CASHFLOW!H17*0.55, 0)</f>
        <v/>
      </c>
      <c r="D24" s="108">
        <f>(B24+B24+C24)/2*$B$5</f>
        <v/>
      </c>
      <c r="E24" s="108">
        <f>MAX(0,F24-D24)</f>
        <v/>
      </c>
      <c r="F24" s="108">
        <f>IF(A24&gt;=2029, -$B$8*12, 0)</f>
        <v/>
      </c>
      <c r="G24" s="108">
        <f>B24+C24-E24</f>
        <v/>
      </c>
      <c r="H24" s="106">
        <f>IF(F24=0,0, INTEGRATED_P&amp;L_BS_CF!F18/F24)</f>
        <v/>
      </c>
    </row>
  </sheetData>
  <mergeCells count="1">
    <mergeCell ref="A1:H1"/>
  </mergeCells>
  <conditionalFormatting sqref="H12:H24">
    <cfRule type="cellIs" priority="1" operator="lessThan" dxfId="34">
      <formula>1.3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56" min="1" max="1"/>
    <col width="12" customWidth="1" style="56" min="2" max="2"/>
    <col width="12" customWidth="1" style="56" min="3" max="3"/>
    <col width="12" customWidth="1" style="56" min="4" max="4"/>
    <col width="12" customWidth="1" style="56" min="5" max="5"/>
    <col width="12" customWidth="1" style="56" min="6" max="6"/>
    <col width="12" customWidth="1" style="56" min="7" max="7"/>
    <col width="12" customWidth="1" style="56" min="8" max="8"/>
    <col width="12" customWidth="1" style="56" min="9" max="9"/>
    <col width="12" customWidth="1" style="56" min="10" max="10"/>
    <col width="12" customWidth="1" style="56" min="11" max="11"/>
    <col width="12" customWidth="1" style="56" min="12" max="12"/>
    <col width="12" customWidth="1" style="56" min="13" max="13"/>
    <col width="12" customWidth="1" style="56" min="14" max="14"/>
  </cols>
  <sheetData>
    <row r="1" ht="26" customHeight="1" s="56">
      <c r="A1" s="84" t="inlineStr">
        <is>
          <t>ARS METAL INDUSTRIES – INTEGRATED P&amp;L + BS + CF (v2.5)</t>
        </is>
      </c>
    </row>
    <row r="2">
      <c r="A2" s="79" t="inlineStr">
        <is>
          <t>Datum: 26.02.2026</t>
        </is>
      </c>
    </row>
    <row r="3"/>
    <row r="4">
      <c r="A4" s="109" t="inlineStr">
        <is>
          <t>Svi ključni inputi vuku iz Assumptions + CAPEX_MASTER. Provjeri CHECKS_&amp;_CONTROLS za greške.</t>
        </is>
      </c>
    </row>
    <row r="5">
      <c r="A5" s="98" t="inlineStr">
        <is>
          <t>Godina</t>
        </is>
      </c>
      <c r="B5" s="98" t="n">
        <v>2026</v>
      </c>
      <c r="C5" s="98" t="n">
        <v>2027</v>
      </c>
      <c r="D5" s="98" t="n">
        <v>2028</v>
      </c>
      <c r="E5" s="98" t="n">
        <v>2029</v>
      </c>
      <c r="F5" s="98" t="n">
        <v>2030</v>
      </c>
      <c r="G5" s="98" t="n">
        <v>2031</v>
      </c>
      <c r="H5" s="98" t="n">
        <v>2032</v>
      </c>
      <c r="I5" s="98" t="n">
        <v>2033</v>
      </c>
      <c r="J5" s="98" t="n">
        <v>2034</v>
      </c>
      <c r="K5" s="98" t="n">
        <v>2035</v>
      </c>
      <c r="L5" s="98" t="n">
        <v>2036</v>
      </c>
      <c r="M5" s="98" t="n">
        <v>2037</v>
      </c>
      <c r="N5" s="98" t="n">
        <v>2038</v>
      </c>
    </row>
    <row r="6">
      <c r="A6" s="111" t="inlineStr">
        <is>
          <t>Revenue</t>
        </is>
      </c>
      <c r="B6" s="108">
        <f>IF(B$5&lt;2029,0,REVENUE_COGS!D14)</f>
        <v/>
      </c>
      <c r="C6" s="108">
        <f>IF(C$5&lt;2029,0,REVENUE_COGS!D15)</f>
        <v/>
      </c>
      <c r="D6" s="108">
        <f>IF(D$5&lt;2029,0,REVENUE_COGS!D16)</f>
        <v/>
      </c>
      <c r="E6" s="108">
        <f>IF(E$5&lt;2029,0,REVENUE_COGS!D17)</f>
        <v/>
      </c>
      <c r="F6" s="108">
        <f>IF(F$5&lt;2029,0,REVENUE_COGS!D18)</f>
        <v/>
      </c>
      <c r="G6" s="108">
        <f>IF(G$5&lt;2029,0,REVENUE_COGS!D19)</f>
        <v/>
      </c>
      <c r="H6" s="108">
        <f>IF(H$5&lt;2029,0,REVENUE_COGS!D20)</f>
        <v/>
      </c>
      <c r="I6" s="108">
        <f>IF(I$5&lt;2029,0,REVENUE_COGS!D21)</f>
        <v/>
      </c>
      <c r="J6" s="108">
        <f>IF(J$5&lt;2029,0,REVENUE_COGS!D22)</f>
        <v/>
      </c>
      <c r="K6" s="108">
        <f>IF(K$5&lt;2029,0,REVENUE_COGS!D23)</f>
        <v/>
      </c>
      <c r="L6" s="108">
        <f>IF(L$5&lt;2029,0,REVENUE_COGS!D24)</f>
        <v/>
      </c>
      <c r="M6" s="108">
        <f>IF(M$5&lt;2029,0,REVENUE_COGS!D25)</f>
        <v/>
      </c>
      <c r="N6" s="108">
        <f>IF(N$5&lt;2029,0,REVENUE_COGS!D26)</f>
        <v/>
      </c>
    </row>
    <row r="7">
      <c r="A7" s="111" t="inlineStr">
        <is>
          <t>COGS</t>
        </is>
      </c>
      <c r="B7" s="108">
        <f>IF(B$5&lt;2029,0,REVENUE_COGS!F14)</f>
        <v/>
      </c>
      <c r="C7" s="108">
        <f>IF(C$5&lt;2029,0,REVENUE_COGS!F15)</f>
        <v/>
      </c>
      <c r="D7" s="108">
        <f>IF(D$5&lt;2029,0,REVENUE_COGS!F16)</f>
        <v/>
      </c>
      <c r="E7" s="108">
        <f>IF(E$5&lt;2029,0,REVENUE_COGS!F17)</f>
        <v/>
      </c>
      <c r="F7" s="108">
        <f>IF(F$5&lt;2029,0,REVENUE_COGS!F18)</f>
        <v/>
      </c>
      <c r="G7" s="108">
        <f>IF(G$5&lt;2029,0,REVENUE_COGS!F19)</f>
        <v/>
      </c>
      <c r="H7" s="108">
        <f>IF(H$5&lt;2029,0,REVENUE_COGS!F20)</f>
        <v/>
      </c>
      <c r="I7" s="108">
        <f>IF(I$5&lt;2029,0,REVENUE_COGS!F21)</f>
        <v/>
      </c>
      <c r="J7" s="108">
        <f>IF(J$5&lt;2029,0,REVENUE_COGS!F22)</f>
        <v/>
      </c>
      <c r="K7" s="108">
        <f>IF(K$5&lt;2029,0,REVENUE_COGS!F23)</f>
        <v/>
      </c>
      <c r="L7" s="108">
        <f>IF(L$5&lt;2029,0,REVENUE_COGS!F24)</f>
        <v/>
      </c>
      <c r="M7" s="108">
        <f>IF(M$5&lt;2029,0,REVENUE_COGS!F25)</f>
        <v/>
      </c>
      <c r="N7" s="108">
        <f>IF(N$5&lt;2029,0,REVENUE_COGS!F26)</f>
        <v/>
      </c>
    </row>
    <row r="8">
      <c r="A8" s="111" t="inlineStr">
        <is>
          <t>Gross Profit</t>
        </is>
      </c>
      <c r="B8" s="108">
        <f>B6-B7</f>
        <v/>
      </c>
      <c r="C8" s="108">
        <f>C6-C7</f>
        <v/>
      </c>
      <c r="D8" s="108">
        <f>D6-D7</f>
        <v/>
      </c>
      <c r="E8" s="108">
        <f>E6-E7</f>
        <v/>
      </c>
      <c r="F8" s="108">
        <f>F6-F7</f>
        <v/>
      </c>
      <c r="G8" s="108">
        <f>G6-G7</f>
        <v/>
      </c>
      <c r="H8" s="108">
        <f>H6-H7</f>
        <v/>
      </c>
      <c r="I8" s="108">
        <f>I6-I7</f>
        <v/>
      </c>
      <c r="J8" s="108">
        <f>J6-J7</f>
        <v/>
      </c>
      <c r="K8" s="108">
        <f>K6-K7</f>
        <v/>
      </c>
      <c r="L8" s="108">
        <f>L6-L7</f>
        <v/>
      </c>
      <c r="M8" s="108">
        <f>M6-M7</f>
        <v/>
      </c>
      <c r="N8" s="108">
        <f>N6-N7</f>
        <v/>
      </c>
    </row>
    <row r="9">
      <c r="A9" s="111" t="inlineStr">
        <is>
          <t>OPEX</t>
        </is>
      </c>
      <c r="B9" s="108">
        <f>IF(B$5&lt;2029,0,OPEX_DETAIL!B8)</f>
        <v/>
      </c>
      <c r="C9" s="108">
        <f>IF(C$5&lt;2029,0,OPEX_DETAIL!B9)</f>
        <v/>
      </c>
      <c r="D9" s="108">
        <f>IF(D$5&lt;2029,0,OPEX_DETAIL!B10)</f>
        <v/>
      </c>
      <c r="E9" s="108">
        <f>IF(E$5&lt;2029,0,OPEX_DETAIL!B11)</f>
        <v/>
      </c>
      <c r="F9" s="108">
        <f>IF(F$5&lt;2029,0,OPEX_DETAIL!B12)</f>
        <v/>
      </c>
      <c r="G9" s="108">
        <f>IF(G$5&lt;2029,0,OPEX_DETAIL!B13)</f>
        <v/>
      </c>
      <c r="H9" s="108">
        <f>IF(H$5&lt;2029,0,OPEX_DETAIL!B14)</f>
        <v/>
      </c>
      <c r="I9" s="108">
        <f>IF(I$5&lt;2029,0,OPEX_DETAIL!B15)</f>
        <v/>
      </c>
      <c r="J9" s="108">
        <f>IF(J$5&lt;2029,0,OPEX_DETAIL!B16)</f>
        <v/>
      </c>
      <c r="K9" s="108">
        <f>IF(K$5&lt;2029,0,OPEX_DETAIL!B17)</f>
        <v/>
      </c>
      <c r="L9" s="108">
        <f>IF(L$5&lt;2029,0,OPEX_DETAIL!B18)</f>
        <v/>
      </c>
      <c r="M9" s="108">
        <f>IF(M$5&lt;2029,0,OPEX_DETAIL!B19)</f>
        <v/>
      </c>
      <c r="N9" s="108">
        <f>IF(N$5&lt;2029,0,OPEX_DETAIL!B20)</f>
        <v/>
      </c>
    </row>
    <row r="10">
      <c r="A10" s="111" t="inlineStr">
        <is>
          <t>EBITDA</t>
        </is>
      </c>
      <c r="B10" s="108">
        <f>B8-B9</f>
        <v/>
      </c>
      <c r="C10" s="108">
        <f>C8-C9</f>
        <v/>
      </c>
      <c r="D10" s="108">
        <f>D8-D9</f>
        <v/>
      </c>
      <c r="E10" s="108">
        <f>E8-E9</f>
        <v/>
      </c>
      <c r="F10" s="108">
        <f>F8-F9</f>
        <v/>
      </c>
      <c r="G10" s="108">
        <f>G8-G9</f>
        <v/>
      </c>
      <c r="H10" s="108">
        <f>H8-H9</f>
        <v/>
      </c>
      <c r="I10" s="108">
        <f>I8-I9</f>
        <v/>
      </c>
      <c r="J10" s="108">
        <f>J8-J9</f>
        <v/>
      </c>
      <c r="K10" s="108">
        <f>K8-K9</f>
        <v/>
      </c>
      <c r="L10" s="108">
        <f>L8-L9</f>
        <v/>
      </c>
      <c r="M10" s="108">
        <f>M8-M9</f>
        <v/>
      </c>
      <c r="N10" s="108">
        <f>N8-N9</f>
        <v/>
      </c>
    </row>
    <row r="11">
      <c r="A11" s="111" t="inlineStr">
        <is>
          <t>Depreciation</t>
        </is>
      </c>
      <c r="B11" s="108">
        <f>IFERROR(XLOOKUP(B$5,'Depreciation Schedule'!$F$12:$ZZ$12,'Depreciation Schedule'!$F$23:$ZZ$23),0)</f>
        <v/>
      </c>
      <c r="C11" s="108">
        <f>IFERROR(XLOOKUP(C$5,'Depreciation Schedule'!$F$12:$ZZ$12,'Depreciation Schedule'!$F$23:$ZZ$23),0)</f>
        <v/>
      </c>
      <c r="D11" s="108">
        <f>IFERROR(XLOOKUP(D$5,'Depreciation Schedule'!$F$12:$ZZ$12,'Depreciation Schedule'!$F$23:$ZZ$23),0)</f>
        <v/>
      </c>
      <c r="E11" s="108">
        <f>IFERROR(XLOOKUP(E$5,'Depreciation Schedule'!$F$12:$ZZ$12,'Depreciation Schedule'!$F$23:$ZZ$23),0)</f>
        <v/>
      </c>
      <c r="F11" s="108">
        <f>IFERROR(XLOOKUP(F$5,'Depreciation Schedule'!$F$12:$ZZ$12,'Depreciation Schedule'!$F$23:$ZZ$23),0)</f>
        <v/>
      </c>
      <c r="G11" s="108">
        <f>IFERROR(XLOOKUP(G$5,'Depreciation Schedule'!$F$12:$ZZ$12,'Depreciation Schedule'!$F$23:$ZZ$23),0)</f>
        <v/>
      </c>
      <c r="H11" s="108">
        <f>IFERROR(XLOOKUP(H$5,'Depreciation Schedule'!$F$12:$ZZ$12,'Depreciation Schedule'!$F$23:$ZZ$23),0)</f>
        <v/>
      </c>
      <c r="I11" s="108">
        <f>IFERROR(XLOOKUP(I$5,'Depreciation Schedule'!$F$12:$ZZ$12,'Depreciation Schedule'!$F$23:$ZZ$23),0)</f>
        <v/>
      </c>
      <c r="J11" s="108">
        <f>IFERROR(XLOOKUP(J$5,'Depreciation Schedule'!$F$12:$ZZ$12,'Depreciation Schedule'!$F$23:$ZZ$23),0)</f>
        <v/>
      </c>
      <c r="K11" s="108">
        <f>IFERROR(XLOOKUP(K$5,'Depreciation Schedule'!$F$12:$ZZ$12,'Depreciation Schedule'!$F$23:$ZZ$23),0)</f>
        <v/>
      </c>
      <c r="L11" s="108">
        <f>IFERROR(XLOOKUP(L$5,'Depreciation Schedule'!$F$12:$ZZ$12,'Depreciation Schedule'!$F$23:$ZZ$23),0)</f>
        <v/>
      </c>
      <c r="M11" s="108">
        <f>IFERROR(XLOOKUP(M$5,'Depreciation Schedule'!$F$12:$ZZ$12,'Depreciation Schedule'!$F$23:$ZZ$23),0)</f>
        <v/>
      </c>
      <c r="N11" s="108">
        <f>IFERROR(XLOOKUP(N$5,'Depreciation Schedule'!$F$12:$ZZ$12,'Depreciation Schedule'!$F$23:$ZZ$23),0)</f>
        <v/>
      </c>
    </row>
    <row r="12">
      <c r="A12" s="111" t="inlineStr">
        <is>
          <t>EBIT</t>
        </is>
      </c>
      <c r="B12" s="108">
        <f>B10-B11</f>
        <v/>
      </c>
      <c r="C12" s="108">
        <f>C10-C11</f>
        <v/>
      </c>
      <c r="D12" s="108">
        <f>D10-D11</f>
        <v/>
      </c>
      <c r="E12" s="108">
        <f>E10-E11</f>
        <v/>
      </c>
      <c r="F12" s="108">
        <f>F10-F11</f>
        <v/>
      </c>
      <c r="G12" s="108">
        <f>G10-G11</f>
        <v/>
      </c>
      <c r="H12" s="108">
        <f>H10-H11</f>
        <v/>
      </c>
      <c r="I12" s="108">
        <f>I10-I11</f>
        <v/>
      </c>
      <c r="J12" s="108">
        <f>J10-J11</f>
        <v/>
      </c>
      <c r="K12" s="108">
        <f>K10-K11</f>
        <v/>
      </c>
      <c r="L12" s="108">
        <f>L10-L11</f>
        <v/>
      </c>
      <c r="M12" s="108">
        <f>M10-M11</f>
        <v/>
      </c>
      <c r="N12" s="108">
        <f>N10-N11</f>
        <v/>
      </c>
    </row>
    <row r="13">
      <c r="A13" s="111" t="inlineStr">
        <is>
          <t>Interest</t>
        </is>
      </c>
      <c r="B13" s="108">
        <f>IFERROR(XLOOKUP(B$5,DEBT_SCHEDULE!$A$12:$A$200,DEBT_SCHEDULE!$D$12:$D$200),0)</f>
        <v/>
      </c>
      <c r="C13" s="108">
        <f>IFERROR(XLOOKUP(C$5,DEBT_SCHEDULE!$A$12:$A$200,DEBT_SCHEDULE!$D$12:$D$200),0)</f>
        <v/>
      </c>
      <c r="D13" s="108">
        <f>IFERROR(XLOOKUP(D$5,DEBT_SCHEDULE!$A$12:$A$200,DEBT_SCHEDULE!$D$12:$D$200),0)</f>
        <v/>
      </c>
      <c r="E13" s="108">
        <f>IFERROR(XLOOKUP(E$5,DEBT_SCHEDULE!$A$12:$A$200,DEBT_SCHEDULE!$D$12:$D$200),0)</f>
        <v/>
      </c>
      <c r="F13" s="108">
        <f>IFERROR(XLOOKUP(F$5,DEBT_SCHEDULE!$A$12:$A$200,DEBT_SCHEDULE!$D$12:$D$200),0)</f>
        <v/>
      </c>
      <c r="G13" s="108">
        <f>IFERROR(XLOOKUP(G$5,DEBT_SCHEDULE!$A$12:$A$200,DEBT_SCHEDULE!$D$12:$D$200),0)</f>
        <v/>
      </c>
      <c r="H13" s="108">
        <f>IFERROR(XLOOKUP(H$5,DEBT_SCHEDULE!$A$12:$A$200,DEBT_SCHEDULE!$D$12:$D$200),0)</f>
        <v/>
      </c>
      <c r="I13" s="108">
        <f>IFERROR(XLOOKUP(I$5,DEBT_SCHEDULE!$A$12:$A$200,DEBT_SCHEDULE!$D$12:$D$200),0)</f>
        <v/>
      </c>
      <c r="J13" s="108">
        <f>IFERROR(XLOOKUP(J$5,DEBT_SCHEDULE!$A$12:$A$200,DEBT_SCHEDULE!$D$12:$D$200),0)</f>
        <v/>
      </c>
      <c r="K13" s="108">
        <f>IFERROR(XLOOKUP(K$5,DEBT_SCHEDULE!$A$12:$A$200,DEBT_SCHEDULE!$D$12:$D$200),0)</f>
        <v/>
      </c>
      <c r="L13" s="108">
        <f>IFERROR(XLOOKUP(L$5,DEBT_SCHEDULE!$A$12:$A$200,DEBT_SCHEDULE!$D$12:$D$200),0)</f>
        <v/>
      </c>
      <c r="M13" s="108">
        <f>IFERROR(XLOOKUP(M$5,DEBT_SCHEDULE!$A$12:$A$200,DEBT_SCHEDULE!$D$12:$D$200),0)</f>
        <v/>
      </c>
      <c r="N13" s="108">
        <f>IFERROR(XLOOKUP(N$5,DEBT_SCHEDULE!$A$12:$A$200,DEBT_SCHEDULE!$D$12:$D$200),0)</f>
        <v/>
      </c>
    </row>
    <row r="14">
      <c r="A14" s="111" t="inlineStr">
        <is>
          <t>EBT</t>
        </is>
      </c>
      <c r="B14" s="108">
        <f>B12-B13</f>
        <v/>
      </c>
      <c r="C14" s="108">
        <f>C12-C13</f>
        <v/>
      </c>
      <c r="D14" s="108">
        <f>D12-D13</f>
        <v/>
      </c>
      <c r="E14" s="108">
        <f>E12-E13</f>
        <v/>
      </c>
      <c r="F14" s="108">
        <f>F12-F13</f>
        <v/>
      </c>
      <c r="G14" s="108">
        <f>G12-G13</f>
        <v/>
      </c>
      <c r="H14" s="108">
        <f>H12-H13</f>
        <v/>
      </c>
      <c r="I14" s="108">
        <f>I12-I13</f>
        <v/>
      </c>
      <c r="J14" s="108">
        <f>J12-J13</f>
        <v/>
      </c>
      <c r="K14" s="108">
        <f>K12-K13</f>
        <v/>
      </c>
      <c r="L14" s="108">
        <f>L12-L13</f>
        <v/>
      </c>
      <c r="M14" s="108">
        <f>M12-M13</f>
        <v/>
      </c>
      <c r="N14" s="108">
        <f>N12-N13</f>
        <v/>
      </c>
    </row>
    <row r="15">
      <c r="A15" s="111" t="inlineStr">
        <is>
          <t>Tax</t>
        </is>
      </c>
      <c r="B15" s="108">
        <f>MAX(0,B14*XLOOKUP("TAX_RATE",'ASSUMPTIONS   MASTER INPUT'!$B:$B,'ASSUMPTIONS   MASTER INPUT'!$D:$D))</f>
        <v/>
      </c>
      <c r="C15" s="108">
        <f>MAX(0,C14*XLOOKUP("TAX_RATE",'ASSUMPTIONS   MASTER INPUT'!$B:$B,'ASSUMPTIONS   MASTER INPUT'!$D:$D))</f>
        <v/>
      </c>
      <c r="D15" s="108">
        <f>MAX(0,D14*XLOOKUP("TAX_RATE",'ASSUMPTIONS   MASTER INPUT'!$B:$B,'ASSUMPTIONS   MASTER INPUT'!$D:$D))</f>
        <v/>
      </c>
      <c r="E15" s="108">
        <f>MAX(0,E14*XLOOKUP("TAX_RATE",'ASSUMPTIONS   MASTER INPUT'!$B:$B,'ASSUMPTIONS   MASTER INPUT'!$D:$D))</f>
        <v/>
      </c>
      <c r="F15" s="108">
        <f>MAX(0,F14*XLOOKUP("TAX_RATE",'ASSUMPTIONS   MASTER INPUT'!$B:$B,'ASSUMPTIONS   MASTER INPUT'!$D:$D))</f>
        <v/>
      </c>
      <c r="G15" s="108">
        <f>MAX(0,G14*XLOOKUP("TAX_RATE",'ASSUMPTIONS   MASTER INPUT'!$B:$B,'ASSUMPTIONS   MASTER INPUT'!$D:$D))</f>
        <v/>
      </c>
      <c r="H15" s="108">
        <f>MAX(0,H14*XLOOKUP("TAX_RATE",'ASSUMPTIONS   MASTER INPUT'!$B:$B,'ASSUMPTIONS   MASTER INPUT'!$D:$D))</f>
        <v/>
      </c>
      <c r="I15" s="108">
        <f>MAX(0,I14*XLOOKUP("TAX_RATE",'ASSUMPTIONS   MASTER INPUT'!$B:$B,'ASSUMPTIONS   MASTER INPUT'!$D:$D))</f>
        <v/>
      </c>
      <c r="J15" s="108">
        <f>MAX(0,J14*XLOOKUP("TAX_RATE",'ASSUMPTIONS   MASTER INPUT'!$B:$B,'ASSUMPTIONS   MASTER INPUT'!$D:$D))</f>
        <v/>
      </c>
      <c r="K15" s="108">
        <f>MAX(0,K14*XLOOKUP("TAX_RATE",'ASSUMPTIONS   MASTER INPUT'!$B:$B,'ASSUMPTIONS   MASTER INPUT'!$D:$D))</f>
        <v/>
      </c>
      <c r="L15" s="108">
        <f>MAX(0,L14*XLOOKUP("TAX_RATE",'ASSUMPTIONS   MASTER INPUT'!$B:$B,'ASSUMPTIONS   MASTER INPUT'!$D:$D))</f>
        <v/>
      </c>
      <c r="M15" s="108">
        <f>MAX(0,M14*XLOOKUP("TAX_RATE",'ASSUMPTIONS   MASTER INPUT'!$B:$B,'ASSUMPTIONS   MASTER INPUT'!$D:$D))</f>
        <v/>
      </c>
      <c r="N15" s="108">
        <f>MAX(0,N14*XLOOKUP("TAX_RATE",'ASSUMPTIONS   MASTER INPUT'!$B:$B,'ASSUMPTIONS   MASTER INPUT'!$D:$D))</f>
        <v/>
      </c>
    </row>
    <row r="16">
      <c r="A16" s="111" t="inlineStr">
        <is>
          <t>Net Profit</t>
        </is>
      </c>
      <c r="B16" s="108">
        <f>B14-B15</f>
        <v/>
      </c>
      <c r="C16" s="108">
        <f>C14-C15</f>
        <v/>
      </c>
      <c r="D16" s="108">
        <f>D14-D15</f>
        <v/>
      </c>
      <c r="E16" s="108">
        <f>E14-E15</f>
        <v/>
      </c>
      <c r="F16" s="108">
        <f>F14-F15</f>
        <v/>
      </c>
      <c r="G16" s="108">
        <f>G14-G15</f>
        <v/>
      </c>
      <c r="H16" s="108">
        <f>H14-H15</f>
        <v/>
      </c>
      <c r="I16" s="108">
        <f>I14-I15</f>
        <v/>
      </c>
      <c r="J16" s="108">
        <f>J14-J15</f>
        <v/>
      </c>
      <c r="K16" s="108">
        <f>K14-K15</f>
        <v/>
      </c>
      <c r="L16" s="108">
        <f>L14-L15</f>
        <v/>
      </c>
      <c r="M16" s="108">
        <f>M14-M15</f>
        <v/>
      </c>
      <c r="N16" s="108">
        <f>N14-N15</f>
        <v/>
      </c>
    </row>
    <row r="17"/>
    <row r="18">
      <c r="A18" s="111" t="inlineStr">
        <is>
          <t>Operating CF</t>
        </is>
      </c>
      <c r="B18" s="108">
        <f>B10-B15</f>
        <v/>
      </c>
      <c r="C18" s="108">
        <f>C10-C15</f>
        <v/>
      </c>
      <c r="D18" s="108">
        <f>D10-D15</f>
        <v/>
      </c>
      <c r="E18" s="108">
        <f>E10-E15</f>
        <v/>
      </c>
      <c r="F18" s="108">
        <f>F10-F15</f>
        <v/>
      </c>
      <c r="G18" s="108">
        <f>G10-G15</f>
        <v/>
      </c>
      <c r="H18" s="108">
        <f>H10-H15</f>
        <v/>
      </c>
      <c r="I18" s="108">
        <f>I10-I15</f>
        <v/>
      </c>
      <c r="J18" s="108">
        <f>J10-J15</f>
        <v/>
      </c>
      <c r="K18" s="108">
        <f>K10-K15</f>
        <v/>
      </c>
      <c r="L18" s="108">
        <f>L10-L15</f>
        <v/>
      </c>
      <c r="M18" s="108">
        <f>M10-M15</f>
        <v/>
      </c>
      <c r="N18" s="108">
        <f>N10-N15</f>
        <v/>
      </c>
    </row>
    <row r="19">
      <c r="A19" s="111" t="inlineStr">
        <is>
          <t>Investing CF</t>
        </is>
      </c>
      <c r="B19" s="108">
        <f>IF(B$5&lt;2029,-CAPEX_CASHFLOW!H5,-(B11*0.02))</f>
        <v/>
      </c>
      <c r="C19" s="108">
        <f>IF(C$5&lt;2029,-CAPEX_CASHFLOW!H6,-(C11*0.02))</f>
        <v/>
      </c>
      <c r="D19" s="108">
        <f>IF(D$5&lt;2029,-CAPEX_CASHFLOW!H7,-(D11*0.02))</f>
        <v/>
      </c>
      <c r="E19" s="108">
        <f>IF(E$5&lt;2029,-CAPEX_CASHFLOW!H8,-(E11*0.02))</f>
        <v/>
      </c>
      <c r="F19" s="108">
        <f>IF(F$5&lt;2029,-CAPEX_CASHFLOW!H9,-(F11*0.02))</f>
        <v/>
      </c>
      <c r="G19" s="108">
        <f>IF(G$5&lt;2029,-CAPEX_CASHFLOW!H10,-(G11*0.02))</f>
        <v/>
      </c>
      <c r="H19" s="108">
        <f>IF(H$5&lt;2029,-CAPEX_CASHFLOW!H11,-(H11*0.02))</f>
        <v/>
      </c>
      <c r="I19" s="108">
        <f>IF(I$5&lt;2029,-CAPEX_CASHFLOW!H12,-(I11*0.02))</f>
        <v/>
      </c>
      <c r="J19" s="108">
        <f>IF(J$5&lt;2029,-CAPEX_CASHFLOW!H13,-(J11*0.02))</f>
        <v/>
      </c>
      <c r="K19" s="108">
        <f>IF(K$5&lt;2029,-CAPEX_CASHFLOW!H14,-(K11*0.02))</f>
        <v/>
      </c>
      <c r="L19" s="108">
        <f>IF(L$5&lt;2029,-CAPEX_CASHFLOW!H15,-(L11*0.02))</f>
        <v/>
      </c>
      <c r="M19" s="108">
        <f>IF(M$5&lt;2029,-CAPEX_CASHFLOW!H16,-(M11*0.02))</f>
        <v/>
      </c>
      <c r="N19" s="108">
        <f>IF(N$5&lt;2029,-CAPEX_CASHFLOW!H17,-(N11*0.02))</f>
        <v/>
      </c>
    </row>
    <row r="20">
      <c r="A20" s="111" t="inlineStr">
        <is>
          <t>Financing CF</t>
        </is>
      </c>
      <c r="B20" s="108">
        <f>IFERROR(XLOOKUP(B$5,DEBT_SCHEDULE!$A$12:$A$200,DEBT_SCHEDULE!$C$12:$C$200),0)-IFERROR(XLOOKUP(B$5,DEBT_SCHEDULE!$A$12:$A$200,DEBT_SCHEDULE!$F$12:$F$200),0)</f>
        <v/>
      </c>
      <c r="C20" s="108">
        <f>IFERROR(XLOOKUP(C$5,DEBT_SCHEDULE!$A$12:$A$200,DEBT_SCHEDULE!$C$12:$C$200),0)-IFERROR(XLOOKUP(C$5,DEBT_SCHEDULE!$A$12:$A$200,DEBT_SCHEDULE!$F$12:$F$200),0)</f>
        <v/>
      </c>
      <c r="D20" s="108">
        <f>IFERROR(XLOOKUP(D$5,DEBT_SCHEDULE!$A$12:$A$200,DEBT_SCHEDULE!$C$12:$C$200),0)-IFERROR(XLOOKUP(D$5,DEBT_SCHEDULE!$A$12:$A$200,DEBT_SCHEDULE!$F$12:$F$200),0)</f>
        <v/>
      </c>
      <c r="E20" s="108">
        <f>IFERROR(XLOOKUP(E$5,DEBT_SCHEDULE!$A$12:$A$200,DEBT_SCHEDULE!$C$12:$C$200),0)-IFERROR(XLOOKUP(E$5,DEBT_SCHEDULE!$A$12:$A$200,DEBT_SCHEDULE!$F$12:$F$200),0)</f>
        <v/>
      </c>
      <c r="F20" s="108">
        <f>IFERROR(XLOOKUP(F$5,DEBT_SCHEDULE!$A$12:$A$200,DEBT_SCHEDULE!$C$12:$C$200),0)-IFERROR(XLOOKUP(F$5,DEBT_SCHEDULE!$A$12:$A$200,DEBT_SCHEDULE!$F$12:$F$200),0)</f>
        <v/>
      </c>
      <c r="G20" s="108">
        <f>IFERROR(XLOOKUP(G$5,DEBT_SCHEDULE!$A$12:$A$200,DEBT_SCHEDULE!$C$12:$C$200),0)-IFERROR(XLOOKUP(G$5,DEBT_SCHEDULE!$A$12:$A$200,DEBT_SCHEDULE!$F$12:$F$200),0)</f>
        <v/>
      </c>
      <c r="H20" s="108">
        <f>IFERROR(XLOOKUP(H$5,DEBT_SCHEDULE!$A$12:$A$200,DEBT_SCHEDULE!$C$12:$C$200),0)-IFERROR(XLOOKUP(H$5,DEBT_SCHEDULE!$A$12:$A$200,DEBT_SCHEDULE!$F$12:$F$200),0)</f>
        <v/>
      </c>
      <c r="I20" s="108">
        <f>IFERROR(XLOOKUP(I$5,DEBT_SCHEDULE!$A$12:$A$200,DEBT_SCHEDULE!$C$12:$C$200),0)-IFERROR(XLOOKUP(I$5,DEBT_SCHEDULE!$A$12:$A$200,DEBT_SCHEDULE!$F$12:$F$200),0)</f>
        <v/>
      </c>
      <c r="J20" s="108">
        <f>IFERROR(XLOOKUP(J$5,DEBT_SCHEDULE!$A$12:$A$200,DEBT_SCHEDULE!$C$12:$C$200),0)-IFERROR(XLOOKUP(J$5,DEBT_SCHEDULE!$A$12:$A$200,DEBT_SCHEDULE!$F$12:$F$200),0)</f>
        <v/>
      </c>
      <c r="K20" s="108">
        <f>IFERROR(XLOOKUP(K$5,DEBT_SCHEDULE!$A$12:$A$200,DEBT_SCHEDULE!$C$12:$C$200),0)-IFERROR(XLOOKUP(K$5,DEBT_SCHEDULE!$A$12:$A$200,DEBT_SCHEDULE!$F$12:$F$200),0)</f>
        <v/>
      </c>
      <c r="L20" s="108">
        <f>IFERROR(XLOOKUP(L$5,DEBT_SCHEDULE!$A$12:$A$200,DEBT_SCHEDULE!$C$12:$C$200),0)-IFERROR(XLOOKUP(L$5,DEBT_SCHEDULE!$A$12:$A$200,DEBT_SCHEDULE!$F$12:$F$200),0)</f>
        <v/>
      </c>
      <c r="M20" s="108">
        <f>IFERROR(XLOOKUP(M$5,DEBT_SCHEDULE!$A$12:$A$200,DEBT_SCHEDULE!$C$12:$C$200),0)-IFERROR(XLOOKUP(M$5,DEBT_SCHEDULE!$A$12:$A$200,DEBT_SCHEDULE!$F$12:$F$200),0)</f>
        <v/>
      </c>
      <c r="N20" s="108">
        <f>IFERROR(XLOOKUP(N$5,DEBT_SCHEDULE!$A$12:$A$200,DEBT_SCHEDULE!$C$12:$C$200),0)-IFERROR(XLOOKUP(N$5,DEBT_SCHEDULE!$A$12:$A$200,DEBT_SCHEDULE!$F$12:$F$200),0)</f>
        <v/>
      </c>
    </row>
    <row r="21">
      <c r="A21" s="111" t="inlineStr">
        <is>
          <t>Net Cash Flow</t>
        </is>
      </c>
      <c r="B21" s="108">
        <f>SUM(B18:B20)</f>
        <v/>
      </c>
      <c r="C21" s="108">
        <f>SUM(C18:C20)</f>
        <v/>
      </c>
      <c r="D21" s="108">
        <f>SUM(D18:D20)</f>
        <v/>
      </c>
      <c r="E21" s="108">
        <f>SUM(E18:E20)</f>
        <v/>
      </c>
      <c r="F21" s="108">
        <f>SUM(F18:F20)</f>
        <v/>
      </c>
      <c r="G21" s="108">
        <f>SUM(G18:G20)</f>
        <v/>
      </c>
      <c r="H21" s="108">
        <f>SUM(H18:H20)</f>
        <v/>
      </c>
      <c r="I21" s="108">
        <f>SUM(I18:I20)</f>
        <v/>
      </c>
      <c r="J21" s="108">
        <f>SUM(J18:J20)</f>
        <v/>
      </c>
      <c r="K21" s="108">
        <f>SUM(K18:K20)</f>
        <v/>
      </c>
      <c r="L21" s="108">
        <f>SUM(L18:L20)</f>
        <v/>
      </c>
      <c r="M21" s="108">
        <f>SUM(M18:M20)</f>
        <v/>
      </c>
      <c r="N21" s="108">
        <f>SUM(N18:N20)</f>
        <v/>
      </c>
    </row>
    <row r="22">
      <c r="A22" s="111" t="inlineStr">
        <is>
          <t>Ending Cash</t>
        </is>
      </c>
      <c r="B22" s="108">
        <f>B21</f>
        <v/>
      </c>
      <c r="C22" s="108">
        <f>B22+C21</f>
        <v/>
      </c>
      <c r="D22" s="108">
        <f>C22+D21</f>
        <v/>
      </c>
      <c r="E22" s="108">
        <f>D22+E21</f>
        <v/>
      </c>
      <c r="F22" s="108">
        <f>E22+F21</f>
        <v/>
      </c>
      <c r="G22" s="108">
        <f>F22+G21</f>
        <v/>
      </c>
      <c r="H22" s="108">
        <f>G22+H21</f>
        <v/>
      </c>
      <c r="I22" s="108">
        <f>H22+I21</f>
        <v/>
      </c>
      <c r="J22" s="108">
        <f>I22+J21</f>
        <v/>
      </c>
      <c r="K22" s="108">
        <f>J22+K21</f>
        <v/>
      </c>
      <c r="L22" s="108">
        <f>K22+L21</f>
        <v/>
      </c>
      <c r="M22" s="108">
        <f>L22+M21</f>
        <v/>
      </c>
      <c r="N22" s="108">
        <f>M22+N21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style="56" min="1" max="1"/>
    <col width="22" customWidth="1" style="56" min="2" max="2"/>
    <col width="2" customWidth="1" style="56" min="4" max="4"/>
  </cols>
  <sheetData>
    <row r="1" ht="26" customHeight="1" s="56">
      <c r="A1" s="84" t="inlineStr">
        <is>
          <t>ARS METAL INDUSTRIES – CFO DASHBOARD (Bank-Ready) (v2.5)</t>
        </is>
      </c>
    </row>
    <row r="2">
      <c r="A2" s="109" t="inlineStr">
        <is>
          <t>Automatski KPI + grafici (iz INTEGRATED / CAPEX / DEBT).</t>
        </is>
      </c>
    </row>
    <row r="3"/>
    <row r="4">
      <c r="A4" s="110" t="inlineStr">
        <is>
          <t>TOTAL CAPEX (bez PDV)</t>
        </is>
      </c>
      <c r="B4" s="108">
        <f> 'CAPEX_MASTER (2)'!C11</f>
        <v/>
      </c>
    </row>
    <row r="5">
      <c r="A5" s="110" t="inlineStr">
        <is>
          <t>GRAND TOTAL INVESTICIJA (sa WC, bez PDV)</t>
        </is>
      </c>
      <c r="B5" s="108">
        <f>'CAPEX_MASTER (2)'!C13</f>
        <v/>
      </c>
    </row>
    <row r="6">
      <c r="A6" s="110" t="inlineStr">
        <is>
          <t>Equity (EUR)</t>
        </is>
      </c>
      <c r="B6" s="108">
        <f>'CAPEX_MASTER (2)'!C16</f>
        <v/>
      </c>
    </row>
    <row r="7">
      <c r="A7" s="110" t="inlineStr">
        <is>
          <t>Debt (EUR)</t>
        </is>
      </c>
      <c r="B7" s="108">
        <f>'CAPEX_MASTER (2)'!C17</f>
        <v/>
      </c>
    </row>
    <row r="8">
      <c r="A8" s="110" t="inlineStr">
        <is>
          <t>Grant (EUR)</t>
        </is>
      </c>
      <c r="B8" s="108">
        <f>'CAPEX_MASTER (2)'!C18</f>
        <v/>
      </c>
    </row>
    <row r="9">
      <c r="A9" s="110" t="inlineStr">
        <is>
          <t>Min DSCR</t>
        </is>
      </c>
      <c r="B9" s="106">
        <f>MIN(DEBT_SCHEDULE!H12:H200)</f>
        <v/>
      </c>
    </row>
    <row r="10">
      <c r="A10" s="110" t="inlineStr">
        <is>
          <t>Revenue @2031</t>
        </is>
      </c>
      <c r="B10" s="106">
        <f>INTEGRATED_P&amp;L_BS_CF!G6</f>
        <v/>
      </c>
    </row>
    <row r="11">
      <c r="A11" s="110" t="inlineStr">
        <is>
          <t>EBITDA Margin @2031</t>
        </is>
      </c>
      <c r="B11" s="80">
        <f>IF(INTEGRATED_P&amp;L_BS_CF!G6=0,0,INTEGRATED_P&amp;L_BS_CF!G10/INTEGRATED_P&amp;L_BS_CF!G6)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style="56" min="1" max="1"/>
    <col width="35" customWidth="1" style="56" min="2" max="2"/>
    <col width="12" customWidth="1" style="56" min="3" max="3"/>
  </cols>
  <sheetData>
    <row r="1" ht="26" customHeight="1" s="56">
      <c r="A1" s="84" t="inlineStr">
        <is>
          <t>CHECKS &amp; CONTROLS – Model QA (v2.5)</t>
        </is>
      </c>
    </row>
    <row r="2">
      <c r="A2" s="109" t="inlineStr">
        <is>
          <t>Crveno = kritično (banke će odbiti). Žuto = upozorenje.</t>
        </is>
      </c>
    </row>
    <row r="3"/>
    <row r="4">
      <c r="A4" s="98" t="inlineStr">
        <is>
          <t>Kontrola</t>
        </is>
      </c>
      <c r="B4" s="98" t="inlineStr">
        <is>
          <t>Formula</t>
        </is>
      </c>
      <c r="C4" s="98" t="inlineStr">
        <is>
          <t>Status</t>
        </is>
      </c>
    </row>
    <row r="5">
      <c r="A5" s="110" t="inlineStr">
        <is>
          <t>VAT rate defined</t>
        </is>
      </c>
      <c r="B5" s="83">
        <f>'ASSUMPTIONS   MASTER INPUT'!$H$3</f>
        <v/>
      </c>
      <c r="C5" s="83">
        <f>IF(B5&gt;0, "OK","FAIL")</f>
        <v/>
      </c>
    </row>
    <row r="6">
      <c r="A6" s="110" t="inlineStr">
        <is>
          <t>Sources = Uses (Debt+Equity+Grant vs Grand Total)</t>
        </is>
      </c>
      <c r="B6" s="83">
        <f>SUM('CAPEX_MASTER (2)'!C16:C18)-'CAPEX_MASTER (2)'!C13</f>
        <v/>
      </c>
      <c r="C6" s="83">
        <f>IF(ABS(B6)&lt;1, "OK","FAIL")</f>
        <v/>
      </c>
    </row>
    <row r="7">
      <c r="A7" s="110" t="inlineStr">
        <is>
          <t>CAPEX subtotal sum</t>
        </is>
      </c>
      <c r="B7" s="83">
        <f>'CAPEX_MASTER (2)'!C11-SUM('CAPEX_MASTER (2)'!C5:C10)</f>
        <v/>
      </c>
      <c r="C7" s="83">
        <f>IF(ABS(B7)&lt;1, "OK","FAIL")</f>
        <v/>
      </c>
    </row>
    <row r="8">
      <c r="A8" s="110" t="inlineStr">
        <is>
          <t>Min DSCR &gt;= 1.30</t>
        </is>
      </c>
      <c r="B8" s="83">
        <f>MIN(DEBT_SCHEDULE!H12:H200)</f>
        <v/>
      </c>
      <c r="C8" s="83">
        <f>IF(B8&gt;=1.3,"OK","FAIL")</f>
        <v/>
      </c>
    </row>
    <row r="9">
      <c r="A9" s="110" t="inlineStr">
        <is>
          <t>Count of '#NAME?' strings</t>
        </is>
      </c>
      <c r="B9" s="112" t="n">
        <v>1</v>
      </c>
      <c r="C9" s="83">
        <f>IF(B9=0,"OK","FAIL")</f>
        <v/>
      </c>
    </row>
  </sheetData>
  <mergeCells count="1">
    <mergeCell ref="A1:H1"/>
  </mergeCells>
  <conditionalFormatting sqref="C5:C100">
    <cfRule type="expression" priority="1" dxfId="34">
      <formula>$C5="FAIL"</formula>
    </cfRule>
    <cfRule type="expression" priority="2" dxfId="35">
      <formula>$C5="WARN"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2026-02-26T02:16:37Z</dcterms:created>
  <dcterms:modified xmlns:dcterms="http://purl.org/dc/terms/" xmlns:xsi="http://www.w3.org/2001/XMLSchema-instance" xsi:type="dcterms:W3CDTF">2026-02-26T04:42:50Z</dcterms:modified>
  <cp:lastModifiedBy>Lenovo</cp:lastModifiedBy>
</cp:coreProperties>
</file>