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_MASTER" sheetId="1" state="visible" r:id="rId1"/>
    <sheet xmlns:r="http://schemas.openxmlformats.org/officeDocument/2006/relationships" name="OPEX_MASTER" sheetId="2" state="visible" r:id="rId2"/>
    <sheet xmlns:r="http://schemas.openxmlformats.org/officeDocument/2006/relationships" name="DEBT_MODEL" sheetId="3" state="visible" r:id="rId3"/>
    <sheet xmlns:r="http://schemas.openxmlformats.org/officeDocument/2006/relationships" name="PHASING_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Base_CAPEX_2025</t>
        </is>
      </c>
      <c r="F1" t="inlineStr">
        <is>
          <t>EU_Increase_%</t>
        </is>
      </c>
      <c r="G1" t="inlineStr">
        <is>
          <t>EU_CAPEX_2028</t>
        </is>
      </c>
      <c r="H1" t="inlineStr">
        <is>
          <t>Phase</t>
        </is>
      </c>
      <c r="I1" t="inlineStr">
        <is>
          <t>Escalation_Driver</t>
        </is>
      </c>
      <c r="J1" t="inlineStr">
        <is>
          <t>Notes</t>
        </is>
      </c>
    </row>
    <row r="2">
      <c r="A2" t="inlineStr">
        <is>
          <t>A01</t>
        </is>
      </c>
      <c r="B2" t="inlineStr">
        <is>
          <t>Industrial land</t>
        </is>
      </c>
      <c r="C2" t="inlineStr">
        <is>
          <t>Land</t>
        </is>
      </c>
      <c r="D2" t="inlineStr">
        <is>
          <t>Acquisition</t>
        </is>
      </c>
      <c r="E2" t="n">
        <v>1100000</v>
      </c>
      <c r="F2" t="n">
        <v>0.31</v>
      </c>
      <c r="G2">
        <f>E2*(1+F2)</f>
        <v/>
      </c>
      <c r="H2" t="inlineStr">
        <is>
          <t>Phase 1</t>
        </is>
      </c>
      <c r="I2" t="inlineStr">
        <is>
          <t>Land</t>
        </is>
      </c>
      <c r="J2" t="inlineStr"/>
    </row>
    <row r="3">
      <c r="A3" t="inlineStr">
        <is>
          <t>A02</t>
        </is>
      </c>
      <c r="B3" t="inlineStr">
        <is>
          <t>Land transfer tax</t>
        </is>
      </c>
      <c r="C3" t="inlineStr">
        <is>
          <t>Land</t>
        </is>
      </c>
      <c r="D3" t="inlineStr">
        <is>
          <t>Fees</t>
        </is>
      </c>
      <c r="E3" t="n">
        <v>55000</v>
      </c>
      <c r="F3" t="n">
        <v>0.1</v>
      </c>
      <c r="G3">
        <f>E3*(1+F3)</f>
        <v/>
      </c>
      <c r="H3" t="inlineStr">
        <is>
          <t>Phase 1</t>
        </is>
      </c>
      <c r="I3" t="inlineStr">
        <is>
          <t>Land</t>
        </is>
      </c>
      <c r="J3" t="inlineStr"/>
    </row>
    <row r="4">
      <c r="A4" t="inlineStr">
        <is>
          <t>A03</t>
        </is>
      </c>
      <c r="B4" t="inlineStr">
        <is>
          <t>Geotechnical survey</t>
        </is>
      </c>
      <c r="C4" t="inlineStr">
        <is>
          <t>Land</t>
        </is>
      </c>
      <c r="D4" t="inlineStr">
        <is>
          <t>Studies</t>
        </is>
      </c>
      <c r="E4" t="n">
        <v>25000</v>
      </c>
      <c r="F4" t="n">
        <v>0.15</v>
      </c>
      <c r="G4">
        <f>E4*(1+F4)</f>
        <v/>
      </c>
      <c r="H4" t="inlineStr">
        <is>
          <t>Phase 1</t>
        </is>
      </c>
      <c r="I4" t="inlineStr">
        <is>
          <t>Land</t>
        </is>
      </c>
      <c r="J4" t="inlineStr"/>
    </row>
    <row r="5">
      <c r="A5" t="inlineStr">
        <is>
          <t>A04</t>
        </is>
      </c>
      <c r="B5" t="inlineStr">
        <is>
          <t>Earthworks</t>
        </is>
      </c>
      <c r="C5" t="inlineStr">
        <is>
          <t>Land</t>
        </is>
      </c>
      <c r="D5" t="inlineStr">
        <is>
          <t>Groundworks</t>
        </is>
      </c>
      <c r="E5" t="n">
        <v>99000</v>
      </c>
      <c r="F5" t="n">
        <v>0.28</v>
      </c>
      <c r="G5">
        <f>E5*(1+F5)</f>
        <v/>
      </c>
      <c r="H5" t="inlineStr">
        <is>
          <t>Phase 1</t>
        </is>
      </c>
      <c r="I5" t="inlineStr">
        <is>
          <t>Land</t>
        </is>
      </c>
      <c r="J5" t="inlineStr"/>
    </row>
    <row r="6">
      <c r="A6" t="inlineStr">
        <is>
          <t>A05</t>
        </is>
      </c>
      <c r="B6" t="inlineStr">
        <is>
          <t>Soil stabilization</t>
        </is>
      </c>
      <c r="C6" t="inlineStr">
        <is>
          <t>Land</t>
        </is>
      </c>
      <c r="D6" t="inlineStr">
        <is>
          <t>Groundworks</t>
        </is>
      </c>
      <c r="E6" t="n">
        <v>60000</v>
      </c>
      <c r="F6" t="n">
        <v>0.3</v>
      </c>
      <c r="G6">
        <f>E6*(1+F6)</f>
        <v/>
      </c>
      <c r="H6" t="inlineStr">
        <is>
          <t>Phase 1</t>
        </is>
      </c>
      <c r="I6" t="inlineStr">
        <is>
          <t>Land</t>
        </is>
      </c>
      <c r="J6" t="inlineStr"/>
    </row>
    <row r="7">
      <c r="A7" t="inlineStr">
        <is>
          <t>A06</t>
        </is>
      </c>
      <c r="B7" t="inlineStr">
        <is>
          <t>Temporary fencing</t>
        </is>
      </c>
      <c r="C7" t="inlineStr">
        <is>
          <t>Land</t>
        </is>
      </c>
      <c r="D7" t="inlineStr">
        <is>
          <t>Temporary</t>
        </is>
      </c>
      <c r="E7" t="n">
        <v>9000</v>
      </c>
      <c r="F7" t="n">
        <v>0.2</v>
      </c>
      <c r="G7">
        <f>E7*(1+F7)</f>
        <v/>
      </c>
      <c r="H7" t="inlineStr">
        <is>
          <t>Phase 1</t>
        </is>
      </c>
      <c r="I7" t="inlineStr">
        <is>
          <t>Land</t>
        </is>
      </c>
      <c r="J7" t="inlineStr"/>
    </row>
    <row r="8">
      <c r="A8" t="inlineStr">
        <is>
          <t>A07</t>
        </is>
      </c>
      <c r="B8" t="inlineStr">
        <is>
          <t>Temporary drainage</t>
        </is>
      </c>
      <c r="C8" t="inlineStr">
        <is>
          <t>Land</t>
        </is>
      </c>
      <c r="D8" t="inlineStr">
        <is>
          <t>Temporary</t>
        </is>
      </c>
      <c r="E8" t="n">
        <v>45000</v>
      </c>
      <c r="F8" t="n">
        <v>0.25</v>
      </c>
      <c r="G8">
        <f>E8*(1+F8)</f>
        <v/>
      </c>
      <c r="H8" t="inlineStr">
        <is>
          <t>Phase 1</t>
        </is>
      </c>
      <c r="I8" t="inlineStr">
        <is>
          <t>Land</t>
        </is>
      </c>
      <c r="J8" t="inlineStr"/>
    </row>
    <row r="9">
      <c r="A9" t="inlineStr">
        <is>
          <t>B01</t>
        </is>
      </c>
      <c r="B9" t="inlineStr">
        <is>
          <t>Pile foundations</t>
        </is>
      </c>
      <c r="C9" t="inlineStr">
        <is>
          <t>Structure</t>
        </is>
      </c>
      <c r="D9" t="inlineStr">
        <is>
          <t>Concrete</t>
        </is>
      </c>
      <c r="E9" t="n">
        <v>199500</v>
      </c>
      <c r="F9" t="n">
        <v>0.32</v>
      </c>
      <c r="G9">
        <f>E9*(1+F9)</f>
        <v/>
      </c>
      <c r="H9" t="inlineStr">
        <is>
          <t>Phase 1</t>
        </is>
      </c>
      <c r="I9" t="inlineStr">
        <is>
          <t>Structure</t>
        </is>
      </c>
      <c r="J9" t="inlineStr"/>
    </row>
    <row r="10">
      <c r="A10" t="inlineStr">
        <is>
          <t>B02</t>
        </is>
      </c>
      <c r="B10" t="inlineStr">
        <is>
          <t>RC footings</t>
        </is>
      </c>
      <c r="C10" t="inlineStr">
        <is>
          <t>Structure</t>
        </is>
      </c>
      <c r="D10" t="inlineStr">
        <is>
          <t>Concrete</t>
        </is>
      </c>
      <c r="E10" t="n">
        <v>239250</v>
      </c>
      <c r="F10" t="n">
        <v>0.32</v>
      </c>
      <c r="G10">
        <f>E10*(1+F10)</f>
        <v/>
      </c>
      <c r="H10" t="inlineStr">
        <is>
          <t>Phase 1</t>
        </is>
      </c>
      <c r="I10" t="inlineStr">
        <is>
          <t>Structure</t>
        </is>
      </c>
      <c r="J10" t="inlineStr"/>
    </row>
    <row r="11">
      <c r="A11" t="inlineStr">
        <is>
          <t>B03</t>
        </is>
      </c>
      <c r="B11" t="inlineStr">
        <is>
          <t>Ground slab</t>
        </is>
      </c>
      <c r="C11" t="inlineStr">
        <is>
          <t>Structure</t>
        </is>
      </c>
      <c r="D11" t="inlineStr">
        <is>
          <t>Concrete</t>
        </is>
      </c>
      <c r="E11" t="n">
        <v>650000</v>
      </c>
      <c r="F11" t="n">
        <v>0.3</v>
      </c>
      <c r="G11">
        <f>E11*(1+F11)</f>
        <v/>
      </c>
      <c r="H11" t="inlineStr">
        <is>
          <t>Phase 1</t>
        </is>
      </c>
      <c r="I11" t="inlineStr">
        <is>
          <t>Structure</t>
        </is>
      </c>
      <c r="J11" t="inlineStr"/>
    </row>
    <row r="12">
      <c r="A12" t="inlineStr">
        <is>
          <t>B04</t>
        </is>
      </c>
      <c r="B12" t="inlineStr">
        <is>
          <t>Reinforcement steel</t>
        </is>
      </c>
      <c r="C12" t="inlineStr">
        <is>
          <t>Structure</t>
        </is>
      </c>
      <c r="D12" t="inlineStr">
        <is>
          <t>Steel</t>
        </is>
      </c>
      <c r="E12" t="n">
        <v>471500</v>
      </c>
      <c r="F12" t="n">
        <v>0.35</v>
      </c>
      <c r="G12">
        <f>E12*(1+F12)</f>
        <v/>
      </c>
      <c r="H12" t="inlineStr">
        <is>
          <t>Phase 1</t>
        </is>
      </c>
      <c r="I12" t="inlineStr">
        <is>
          <t>Structure</t>
        </is>
      </c>
      <c r="J12" t="inlineStr"/>
    </row>
    <row r="13">
      <c r="A13" t="inlineStr">
        <is>
          <t>B05</t>
        </is>
      </c>
      <c r="B13" t="inlineStr">
        <is>
          <t>Steel frame</t>
        </is>
      </c>
      <c r="C13" t="inlineStr">
        <is>
          <t>Structure</t>
        </is>
      </c>
      <c r="D13" t="inlineStr">
        <is>
          <t>Steel</t>
        </is>
      </c>
      <c r="E13" t="n">
        <v>2187500</v>
      </c>
      <c r="F13" t="n">
        <v>0.38</v>
      </c>
      <c r="G13">
        <f>E13*(1+F13)</f>
        <v/>
      </c>
      <c r="H13" t="inlineStr">
        <is>
          <t>Phase 1</t>
        </is>
      </c>
      <c r="I13" t="inlineStr">
        <is>
          <t>Structure</t>
        </is>
      </c>
      <c r="J13" t="inlineStr"/>
    </row>
    <row r="14">
      <c r="A14" t="inlineStr">
        <is>
          <t>B06</t>
        </is>
      </c>
      <c r="B14" t="inlineStr">
        <is>
          <t>Steel coating</t>
        </is>
      </c>
      <c r="C14" t="inlineStr">
        <is>
          <t>Structure</t>
        </is>
      </c>
      <c r="D14" t="inlineStr">
        <is>
          <t>Steel</t>
        </is>
      </c>
      <c r="E14" t="n">
        <v>225000</v>
      </c>
      <c r="F14" t="n">
        <v>0.3</v>
      </c>
      <c r="G14">
        <f>E14*(1+F14)</f>
        <v/>
      </c>
      <c r="H14" t="inlineStr">
        <is>
          <t>Phase 1</t>
        </is>
      </c>
      <c r="I14" t="inlineStr">
        <is>
          <t>Structure</t>
        </is>
      </c>
      <c r="J14" t="inlineStr"/>
    </row>
    <row r="15">
      <c r="A15" t="inlineStr">
        <is>
          <t>B07</t>
        </is>
      </c>
      <c r="B15" t="inlineStr">
        <is>
          <t>Steel erection</t>
        </is>
      </c>
      <c r="C15" t="inlineStr">
        <is>
          <t>Structure</t>
        </is>
      </c>
      <c r="D15" t="inlineStr">
        <is>
          <t>Steel</t>
        </is>
      </c>
      <c r="E15" t="n">
        <v>275000</v>
      </c>
      <c r="F15" t="n">
        <v>0.35</v>
      </c>
      <c r="G15">
        <f>E15*(1+F15)</f>
        <v/>
      </c>
      <c r="H15" t="inlineStr">
        <is>
          <t>Phase 1</t>
        </is>
      </c>
      <c r="I15" t="inlineStr">
        <is>
          <t>Structure</t>
        </is>
      </c>
      <c r="J15" t="inlineStr"/>
    </row>
    <row r="16">
      <c r="A16" t="inlineStr">
        <is>
          <t>B08</t>
        </is>
      </c>
      <c r="B16" t="inlineStr">
        <is>
          <t>Roof panels</t>
        </is>
      </c>
      <c r="C16" t="inlineStr">
        <is>
          <t>Envelope</t>
        </is>
      </c>
      <c r="D16" t="inlineStr">
        <is>
          <t>Roof</t>
        </is>
      </c>
      <c r="E16" t="n">
        <v>368000</v>
      </c>
      <c r="F16" t="n">
        <v>0.25</v>
      </c>
      <c r="G16">
        <f>E16*(1+F16)</f>
        <v/>
      </c>
      <c r="H16" t="inlineStr">
        <is>
          <t>Phase 1</t>
        </is>
      </c>
      <c r="I16" t="inlineStr">
        <is>
          <t>Envelope</t>
        </is>
      </c>
      <c r="J16" t="inlineStr"/>
    </row>
    <row r="17">
      <c r="A17" t="inlineStr">
        <is>
          <t>B09</t>
        </is>
      </c>
      <c r="B17" t="inlineStr">
        <is>
          <t>Facade panels</t>
        </is>
      </c>
      <c r="C17" t="inlineStr">
        <is>
          <t>Envelope</t>
        </is>
      </c>
      <c r="D17" t="inlineStr">
        <is>
          <t>Facade</t>
        </is>
      </c>
      <c r="E17" t="n">
        <v>235600</v>
      </c>
      <c r="F17" t="n">
        <v>0.25</v>
      </c>
      <c r="G17">
        <f>E17*(1+F17)</f>
        <v/>
      </c>
      <c r="H17" t="inlineStr">
        <is>
          <t>Phase 1</t>
        </is>
      </c>
      <c r="I17" t="inlineStr">
        <is>
          <t>Envelope</t>
        </is>
      </c>
      <c r="J17" t="inlineStr"/>
    </row>
    <row r="18">
      <c r="A18" t="inlineStr">
        <is>
          <t>B10</t>
        </is>
      </c>
      <c r="B18" t="inlineStr">
        <is>
          <t>Skylights</t>
        </is>
      </c>
      <c r="C18" t="inlineStr">
        <is>
          <t>Envelope</t>
        </is>
      </c>
      <c r="D18" t="inlineStr">
        <is>
          <t>Roof</t>
        </is>
      </c>
      <c r="E18" t="n">
        <v>117600</v>
      </c>
      <c r="F18" t="n">
        <v>0.2</v>
      </c>
      <c r="G18">
        <f>E18*(1+F18)</f>
        <v/>
      </c>
      <c r="H18" t="inlineStr">
        <is>
          <t>Phase 1</t>
        </is>
      </c>
      <c r="I18" t="inlineStr">
        <is>
          <t>Envelope</t>
        </is>
      </c>
      <c r="J18" t="inlineStr"/>
    </row>
    <row r="19">
      <c r="A19" t="inlineStr">
        <is>
          <t>B11</t>
        </is>
      </c>
      <c r="B19" t="inlineStr">
        <is>
          <t>Industrial doors</t>
        </is>
      </c>
      <c r="C19" t="inlineStr">
        <is>
          <t>Envelope</t>
        </is>
      </c>
      <c r="D19" t="inlineStr">
        <is>
          <t>Doors</t>
        </is>
      </c>
      <c r="E19" t="n">
        <v>144000</v>
      </c>
      <c r="F19" t="n">
        <v>0.18</v>
      </c>
      <c r="G19">
        <f>E19*(1+F19)</f>
        <v/>
      </c>
      <c r="H19" t="inlineStr">
        <is>
          <t>Phase 1</t>
        </is>
      </c>
      <c r="I19" t="inlineStr">
        <is>
          <t>Envelope</t>
        </is>
      </c>
      <c r="J19" t="inlineStr"/>
    </row>
    <row r="20">
      <c r="A20" t="inlineStr">
        <is>
          <t>B12</t>
        </is>
      </c>
      <c r="B20" t="inlineStr">
        <is>
          <t>Personnel doors</t>
        </is>
      </c>
      <c r="C20" t="inlineStr">
        <is>
          <t>Envelope</t>
        </is>
      </c>
      <c r="D20" t="inlineStr">
        <is>
          <t>Doors</t>
        </is>
      </c>
      <c r="E20" t="n">
        <v>45000</v>
      </c>
      <c r="F20" t="n">
        <v>0.18</v>
      </c>
      <c r="G20">
        <f>E20*(1+F20)</f>
        <v/>
      </c>
      <c r="H20" t="inlineStr">
        <is>
          <t>Phase 1</t>
        </is>
      </c>
      <c r="I20" t="inlineStr">
        <is>
          <t>Envelope</t>
        </is>
      </c>
      <c r="J20" t="inlineStr"/>
    </row>
    <row r="21">
      <c r="A21" t="inlineStr">
        <is>
          <t>B13</t>
        </is>
      </c>
      <c r="B21" t="inlineStr">
        <is>
          <t>Internal partitions</t>
        </is>
      </c>
      <c r="C21" t="inlineStr">
        <is>
          <t>Fit-Out</t>
        </is>
      </c>
      <c r="D21" t="inlineStr">
        <is>
          <t>Walls</t>
        </is>
      </c>
      <c r="E21" t="n">
        <v>57600</v>
      </c>
      <c r="F21" t="n">
        <v>0.25</v>
      </c>
      <c r="G21">
        <f>E21*(1+F21)</f>
        <v/>
      </c>
      <c r="H21" t="inlineStr">
        <is>
          <t>Phase 2</t>
        </is>
      </c>
      <c r="I21" t="inlineStr">
        <is>
          <t>Fit-Out</t>
        </is>
      </c>
      <c r="J21" t="inlineStr"/>
    </row>
    <row r="22">
      <c r="A22" t="inlineStr">
        <is>
          <t>B14</t>
        </is>
      </c>
      <c r="B22" t="inlineStr">
        <is>
          <t>Office floors</t>
        </is>
      </c>
      <c r="C22" t="inlineStr">
        <is>
          <t>Fit-Out</t>
        </is>
      </c>
      <c r="D22" t="inlineStr">
        <is>
          <t>Floors</t>
        </is>
      </c>
      <c r="E22" t="n">
        <v>75000</v>
      </c>
      <c r="F22" t="n">
        <v>0.2</v>
      </c>
      <c r="G22">
        <f>E22*(1+F22)</f>
        <v/>
      </c>
      <c r="H22" t="inlineStr">
        <is>
          <t>Phase 2</t>
        </is>
      </c>
      <c r="I22" t="inlineStr">
        <is>
          <t>Fit-Out</t>
        </is>
      </c>
      <c r="J22" t="inlineStr"/>
    </row>
    <row r="23">
      <c r="A23" t="inlineStr">
        <is>
          <t>B15</t>
        </is>
      </c>
      <c r="B23" t="inlineStr">
        <is>
          <t>Sanitary blocks</t>
        </is>
      </c>
      <c r="C23" t="inlineStr">
        <is>
          <t>Fit-Out</t>
        </is>
      </c>
      <c r="D23" t="inlineStr">
        <is>
          <t>Sanitary</t>
        </is>
      </c>
      <c r="E23" t="n">
        <v>180000</v>
      </c>
      <c r="F23" t="n">
        <v>0.25</v>
      </c>
      <c r="G23">
        <f>E23*(1+F23)</f>
        <v/>
      </c>
      <c r="H23" t="inlineStr">
        <is>
          <t>Phase 2</t>
        </is>
      </c>
      <c r="I23" t="inlineStr">
        <is>
          <t>Fit-Out</t>
        </is>
      </c>
      <c r="J23" t="inlineStr"/>
    </row>
    <row r="24">
      <c r="A24" t="inlineStr">
        <is>
          <t>C01</t>
        </is>
      </c>
      <c r="B24" t="inlineStr">
        <is>
          <t>MV connection</t>
        </is>
      </c>
      <c r="C24" t="inlineStr">
        <is>
          <t>MEP</t>
        </is>
      </c>
      <c r="D24" t="inlineStr">
        <is>
          <t>Electrical</t>
        </is>
      </c>
      <c r="E24" t="n">
        <v>280000</v>
      </c>
      <c r="F24" t="n">
        <v>0.2</v>
      </c>
      <c r="G24">
        <f>E24*(1+F24)</f>
        <v/>
      </c>
      <c r="H24" t="inlineStr">
        <is>
          <t>Phase 2</t>
        </is>
      </c>
      <c r="I24" t="inlineStr">
        <is>
          <t>MEP</t>
        </is>
      </c>
      <c r="J24" t="inlineStr"/>
    </row>
    <row r="25">
      <c r="A25" t="inlineStr">
        <is>
          <t>C02</t>
        </is>
      </c>
      <c r="B25" t="inlineStr">
        <is>
          <t>LV distribution</t>
        </is>
      </c>
      <c r="C25" t="inlineStr">
        <is>
          <t>MEP</t>
        </is>
      </c>
      <c r="D25" t="inlineStr">
        <is>
          <t>Electrical</t>
        </is>
      </c>
      <c r="E25" t="n">
        <v>240000</v>
      </c>
      <c r="F25" t="n">
        <v>0.25</v>
      </c>
      <c r="G25">
        <f>E25*(1+F25)</f>
        <v/>
      </c>
      <c r="H25" t="inlineStr">
        <is>
          <t>Phase 2</t>
        </is>
      </c>
      <c r="I25" t="inlineStr">
        <is>
          <t>MEP</t>
        </is>
      </c>
      <c r="J25" t="inlineStr"/>
    </row>
    <row r="26">
      <c r="A26" t="inlineStr">
        <is>
          <t>C03</t>
        </is>
      </c>
      <c r="B26" t="inlineStr">
        <is>
          <t>Internal wiring</t>
        </is>
      </c>
      <c r="C26" t="inlineStr">
        <is>
          <t>MEP</t>
        </is>
      </c>
      <c r="D26" t="inlineStr">
        <is>
          <t>Electrical</t>
        </is>
      </c>
      <c r="E26" t="n">
        <v>220000</v>
      </c>
      <c r="F26" t="n">
        <v>0.28</v>
      </c>
      <c r="G26">
        <f>E26*(1+F26)</f>
        <v/>
      </c>
      <c r="H26" t="inlineStr">
        <is>
          <t>Phase 2</t>
        </is>
      </c>
      <c r="I26" t="inlineStr">
        <is>
          <t>MEP</t>
        </is>
      </c>
      <c r="J26" t="inlineStr"/>
    </row>
    <row r="27">
      <c r="A27" t="inlineStr">
        <is>
          <t>C04</t>
        </is>
      </c>
      <c r="B27" t="inlineStr">
        <is>
          <t>Industrial ventilation</t>
        </is>
      </c>
      <c r="C27" t="inlineStr">
        <is>
          <t>MEP</t>
        </is>
      </c>
      <c r="D27" t="inlineStr">
        <is>
          <t>HVAC</t>
        </is>
      </c>
      <c r="E27" t="n">
        <v>310000</v>
      </c>
      <c r="F27" t="n">
        <v>0.3</v>
      </c>
      <c r="G27">
        <f>E27*(1+F27)</f>
        <v/>
      </c>
      <c r="H27" t="inlineStr">
        <is>
          <t>Phase 2</t>
        </is>
      </c>
      <c r="I27" t="inlineStr">
        <is>
          <t>MEP</t>
        </is>
      </c>
      <c r="J27" t="inlineStr"/>
    </row>
    <row r="28">
      <c r="A28" t="inlineStr">
        <is>
          <t>C05</t>
        </is>
      </c>
      <c r="B28" t="inlineStr">
        <is>
          <t>Office HVAC</t>
        </is>
      </c>
      <c r="C28" t="inlineStr">
        <is>
          <t>MEP</t>
        </is>
      </c>
      <c r="D28" t="inlineStr">
        <is>
          <t>HVAC</t>
        </is>
      </c>
      <c r="E28" t="n">
        <v>190000</v>
      </c>
      <c r="F28" t="n">
        <v>0.25</v>
      </c>
      <c r="G28">
        <f>E28*(1+F28)</f>
        <v/>
      </c>
      <c r="H28" t="inlineStr">
        <is>
          <t>Phase 2</t>
        </is>
      </c>
      <c r="I28" t="inlineStr">
        <is>
          <t>MEP</t>
        </is>
      </c>
      <c r="J28" t="inlineStr"/>
    </row>
    <row r="29">
      <c r="A29" t="inlineStr">
        <is>
          <t>C06</t>
        </is>
      </c>
      <c r="B29" t="inlineStr">
        <is>
          <t>Compressed air</t>
        </is>
      </c>
      <c r="C29" t="inlineStr">
        <is>
          <t>MEP</t>
        </is>
      </c>
      <c r="D29" t="inlineStr">
        <is>
          <t>Process</t>
        </is>
      </c>
      <c r="E29" t="n">
        <v>260000</v>
      </c>
      <c r="F29" t="n">
        <v>0.3</v>
      </c>
      <c r="G29">
        <f>E29*(1+F29)</f>
        <v/>
      </c>
      <c r="H29" t="inlineStr">
        <is>
          <t>Phase 2</t>
        </is>
      </c>
      <c r="I29" t="inlineStr">
        <is>
          <t>MEP</t>
        </is>
      </c>
      <c r="J29" t="inlineStr"/>
    </row>
    <row r="30">
      <c r="A30" t="inlineStr">
        <is>
          <t>C07</t>
        </is>
      </c>
      <c r="B30" t="inlineStr">
        <is>
          <t>Fire detection</t>
        </is>
      </c>
      <c r="C30" t="inlineStr">
        <is>
          <t>MEP</t>
        </is>
      </c>
      <c r="D30" t="inlineStr">
        <is>
          <t>Fire</t>
        </is>
      </c>
      <c r="E30" t="n">
        <v>220000</v>
      </c>
      <c r="F30" t="n">
        <v>0.22</v>
      </c>
      <c r="G30">
        <f>E30*(1+F30)</f>
        <v/>
      </c>
      <c r="H30" t="inlineStr">
        <is>
          <t>Phase 2</t>
        </is>
      </c>
      <c r="I30" t="inlineStr">
        <is>
          <t>MEP</t>
        </is>
      </c>
      <c r="J30" t="inlineStr"/>
    </row>
    <row r="31">
      <c r="A31" t="inlineStr">
        <is>
          <t>C08</t>
        </is>
      </c>
      <c r="B31" t="inlineStr">
        <is>
          <t>Water &amp; sewage</t>
        </is>
      </c>
      <c r="C31" t="inlineStr">
        <is>
          <t>MEP</t>
        </is>
      </c>
      <c r="D31" t="inlineStr">
        <is>
          <t>Plumbing</t>
        </is>
      </c>
      <c r="E31" t="n">
        <v>180000</v>
      </c>
      <c r="F31" t="n">
        <v>0.2</v>
      </c>
      <c r="G31">
        <f>E31*(1+F31)</f>
        <v/>
      </c>
      <c r="H31" t="inlineStr">
        <is>
          <t>Phase 2</t>
        </is>
      </c>
      <c r="I31" t="inlineStr">
        <is>
          <t>MEP</t>
        </is>
      </c>
      <c r="J31" t="inlineStr"/>
    </row>
    <row r="32">
      <c r="A32" t="inlineStr">
        <is>
          <t>C09</t>
        </is>
      </c>
      <c r="B32" t="inlineStr">
        <is>
          <t>Oil separators</t>
        </is>
      </c>
      <c r="C32" t="inlineStr">
        <is>
          <t>MEP</t>
        </is>
      </c>
      <c r="D32" t="inlineStr">
        <is>
          <t>Environmental</t>
        </is>
      </c>
      <c r="E32" t="n">
        <v>65000</v>
      </c>
      <c r="F32" t="n">
        <v>0.18</v>
      </c>
      <c r="G32">
        <f>E32*(1+F32)</f>
        <v/>
      </c>
      <c r="H32" t="inlineStr">
        <is>
          <t>Phase 2</t>
        </is>
      </c>
      <c r="I32" t="inlineStr">
        <is>
          <t>MEP</t>
        </is>
      </c>
      <c r="J32" t="inlineStr"/>
    </row>
    <row r="33">
      <c r="A33" t="inlineStr">
        <is>
          <t>D01</t>
        </is>
      </c>
      <c r="B33" t="inlineStr">
        <is>
          <t>Internal roads</t>
        </is>
      </c>
      <c r="C33" t="inlineStr">
        <is>
          <t>External</t>
        </is>
      </c>
      <c r="D33" t="inlineStr">
        <is>
          <t>Roads</t>
        </is>
      </c>
      <c r="E33" t="n">
        <v>323000</v>
      </c>
      <c r="F33" t="n">
        <v>0.25</v>
      </c>
      <c r="G33">
        <f>E33*(1+F33)</f>
        <v/>
      </c>
      <c r="H33" t="inlineStr">
        <is>
          <t>Phase 1</t>
        </is>
      </c>
      <c r="I33" t="inlineStr">
        <is>
          <t>External</t>
        </is>
      </c>
      <c r="J33" t="inlineStr"/>
    </row>
    <row r="34">
      <c r="A34" t="inlineStr">
        <is>
          <t>D02</t>
        </is>
      </c>
      <c r="B34" t="inlineStr">
        <is>
          <t>Truck yards</t>
        </is>
      </c>
      <c r="C34" t="inlineStr">
        <is>
          <t>External</t>
        </is>
      </c>
      <c r="D34" t="inlineStr">
        <is>
          <t>Yards</t>
        </is>
      </c>
      <c r="E34" t="n">
        <v>176400</v>
      </c>
      <c r="F34" t="n">
        <v>0.28</v>
      </c>
      <c r="G34">
        <f>E34*(1+F34)</f>
        <v/>
      </c>
      <c r="H34" t="inlineStr">
        <is>
          <t>Phase 1</t>
        </is>
      </c>
      <c r="I34" t="inlineStr">
        <is>
          <t>External</t>
        </is>
      </c>
      <c r="J34" t="inlineStr"/>
    </row>
    <row r="35">
      <c r="A35" t="inlineStr">
        <is>
          <t>D03</t>
        </is>
      </c>
      <c r="B35" t="inlineStr">
        <is>
          <t>Fence &amp; gates</t>
        </is>
      </c>
      <c r="C35" t="inlineStr">
        <is>
          <t>External</t>
        </is>
      </c>
      <c r="D35" t="inlineStr">
        <is>
          <t>Security</t>
        </is>
      </c>
      <c r="E35" t="n">
        <v>39600</v>
      </c>
      <c r="F35" t="n">
        <v>0.2</v>
      </c>
      <c r="G35">
        <f>E35*(1+F35)</f>
        <v/>
      </c>
      <c r="H35" t="inlineStr">
        <is>
          <t>Phase 1</t>
        </is>
      </c>
      <c r="I35" t="inlineStr">
        <is>
          <t>External</t>
        </is>
      </c>
      <c r="J35" t="inlineStr"/>
    </row>
    <row r="36">
      <c r="A36" t="inlineStr">
        <is>
          <t>D04</t>
        </is>
      </c>
      <c r="B36" t="inlineStr">
        <is>
          <t>Exterior lighting</t>
        </is>
      </c>
      <c r="C36" t="inlineStr">
        <is>
          <t>External</t>
        </is>
      </c>
      <c r="D36" t="inlineStr">
        <is>
          <t>Lighting</t>
        </is>
      </c>
      <c r="E36" t="n">
        <v>65000</v>
      </c>
      <c r="F36" t="n">
        <v>0.18</v>
      </c>
      <c r="G36">
        <f>E36*(1+F36)</f>
        <v/>
      </c>
      <c r="H36" t="inlineStr">
        <is>
          <t>Phase 1</t>
        </is>
      </c>
      <c r="I36" t="inlineStr">
        <is>
          <t>External</t>
        </is>
      </c>
      <c r="J36" t="inlineStr"/>
    </row>
    <row r="37">
      <c r="A37" t="inlineStr">
        <is>
          <t>E01</t>
        </is>
      </c>
      <c r="B37" t="inlineStr">
        <is>
          <t>Concept design</t>
        </is>
      </c>
      <c r="C37" t="inlineStr">
        <is>
          <t>Professional</t>
        </is>
      </c>
      <c r="D37" t="inlineStr">
        <is>
          <t>Design</t>
        </is>
      </c>
      <c r="E37" t="n">
        <v>160000</v>
      </c>
      <c r="F37" t="n">
        <v>0.25</v>
      </c>
      <c r="G37">
        <f>E37*(1+F37)</f>
        <v/>
      </c>
      <c r="H37" t="inlineStr">
        <is>
          <t>Phase 2</t>
        </is>
      </c>
      <c r="I37" t="inlineStr">
        <is>
          <t>Professional</t>
        </is>
      </c>
      <c r="J37" t="inlineStr"/>
    </row>
    <row r="38">
      <c r="A38" t="inlineStr">
        <is>
          <t>E02</t>
        </is>
      </c>
      <c r="B38" t="inlineStr">
        <is>
          <t>Permits &amp; studies</t>
        </is>
      </c>
      <c r="C38" t="inlineStr">
        <is>
          <t>Professional</t>
        </is>
      </c>
      <c r="D38" t="inlineStr">
        <is>
          <t>Permits</t>
        </is>
      </c>
      <c r="E38" t="n">
        <v>85000</v>
      </c>
      <c r="F38" t="n">
        <v>0.3</v>
      </c>
      <c r="G38">
        <f>E38*(1+F38)</f>
        <v/>
      </c>
      <c r="H38" t="inlineStr">
        <is>
          <t>Phase 2</t>
        </is>
      </c>
      <c r="I38" t="inlineStr">
        <is>
          <t>Professional</t>
        </is>
      </c>
      <c r="J38" t="inlineStr"/>
    </row>
    <row r="39">
      <c r="A39" t="inlineStr">
        <is>
          <t>E03</t>
        </is>
      </c>
      <c r="B39" t="inlineStr">
        <is>
          <t>Supervision</t>
        </is>
      </c>
      <c r="C39" t="inlineStr">
        <is>
          <t>Professional</t>
        </is>
      </c>
      <c r="D39" t="inlineStr">
        <is>
          <t>QA</t>
        </is>
      </c>
      <c r="E39" t="n">
        <v>175000</v>
      </c>
      <c r="F39" t="n">
        <v>0.3</v>
      </c>
      <c r="G39">
        <f>E39*(1+F39)</f>
        <v/>
      </c>
      <c r="H39" t="inlineStr">
        <is>
          <t>Phase 2</t>
        </is>
      </c>
      <c r="I39" t="inlineStr">
        <is>
          <t>Professional</t>
        </is>
      </c>
      <c r="J39" t="inlineStr"/>
    </row>
    <row r="40">
      <c r="A40" t="inlineStr">
        <is>
          <t>F01</t>
        </is>
      </c>
      <c r="B40" t="inlineStr">
        <is>
          <t>Grid connection fee</t>
        </is>
      </c>
      <c r="C40" t="inlineStr">
        <is>
          <t>Utilities</t>
        </is>
      </c>
      <c r="D40" t="inlineStr">
        <is>
          <t>Power</t>
        </is>
      </c>
      <c r="E40" t="n">
        <v>120000</v>
      </c>
      <c r="F40" t="n">
        <v>0.15</v>
      </c>
      <c r="G40">
        <f>E40*(1+F40)</f>
        <v/>
      </c>
      <c r="H40" t="inlineStr">
        <is>
          <t>Phase 2</t>
        </is>
      </c>
      <c r="I40" t="inlineStr">
        <is>
          <t>Utilities</t>
        </is>
      </c>
      <c r="J40" t="inlineStr"/>
    </row>
    <row r="41">
      <c r="A41" t="inlineStr">
        <is>
          <t>F02</t>
        </is>
      </c>
      <c r="B41" t="inlineStr">
        <is>
          <t>Water connection</t>
        </is>
      </c>
      <c r="C41" t="inlineStr">
        <is>
          <t>Utilities</t>
        </is>
      </c>
      <c r="D41" t="inlineStr">
        <is>
          <t>Water</t>
        </is>
      </c>
      <c r="E41" t="n">
        <v>95000</v>
      </c>
      <c r="F41" t="n">
        <v>0.15</v>
      </c>
      <c r="G41">
        <f>E41*(1+F41)</f>
        <v/>
      </c>
      <c r="H41" t="inlineStr">
        <is>
          <t>Phase 2</t>
        </is>
      </c>
      <c r="I41" t="inlineStr">
        <is>
          <t>Utilities</t>
        </is>
      </c>
      <c r="J41" t="inlineStr"/>
    </row>
    <row r="42">
      <c r="A42" t="inlineStr">
        <is>
          <t>F03</t>
        </is>
      </c>
      <c r="B42" t="inlineStr">
        <is>
          <t>Telecom &amp; data</t>
        </is>
      </c>
      <c r="C42" t="inlineStr">
        <is>
          <t>Utilities</t>
        </is>
      </c>
      <c r="D42" t="inlineStr">
        <is>
          <t>IT</t>
        </is>
      </c>
      <c r="E42" t="n">
        <v>45000</v>
      </c>
      <c r="F42" t="n">
        <v>0.15</v>
      </c>
      <c r="G42">
        <f>E42*(1+F42)</f>
        <v/>
      </c>
      <c r="H42" t="inlineStr">
        <is>
          <t>Phase 2</t>
        </is>
      </c>
      <c r="I42" t="inlineStr">
        <is>
          <t>Utilities</t>
        </is>
      </c>
      <c r="J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OPEX_Code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Annual_OPEX_2025</t>
        </is>
      </c>
      <c r="F1" t="inlineStr">
        <is>
          <t>EU_Increase_%</t>
        </is>
      </c>
      <c r="G1" t="inlineStr">
        <is>
          <t>EU_OPEX_2028</t>
        </is>
      </c>
      <c r="H1" t="inlineStr">
        <is>
          <t>Notes</t>
        </is>
      </c>
    </row>
    <row r="2">
      <c r="A2" t="inlineStr">
        <is>
          <t>O01</t>
        </is>
      </c>
      <c r="B2" t="inlineStr">
        <is>
          <t>CEO &amp; management</t>
        </is>
      </c>
      <c r="C2" t="inlineStr">
        <is>
          <t>Payroll</t>
        </is>
      </c>
      <c r="D2" t="inlineStr">
        <is>
          <t>Management</t>
        </is>
      </c>
      <c r="E2" t="n">
        <v>420000</v>
      </c>
      <c r="F2" t="n">
        <v>0.25</v>
      </c>
      <c r="G2">
        <f>E2*(1+F2)</f>
        <v/>
      </c>
      <c r="H2" t="inlineStr"/>
    </row>
    <row r="3">
      <c r="A3" t="inlineStr">
        <is>
          <t>O02</t>
        </is>
      </c>
      <c r="B3" t="inlineStr">
        <is>
          <t>Engineering staff</t>
        </is>
      </c>
      <c r="C3" t="inlineStr">
        <is>
          <t>Payroll</t>
        </is>
      </c>
      <c r="D3" t="inlineStr">
        <is>
          <t>Technical</t>
        </is>
      </c>
      <c r="E3" t="n">
        <v>610000</v>
      </c>
      <c r="F3" t="n">
        <v>0.3</v>
      </c>
      <c r="G3">
        <f>E3*(1+F3)</f>
        <v/>
      </c>
      <c r="H3" t="inlineStr"/>
    </row>
    <row r="4">
      <c r="A4" t="inlineStr">
        <is>
          <t>O03</t>
        </is>
      </c>
      <c r="B4" t="inlineStr">
        <is>
          <t>Admin &amp; finance</t>
        </is>
      </c>
      <c r="C4" t="inlineStr">
        <is>
          <t>Payroll</t>
        </is>
      </c>
      <c r="D4" t="inlineStr">
        <is>
          <t>Admin</t>
        </is>
      </c>
      <c r="E4" t="n">
        <v>280000</v>
      </c>
      <c r="F4" t="n">
        <v>0.22</v>
      </c>
      <c r="G4">
        <f>E4*(1+F4)</f>
        <v/>
      </c>
      <c r="H4" t="inlineStr"/>
    </row>
    <row r="5">
      <c r="A5" t="inlineStr">
        <is>
          <t>O04</t>
        </is>
      </c>
      <c r="B5" t="inlineStr">
        <is>
          <t>Security</t>
        </is>
      </c>
      <c r="C5" t="inlineStr">
        <is>
          <t>Services</t>
        </is>
      </c>
      <c r="D5" t="inlineStr">
        <is>
          <t>Security</t>
        </is>
      </c>
      <c r="E5" t="n">
        <v>120000</v>
      </c>
      <c r="F5" t="n">
        <v>0.18</v>
      </c>
      <c r="G5">
        <f>E5*(1+F5)</f>
        <v/>
      </c>
      <c r="H5" t="inlineStr"/>
    </row>
    <row r="6">
      <c r="A6" t="inlineStr">
        <is>
          <t>O05</t>
        </is>
      </c>
      <c r="B6" t="inlineStr">
        <is>
          <t>Maintenance</t>
        </is>
      </c>
      <c r="C6" t="inlineStr">
        <is>
          <t>Services</t>
        </is>
      </c>
      <c r="D6" t="inlineStr">
        <is>
          <t>Facility</t>
        </is>
      </c>
      <c r="E6" t="n">
        <v>180000</v>
      </c>
      <c r="F6" t="n">
        <v>0.2</v>
      </c>
      <c r="G6">
        <f>E6*(1+F6)</f>
        <v/>
      </c>
      <c r="H6" t="inlineStr"/>
    </row>
    <row r="7">
      <c r="A7" t="inlineStr">
        <is>
          <t>O06</t>
        </is>
      </c>
      <c r="B7" t="inlineStr">
        <is>
          <t>Electricity</t>
        </is>
      </c>
      <c r="C7" t="inlineStr">
        <is>
          <t>Utilities</t>
        </is>
      </c>
      <c r="D7" t="inlineStr">
        <is>
          <t>Power</t>
        </is>
      </c>
      <c r="E7" t="n">
        <v>310000</v>
      </c>
      <c r="F7" t="n">
        <v>0.15</v>
      </c>
      <c r="G7">
        <f>E7*(1+F7)</f>
        <v/>
      </c>
      <c r="H7" t="inlineStr"/>
    </row>
    <row r="8">
      <c r="A8" t="inlineStr">
        <is>
          <t>O07</t>
        </is>
      </c>
      <c r="B8" t="inlineStr">
        <is>
          <t>Water</t>
        </is>
      </c>
      <c r="C8" t="inlineStr">
        <is>
          <t>Utilities</t>
        </is>
      </c>
      <c r="D8" t="inlineStr">
        <is>
          <t>Water</t>
        </is>
      </c>
      <c r="E8" t="n">
        <v>90000</v>
      </c>
      <c r="F8" t="n">
        <v>0.15</v>
      </c>
      <c r="G8">
        <f>E8*(1+F8)</f>
        <v/>
      </c>
      <c r="H8" t="inlineStr"/>
    </row>
    <row r="9">
      <c r="A9" t="inlineStr">
        <is>
          <t>O08</t>
        </is>
      </c>
      <c r="B9" t="inlineStr">
        <is>
          <t>Insurance</t>
        </is>
      </c>
      <c r="C9" t="inlineStr">
        <is>
          <t>Services</t>
        </is>
      </c>
      <c r="D9" t="inlineStr">
        <is>
          <t>Insurance</t>
        </is>
      </c>
      <c r="E9" t="n">
        <v>85000</v>
      </c>
      <c r="F9" t="n">
        <v>0.25</v>
      </c>
      <c r="G9">
        <f>E9*(1+F9)</f>
        <v/>
      </c>
      <c r="H9" t="inlineStr"/>
    </row>
    <row r="10">
      <c r="A10" t="inlineStr">
        <is>
          <t>O09</t>
        </is>
      </c>
      <c r="B10" t="inlineStr">
        <is>
          <t>IT systems</t>
        </is>
      </c>
      <c r="C10" t="inlineStr">
        <is>
          <t>IT</t>
        </is>
      </c>
      <c r="D10" t="inlineStr">
        <is>
          <t>Licenses</t>
        </is>
      </c>
      <c r="E10" t="n">
        <v>95000</v>
      </c>
      <c r="F10" t="n">
        <v>0.2</v>
      </c>
      <c r="G10">
        <f>E10*(1+F10)</f>
        <v/>
      </c>
      <c r="H10" t="inlineStr"/>
    </row>
    <row r="11">
      <c r="A11" t="inlineStr">
        <is>
          <t>O10</t>
        </is>
      </c>
      <c r="B11" t="inlineStr">
        <is>
          <t>Audit &amp; compliance</t>
        </is>
      </c>
      <c r="C11" t="inlineStr">
        <is>
          <t>Compliance</t>
        </is>
      </c>
      <c r="D11" t="inlineStr">
        <is>
          <t>Audit</t>
        </is>
      </c>
      <c r="E11" t="n">
        <v>70000</v>
      </c>
      <c r="F11" t="n">
        <v>0.4</v>
      </c>
      <c r="G11">
        <f>E11*(1+F11)</f>
        <v/>
      </c>
      <c r="H11" t="inlineStr"/>
    </row>
    <row r="12">
      <c r="A12" t="inlineStr">
        <is>
          <t>O11</t>
        </is>
      </c>
      <c r="B12" t="inlineStr">
        <is>
          <t>Environmental monitoring</t>
        </is>
      </c>
      <c r="C12" t="inlineStr">
        <is>
          <t>Compliance</t>
        </is>
      </c>
      <c r="D12" t="inlineStr">
        <is>
          <t>Environmental</t>
        </is>
      </c>
      <c r="E12" t="n">
        <v>45000</v>
      </c>
      <c r="F12" t="n">
        <v>0.5</v>
      </c>
      <c r="G12">
        <f>E12*(1+F12)</f>
        <v/>
      </c>
      <c r="H12" t="inlineStr"/>
    </row>
    <row r="13">
      <c r="A13" t="inlineStr">
        <is>
          <t>O12</t>
        </is>
      </c>
      <c r="B13" t="inlineStr">
        <is>
          <t>Property taxes</t>
        </is>
      </c>
      <c r="C13" t="inlineStr">
        <is>
          <t>Taxes</t>
        </is>
      </c>
      <c r="D13" t="inlineStr">
        <is>
          <t>Local</t>
        </is>
      </c>
      <c r="E13" t="n">
        <v>55000</v>
      </c>
      <c r="F13" t="n">
        <v>0.3</v>
      </c>
      <c r="G13">
        <f>E13*(1+F13)</f>
        <v/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Opening Debt</t>
        </is>
      </c>
      <c r="C1" t="inlineStr">
        <is>
          <t>Drawdown</t>
        </is>
      </c>
      <c r="D1" t="inlineStr">
        <is>
          <t>Rate</t>
        </is>
      </c>
      <c r="E1" t="inlineStr">
        <is>
          <t>Interest</t>
        </is>
      </c>
      <c r="F1" t="inlineStr">
        <is>
          <t>Closing Debt</t>
        </is>
      </c>
    </row>
    <row r="2">
      <c r="A2" t="n">
        <v>2025</v>
      </c>
      <c r="B2" t="n">
        <v>0</v>
      </c>
      <c r="C2" t="n">
        <v>4000000</v>
      </c>
      <c r="D2" t="n">
        <v>0.065</v>
      </c>
      <c r="E2">
        <f>B2*C2*D2</f>
        <v/>
      </c>
      <c r="F2">
        <f>B2+C2</f>
        <v/>
      </c>
    </row>
    <row r="3">
      <c r="A3" t="n">
        <v>2026</v>
      </c>
      <c r="B3">
        <f>F2</f>
        <v/>
      </c>
      <c r="C3" t="n">
        <v>3000000</v>
      </c>
      <c r="D3" t="n">
        <v>0.065</v>
      </c>
      <c r="E3">
        <f>B3*C3*D3</f>
        <v/>
      </c>
      <c r="F3">
        <f>B3+C3</f>
        <v/>
      </c>
    </row>
    <row r="4">
      <c r="A4" t="n">
        <v>2027</v>
      </c>
      <c r="B4">
        <f>F3</f>
        <v/>
      </c>
      <c r="C4" t="n">
        <v>0</v>
      </c>
      <c r="D4" t="n">
        <v>0.065</v>
      </c>
      <c r="E4">
        <f>B4*C4*D4</f>
        <v/>
      </c>
      <c r="F4">
        <f>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Phase</t>
        </is>
      </c>
      <c r="C1" t="inlineStr">
        <is>
          <t>Scope</t>
        </is>
      </c>
      <c r="D1" t="inlineStr">
        <is>
          <t>CAPEX</t>
        </is>
      </c>
      <c r="E1" t="inlineStr">
        <is>
          <t>Timing</t>
        </is>
      </c>
    </row>
    <row r="2">
      <c r="A2" t="inlineStr">
        <is>
          <t>Shell Now</t>
        </is>
      </c>
      <c r="B2" t="inlineStr">
        <is>
          <t>Phase 1</t>
        </is>
      </c>
      <c r="C2" t="inlineStr">
        <is>
          <t>Land+Structure+Envelope+External</t>
        </is>
      </c>
      <c r="D2" t="n">
        <v>6000000</v>
      </c>
      <c r="E2" t="inlineStr">
        <is>
          <t>2025</t>
        </is>
      </c>
    </row>
    <row r="3">
      <c r="A3" t="inlineStr">
        <is>
          <t>MEP Later</t>
        </is>
      </c>
      <c r="B3" t="inlineStr">
        <is>
          <t>Phase 2</t>
        </is>
      </c>
      <c r="C3" t="inlineStr">
        <is>
          <t>All MEP + Fit-out</t>
        </is>
      </c>
      <c r="D3" t="n">
        <v>3500000</v>
      </c>
      <c r="E3" t="inlineStr">
        <is>
          <t>2027</t>
        </is>
      </c>
    </row>
    <row r="4">
      <c r="A4" t="inlineStr">
        <is>
          <t>Full Build</t>
        </is>
      </c>
      <c r="B4" t="inlineStr">
        <is>
          <t>Single</t>
        </is>
      </c>
      <c r="C4" t="inlineStr">
        <is>
          <t>All Scope</t>
        </is>
      </c>
      <c r="D4" t="n">
        <v>10950000</v>
      </c>
      <c r="E4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2025-12-19T11:50:52Z</dcterms:created>
  <dcterms:modified xmlns:dcterms="http://purl.org/dc/terms/" xmlns:xsi="http://www.w3.org/2001/XMLSchema-instance" xsi:type="dcterms:W3CDTF">2025-12-19T11:50:52Z</dcterms:modified>
</cp:coreProperties>
</file>