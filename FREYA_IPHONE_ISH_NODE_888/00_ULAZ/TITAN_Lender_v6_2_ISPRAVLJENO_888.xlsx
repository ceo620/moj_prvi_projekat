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75ac7d4b2f40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ac7783c741674f93"/>
    <x:sheet xmlns:r="http://schemas.openxmlformats.org/officeDocument/2006/relationships" name="Index" sheetId="2" r:id="R5b4c41b982344899"/>
    <x:sheet xmlns:r="http://schemas.openxmlformats.org/officeDocument/2006/relationships" name="Assumptions" sheetId="3" r:id="Rb5816412f4f044aa"/>
    <x:sheet xmlns:r="http://schemas.openxmlformats.org/officeDocument/2006/relationships" name="Production_Margin" sheetId="4" r:id="R8e6d96f8222f40f5"/>
    <x:sheet xmlns:r="http://schemas.openxmlformats.org/officeDocument/2006/relationships" name="Debt_Schedule" sheetId="5" r:id="Re53c909cf8ae4a06"/>
    <x:sheet xmlns:r="http://schemas.openxmlformats.org/officeDocument/2006/relationships" name="DSCR_Snapshot" sheetId="6" r:id="R110c16076a3a47e4"/>
    <x:sheet xmlns:r="http://schemas.openxmlformats.org/officeDocument/2006/relationships" name="Covenant_Dashboard" sheetId="7" r:id="Ra9b76b78bd2647df"/>
    <x:sheet xmlns:r="http://schemas.openxmlformats.org/officeDocument/2006/relationships" name="IC_Voting" sheetId="8" r:id="Rf43a3030f55a4448"/>
    <x:sheet xmlns:r="http://schemas.openxmlformats.org/officeDocument/2006/relationships" name="Document_Control" sheetId="9" r:id="R5ec2718ecdef4c59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7" authorId="0">
      <x:text>
        <x:r>
          <x:t>Source: user request and active project memory.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C3" authorId="0">
      <x:text>
        <x:r>
          <x:t>Source: user project assumptions / active memory</x:t>
        </x:r>
      </x:text>
    </x:comment>
    <x:comment ref="C4" authorId="0">
      <x:text>
        <x:r>
          <x:t>Source: user project timeline / active memory</x:t>
        </x:r>
      </x:text>
    </x:comment>
    <x:comment ref="C5" authorId="0">
      <x:text>
        <x:r>
          <x:t>Source: project draft assumption; confirm against final tax memo</x:t>
        </x:r>
      </x:text>
    </x:comment>
    <x:comment ref="C6" authorId="0">
      <x:text>
        <x:r>
          <x:t>Source: internal lender case placeholder pending final WACC</x:t>
        </x:r>
      </x:text>
    </x:comment>
    <x:comment ref="C7" authorId="0">
      <x:text>
        <x:r>
          <x:t>Source: user requirement / active memory</x:t>
        </x:r>
      </x:text>
    </x:comment>
    <x:comment ref="C8" authorId="0">
      <x:text>
        <x:r>
          <x:t>Source: internal lender case threshold</x:t>
        </x:r>
      </x:text>
    </x:comment>
    <x:comment ref="C9" authorId="0">
      <x:text>
        <x:r>
          <x:t>Source: internal lender case threshold</x:t>
        </x:r>
      </x:text>
    </x:comment>
    <x:comment ref="C12" authorId="0">
      <x:text>
        <x:r>
          <x:t>Source: model placeholder aligned to industrial draft</x:t>
        </x:r>
      </x:text>
    </x:comment>
    <x:comment ref="C13" authorId="0">
      <x:text>
        <x:r>
          <x:t>Source: internal ramp-up placeholder</x:t>
        </x:r>
      </x:text>
    </x:comment>
    <x:comment ref="C14" authorId="0">
      <x:text>
        <x:r>
          <x:t>Source: internal ramp-up placeholder</x:t>
        </x:r>
      </x:text>
    </x:comment>
    <x:comment ref="C15" authorId="0">
      <x:text>
        <x:r>
          <x:t>Source: internal ramp-up placeholder</x:t>
        </x:r>
      </x:text>
    </x:comment>
    <x:comment ref="C16" authorId="0">
      <x:text>
        <x:r>
          <x:t>Source: internal ramp-up placeholder</x:t>
        </x:r>
      </x:text>
    </x:comment>
    <x:comment ref="C17" authorId="0">
      <x:text>
        <x:r>
          <x:t>Source: internal ramp-up placeholder</x:t>
        </x:r>
      </x:text>
    </x:comment>
    <x:comment ref="C18" authorId="0">
      <x:text>
        <x:r>
          <x:t>Source: internal commercial placeholder pending market lock</x:t>
        </x:r>
      </x:text>
    </x:comment>
    <x:comment ref="C19" authorId="0">
      <x:text>
        <x:r>
          <x:t>Source: margin memo assumption</x:t>
        </x:r>
      </x:text>
    </x:comment>
    <x:comment ref="C20" authorId="0">
      <x:text>
        <x:r>
          <x:t>Source: margin memo assumption</x:t>
        </x:r>
      </x:text>
    </x:comment>
    <x:comment ref="C21" authorId="0">
      <x:text>
        <x:r>
          <x:t>Source: internal OPEX placeholder</x:t>
        </x:r>
      </x:text>
    </x:comment>
    <x:comment ref="C22" authorId="0">
      <x:text>
        <x:r>
          <x:t>Source: placeholder escalation</x:t>
        </x:r>
      </x:text>
    </x:comment>
    <x:comment ref="C23" authorId="0">
      <x:text>
        <x:r>
          <x:t>Source: internal lender placeholder</x:t>
        </x:r>
      </x:text>
    </x:comment>
    <x:comment ref="C27" authorId="0">
      <x:text>
        <x:r>
          <x:t>Source: harmonized project draft / active memory</x:t>
        </x:r>
      </x:text>
    </x:comment>
    <x:comment ref="C28" authorId="0">
      <x:text>
        <x:r>
          <x:t>Source: active memory target funding mix</x:t>
        </x:r>
      </x:text>
    </x:comment>
    <x:comment ref="C29" authorId="0">
      <x:text>
        <x:r>
          <x:t>Source: active memory target funding mix</x:t>
        </x:r>
      </x:text>
    </x:comment>
    <x:comment ref="C30" authorId="0">
      <x:text>
        <x:r>
          <x:t>Source: active memory target funding mix</x:t>
        </x:r>
      </x:text>
    </x:comment>
    <x:comment ref="C31" authorId="0">
      <x:text>
        <x:r>
          <x:t>Source: lender placeholder</x:t>
        </x:r>
      </x:text>
    </x:comment>
    <x:comment ref="C32" authorId="0">
      <x:text>
        <x:r>
          <x:t>Source: lender placeholder</x:t>
        </x:r>
      </x:text>
    </x:comment>
    <x:comment ref="C33" authorId="0">
      <x:text>
        <x:r>
          <x:t>Source: lender placeholder</x:t>
        </x:r>
      </x:text>
    </x:comment>
    <x:comment ref="C34" authorId="0">
      <x:text>
        <x:r>
          <x:t>Source: active memory target structure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%"/>
    <x:numFmt numFmtId="165" formatCode="0.00x"/>
    <x:numFmt numFmtId="166" formatCode="€#,##0_);[Red](€#,##0)"/>
    <x:numFmt numFmtId="167" formatCode="0.0000"/>
    <x:numFmt numFmtId="200" formatCode="€#,##0;(€#,##0);–"/>
  </x:numFmts>
  <x:fonts count="11">
    <x:font>
      <x:sz val="11"/>
      <x:color theme="1"/>
      <x:name val="Calibri"/>
    </x:font>
    <x:font>
      <x:b/>
      <x:sz val="20"/>
      <x:color rgb="FFFFFFFF"/>
      <x:name val="Arial"/>
    </x:font>
    <x:font>
      <x:b/>
      <x:sz val="10"/>
      <x:color rgb="FF000000"/>
      <x:name val="Arial"/>
    </x:font>
    <x:font>
      <x:sz val="10"/>
      <x:color rgb="FF666666"/>
      <x:name val="Arial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sz val="10"/>
      <x:color rgb="FF000000"/>
      <x:name val="Arial"/>
    </x:font>
    <x:font>
      <x:b/>
      <x:sz val="10"/>
      <x:color rgb="FFFFFFFF"/>
      <x:name val="Calibri"/>
    </x:font>
    <x:font>
      <x:sz val="10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002060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001D54"/>
      </x:patternFill>
    </x:fill>
  </x:fills>
  <x:borders count="4">
    <x:border/>
    <x:border>
      <x:top style="medium">
        <x:color rgb="FF002060"/>
      </x:top>
      <x:bottom style="medium">
        <x:color rgb="FF002060"/>
      </x:bottom>
    </x:border>
    <x:border>
      <x:top style="thin">
        <x:color rgb="FFD9D9D9"/>
      </x:top>
      <x:bottom style="thin">
        <x:color rgb="FFD9D9D9"/>
      </x:bottom>
    </x:border>
    <x:border>
      <x:bottom style="thin">
        <x:color rgb="FFE6E6E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2" borderId="3" xfId="0" applyAlignment="1">
      <x:alignment vertical="center"/>
    </x:xf>
    <x:xf numFmtId="0" fontId="2" fillId="3" borderId="3" xfId="0" applyAlignment="1">
      <x:alignment vertical="center"/>
    </x:xf>
    <x:xf numFmtId="0" fontId="3" fillId="0" borderId="3" xfId="0" applyAlignment="1">
      <x:alignment vertical="center"/>
    </x:xf>
    <x:xf numFmtId="0" fontId="4" fillId="2" borderId="3" xfId="0" applyAlignment="1">
      <x:alignment vertical="center"/>
    </x:xf>
    <x:xf numFmtId="0" fontId="0" fillId="0" borderId="1" xfId="0"/>
    <x:xf numFmtId="0" fontId="2" fillId="0" borderId="3" xfId="0" applyAlignment="1">
      <x:alignment vertical="center"/>
    </x:xf>
    <x:xf numFmtId="0" fontId="5" fillId="2" borderId="3" xfId="0" applyAlignment="1">
      <x:alignment horizontal="center"/>
    </x:xf>
    <x:xf numFmtId="0" fontId="5" fillId="2" borderId="3" xfId="0" applyAlignment="1">
      <x:alignment vertical="center"/>
    </x:xf>
    <x:xf numFmtId="0" fontId="6" fillId="4" borderId="3" xfId="0" applyAlignment="1">
      <x:alignment vertical="center"/>
    </x:xf>
    <x:xf numFmtId="1" fontId="6" fillId="4" borderId="3" xfId="0" applyAlignment="1">
      <x:alignment vertical="center"/>
    </x:xf>
    <x:xf numFmtId="164" fontId="6" fillId="4" borderId="3" xfId="0" applyAlignment="1">
      <x:alignment vertical="center"/>
    </x:xf>
    <x:xf numFmtId="165" fontId="6" fillId="4" borderId="3" xfId="0" applyAlignment="1">
      <x:alignment vertical="center"/>
    </x:xf>
    <x:xf numFmtId="38" fontId="6" fillId="4" borderId="3" xfId="0" applyAlignment="1">
      <x:alignment vertical="center"/>
    </x:xf>
    <x:xf numFmtId="166" fontId="6" fillId="4" borderId="3" xfId="0" applyAlignment="1">
      <x:alignment vertical="center"/>
    </x:xf>
    <x:xf numFmtId="0" fontId="4" fillId="2" borderId="3" xfId="0" applyAlignment="1">
      <x:alignment horizontal="left"/>
    </x:xf>
    <x:xf numFmtId="0" fontId="3" fillId="0" borderId="3" xfId="0"/>
    <x:xf numFmtId="164" fontId="7" fillId="0" borderId="3" xfId="0" applyAlignment="1">
      <x:alignment vertical="center"/>
    </x:xf>
    <x:xf numFmtId="38" fontId="8" fillId="0" borderId="3" xfId="0" applyAlignment="1">
      <x:alignment vertical="center"/>
    </x:xf>
    <x:xf numFmtId="166" fontId="7" fillId="0" borderId="3" xfId="0" applyAlignment="1">
      <x:alignment vertical="center"/>
    </x:xf>
    <x:xf numFmtId="166" fontId="8" fillId="0" borderId="3" xfId="0" applyAlignment="1">
      <x:alignment vertical="center"/>
    </x:xf>
    <x:xf numFmtId="0" fontId="2" fillId="0" borderId="3" xfId="0"/>
    <x:xf numFmtId="164" fontId="8" fillId="0" borderId="3" xfId="0" applyAlignment="1">
      <x:alignment vertical="center"/>
    </x:xf>
    <x:xf numFmtId="165" fontId="8" fillId="0" borderId="3" xfId="0" applyAlignment="1">
      <x:alignment vertical="center"/>
    </x:xf>
    <x:xf numFmtId="167" fontId="8" fillId="0" borderId="3" xfId="0" applyAlignment="1">
      <x:alignment vertical="center"/>
    </x:xf>
    <x:xf numFmtId="165" fontId="7" fillId="0" borderId="3" xfId="0" applyAlignment="1">
      <x:alignment vertical="center"/>
    </x:xf>
    <x:xf numFmtId="0" fontId="8" fillId="0" borderId="3" xfId="0" applyAlignment="1">
      <x:alignment vertical="center"/>
    </x:xf>
    <x:xf numFmtId="0" fontId="0" fillId="0" borderId="3" xfId="0" applyAlignment="1">
      <x:alignment vertical="center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200" fontId="0" fillId="0" borderId="0" xfId="0" applyNumberFormat="1" applyFont="1" applyFill="1" applyBorder="1"/>
    <x:xf numFmtId="200" fontId="10" fillId="0" borderId="0" xfId="0" applyNumberFormat="1" applyFont="1" applyFill="1" applyBorder="1"/>
  </x:cellXfs>
  <x:cellStyles count="1">
    <x:cellStyle name="Normal" xfId="0"/>
  </x:cellStyles>
  <x:dxfs count="3">
    <x:dxf>
      <x:fill>
        <x:patternFill>
          <x:bgColor rgb="00E2F0D9"/>
        </x:patternFill>
      </x:fill>
    </x:dxf>
    <x:dxf>
      <x:fill>
        <x:patternFill>
          <x:bgColor rgb="00FDE9E7"/>
        </x:patternFill>
      </x:fill>
    </x:dxf>
    <x:dxf>
      <x:fill>
        <x:patternFill>
          <x:bgColor rgb="00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e3af9000374785" /><Relationship Type="http://schemas.openxmlformats.org/officeDocument/2006/relationships/theme" Target="/xl/theme/theme1.xml" Id="R5c99798a0c49495d" /><Relationship Type="http://schemas.openxmlformats.org/officeDocument/2006/relationships/sharedStrings" Target="/xl/sharedStrings.xml" Id="R74023154e955415f" /><Relationship Type="http://schemas.openxmlformats.org/officeDocument/2006/relationships/worksheet" Target="/xl/worksheets/sheet1.xml" Id="Rac7783c741674f93" /><Relationship Type="http://schemas.openxmlformats.org/officeDocument/2006/relationships/worksheet" Target="/xl/worksheets/sheet2.xml" Id="R5b4c41b982344899" /><Relationship Type="http://schemas.openxmlformats.org/officeDocument/2006/relationships/worksheet" Target="/xl/worksheets/sheet3.xml" Id="Rb5816412f4f044aa" /><Relationship Type="http://schemas.openxmlformats.org/officeDocument/2006/relationships/worksheet" Target="/xl/worksheets/sheet4.xml" Id="R8e6d96f8222f40f5" /><Relationship Type="http://schemas.openxmlformats.org/officeDocument/2006/relationships/worksheet" Target="/xl/worksheets/sheet5.xml" Id="Re53c909cf8ae4a06" /><Relationship Type="http://schemas.openxmlformats.org/officeDocument/2006/relationships/worksheet" Target="/xl/worksheets/sheet6.xml" Id="R110c16076a3a47e4" /><Relationship Type="http://schemas.openxmlformats.org/officeDocument/2006/relationships/worksheet" Target="/xl/worksheets/sheet7.xml" Id="Ra9b76b78bd2647df" /><Relationship Type="http://schemas.openxmlformats.org/officeDocument/2006/relationships/worksheet" Target="/xl/worksheets/sheet8.xml" Id="Rf43a3030f55a4448" /><Relationship Type="http://schemas.openxmlformats.org/officeDocument/2006/relationships/worksheet" Target="/xl/worksheets/sheet9.xml" Id="R5ec2718ecdef4c59" /><Relationship Type="http://schemas.microsoft.com/office/2017/10/relationships/person" Target="/xl/persons/person.xml" Id="R81d610226a8e4178" /></Relationships>
</file>

<file path=xl/persons/person.xml><?xml version="1.0" encoding="utf-8"?>
<xltc:personList xmlns:xltc="http://schemas.microsoft.com/office/spreadsheetml/2018/threadedcomments">
  <xltc:person displayName="OpenAI" id="{441D3B8E-E9EA-DA91-7A0D-7BDB7350A610}"/>
  <xltc:person displayName="OpenAI" id="{87346F0D-4CD1-7171-177B-BD2CF9C42E74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8ce3fb7d686427f" /><Relationship Type="http://schemas.openxmlformats.org/officeDocument/2006/relationships/vmlDrawing" Target="/xl/drawings/vmldrawing.vml" Id="R2b0ce3a62cab44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299487dd584a435d" /><Relationship Type="http://schemas.openxmlformats.org/officeDocument/2006/relationships/vmlDrawing" Target="/xl/drawings/vmldrawing2.vml" Id="Rabb354bbebb64a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" customWidth="1"/>
    <x:col min="2" max="2" width="22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</x:cols>
  <x:sheetData>
    <x:row r="1"/>
    <x:row r="2" ht="28" customHeight="1">
      <x:c r="B2" s="1" t="inlineStr">
        <x:is>
          <x:t xml:space="preserve">TITAN GRID / ARS METAL INDUSTRIES
LIVE LENDER LINKAGE PACK v6.2</x:t>
        </x:is>
      </x:c>
    </x:row>
    <x:row r="3"/>
    <x:row r="4"/>
    <x:row r="5"/>
    <x:row r="6"/>
    <x:row r="7">
      <x:c r="B7" s="2" t="inlineStr">
        <x:is>
          <x:t xml:space="preserve">Document Type</x:t>
        </x:is>
      </x:c>
      <x:c r="C7" s="3" t="inlineStr">
        <x:is>
          <x:t xml:space="preserve">Integrated lender model workbook</x:t>
        </x:is>
      </x:c>
    </x:row>
    <x:row r="8">
      <x:c r="B8" s="2" t="inlineStr">
        <x:is>
          <x:t xml:space="preserve">Purpose</x:t>
        </x:is>
      </x:c>
      <x:c r="C8" s="3" t="inlineStr">
        <x:is>
          <x:t xml:space="preserve">Credit committee / lender linkage pack</x:t>
        </x:is>
      </x:c>
    </x:row>
    <x:row r="9">
      <x:c r="B9" s="2" t="inlineStr">
        <x:is>
          <x:t xml:space="preserve">Version</x:t>
        </x:is>
      </x:c>
      <x:c r="C9" s="3" t="inlineStr">
        <x:is>
          <x:t xml:space="preserve">v6.2</x:t>
        </x:is>
      </x:c>
    </x:row>
    <x:row r="10">
      <x:c r="B10" s="2" t="inlineStr">
        <x:is>
          <x:t xml:space="preserve">Date</x:t>
        </x:is>
      </x:c>
      <x:c r="C10" s="3" t="inlineStr">
        <x:is>
          <x:t xml:space="preserve">20 Mar 2026</x:t>
        </x:is>
      </x:c>
    </x:row>
    <x:row r="11">
      <x:c r="B11" s="2" t="inlineStr">
        <x:is>
          <x:t xml:space="preserve">Status</x:t>
        </x:is>
      </x:c>
      <x:c r="C11" s="3" t="str">
        <x:v>Corrected working copy; scope and full tenor pending</x:v>
      </x:c>
    </x:row>
    <x:row r="12"/>
    <x:row r="13"/>
    <x:row r="14">
      <x:c r="B14" s="4" t="inlineStr">
        <x:is>
          <x:t xml:space="preserve">Workbook Map</x:t>
        </x:is>
      </x:c>
      <x:c r="C14" s="5" t="n"/>
      <x:c r="D14" s="5" t="n"/>
      <x:c r="E14" s="5" t="n"/>
      <x:c r="F14" s="5" t="n"/>
    </x:row>
    <x:row r="15">
      <x:c r="B15" s="6" t="inlineStr">
        <x:is>
          <x:t xml:space="preserve">Assumptions</x:t>
        </x:is>
      </x:c>
      <x:c r="C15" s="3" t="inlineStr">
        <x:is>
          <x:t xml:space="preserve">Editable core drivers</x:t>
        </x:is>
      </x:c>
    </x:row>
    <x:row r="16">
      <x:c r="B16" s="6" t="inlineStr">
        <x:is>
          <x:t xml:space="preserve">Production_Margin</x:t>
        </x:is>
      </x:c>
      <x:c r="C16" s="3" t="inlineStr">
        <x:is>
          <x:t xml:space="preserve">Unit economics and EBITDA bridge</x:t>
        </x:is>
      </x:c>
    </x:row>
    <x:row r="17">
      <x:c r="B17" s="6" t="inlineStr">
        <x:is>
          <x:t xml:space="preserve">Debt_Schedule</x:t>
        </x:is>
      </x:c>
      <x:c r="C17" s="3" t="inlineStr">
        <x:is>
          <x:t xml:space="preserve">Debt draw and repayment simplification</x:t>
        </x:is>
      </x:c>
    </x:row>
    <x:row r="18">
      <x:c r="B18" s="6" t="inlineStr">
        <x:is>
          <x:t xml:space="preserve">Covenant_Dashboard</x:t>
        </x:is>
      </x:c>
      <x:c r="C18" s="3" t="inlineStr">
        <x:is>
          <x:t xml:space="preserve">DSCR / LLCR / PLCR / flags</x:t>
        </x:is>
      </x:c>
    </x:row>
    <x:row r="19">
      <x:c r="B19" s="6" t="inlineStr">
        <x:is>
          <x:t xml:space="preserve">DSCR_Snapshot</x:t>
        </x:is>
      </x:c>
      <x:c r="C19" s="3" t="inlineStr">
        <x:is>
          <x:t xml:space="preserve">Annual CFADS and DSCR</x:t>
        </x:is>
      </x:c>
    </x:row>
    <x:row r="20">
      <x:c r="B20" s="6" t="inlineStr">
        <x:is>
          <x:t xml:space="preserve">IC_Voting</x:t>
        </x:is>
      </x:c>
      <x:c r="C20" s="3" t="inlineStr">
        <x:is>
          <x:t xml:space="preserve">Credit committee action page</x:t>
        </x:is>
      </x:c>
    </x:row>
    <x:row r="21">
      <x:c r="B21" s="6" t="inlineStr">
        <x:is>
          <x:t xml:space="preserve">Document_Control</x:t>
        </x:is>
      </x:c>
      <x:c r="C21" s="3" t="inlineStr">
        <x:is>
          <x:t xml:space="preserve">Issue control and revision log</x:t>
        </x:is>
      </x:c>
    </x:row>
  </x:sheetData>
  <x:mergeCells>
    <x:mergeCell ref="C11:E11"/>
    <x:mergeCell ref="C8:E8"/>
    <x:mergeCell ref="C9:E9"/>
    <x:mergeCell ref="B14:F14"/>
    <x:mergeCell ref="B2:H4"/>
    <x:mergeCell ref="C7:E7"/>
    <x:mergeCell ref="C10:E10"/>
  </x:mergeCells>
  <x:pageMargins left="0.7" right="0.7" top="0.75" bottom="0.75" header="0.3" footer="0.3"/>
  <x:legacyDrawing xmlns:r="http://schemas.openxmlformats.org/officeDocument/2006/relationships" r:id="R2b0ce3a62cab44dc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baseColWidth="8" defaultRowHeight="15"/>
  <x:cols>
    <x:col min="1" max="1" width="5" customWidth="1"/>
    <x:col min="2" max="2" width="24" customWidth="1"/>
    <x:col min="3" max="3" width="60" customWidth="1"/>
    <x:col min="4" max="4" width="18" customWidth="1"/>
    <x:col min="5" max="5" width="18" customWidth="1"/>
  </x:cols>
  <x:sheetData>
    <x:row r="1"/>
    <x:row r="2">
      <x:c r="B2" s="4" t="inlineStr">
        <x:is>
          <x:t xml:space="preserve">Navigation Index</x:t>
        </x:is>
      </x:c>
      <x:c r="C2" s="5" t="n"/>
      <x:c r="D2" s="5" t="n"/>
      <x:c r="E2" s="5" t="n"/>
    </x:row>
    <x:row r="3">
      <x:c r="A3" s="7" t="inlineStr">
        <x:is>
          <x:t xml:space="preserve"/>
        </x:is>
      </x:c>
      <x:c r="B3" s="8" t="inlineStr">
        <x:is>
          <x:t xml:space="preserve">Sheet</x:t>
        </x:is>
      </x:c>
      <x:c r="C3" s="8" t="inlineStr">
        <x:is>
          <x:t xml:space="preserve">Description</x:t>
        </x:is>
      </x:c>
      <x:c r="D3" s="8" t="inlineStr">
        <x:is>
          <x:t xml:space="preserve">Owner</x:t>
        </x:is>
      </x:c>
      <x:c r="E3" s="8" t="inlineStr">
        <x:is>
          <x:t xml:space="preserve">Status</x:t>
        </x:is>
      </x:c>
    </x:row>
    <x:row r="4">
      <x:c r="B4" s="6" t="inlineStr">
        <x:is>
          <x:t xml:space="preserve">Assumptions</x:t>
        </x:is>
      </x:c>
      <x:c r="C4" s="3" t="inlineStr">
        <x:is>
          <x:t xml:space="preserve">Core drivers for price, cost, CAPEX, debt, tax and covenant thresholds</x:t>
        </x:is>
      </x:c>
      <x:c r="D4" s="3" t="inlineStr">
        <x:is>
          <x:t xml:space="preserve">Finance</x:t>
        </x:is>
      </x:c>
      <x:c r="E4" s="3" t="inlineStr">
        <x:is>
          <x:t xml:space="preserve">Active</x:t>
        </x:is>
      </x:c>
    </x:row>
    <x:row r="5">
      <x:c r="B5" s="6" t="inlineStr">
        <x:is>
          <x:t xml:space="preserve">Production_Margin</x:t>
        </x:is>
      </x:c>
      <x:c r="C5" s="3" t="inlineStr">
        <x:is>
          <x:t xml:space="preserve">Unit margin build, EBITDA and yearly throughput</x:t>
        </x:is>
      </x:c>
      <x:c r="D5" s="3" t="inlineStr">
        <x:is>
          <x:t xml:space="preserve">Finance</x:t>
        </x:is>
      </x:c>
      <x:c r="E5" s="3" t="inlineStr">
        <x:is>
          <x:t xml:space="preserve">Active</x:t>
        </x:is>
      </x:c>
    </x:row>
    <x:row r="6">
      <x:c r="B6" s="6" t="inlineStr">
        <x:is>
          <x:t xml:space="preserve">Debt_Schedule</x:t>
        </x:is>
      </x:c>
      <x:c r="C6" s="3" t="inlineStr">
        <x:is>
          <x:t xml:space="preserve">Debt funding, grace, repayment and interest</x:t>
        </x:is>
      </x:c>
      <x:c r="D6" s="3" t="inlineStr">
        <x:is>
          <x:t xml:space="preserve">Finance</x:t>
        </x:is>
      </x:c>
      <x:c r="E6" s="3" t="inlineStr">
        <x:is>
          <x:t xml:space="preserve">Active</x:t>
        </x:is>
      </x:c>
    </x:row>
    <x:row r="7">
      <x:c r="B7" s="6" t="inlineStr">
        <x:is>
          <x:t xml:space="preserve">DSCR_Snapshot</x:t>
        </x:is>
      </x:c>
      <x:c r="C7" s="3" t="inlineStr">
        <x:is>
          <x:t xml:space="preserve">CFADS and DSCR by year</x:t>
        </x:is>
      </x:c>
      <x:c r="D7" s="3" t="inlineStr">
        <x:is>
          <x:t xml:space="preserve">Finance</x:t>
        </x:is>
      </x:c>
      <x:c r="E7" s="3" t="inlineStr">
        <x:is>
          <x:t xml:space="preserve">Active</x:t>
        </x:is>
      </x:c>
    </x:row>
    <x:row r="8">
      <x:c r="B8" s="6" t="inlineStr">
        <x:is>
          <x:t xml:space="preserve">Covenant_Dashboard</x:t>
        </x:is>
      </x:c>
      <x:c r="C8" s="3" t="inlineStr">
        <x:is>
          <x:t xml:space="preserve">Lender ratios and flags</x:t>
        </x:is>
      </x:c>
      <x:c r="D8" s="3" t="inlineStr">
        <x:is>
          <x:t xml:space="preserve">Finance</x:t>
        </x:is>
      </x:c>
      <x:c r="E8" s="3" t="inlineStr">
        <x:is>
          <x:t xml:space="preserve">Active</x:t>
        </x:is>
      </x:c>
    </x:row>
    <x:row r="9">
      <x:c r="B9" s="6" t="inlineStr">
        <x:is>
          <x:t xml:space="preserve">IC_Voting</x:t>
        </x:is>
      </x:c>
      <x:c r="C9" s="3" t="inlineStr">
        <x:is>
          <x:t xml:space="preserve">Approval grid and action items</x:t>
        </x:is>
      </x:c>
      <x:c r="D9" s="3" t="inlineStr">
        <x:is>
          <x:t xml:space="preserve">IC Secretariat</x:t>
        </x:is>
      </x:c>
      <x:c r="E9" s="3" t="inlineStr">
        <x:is>
          <x:t xml:space="preserve">Draft</x:t>
        </x:is>
      </x:c>
    </x:row>
    <x:row r="10">
      <x:c r="B10" s="6" t="inlineStr">
        <x:is>
          <x:t xml:space="preserve">Document_Control</x:t>
        </x:is>
      </x:c>
      <x:c r="C10" s="3" t="inlineStr">
        <x:is>
          <x:t xml:space="preserve">Revision history and notes</x:t>
        </x:is>
      </x:c>
      <x:c r="D10" s="3" t="inlineStr">
        <x:is>
          <x:t xml:space="preserve">PMO</x:t>
        </x:is>
      </x:c>
      <x:c r="E10" s="3" t="inlineStr">
        <x:is>
          <x:t xml:space="preserve">Active</x:t>
        </x:is>
      </x:c>
    </x:row>
  </x:sheetData>
  <x:mergeCells>
    <x:mergeCell ref="B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baseColWidth="8" defaultRowHeight="15"/>
  <x:cols>
    <x:col min="1" max="1" width="5" customWidth="1"/>
    <x:col min="2" max="2" width="34" customWidth="1"/>
    <x:col min="3" max="3" width="16" customWidth="1"/>
    <x:col min="4" max="4" width="16" customWidth="1"/>
    <x:col min="5" max="5" width="16" customWidth="1"/>
    <x:col min="6" max="6" width="16" customWidth="1"/>
    <x:col min="7" max="7" width="18" customWidth="1"/>
    <x:col min="8" max="8" width="18" customWidth="1"/>
  </x:cols>
  <x:sheetData>
    <x:row r="1"/>
    <x:row r="2">
      <x:c r="B2" s="4" t="inlineStr">
        <x:is>
          <x:t xml:space="preserve">Model Control</x:t>
        </x:is>
      </x:c>
      <x:c r="C2" s="5" t="n"/>
      <x:c r="D2" s="5" t="n"/>
      <x:c r="E2" s="5" t="n"/>
      <x:c r="F2" s="5" t="n"/>
    </x:row>
    <x:row r="3">
      <x:c r="B3" s="6" t="inlineStr">
        <x:is>
          <x:t xml:space="preserve">Model Currency</x:t>
        </x:is>
      </x:c>
      <x:c r="C3" s="9" t="inlineStr">
        <x:is>
          <x:t xml:space="preserve">EUR</x:t>
        </x:is>
      </x:c>
    </x:row>
    <x:row r="4">
      <x:c r="B4" s="6" t="inlineStr">
        <x:is>
          <x:t xml:space="preserve">Base Year</x:t>
        </x:is>
      </x:c>
      <x:c r="C4" s="10" t="n">
        <x:v>2029</x:v>
      </x:c>
    </x:row>
    <x:row r="5">
      <x:c r="B5" s="6" t="inlineStr">
        <x:is>
          <x:t xml:space="preserve">Tax Rate</x:t>
        </x:is>
      </x:c>
      <x:c r="C5" s="11" t="n">
        <x:v>0.09</x:v>
      </x:c>
    </x:row>
    <x:row r="6">
      <x:c r="B6" s="6" t="inlineStr">
        <x:is>
          <x:t xml:space="preserve">Discount Rate</x:t>
        </x:is>
      </x:c>
      <x:c r="C6" s="11" t="n">
        <x:v>0.12</x:v>
      </x:c>
    </x:row>
    <x:row r="7">
      <x:c r="B7" s="6" t="inlineStr">
        <x:is>
          <x:t xml:space="preserve">Target Minimum DSCR</x:t>
        </x:is>
      </x:c>
      <x:c r="C7" s="12" t="n">
        <x:v>1.25</x:v>
      </x:c>
    </x:row>
    <x:row r="8">
      <x:c r="B8" s="6" t="inlineStr">
        <x:is>
          <x:t xml:space="preserve">Target Minimum LLCR</x:t>
        </x:is>
      </x:c>
      <x:c r="C8" s="12" t="n">
        <x:v>1.4</x:v>
      </x:c>
    </x:row>
    <x:row r="9">
      <x:c r="B9" s="6" t="inlineStr">
        <x:is>
          <x:t xml:space="preserve">Target Minimum PLCR</x:t>
        </x:is>
      </x:c>
      <x:c r="C9" s="12" t="n">
        <x:v>1.5</x:v>
      </x:c>
    </x:row>
    <x:row r="10"/>
    <x:row r="11">
      <x:c r="B11" s="4" t="inlineStr">
        <x:is>
          <x:t xml:space="preserve">Operating Drivers</x:t>
        </x:is>
      </x:c>
      <x:c r="C11" s="5" t="n"/>
      <x:c r="D11" s="5" t="n"/>
      <x:c r="E11" s="5" t="n"/>
      <x:c r="F11" s="5" t="n"/>
    </x:row>
    <x:row r="12">
      <x:c r="B12" s="6" t="inlineStr">
        <x:is>
          <x:t xml:space="preserve">Nameplate Throughput (t)</x:t>
        </x:is>
      </x:c>
      <x:c r="C12" s="13" t="n">
        <x:v>12000</x:v>
      </x:c>
    </x:row>
    <x:row r="13">
      <x:c r="B13" s="6" t="inlineStr">
        <x:is>
          <x:t xml:space="preserve">Ramp-Up 2029</x:t>
        </x:is>
      </x:c>
      <x:c r="C13" s="11" t="n">
        <x:v>0.6</x:v>
      </x:c>
    </x:row>
    <x:row r="14">
      <x:c r="B14" s="6" t="inlineStr">
        <x:is>
          <x:t xml:space="preserve">Ramp-Up 2030</x:t>
        </x:is>
      </x:c>
      <x:c r="C14" s="11" t="n">
        <x:v>0.75</x:v>
      </x:c>
    </x:row>
    <x:row r="15">
      <x:c r="B15" s="6" t="inlineStr">
        <x:is>
          <x:t xml:space="preserve">Ramp-Up 2031</x:t>
        </x:is>
      </x:c>
      <x:c r="C15" s="11" t="n">
        <x:v>0.85</x:v>
      </x:c>
    </x:row>
    <x:row r="16">
      <x:c r="B16" s="6" t="inlineStr">
        <x:is>
          <x:t xml:space="preserve">Ramp-Up 2032</x:t>
        </x:is>
      </x:c>
      <x:c r="C16" s="11" t="n">
        <x:v>0.9</x:v>
      </x:c>
    </x:row>
    <x:row r="17">
      <x:c r="B17" s="6" t="inlineStr">
        <x:is>
          <x:t xml:space="preserve">Ramp-Up 2033</x:t>
        </x:is>
      </x:c>
      <x:c r="C17" s="11" t="n">
        <x:v>0.92</x:v>
      </x:c>
    </x:row>
    <x:row r="18">
      <x:c r="B18" s="6" t="inlineStr">
        <x:is>
          <x:t xml:space="preserve">Average Revenue per Ton</x:t>
        </x:is>
      </x:c>
      <x:c r="C18" s="14" t="n">
        <x:v>2400</x:v>
      </x:c>
    </x:row>
    <x:row r="19">
      <x:c r="B19" s="6" t="inlineStr">
        <x:is>
          <x:t xml:space="preserve">Steel Cost % of Revenue</x:t>
        </x:is>
      </x:c>
      <x:c r="C19" s="11" t="n">
        <x:v>0.55</x:v>
      </x:c>
    </x:row>
    <x:row r="20">
      <x:c r="B20" s="6" t="inlineStr">
        <x:is>
          <x:t xml:space="preserve">Variable Ops % of Revenue</x:t>
        </x:is>
      </x:c>
      <x:c r="C20" s="11" t="n">
        <x:v>0.125</x:v>
      </x:c>
    </x:row>
    <x:row r="21">
      <x:c r="B21" s="6" t="inlineStr">
        <x:is>
          <x:t xml:space="preserve">Fixed Opex 2029</x:t>
        </x:is>
      </x:c>
      <x:c r="C21" s="14" t="n">
        <x:v>1200000</x:v>
      </x:c>
    </x:row>
    <x:row r="22">
      <x:c r="B22" s="6" t="inlineStr">
        <x:is>
          <x:t xml:space="preserve">Fixed Opex Growth</x:t>
        </x:is>
      </x:c>
      <x:c r="C22" s="11" t="n">
        <x:v>0.03</x:v>
      </x:c>
    </x:row>
    <x:row r="23">
      <x:c r="B23" s="6" t="inlineStr">
        <x:is>
          <x:t xml:space="preserve">Maintenance Capex % Revenue</x:t>
        </x:is>
      </x:c>
      <x:c r="C23" s="11" t="n">
        <x:v>0.015</x:v>
      </x:c>
    </x:row>
    <x:row r="24"/>
    <x:row r="25"/>
    <x:row r="26">
      <x:c r="B26" s="4" t="inlineStr">
        <x:is>
          <x:t xml:space="preserve">Funding &amp; Debt Drivers</x:t>
        </x:is>
      </x:c>
      <x:c r="C26" s="5" t="n"/>
      <x:c r="D26" s="5" t="n"/>
      <x:c r="E26" s="5" t="n"/>
      <x:c r="F26" s="5" t="n"/>
    </x:row>
    <x:row r="27">
      <x:c r="B27" s="6" t="inlineStr">
        <x:is>
          <x:t xml:space="preserve">Total CAPEX</x:t>
        </x:is>
      </x:c>
      <x:c r="C27" s="14" t="n">
        <x:v>16000000</x:v>
      </x:c>
    </x:row>
    <x:row r="28">
      <x:c r="B28" s="6" t="inlineStr">
        <x:is>
          <x:t xml:space="preserve">Debt Share</x:t>
        </x:is>
      </x:c>
      <x:c r="C28" s="11" t="n">
        <x:v>0.6</x:v>
      </x:c>
    </x:row>
    <x:row r="29">
      <x:c r="B29" s="6" t="inlineStr">
        <x:is>
          <x:t xml:space="preserve">Equity Share</x:t>
        </x:is>
      </x:c>
      <x:c r="C29" s="11" t="n">
        <x:v>0.25</x:v>
      </x:c>
    </x:row>
    <x:row r="30">
      <x:c r="B30" s="6" t="inlineStr">
        <x:is>
          <x:t xml:space="preserve">Grant Share</x:t>
        </x:is>
      </x:c>
      <x:c r="C30" s="11" t="n">
        <x:v>0.15</x:v>
      </x:c>
    </x:row>
    <x:row r="31">
      <x:c r="B31" s="6" t="inlineStr">
        <x:is>
          <x:t xml:space="preserve">Debt Interest Rate</x:t>
        </x:is>
      </x:c>
      <x:c r="C31" s="11" t="n">
        <x:v>0.065</x:v>
      </x:c>
    </x:row>
    <x:row r="32">
      <x:c r="B32" s="6" t="inlineStr">
        <x:is>
          <x:t xml:space="preserve">Debt Tenor (years)</x:t>
        </x:is>
      </x:c>
      <x:c r="C32" s="10" t="n">
        <x:v>8</x:v>
      </x:c>
    </x:row>
    <x:row r="33">
      <x:c r="B33" s="6" t="inlineStr">
        <x:is>
          <x:t xml:space="preserve">Grace Period (years)</x:t>
        </x:is>
      </x:c>
      <x:c r="C33" s="10" t="n">
        <x:v>2</x:v>
      </x:c>
    </x:row>
    <x:row r="34">
      <x:c r="B34" s="6" t="inlineStr">
        <x:is>
          <x:t xml:space="preserve">DSRA Months</x:t>
        </x:is>
      </x:c>
      <x:c r="C34" s="10" t="n">
        <x:v>6</x:v>
      </x:c>
    </x:row>
    <x:row r="36">
      <x:c r="B36" t="str">
        <x:v>Human approval</x:v>
      </x:c>
      <x:c r="C36" t="str">
        <x:v>PENDING</x:v>
      </x:c>
    </x:row>
    <x:row r="37">
      <x:c r="B37" t="str">
        <x:v>Approval evidence</x:v>
      </x:c>
      <x:c r="C37" t="str"/>
    </x:row>
    <x:row r="38">
      <x:c r="B38" t="str">
        <x:v>CAPEX scope reconciled</x:v>
      </x:c>
      <x:c r="C38" t="str">
        <x:v>PENDING</x:v>
      </x:c>
    </x:row>
    <x:row r="39">
      <x:c r="B39" t="str">
        <x:v>Debt terms confirmed</x:v>
      </x:c>
      <x:c r="C39" t="str">
        <x:v>PENDING</x:v>
      </x:c>
    </x:row>
    <x:row r="40">
      <x:c r="B40" t="str">
        <x:v>Forecast horizon years</x:v>
      </x:c>
      <x:c r="C40" t="n">
        <x:f>COLUMNS(DSCR_Snapshot!B4:F4)</x:f>
        <x:v>5</x:v>
      </x:c>
    </x:row>
  </x:sheetData>
  <x:mergeCells>
    <x:mergeCell ref="B2:F2"/>
    <x:mergeCell ref="B26:F26"/>
    <x:mergeCell ref="B11:F11"/>
  </x:mergeCells>
  <x:pageMargins left="0.7" right="0.7" top="0.75" bottom="0.75" header="0.3" footer="0.3"/>
  <x:legacyDrawing xmlns:r="http://schemas.openxmlformats.org/officeDocument/2006/relationships" r:id="Rabb354bbebb64a4b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baseColWidth="8" defaultRowHeight="15"/>
  <x:cols>
    <x:col min="1" max="1" width="24" customWidth="1"/>
    <x:col min="2" max="2" width="14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</x:cols>
  <x:sheetData>
    <x:row r="1"/>
    <x:row r="2">
      <x:c r="A2" s="15" t="inlineStr">
        <x:is>
          <x:t xml:space="preserve">Production &amp; Margin Build</x:t>
        </x:is>
      </x:c>
      <x:c r="B2" s="5" t="n"/>
      <x:c r="C2" s="5" t="n"/>
      <x:c r="D2" s="5" t="n"/>
      <x:c r="E2" s="5" t="n"/>
      <x:c r="F2" s="5" t="n"/>
      <x:c r="G2" s="5" t="n"/>
      <x:c r="H2" s="5" t="n"/>
      <x:c r="I2" s="5" t="n"/>
      <x:c r="J2" s="5" t="n"/>
      <x:c r="K2" s="5" t="n"/>
    </x:row>
    <x:row r="3"/>
    <x:row r="4">
      <x:c r="B4" s="8" t="n">
        <x:v>2029</x:v>
      </x:c>
      <x:c r="C4" s="8" t="n">
        <x:v>2030</x:v>
      </x:c>
      <x:c r="D4" s="8" t="n">
        <x:v>2031</x:v>
      </x:c>
      <x:c r="E4" s="8" t="n">
        <x:v>2032</x:v>
      </x:c>
      <x:c r="F4" s="8" t="n">
        <x:v>2033</x:v>
      </x:c>
    </x:row>
    <x:row r="5">
      <x:c r="A5" s="16" t="inlineStr">
        <x:is>
          <x:t xml:space="preserve">Ramp-Up</x:t>
        </x:is>
      </x:c>
      <x:c r="B5" s="17" t="n">
        <x:f>Assumptions!$C$13</x:f>
        <x:v>0.6</x:v>
      </x:c>
      <x:c r="C5" s="17" t="n">
        <x:f>Assumptions!$C$14</x:f>
        <x:v>0.75</x:v>
      </x:c>
      <x:c r="D5" s="17" t="n">
        <x:f>Assumptions!$C$15</x:f>
        <x:v>0.85</x:v>
      </x:c>
      <x:c r="E5" s="17" t="n">
        <x:f>Assumptions!$C$16</x:f>
        <x:v>0.9</x:v>
      </x:c>
      <x:c r="F5" s="17" t="n">
        <x:f>Assumptions!$C$17</x:f>
        <x:v>0.92</x:v>
      </x:c>
    </x:row>
    <x:row r="6">
      <x:c r="A6" s="16" t="inlineStr">
        <x:is>
          <x:t xml:space="preserve">Production (t)</x:t>
        </x:is>
      </x:c>
      <x:c r="B6" s="18" t="n">
        <x:f>Assumptions!$C$12*B5</x:f>
        <x:v>7200</x:v>
      </x:c>
      <x:c r="C6" s="18" t="n">
        <x:f>Assumptions!$C$12*C5</x:f>
        <x:v>9000</x:v>
      </x:c>
      <x:c r="D6" s="18" t="n">
        <x:f>Assumptions!$C$12*D5</x:f>
        <x:v>10200</x:v>
      </x:c>
      <x:c r="E6" s="18" t="n">
        <x:f>Assumptions!$C$12*E5</x:f>
        <x:v>10800</x:v>
      </x:c>
      <x:c r="F6" s="18" t="n">
        <x:f>Assumptions!$C$12*F5</x:f>
        <x:v>11040</x:v>
      </x:c>
    </x:row>
    <x:row r="7">
      <x:c r="A7" s="16" t="inlineStr">
        <x:is>
          <x:t xml:space="preserve">Revenue / t</x:t>
        </x:is>
      </x:c>
      <x:c r="B7" s="19" t="n">
        <x:f>Assumptions!$C$18</x:f>
        <x:v>2400</x:v>
      </x:c>
      <x:c r="C7" s="19" t="n">
        <x:f>Assumptions!$C$18</x:f>
        <x:v>2400</x:v>
      </x:c>
      <x:c r="D7" s="19" t="n">
        <x:f>Assumptions!$C$18</x:f>
        <x:v>2400</x:v>
      </x:c>
      <x:c r="E7" s="19" t="n">
        <x:f>Assumptions!$C$18</x:f>
        <x:v>2400</x:v>
      </x:c>
      <x:c r="F7" s="19" t="n">
        <x:f>Assumptions!$C$18</x:f>
        <x:v>2400</x:v>
      </x:c>
    </x:row>
    <x:row r="8">
      <x:c r="A8" s="16" t="inlineStr">
        <x:is>
          <x:t xml:space="preserve">Revenue (€)</x:t>
        </x:is>
      </x:c>
      <x:c r="B8" s="20" t="n">
        <x:f>B6*B7</x:f>
        <x:v>17280000</x:v>
      </x:c>
      <x:c r="C8" s="20" t="n">
        <x:f>C6*C7</x:f>
        <x:v>21600000</x:v>
      </x:c>
      <x:c r="D8" s="20" t="n">
        <x:f>D6*D7</x:f>
        <x:v>24480000</x:v>
      </x:c>
      <x:c r="E8" s="20" t="n">
        <x:f>E6*E7</x:f>
        <x:v>25920000</x:v>
      </x:c>
      <x:c r="F8" s="20" t="n">
        <x:f>F6*F7</x:f>
        <x:v>26496000</x:v>
      </x:c>
    </x:row>
    <x:row r="9">
      <x:c r="A9" s="16" t="inlineStr">
        <x:is>
          <x:t xml:space="preserve">Steel Cost (€)</x:t>
        </x:is>
      </x:c>
      <x:c r="B9" s="20" t="n">
        <x:f>B8*Assumptions!$C$19</x:f>
        <x:v>9504000</x:v>
      </x:c>
      <x:c r="C9" s="20" t="n">
        <x:f>C8*Assumptions!$C$19</x:f>
        <x:v>11880000.000000002</x:v>
      </x:c>
      <x:c r="D9" s="20" t="n">
        <x:f>D8*Assumptions!$C$19</x:f>
        <x:v>13464000.000000002</x:v>
      </x:c>
      <x:c r="E9" s="20" t="n">
        <x:f>E8*Assumptions!$C$19</x:f>
        <x:v>14256000.000000002</x:v>
      </x:c>
      <x:c r="F9" s="20" t="n">
        <x:f>F8*Assumptions!$C$19</x:f>
        <x:v>14572800.000000002</x:v>
      </x:c>
    </x:row>
    <x:row r="10">
      <x:c r="A10" s="16" t="inlineStr">
        <x:is>
          <x:t xml:space="preserve">Variable Ops (€)</x:t>
        </x:is>
      </x:c>
      <x:c r="B10" s="20" t="n">
        <x:f>B8*Assumptions!$C$20</x:f>
        <x:v>2160000</x:v>
      </x:c>
      <x:c r="C10" s="20" t="n">
        <x:f>C8*Assumptions!$C$20</x:f>
        <x:v>2700000</x:v>
      </x:c>
      <x:c r="D10" s="20" t="n">
        <x:f>D8*Assumptions!$C$20</x:f>
        <x:v>3060000</x:v>
      </x:c>
      <x:c r="E10" s="20" t="n">
        <x:f>E8*Assumptions!$C$20</x:f>
        <x:v>3240000</x:v>
      </x:c>
      <x:c r="F10" s="20" t="n">
        <x:f>F8*Assumptions!$C$20</x:f>
        <x:v>3312000</x:v>
      </x:c>
    </x:row>
    <x:row r="11">
      <x:c r="A11" s="21" t="inlineStr">
        <x:is>
          <x:t xml:space="preserve">Contribution Margin (€)</x:t>
        </x:is>
      </x:c>
      <x:c r="B11" s="20" t="n">
        <x:f>B8-B9-B10</x:f>
        <x:v>5616000</x:v>
      </x:c>
      <x:c r="C11" s="20" t="n">
        <x:f>C8-C9-C10</x:f>
        <x:v>7019999.999999998</x:v>
      </x:c>
      <x:c r="D11" s="20" t="n">
        <x:f>D8-D9-D10</x:f>
        <x:v>7955999.999999998</x:v>
      </x:c>
      <x:c r="E11" s="20" t="n">
        <x:f>E8-E9-E10</x:f>
        <x:v>8423999.999999998</x:v>
      </x:c>
      <x:c r="F11" s="20" t="n">
        <x:f>F8-F9-F10</x:f>
        <x:v>8611199.999999998</x:v>
      </x:c>
    </x:row>
    <x:row r="12">
      <x:c r="A12" s="16" t="inlineStr">
        <x:is>
          <x:t xml:space="preserve">Fixed Opex (€)</x:t>
        </x:is>
      </x:c>
      <x:c r="B12" s="19" t="n">
        <x:f>Assumptions!$C$21</x:f>
        <x:v>1200000</x:v>
      </x:c>
      <x:c r="C12" s="20" t="n">
        <x:f>B12*(1+Assumptions!$C$22)</x:f>
        <x:v>1236000</x:v>
      </x:c>
      <x:c r="D12" s="20" t="n">
        <x:f>C12*(1+Assumptions!$C$22)</x:f>
        <x:v>1273080</x:v>
      </x:c>
      <x:c r="E12" s="20" t="n">
        <x:f>D12*(1+Assumptions!$C$22)</x:f>
        <x:v>1311272.4000000001</x:v>
      </x:c>
      <x:c r="F12" s="20" t="n">
        <x:f>E12*(1+Assumptions!$C$22)</x:f>
        <x:v>1350610.5720000002</x:v>
      </x:c>
    </x:row>
    <x:row r="13">
      <x:c r="A13" s="21" t="inlineStr">
        <x:is>
          <x:t xml:space="preserve">EBITDA (€)</x:t>
        </x:is>
      </x:c>
      <x:c r="B13" s="20" t="n">
        <x:f>B11-B12</x:f>
        <x:v>4416000</x:v>
      </x:c>
      <x:c r="C13" s="20" t="n">
        <x:f>C11-C12</x:f>
        <x:v>5783999.999999998</x:v>
      </x:c>
      <x:c r="D13" s="20" t="n">
        <x:f>D11-D12</x:f>
        <x:v>6682919.999999998</x:v>
      </x:c>
      <x:c r="E13" s="20" t="n">
        <x:f>E11-E12</x:f>
        <x:v>7112727.599999998</x:v>
      </x:c>
      <x:c r="F13" s="20" t="n">
        <x:f>F11-F12</x:f>
        <x:v>7260589.4279999975</x:v>
      </x:c>
    </x:row>
    <x:row r="14">
      <x:c r="A14" s="21" t="inlineStr">
        <x:is>
          <x:t xml:space="preserve">EBITDA Margin</x:t>
        </x:is>
      </x:c>
      <x:c r="B14" s="22" t="n">
        <x:f>IFERROR(B13/B8,0)</x:f>
        <x:v>0.25555555555555554</x:v>
      </x:c>
      <x:c r="C14" s="22" t="n">
        <x:f>IFERROR(C13/C8,0)</x:f>
        <x:v>0.26777777777777767</x:v>
      </x:c>
      <x:c r="D14" s="22" t="n">
        <x:f>IFERROR(D13/D8,0)</x:f>
        <x:v>0.2729950980392156</x:v>
      </x:c>
      <x:c r="E14" s="22" t="n">
        <x:f>IFERROR(E13/E8,0)</x:f>
        <x:v>0.274410787037037</x:v>
      </x:c>
      <x:c r="F14" s="22" t="n">
        <x:f>IFERROR(F13/F8,0)</x:f>
        <x:v>0.27402586911231874</x:v>
      </x:c>
    </x:row>
    <x:row r="15">
      <x:c r="A15" s="16" t="inlineStr">
        <x:is>
          <x:t xml:space="preserve">Maintenance Capex (€)</x:t>
        </x:is>
      </x:c>
      <x:c r="B15" s="20" t="n">
        <x:f>B8*Assumptions!$C$23</x:f>
        <x:v>259200</x:v>
      </x:c>
      <x:c r="C15" s="20" t="n">
        <x:f>C8*Assumptions!$C$23</x:f>
        <x:v>324000</x:v>
      </x:c>
      <x:c r="D15" s="20" t="n">
        <x:f>D8*Assumptions!$C$23</x:f>
        <x:v>367200</x:v>
      </x:c>
      <x:c r="E15" s="20" t="n">
        <x:f>E8*Assumptions!$C$23</x:f>
        <x:v>388800</x:v>
      </x:c>
      <x:c r="F15" s="20" t="n">
        <x:f>F8*Assumptions!$C$23</x:f>
        <x:v>397440</x:v>
      </x:c>
    </x:row>
  </x:sheetData>
  <x:mergeCells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baseColWidth="8" defaultRowHeight="15"/>
  <x:cols>
    <x:col min="1" max="1" width="22" customWidth="1"/>
    <x:col min="2" max="2" width="14" customWidth="1"/>
    <x:col min="3" max="3" width="14" customWidth="1"/>
    <x:col min="4" max="4" width="14" customWidth="1"/>
    <x:col min="5" max="5" width="14" customWidth="1"/>
    <x:col min="6" max="6" width="14" customWidth="1"/>
    <x:col min="7" max="7" width="18" hidden="0" customWidth="1"/>
    <x:col min="8" max="8" width="18" hidden="0" customWidth="1"/>
    <x:col min="9" max="9" width="18" hidden="0" customWidth="1"/>
    <x:col min="10" max="10" width="14" customWidth="1"/>
    <x:col min="11" max="11" width="14" customWidth="1"/>
    <x:col min="12" max="12" width="14" customWidth="1"/>
  </x:cols>
  <x:sheetData>
    <x:row r="1"/>
    <x:row r="2">
      <x:c r="A2" s="15" t="inlineStr">
        <x:is>
          <x:t xml:space="preserve">Debt Schedule</x:t>
        </x:is>
      </x:c>
      <x:c r="B2" s="5" t="n"/>
      <x:c r="C2" s="5" t="n"/>
      <x:c r="D2" s="5" t="n"/>
      <x:c r="E2" s="5" t="n"/>
      <x:c r="F2" s="5" t="n"/>
      <x:c r="G2" s="5" t="n"/>
    </x:row>
    <x:row r="3"/>
    <x:row r="4">
      <x:c r="B4" s="8" t="n">
        <x:v>2029</x:v>
      </x:c>
      <x:c r="C4" s="8" t="n">
        <x:v>2030</x:v>
      </x:c>
      <x:c r="D4" s="8" t="n">
        <x:v>2031</x:v>
      </x:c>
      <x:c r="E4" s="8" t="n">
        <x:v>2032</x:v>
      </x:c>
      <x:c r="F4" s="8" t="n">
        <x:v>2033</x:v>
      </x:c>
      <x:c r="G4" s="29" t="n">
        <x:v>2034</x:v>
      </x:c>
      <x:c r="H4" s="29" t="n">
        <x:v>2035</x:v>
      </x:c>
      <x:c r="I4" s="29" t="n">
        <x:v>2036</x:v>
      </x:c>
    </x:row>
    <x:row r="5">
      <x:c r="A5" s="21" t="inlineStr">
        <x:is>
          <x:t xml:space="preserve">Opening Debt</x:t>
        </x:is>
      </x:c>
      <x:c r="B5" s="20" t="n">
        <x:f>0</x:f>
        <x:v>0</x:v>
      </x:c>
      <x:c r="C5" s="20" t="n">
        <x:f>B9</x:f>
        <x:v>9600000</x:v>
      </x:c>
      <x:c r="D5" s="20" t="n">
        <x:f>C9</x:f>
        <x:v>9600000</x:v>
      </x:c>
      <x:c r="E5" s="20" t="n">
        <x:f>D9</x:f>
        <x:v>8000000</x:v>
      </x:c>
      <x:c r="F5" s="20" t="n">
        <x:f>E9</x:f>
        <x:v>6400000</x:v>
      </x:c>
      <x:c r="G5" s="31" t="n">
        <x:f>F9</x:f>
        <x:v>4800000</x:v>
      </x:c>
      <x:c r="H5" s="31" t="n">
        <x:f>G9</x:f>
        <x:v>3200000</x:v>
      </x:c>
      <x:c r="I5" s="31" t="n">
        <x:f>H9</x:f>
        <x:v>1600000</x:v>
      </x:c>
    </x:row>
    <x:row r="6">
      <x:c r="A6" s="21" t="inlineStr">
        <x:is>
          <x:t xml:space="preserve">Drawdown</x:t>
        </x:is>
      </x:c>
      <x:c r="B6" s="20" t="n">
        <x:f>Assumptions!$C$27*Assumptions!$C$28</x:f>
        <x:v>9600000</x:v>
      </x:c>
      <x:c r="C6" s="20" t="n">
        <x:f>0</x:f>
        <x:v>0</x:v>
      </x:c>
      <x:c r="D6" s="20" t="n">
        <x:f>0</x:f>
        <x:v>0</x:v>
      </x:c>
      <x:c r="E6" s="20" t="n">
        <x:f>0</x:f>
        <x:v>0</x:v>
      </x:c>
      <x:c r="F6" s="20" t="n">
        <x:f>0</x:f>
        <x:v>0</x:v>
      </x:c>
      <x:c r="G6" s="31" t="n">
        <x:f>0</x:f>
        <x:v>0</x:v>
      </x:c>
      <x:c r="H6" s="31" t="n">
        <x:f>0</x:f>
        <x:v>0</x:v>
      </x:c>
      <x:c r="I6" s="31" t="n">
        <x:f>0</x:f>
        <x:v>0</x:v>
      </x:c>
    </x:row>
    <x:row r="7">
      <x:c r="A7" s="21" t="inlineStr">
        <x:is>
          <x:t xml:space="preserve">Principal Repayment</x:t>
        </x:is>
      </x:c>
      <x:c r="B7" s="20" t="n">
        <x:f>IF(B$4-Assumptions!$C$4&lt;Assumptions!$C$33,0,MIN(B5+B6,$B$9/MAX(Assumptions!$C$32-Assumptions!$C$33,1)))</x:f>
        <x:v>0</x:v>
      </x:c>
      <x:c r="C7" s="20" t="n">
        <x:f>IF(C$4-Assumptions!$C$4&lt;Assumptions!$C$33,0,MIN(C5+C6,$B$9/MAX(Assumptions!$C$32-Assumptions!$C$33,1)))</x:f>
        <x:v>0</x:v>
      </x:c>
      <x:c r="D7" s="20" t="n">
        <x:f>IF(D$4-Assumptions!$C$4&lt;Assumptions!$C$33,0,MIN(D5+D6,$B$9/MAX(Assumptions!$C$32-Assumptions!$C$33,1)))</x:f>
        <x:v>1600000</x:v>
      </x:c>
      <x:c r="E7" s="20" t="n">
        <x:f>IF(E$4-Assumptions!$C$4&lt;Assumptions!$C$33,0,MIN(E5+E6,$B$9/MAX(Assumptions!$C$32-Assumptions!$C$33,1)))</x:f>
        <x:v>1600000</x:v>
      </x:c>
      <x:c r="F7" s="20" t="n">
        <x:f>IF(F$4-Assumptions!$C$4&lt;Assumptions!$C$33,0,MIN(F5+F6,$B$9/MAX(Assumptions!$C$32-Assumptions!$C$33,1)))</x:f>
        <x:v>1600000</x:v>
      </x:c>
      <x:c r="G7" s="31" t="n">
        <x:f>IF(G$4-Assumptions!$C$4&lt;Assumptions!$C$33,0,MIN(G5+G6,$B$9/MAX(Assumptions!$C$32-Assumptions!$C$33,1)))</x:f>
        <x:v>1600000</x:v>
      </x:c>
      <x:c r="H7" s="31" t="n">
        <x:f>IF(H$4-Assumptions!$C$4&lt;Assumptions!$C$33,0,MIN(H5+H6,$B$9/MAX(Assumptions!$C$32-Assumptions!$C$33,1)))</x:f>
        <x:v>1600000</x:v>
      </x:c>
      <x:c r="I7" s="31" t="n">
        <x:f>IF(I$4-Assumptions!$C$4&lt;Assumptions!$C$33,0,MIN(I5+I6,$B$9/MAX(Assumptions!$C$32-Assumptions!$C$33,1)))</x:f>
        <x:v>1600000</x:v>
      </x:c>
    </x:row>
    <x:row r="8">
      <x:c r="A8" s="21" t="inlineStr">
        <x:is>
          <x:t xml:space="preserve">Interest Expense</x:t>
        </x:is>
      </x:c>
      <x:c r="B8" s="20" t="n">
        <x:f>((B5+B6)-B7)*Assumptions!$C$31</x:f>
        <x:v>624000</x:v>
      </x:c>
      <x:c r="C8" s="20" t="n">
        <x:f>(((C5+C6)-C7)+C5)/2*Assumptions!$C$31</x:f>
        <x:v>624000</x:v>
      </x:c>
      <x:c r="D8" s="20" t="n">
        <x:f>(((D5+D6)-D7)+D5)/2*Assumptions!$C$31</x:f>
        <x:v>572000</x:v>
      </x:c>
      <x:c r="E8" s="20" t="n">
        <x:f>(((E5+E6)-E7)+E5)/2*Assumptions!$C$31</x:f>
        <x:v>468000</x:v>
      </x:c>
      <x:c r="F8" s="20" t="n">
        <x:f>(((F5+F6)-F7)+F5)/2*Assumptions!$C$31</x:f>
        <x:v>364000</x:v>
      </x:c>
      <x:c r="G8" s="31" t="n">
        <x:f>((G5+G6-G7)+G5)/2*Assumptions!$C$31</x:f>
        <x:v>260000</x:v>
      </x:c>
      <x:c r="H8" s="31" t="n">
        <x:f>((H5+H6-H7)+H5)/2*Assumptions!$C$31</x:f>
        <x:v>156000</x:v>
      </x:c>
      <x:c r="I8" s="31" t="n">
        <x:f>((I5+I6-I7)+I5)/2*Assumptions!$C$31</x:f>
        <x:v>52000</x:v>
      </x:c>
    </x:row>
    <x:row r="9">
      <x:c r="A9" s="21" t="inlineStr">
        <x:is>
          <x:t xml:space="preserve">Closing Debt</x:t>
        </x:is>
      </x:c>
      <x:c r="B9" s="20" t="n">
        <x:f>B5+B6-B7</x:f>
        <x:v>9600000</x:v>
      </x:c>
      <x:c r="C9" s="20" t="n">
        <x:f>C5+C6-C7</x:f>
        <x:v>9600000</x:v>
      </x:c>
      <x:c r="D9" s="20" t="n">
        <x:f>D5+D6-D7</x:f>
        <x:v>8000000</x:v>
      </x:c>
      <x:c r="E9" s="20" t="n">
        <x:f>E5+E6-E7</x:f>
        <x:v>6400000</x:v>
      </x:c>
      <x:c r="F9" s="20" t="n">
        <x:f>F5+F6-F7</x:f>
        <x:v>4800000</x:v>
      </x:c>
      <x:c r="G9" s="31" t="n">
        <x:f>G5+G6-G7</x:f>
        <x:v>3200000</x:v>
      </x:c>
      <x:c r="H9" s="31" t="n">
        <x:f>H5+H6-H7</x:f>
        <x:v>1600000</x:v>
      </x:c>
      <x:c r="I9" s="31" t="n">
        <x:f>I5+I6-I7</x:f>
        <x:v>0</x:v>
      </x:c>
    </x:row>
    <x:row r="10">
      <x:c r="A10" s="21" t="inlineStr">
        <x:is>
          <x:t xml:space="preserve">Debt Service</x:t>
        </x:is>
      </x:c>
      <x:c r="B10" s="20" t="n">
        <x:f>B7+B8</x:f>
        <x:v>624000</x:v>
      </x:c>
      <x:c r="C10" s="20" t="n">
        <x:f>C7+C8</x:f>
        <x:v>624000</x:v>
      </x:c>
      <x:c r="D10" s="20" t="n">
        <x:f>D7+D8</x:f>
        <x:v>2172000</x:v>
      </x:c>
      <x:c r="E10" s="20" t="n">
        <x:f>E7+E8</x:f>
        <x:v>2068000</x:v>
      </x:c>
      <x:c r="F10" s="20" t="n">
        <x:f>F7+F8</x:f>
        <x:v>1964000</x:v>
      </x:c>
      <x:c r="G10" s="31" t="n">
        <x:f>G7+G8</x:f>
        <x:v>1860000</x:v>
      </x:c>
      <x:c r="H10" s="31" t="n">
        <x:f>H7+H8</x:f>
        <x:v>1756000</x:v>
      </x:c>
      <x:c r="I10" s="31" t="n">
        <x:f>I7+I8</x:f>
        <x:v>1652000</x:v>
      </x:c>
    </x:row>
    <x:row r="11">
      <x:c r="A11" s="21" t="inlineStr">
        <x:is>
          <x:t xml:space="preserve">DSRA Target</x:t>
        </x:is>
      </x:c>
      <x:c r="B11" s="20" t="n">
        <x:f>B10*Assumptions!$C$34/12</x:f>
        <x:v>312000</x:v>
      </x:c>
      <x:c r="C11" s="20" t="n">
        <x:f>C10*Assumptions!$C$34/12</x:f>
        <x:v>312000</x:v>
      </x:c>
      <x:c r="D11" s="20" t="n">
        <x:f>D10*Assumptions!$C$34/12</x:f>
        <x:v>1086000</x:v>
      </x:c>
      <x:c r="E11" s="20" t="n">
        <x:f>E10*Assumptions!$C$34/12</x:f>
        <x:v>1034000</x:v>
      </x:c>
      <x:c r="F11" s="20" t="n">
        <x:f>F10*Assumptions!$C$34/12</x:f>
        <x:v>982000</x:v>
      </x:c>
      <x:c r="G11" s="31" t="n">
        <x:f>G10*Assumptions!$C$34/12</x:f>
        <x:v>930000</x:v>
      </x:c>
      <x:c r="H11" s="31" t="n">
        <x:f>H10*Assumptions!$C$34/12</x:f>
        <x:v>878000</x:v>
      </x:c>
      <x:c r="I11" s="31" t="n">
        <x:f>I10*Assumptions!$C$34/12</x:f>
        <x:v>826000</x:v>
      </x:c>
    </x:row>
    <x:row r="13">
      <x:c r="A13" t="str">
        <x:v>Annual convention: repayment follows two model years. Confirm contractual dates.</x:v>
      </x:c>
    </x:row>
    <x:row r="14">
      <x:c r="A14" t="str">
        <x:v>Debt runs to 2036; CFADS forecast covers only 2029–2033. Lifetime cover remains incomplete.</x:v>
      </x:c>
    </x:row>
  </x:sheetData>
  <x:mergeCells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baseColWidth="8" defaultRowHeight="15"/>
  <x:cols>
    <x:col min="1" max="1" width="24" customWidth="1"/>
    <x:col min="2" max="2" width="14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</x:cols>
  <x:sheetData>
    <x:row r="1"/>
    <x:row r="2">
      <x:c r="A2" s="15" t="inlineStr">
        <x:is>
          <x:t xml:space="preserve">CFADS / DSCR Snapshot</x:t>
        </x:is>
      </x:c>
      <x:c r="B2" s="5" t="n"/>
      <x:c r="C2" s="5" t="n"/>
      <x:c r="D2" s="5" t="n"/>
      <x:c r="E2" s="5" t="n"/>
      <x:c r="F2" s="5" t="n"/>
      <x:c r="G2" s="5" t="n"/>
      <x:c r="H2" s="5" t="n"/>
    </x:row>
    <x:row r="3"/>
    <x:row r="4">
      <x:c r="B4" s="8" t="n">
        <x:v>2029</x:v>
      </x:c>
      <x:c r="C4" s="8" t="n">
        <x:v>2030</x:v>
      </x:c>
      <x:c r="D4" s="8" t="n">
        <x:v>2031</x:v>
      </x:c>
      <x:c r="E4" s="8" t="n">
        <x:v>2032</x:v>
      </x:c>
      <x:c r="F4" s="8" t="n">
        <x:v>2033</x:v>
      </x:c>
    </x:row>
    <x:row r="5">
      <x:c r="A5" s="21" t="inlineStr">
        <x:is>
          <x:t xml:space="preserve">EBITDA (€)</x:t>
        </x:is>
      </x:c>
      <x:c r="B5" s="19" t="n">
        <x:f>Production_Margin!B13</x:f>
        <x:v>4416000</x:v>
      </x:c>
      <x:c r="C5" s="19" t="n">
        <x:f>Production_Margin!C13</x:f>
        <x:v>5783999.999999998</x:v>
      </x:c>
      <x:c r="D5" s="19" t="n">
        <x:f>Production_Margin!D13</x:f>
        <x:v>6682919.999999998</x:v>
      </x:c>
      <x:c r="E5" s="19" t="n">
        <x:f>Production_Margin!E13</x:f>
        <x:v>7112727.599999998</x:v>
      </x:c>
      <x:c r="F5" s="19" t="n">
        <x:f>Production_Margin!F13</x:f>
        <x:v>7260589.4279999975</x:v>
      </x:c>
    </x:row>
    <x:row r="6">
      <x:c r="A6" s="21" t="inlineStr">
        <x:is>
          <x:t xml:space="preserve">Less: Taxes (€)</x:t>
        </x:is>
      </x:c>
      <x:c r="B6" s="20" t="n">
        <x:f>MAX((B5-Debt_Schedule!B8),0)*Assumptions!$C$5</x:f>
        <x:v>341280</x:v>
      </x:c>
      <x:c r="C6" s="20" t="n">
        <x:f>MAX((C5-Debt_Schedule!C8),0)*Assumptions!$C$5</x:f>
        <x:v>464399.9999999998</x:v>
      </x:c>
      <x:c r="D6" s="20" t="n">
        <x:f>MAX((D5-Debt_Schedule!D8),0)*Assumptions!$C$5</x:f>
        <x:v>549982.7999999998</x:v>
      </x:c>
      <x:c r="E6" s="20" t="n">
        <x:f>MAX((E5-Debt_Schedule!E8),0)*Assumptions!$C$5</x:f>
        <x:v>598025.4839999998</x:v>
      </x:c>
      <x:c r="F6" s="20" t="n">
        <x:f>MAX((F5-Debt_Schedule!F8),0)*Assumptions!$C$5</x:f>
        <x:v>620693.0485199997</x:v>
      </x:c>
    </x:row>
    <x:row r="7">
      <x:c r="A7" s="21" t="inlineStr">
        <x:is>
          <x:t xml:space="preserve">Less: Maintenance Capex (€)</x:t>
        </x:is>
      </x:c>
      <x:c r="B7" s="19" t="n">
        <x:f>Production_Margin!B15</x:f>
        <x:v>259200</x:v>
      </x:c>
      <x:c r="C7" s="19" t="n">
        <x:f>Production_Margin!C15</x:f>
        <x:v>324000</x:v>
      </x:c>
      <x:c r="D7" s="19" t="n">
        <x:f>Production_Margin!D15</x:f>
        <x:v>367200</x:v>
      </x:c>
      <x:c r="E7" s="19" t="n">
        <x:f>Production_Margin!E15</x:f>
        <x:v>388800</x:v>
      </x:c>
      <x:c r="F7" s="19" t="n">
        <x:f>Production_Margin!F15</x:f>
        <x:v>397440</x:v>
      </x:c>
    </x:row>
    <x:row r="8">
      <x:c r="A8" s="21" t="inlineStr">
        <x:is>
          <x:t xml:space="preserve">CFADS (€)</x:t>
        </x:is>
      </x:c>
      <x:c r="B8" s="20" t="n">
        <x:f>B5-B6-B7</x:f>
        <x:v>3815520</x:v>
      </x:c>
      <x:c r="C8" s="20" t="n">
        <x:f>C5-C6-C7</x:f>
        <x:v>4995599.999999998</x:v>
      </x:c>
      <x:c r="D8" s="20" t="n">
        <x:f>D5-D6-D7</x:f>
        <x:v>5765737.199999998</x:v>
      </x:c>
      <x:c r="E8" s="20" t="n">
        <x:f>E5-E6-E7</x:f>
        <x:v>6125902.115999998</x:v>
      </x:c>
      <x:c r="F8" s="20" t="n">
        <x:f>F5-F6-F7</x:f>
        <x:v>6242456.379479998</x:v>
      </x:c>
    </x:row>
    <x:row r="9">
      <x:c r="A9" s="21" t="inlineStr">
        <x:is>
          <x:t xml:space="preserve">Debt Service (€)</x:t>
        </x:is>
      </x:c>
      <x:c r="B9" s="19" t="n">
        <x:f>Debt_Schedule!B10</x:f>
        <x:v>624000</x:v>
      </x:c>
      <x:c r="C9" s="19" t="n">
        <x:f>Debt_Schedule!C10</x:f>
        <x:v>624000</x:v>
      </x:c>
      <x:c r="D9" s="19" t="n">
        <x:f>Debt_Schedule!D10</x:f>
        <x:v>2172000</x:v>
      </x:c>
      <x:c r="E9" s="19" t="n">
        <x:f>Debt_Schedule!E10</x:f>
        <x:v>2068000</x:v>
      </x:c>
      <x:c r="F9" s="19" t="n">
        <x:f>Debt_Schedule!F10</x:f>
        <x:v>1964000</x:v>
      </x:c>
    </x:row>
    <x:row r="10">
      <x:c r="A10" s="21" t="inlineStr">
        <x:is>
          <x:t xml:space="preserve">DSCR</x:t>
        </x:is>
      </x:c>
      <x:c r="B10" s="23" t="n">
        <x:f>IFERROR(B8/B9,0)</x:f>
        <x:v>6.114615384615385</x:v>
      </x:c>
      <x:c r="C10" s="23" t="n">
        <x:f>IFERROR(C8/C9,0)</x:f>
        <x:v>8.005769230769229</x:v>
      </x:c>
      <x:c r="D10" s="23" t="n">
        <x:f>IFERROR(D8/D9,0)</x:f>
        <x:v>2.654575138121546</x:v>
      </x:c>
      <x:c r="E10" s="23" t="n">
        <x:f>IFERROR(E8/E9,0)</x:f>
        <x:v>2.962235065764022</x:v>
      </x:c>
      <x:c r="F10" s="23" t="n">
        <x:f>IFERROR(F8/F9,0)</x:f>
        <x:v>3.1784401117515264</x:v>
      </x:c>
    </x:row>
    <x:row r="11"/>
    <x:row r="12">
      <x:c r="A12" s="21" t="inlineStr">
        <x:is>
          <x:t xml:space="preserve">Discount Factor</x:t>
        </x:is>
      </x:c>
      <x:c r="B12" s="24" t="n">
        <x:f>1/(1+Assumptions!$C$6)^(B$4-Assumptions!$C$4+1)</x:f>
        <x:v>0.8928571428571428</x:v>
      </x:c>
      <x:c r="C12" s="24" t="n">
        <x:f>1/(1+Assumptions!$C$6)^(C$4-Assumptions!$C$4+1)</x:f>
        <x:v>0.7971938775510203</x:v>
      </x:c>
      <x:c r="D12" s="24" t="n">
        <x:f>1/(1+Assumptions!$C$6)^(D$4-Assumptions!$C$4+1)</x:f>
        <x:v>0.7117802478134109</x:v>
      </x:c>
      <x:c r="E12" s="24" t="n">
        <x:f>1/(1+Assumptions!$C$6)^(E$4-Assumptions!$C$4+1)</x:f>
        <x:v>0.6355180784048311</x:v>
      </x:c>
      <x:c r="F12" s="24" t="n">
        <x:f>1/(1+Assumptions!$C$6)^(F$4-Assumptions!$C$4+1)</x:f>
        <x:v>0.5674268557185992</x:v>
      </x:c>
    </x:row>
  </x:sheetData>
  <x:mergeCells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baseColWidth="8" defaultRowHeight="15"/>
  <x:cols>
    <x:col min="1" max="1" width="24" customWidth="1"/>
    <x:col min="2" max="2" width="18" customWidth="1"/>
    <x:col min="3" max="3" width="18" customWidth="1"/>
    <x:col min="4" max="4" width="16" customWidth="1"/>
    <x:col min="5" max="5" width="48" hidden="0" customWidth="1"/>
    <x:col min="6" max="6" width="16" customWidth="1"/>
    <x:col min="7" max="7" width="16" customWidth="1"/>
    <x:col min="8" max="8" width="16" customWidth="1"/>
  </x:cols>
  <x:sheetData>
    <x:row r="1"/>
    <x:row r="2">
      <x:c r="A2" s="15" t="inlineStr">
        <x:is>
          <x:t xml:space="preserve">Lender Covenant Dashboard</x:t>
        </x:is>
      </x:c>
      <x:c r="B2" s="5" t="n"/>
      <x:c r="C2" s="5" t="n"/>
      <x:c r="D2" s="5" t="n"/>
      <x:c r="E2" s="5" t="n"/>
      <x:c r="F2" s="5" t="n"/>
    </x:row>
    <x:row r="3"/>
    <x:row r="4">
      <x:c r="A4" s="7" t="inlineStr">
        <x:is>
          <x:t xml:space="preserve">Metric</x:t>
        </x:is>
      </x:c>
      <x:c r="B4" s="8" t="inlineStr">
        <x:is>
          <x:t xml:space="preserve">Threshold</x:t>
        </x:is>
      </x:c>
      <x:c r="C4" s="8" t="inlineStr">
        <x:is>
          <x:t xml:space="preserve">Actual</x:t>
        </x:is>
      </x:c>
      <x:c r="D4" s="8" t="inlineStr">
        <x:is>
          <x:t xml:space="preserve">Status</x:t>
        </x:is>
      </x:c>
      <x:c r="E4" s="8" t="inlineStr">
        <x:is>
          <x:t xml:space="preserve">Comment</x:t>
        </x:is>
      </x:c>
      <x:c r="F4" s="8" t="inlineStr">
        <x:is>
          <x:t xml:space="preserve">Source</x:t>
        </x:is>
      </x:c>
    </x:row>
    <x:row r="5">
      <x:c r="A5" s="21" t="inlineStr">
        <x:is>
          <x:t xml:space="preserve">Minimum DSCR</x:t>
        </x:is>
      </x:c>
      <x:c r="B5" s="25" t="n">
        <x:f>Assumptions!$C$7</x:f>
        <x:v>1.25</x:v>
      </x:c>
      <x:c r="C5" s="23" t="n">
        <x:f>MIN(DSCR_Snapshot!B10:F10)</x:f>
        <x:v>2.654575138121546</x:v>
      </x:c>
      <x:c r="D5" s="26" t="str">
        <x:f>IF(C5&gt;=B5,"PASS","FAIL")</x:f>
        <x:v>PASS</x:v>
      </x:c>
      <x:c r="E5" s="3" t="inlineStr">
        <x:is>
          <x:t xml:space="preserve">Annual minimum</x:t>
        </x:is>
      </x:c>
      <x:c r="F5" s="3" t="inlineStr">
        <x:is>
          <x:t xml:space="preserve">Linked</x:t>
        </x:is>
      </x:c>
    </x:row>
    <x:row r="6">
      <x:c r="A6" s="21" t="inlineStr">
        <x:is>
          <x:t xml:space="preserve">Average DSCR</x:t>
        </x:is>
      </x:c>
      <x:c r="B6" s="3" t="inlineStr">
        <x:is>
          <x:t xml:space="preserve">n/a</x:t>
        </x:is>
      </x:c>
      <x:c r="C6" s="23" t="n">
        <x:f>AVERAGE(DSCR_Snapshot!B10:F10)</x:f>
        <x:v>4.583126986204342</x:v>
      </x:c>
      <x:c r="D6" s="26" t="str">
        <x:f>IF(C6&gt;=1.30,"PASS","WATCH")</x:f>
        <x:v>PASS</x:v>
      </x:c>
      <x:c r="E6" s="3" t="inlineStr">
        <x:is>
          <x:t xml:space="preserve">Mean annual</x:t>
        </x:is>
      </x:c>
      <x:c r="F6" s="3" t="inlineStr">
        <x:is>
          <x:t xml:space="preserve">Linked</x:t>
        </x:is>
      </x:c>
    </x:row>
    <x:row r="7">
      <x:c r="A7" s="21" t="inlineStr">
        <x:is>
          <x:t xml:space="preserve">LLCR</x:t>
        </x:is>
      </x:c>
      <x:c r="B7" s="25" t="n">
        <x:f>Assumptions!$C$8</x:f>
        <x:v>1.4</x:v>
      </x:c>
      <x:c r="C7" s="23" t="n">
        <x:f>SUMPRODUCT(DSCR_Snapshot!B8:F8,DSCR_Snapshot!B12:F12)/Debt_Schedule!B9</x:f>
        <x:v>1.9717055010496267</x:v>
      </x:c>
      <x:c r="D7" s="26" t="str">
        <x:f>IF(Assumptions!C40&lt;Assumptions!C32,"INCOMPLETE",IF(C7&gt;=B7,"PASS","FAIL"))</x:f>
        <x:v>INCOMPLETE</x:v>
      </x:c>
      <x:c r="E7" s="3" t="str">
        <x:v>5-year proxy; full debt tenor required</x:v>
      </x:c>
      <x:c r="F7" s="3" t="inlineStr">
        <x:is>
          <x:t xml:space="preserve">Model</x:t>
        </x:is>
      </x:c>
    </x:row>
    <x:row r="8">
      <x:c r="A8" s="21" t="inlineStr">
        <x:is>
          <x:t xml:space="preserve">PLCR</x:t>
        </x:is>
      </x:c>
      <x:c r="B8" s="25" t="n">
        <x:f>Assumptions!$C$9</x:f>
        <x:v>1.5</x:v>
      </x:c>
      <x:c r="C8" s="23" t="n">
        <x:f>(SUMPRODUCT(DSCR_Snapshot!B8:F8,DSCR_Snapshot!B12:F12)+MAX(0,Production_Margin!F13*4)*DSCR_Snapshot!F12)/Debt_Schedule!B9</x:f>
        <x:v>3.688311096797019</x:v>
      </x:c>
      <x:c r="D8" s="26" t="str">
        <x:f>IF(Assumptions!C40&lt;Assumptions!C32,"INCOMPLETE",IF(C8&gt;=B8,"PASS","FAIL"))</x:f>
        <x:v>INCOMPLETE</x:v>
      </x:c>
      <x:c r="E8" s="3" t="str">
        <x:v>Illustrative tail; full project life required</x:v>
      </x:c>
      <x:c r="F8" s="3" t="inlineStr">
        <x:is>
          <x:t xml:space="preserve">Model</x:t>
        </x:is>
      </x:c>
    </x:row>
    <x:row r="9">
      <x:c r="A9" s="21" t="inlineStr">
        <x:is>
          <x:t xml:space="preserve">DSRA Requirement</x:t>
        </x:is>
      </x:c>
      <x:c r="B9" s="3" t="inlineStr">
        <x:is>
          <x:t xml:space="preserve">n/a</x:t>
        </x:is>
      </x:c>
      <x:c r="C9" s="20" t="n">
        <x:f>MAX(Debt_Schedule!B11:I11)</x:f>
        <x:v>1086000</x:v>
      </x:c>
      <x:c r="D9" s="26" t="str">
        <x:f>IF(C9&gt;0,"SET","CHECK")</x:f>
        <x:v>SET</x:v>
      </x:c>
      <x:c r="E9" s="3" t="inlineStr">
        <x:is>
          <x:t xml:space="preserve">6-month debt service reserve</x:t>
        </x:is>
      </x:c>
      <x:c r="F9" s="3" t="inlineStr">
        <x:is>
          <x:t xml:space="preserve">Linked</x:t>
        </x:is>
      </x:c>
    </x:row>
    <x:row r="11">
      <x:c r="A11" t="str">
        <x:v>Coverage of debt tenor</x:v>
      </x:c>
      <x:c r="C11" t="n">
        <x:f>Assumptions!C40</x:f>
        <x:v>5</x:v>
      </x:c>
      <x:c r="D11" t="str">
        <x:f>IF(Assumptions!C40&gt;=Assumptions!C32,"OK","INCOMPLETE")</x:f>
        <x:v>INCOMPLETE</x:v>
      </x:c>
    </x:row>
  </x:sheetData>
  <x:mergeCells>
    <x:mergeCell ref="A2:F2"/>
  </x:mergeCells>
  <x:conditionalFormatting sqref="D5:D5">
    <x:cfRule type="cellIs" dxfId="0" priority="1" operator="equal">
      <x:formula>"PASS"</x:formula>
    </x:cfRule>
    <x:cfRule type="cellIs" dxfId="1" priority="2" operator="equal">
      <x:formula>"FAIL"</x:formula>
    </x:cfRule>
    <x:cfRule type="cellIs" dxfId="2" priority="3" operator="equal">
      <x:formula>"WATCH"</x:formula>
    </x:cfRule>
    <x:cfRule type="cellIs" dxfId="0" priority="4" operator="equal">
      <x:formula>"SET"</x:formula>
    </x:cfRule>
    <x:cfRule type="cellIs" dxfId="2" priority="5" operator="equal">
      <x:formula>"CHECK"</x:formula>
    </x:cfRule>
  </x:conditionalFormatting>
  <x:conditionalFormatting sqref="D6:D6">
    <x:cfRule type="cellIs" dxfId="0" priority="6" operator="equal">
      <x:formula>"PASS"</x:formula>
    </x:cfRule>
    <x:cfRule type="cellIs" dxfId="1" priority="7" operator="equal">
      <x:formula>"FAIL"</x:formula>
    </x:cfRule>
    <x:cfRule type="cellIs" dxfId="2" priority="8" operator="equal">
      <x:formula>"WATCH"</x:formula>
    </x:cfRule>
    <x:cfRule type="cellIs" dxfId="0" priority="9" operator="equal">
      <x:formula>"SET"</x:formula>
    </x:cfRule>
    <x:cfRule type="cellIs" dxfId="2" priority="10" operator="equal">
      <x:formula>"CHECK"</x:formula>
    </x:cfRule>
  </x:conditionalFormatting>
  <x:conditionalFormatting sqref="D7:D7">
    <x:cfRule type="cellIs" dxfId="0" priority="11" operator="equal">
      <x:formula>"PASS"</x:formula>
    </x:cfRule>
    <x:cfRule type="cellIs" dxfId="1" priority="12" operator="equal">
      <x:formula>"FAIL"</x:formula>
    </x:cfRule>
    <x:cfRule type="cellIs" dxfId="2" priority="13" operator="equal">
      <x:formula>"WATCH"</x:formula>
    </x:cfRule>
    <x:cfRule type="cellIs" dxfId="0" priority="14" operator="equal">
      <x:formula>"SET"</x:formula>
    </x:cfRule>
    <x:cfRule type="cellIs" dxfId="2" priority="15" operator="equal">
      <x:formula>"CHECK"</x:formula>
    </x:cfRule>
  </x:conditionalFormatting>
  <x:conditionalFormatting sqref="D8:D8">
    <x:cfRule type="cellIs" dxfId="0" priority="16" operator="equal">
      <x:formula>"PASS"</x:formula>
    </x:cfRule>
    <x:cfRule type="cellIs" dxfId="1" priority="17" operator="equal">
      <x:formula>"FAIL"</x:formula>
    </x:cfRule>
    <x:cfRule type="cellIs" dxfId="2" priority="18" operator="equal">
      <x:formula>"WATCH"</x:formula>
    </x:cfRule>
    <x:cfRule type="cellIs" dxfId="0" priority="19" operator="equal">
      <x:formula>"SET"</x:formula>
    </x:cfRule>
    <x:cfRule type="cellIs" dxfId="2" priority="20" operator="equal">
      <x:formula>"CHECK"</x:formula>
    </x:cfRule>
  </x:conditionalFormatting>
  <x:conditionalFormatting sqref="D9:D9">
    <x:cfRule type="cellIs" dxfId="0" priority="21" operator="equal">
      <x:formula>"PASS"</x:formula>
    </x:cfRule>
    <x:cfRule type="cellIs" dxfId="1" priority="22" operator="equal">
      <x:formula>"FAIL"</x:formula>
    </x:cfRule>
    <x:cfRule type="cellIs" dxfId="2" priority="23" operator="equal">
      <x:formula>"WATCH"</x:formula>
    </x:cfRule>
    <x:cfRule type="cellIs" dxfId="0" priority="24" operator="equal">
      <x:formula>"SET"</x:formula>
    </x:cfRule>
    <x:cfRule type="cellIs" dxfId="2" priority="25" operator="equal">
      <x:formula>"CHECK"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baseColWidth="8" defaultRowHeight="15"/>
  <x:cols>
    <x:col min="1" max="1" width="5" customWidth="1"/>
    <x:col min="2" max="2" width="22" customWidth="1"/>
    <x:col min="3" max="3" width="16" customWidth="1"/>
    <x:col min="4" max="4" width="16" customWidth="1"/>
    <x:col min="5" max="5" width="16" customWidth="1"/>
    <x:col min="6" max="6" width="16" customWidth="1"/>
    <x:col min="7" max="7" width="34" customWidth="1"/>
    <x:col min="8" max="8" width="18" customWidth="1"/>
  </x:cols>
  <x:sheetData>
    <x:row r="1"/>
    <x:row r="2">
      <x:c r="B2" s="4" t="inlineStr">
        <x:is>
          <x:t xml:space="preserve">Credit Committee Decision Pack</x:t>
        </x:is>
      </x:c>
      <x:c r="C2" s="5" t="n"/>
      <x:c r="D2" s="5" t="n"/>
      <x:c r="E2" s="5" t="n"/>
      <x:c r="F2" s="5" t="n"/>
      <x:c r="G2" s="5" t="n"/>
    </x:row>
    <x:row r="3"/>
    <x:row r="4">
      <x:c r="A4" s="7" t="inlineStr">
        <x:is>
          <x:t xml:space="preserve"/>
        </x:is>
      </x:c>
      <x:c r="B4" s="8" t="inlineStr">
        <x:is>
          <x:t xml:space="preserve">Item</x:t>
        </x:is>
      </x:c>
      <x:c r="C4" s="8" t="inlineStr">
        <x:is>
          <x:t xml:space="preserve">Value</x:t>
        </x:is>
      </x:c>
      <x:c r="D4" s="8" t="inlineStr">
        <x:is>
          <x:t xml:space="preserve">Decision Gate</x:t>
        </x:is>
      </x:c>
      <x:c r="E4" s="8" t="inlineStr">
        <x:is>
          <x:t xml:space="preserve">Owner</x:t>
        </x:is>
      </x:c>
      <x:c r="F4" s="8" t="inlineStr">
        <x:is>
          <x:t xml:space="preserve">Due</x:t>
        </x:is>
      </x:c>
      <x:c r="G4" s="8" t="inlineStr">
        <x:is>
          <x:t xml:space="preserve">Comments</x:t>
        </x:is>
      </x:c>
    </x:row>
    <x:row r="5">
      <x:c r="B5" s="6" t="inlineStr">
        <x:is>
          <x:t xml:space="preserve">Project</x:t>
        </x:is>
      </x:c>
      <x:c r="C5" s="3" t="inlineStr">
        <x:is>
          <x:t xml:space="preserve">TITAN GRID / ARS</x:t>
        </x:is>
      </x:c>
      <x:c r="D5" s="3" t="inlineStr">
        <x:is>
          <x:t xml:space="preserve"/>
        </x:is>
      </x:c>
      <x:c r="E5" s="3" t="inlineStr">
        <x:is>
          <x:t xml:space="preserve"/>
        </x:is>
      </x:c>
      <x:c r="F5" s="3" t="inlineStr">
        <x:is>
          <x:t xml:space="preserve"/>
        </x:is>
      </x:c>
      <x:c r="G5" s="3" t="inlineStr">
        <x:is>
          <x:t xml:space="preserve"/>
        </x:is>
      </x:c>
    </x:row>
    <x:row r="6">
      <x:c r="B6" s="6" t="inlineStr">
        <x:is>
          <x:t xml:space="preserve">Base EBITDA Margin</x:t>
        </x:is>
      </x:c>
      <x:c r="C6" s="22" t="n">
        <x:f>Production_Margin!F14</x:f>
        <x:v>0.27402586911231874</x:v>
      </x:c>
      <x:c r="D6" s="3" t="inlineStr">
        <x:is>
          <x:t xml:space="preserve">Approve if &gt;=20%</x:t>
        </x:is>
      </x:c>
      <x:c r="E6" s="3" t="inlineStr">
        <x:is>
          <x:t xml:space="preserve">Finance</x:t>
        </x:is>
      </x:c>
      <x:c r="F6" s="3" t="inlineStr">
        <x:is>
          <x:t xml:space="preserve"/>
        </x:is>
      </x:c>
      <x:c r="G6" s="3" t="inlineStr">
        <x:is>
          <x:t xml:space="preserve"/>
        </x:is>
      </x:c>
    </x:row>
    <x:row r="7">
      <x:c r="B7" s="6" t="inlineStr">
        <x:is>
          <x:t xml:space="preserve">Minimum DSCR</x:t>
        </x:is>
      </x:c>
      <x:c r="C7" s="23" t="n">
        <x:f>Covenant_Dashboard!C5</x:f>
        <x:v>2.654575138121546</x:v>
      </x:c>
      <x:c r="D7" s="3" t="inlineStr">
        <x:is>
          <x:t xml:space="preserve">Approve if &gt;=1.25x</x:t>
        </x:is>
      </x:c>
      <x:c r="E7" s="3" t="inlineStr">
        <x:is>
          <x:t xml:space="preserve">Finance</x:t>
        </x:is>
      </x:c>
      <x:c r="F7" s="3" t="inlineStr">
        <x:is>
          <x:t xml:space="preserve"/>
        </x:is>
      </x:c>
      <x:c r="G7" s="3" t="inlineStr">
        <x:is>
          <x:t xml:space="preserve"/>
        </x:is>
      </x:c>
    </x:row>
    <x:row r="8">
      <x:c r="B8" s="6" t="inlineStr">
        <x:is>
          <x:t xml:space="preserve">LLCR</x:t>
        </x:is>
      </x:c>
      <x:c r="C8" s="23" t="n">
        <x:f>Covenant_Dashboard!C7</x:f>
        <x:v>1.9717055010496267</x:v>
      </x:c>
      <x:c r="D8" s="3" t="inlineStr">
        <x:is>
          <x:t xml:space="preserve">Approve if &gt;=1.40x</x:t>
        </x:is>
      </x:c>
      <x:c r="E8" s="3" t="inlineStr">
        <x:is>
          <x:t xml:space="preserve">Finance</x:t>
        </x:is>
      </x:c>
      <x:c r="F8" s="3" t="inlineStr">
        <x:is>
          <x:t xml:space="preserve"/>
        </x:is>
      </x:c>
      <x:c r="G8" s="3" t="inlineStr">
        <x:is>
          <x:t xml:space="preserve"/>
        </x:is>
      </x:c>
    </x:row>
    <x:row r="9">
      <x:c r="B9" s="6" t="inlineStr">
        <x:is>
          <x:t xml:space="preserve">PLCR</x:t>
        </x:is>
      </x:c>
      <x:c r="C9" s="23" t="n">
        <x:f>Covenant_Dashboard!C8</x:f>
        <x:v>3.688311096797019</x:v>
      </x:c>
      <x:c r="D9" s="3" t="inlineStr">
        <x:is>
          <x:t xml:space="preserve">Approve if &gt;=1.50x</x:t>
        </x:is>
      </x:c>
      <x:c r="E9" s="3" t="inlineStr">
        <x:is>
          <x:t xml:space="preserve">Finance</x:t>
        </x:is>
      </x:c>
      <x:c r="F9" s="3" t="inlineStr">
        <x:is>
          <x:t xml:space="preserve"/>
        </x:is>
      </x:c>
      <x:c r="G9" s="3" t="inlineStr">
        <x:is>
          <x:t xml:space="preserve"/>
        </x:is>
      </x:c>
    </x:row>
    <x:row r="10">
      <x:c r="B10" s="6" t="inlineStr">
        <x:is>
          <x:t xml:space="preserve">Overall Recommendation</x:t>
        </x:is>
      </x:c>
      <x:c r="C10" s="26" t="str">
        <x:f>IF(AND(Assumptions!C36="APPROVED",Assumptions!C37&lt;&gt;"",Assumptions!C38="CONFIRMED",Assumptions!C39="CONFIRMED",Assumptions!C40&gt;=Assumptions!C32,Covenant_Dashboard!D5="PASS",Covenant_Dashboard!D7="PASS",Covenant_Dashboard!D8="PASS"),"REVIEW SUBJECT TO DD","HOLD")</x:f>
        <x:v>HOLD</x:v>
      </x:c>
      <x:c r="D10" s="3" t="inlineStr">
        <x:is>
          <x:t xml:space="preserve">IC Chair</x:t>
        </x:is>
      </x:c>
      <x:c r="E10" s="3" t="inlineStr">
        <x:is>
          <x:t xml:space="preserve">IC</x:t>
        </x:is>
      </x:c>
      <x:c r="F10" s="3" t="inlineStr">
        <x:is>
          <x:t xml:space="preserve"/>
        </x:is>
      </x:c>
      <x:c r="G10" s="3" t="inlineStr">
        <x:is>
          <x:t xml:space="preserve">Final</x:t>
        </x:is>
      </x:c>
    </x:row>
    <x:row r="11"/>
    <x:row r="12"/>
    <x:row r="13">
      <x:c r="B13" s="4" t="inlineStr">
        <x:is>
          <x:t xml:space="preserve">IC Voting Grid</x:t>
        </x:is>
      </x:c>
      <x:c r="C13" s="5" t="n"/>
      <x:c r="D13" s="5" t="n"/>
      <x:c r="E13" s="5" t="n"/>
      <x:c r="F13" s="5" t="n"/>
      <x:c r="G13" s="5" t="n"/>
    </x:row>
    <x:row r="14">
      <x:c r="A14" s="7" t="inlineStr">
        <x:is>
          <x:t xml:space="preserve"/>
        </x:is>
      </x:c>
      <x:c r="B14" s="8" t="inlineStr">
        <x:is>
          <x:t xml:space="preserve">Member</x:t>
        </x:is>
      </x:c>
      <x:c r="C14" s="8" t="inlineStr">
        <x:is>
          <x:t xml:space="preserve">Vote</x:t>
        </x:is>
      </x:c>
      <x:c r="D14" s="8" t="inlineStr">
        <x:is>
          <x:t xml:space="preserve">Condition / Reservation</x:t>
        </x:is>
      </x:c>
      <x:c r="E14" s="8" t="inlineStr">
        <x:is>
          <x:t xml:space="preserve">Sign-off</x:t>
        </x:is>
      </x:c>
      <x:c r="F14" s="8" t="inlineStr">
        <x:is>
          <x:t xml:space="preserve">Date</x:t>
        </x:is>
      </x:c>
      <x:c r="G14" s="8" t="inlineStr">
        <x:is>
          <x:t xml:space="preserve">Notes</x:t>
        </x:is>
      </x:c>
    </x:row>
    <x:row r="15">
      <x:c r="B15" s="6" t="inlineStr">
        <x:is>
          <x:t xml:space="preserve">Chair</x:t>
        </x:is>
      </x:c>
      <x:c r="C15" s="27" t="inlineStr">
        <x:is>
          <x:t xml:space="preserve"/>
        </x:is>
      </x:c>
      <x:c r="D15" s="27" t="inlineStr">
        <x:is>
          <x:t xml:space="preserve"/>
        </x:is>
      </x:c>
      <x:c r="E15" s="27" t="inlineStr">
        <x:is>
          <x:t xml:space="preserve"/>
        </x:is>
      </x:c>
      <x:c r="F15" s="27" t="inlineStr">
        <x:is>
          <x:t xml:space="preserve"/>
        </x:is>
      </x:c>
      <x:c r="G15" s="27" t="inlineStr">
        <x:is>
          <x:t xml:space="preserve"/>
        </x:is>
      </x:c>
    </x:row>
    <x:row r="16">
      <x:c r="B16" s="6" t="inlineStr">
        <x:is>
          <x:t xml:space="preserve">Risk</x:t>
        </x:is>
      </x:c>
      <x:c r="C16" s="27" t="inlineStr">
        <x:is>
          <x:t xml:space="preserve"/>
        </x:is>
      </x:c>
      <x:c r="D16" s="27" t="inlineStr">
        <x:is>
          <x:t xml:space="preserve"/>
        </x:is>
      </x:c>
      <x:c r="E16" s="27" t="inlineStr">
        <x:is>
          <x:t xml:space="preserve"/>
        </x:is>
      </x:c>
      <x:c r="F16" s="27" t="inlineStr">
        <x:is>
          <x:t xml:space="preserve"/>
        </x:is>
      </x:c>
      <x:c r="G16" s="27" t="inlineStr">
        <x:is>
          <x:t xml:space="preserve"/>
        </x:is>
      </x:c>
    </x:row>
    <x:row r="17">
      <x:c r="B17" s="6" t="inlineStr">
        <x:is>
          <x:t xml:space="preserve">Finance</x:t>
        </x:is>
      </x:c>
      <x:c r="C17" s="27" t="inlineStr">
        <x:is>
          <x:t xml:space="preserve"/>
        </x:is>
      </x:c>
      <x:c r="D17" s="27" t="inlineStr">
        <x:is>
          <x:t xml:space="preserve"/>
        </x:is>
      </x:c>
      <x:c r="E17" s="27" t="inlineStr">
        <x:is>
          <x:t xml:space="preserve"/>
        </x:is>
      </x:c>
      <x:c r="F17" s="27" t="inlineStr">
        <x:is>
          <x:t xml:space="preserve"/>
        </x:is>
      </x:c>
      <x:c r="G17" s="27" t="inlineStr">
        <x:is>
          <x:t xml:space="preserve"/>
        </x:is>
      </x:c>
    </x:row>
    <x:row r="18">
      <x:c r="B18" s="6" t="inlineStr">
        <x:is>
          <x:t xml:space="preserve">Technical</x:t>
        </x:is>
      </x:c>
      <x:c r="C18" s="27" t="inlineStr">
        <x:is>
          <x:t xml:space="preserve"/>
        </x:is>
      </x:c>
      <x:c r="D18" s="27" t="inlineStr">
        <x:is>
          <x:t xml:space="preserve"/>
        </x:is>
      </x:c>
      <x:c r="E18" s="27" t="inlineStr">
        <x:is>
          <x:t xml:space="preserve"/>
        </x:is>
      </x:c>
      <x:c r="F18" s="27" t="inlineStr">
        <x:is>
          <x:t xml:space="preserve"/>
        </x:is>
      </x:c>
      <x:c r="G18" s="27" t="inlineStr">
        <x:is>
          <x:t xml:space="preserve"/>
        </x:is>
      </x:c>
    </x:row>
    <x:row r="19">
      <x:c r="B19" s="6" t="inlineStr">
        <x:is>
          <x:t xml:space="preserve">Legal</x:t>
        </x:is>
      </x:c>
      <x:c r="C19" s="27" t="inlineStr">
        <x:is>
          <x:t xml:space="preserve"/>
        </x:is>
      </x:c>
      <x:c r="D19" s="27" t="inlineStr">
        <x:is>
          <x:t xml:space="preserve"/>
        </x:is>
      </x:c>
      <x:c r="E19" s="27" t="inlineStr">
        <x:is>
          <x:t xml:space="preserve"/>
        </x:is>
      </x:c>
      <x:c r="F19" s="27" t="inlineStr">
        <x:is>
          <x:t xml:space="preserve"/>
        </x:is>
      </x:c>
      <x:c r="G19" s="27" t="inlineStr">
        <x:is>
          <x:t xml:space="preserve"/>
        </x:is>
      </x:c>
    </x:row>
    <x:row r="20"/>
    <x:row r="21"/>
    <x:row r="22">
      <x:c r="B22" s="6" t="inlineStr">
        <x:is>
          <x:t xml:space="preserve">Decision Summary</x:t>
        </x:is>
      </x:c>
      <x:c r="C22" s="26" t="n">
        <x:f>COUNTIF(C15:C19,"APPROVE")</x:f>
        <x:v>0</x:v>
      </x:c>
      <x:c r="D22" s="3" t="inlineStr">
        <x:is>
          <x:t xml:space="preserve">approvals</x:t>
        </x:is>
      </x:c>
    </x:row>
  </x:sheetData>
  <x:mergeCells>
    <x:mergeCell ref="B2:G2"/>
    <x:mergeCell ref="B13:G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baseColWidth="8" defaultRowHeight="15"/>
  <x:cols>
    <x:col min="1" max="1" width="5" customWidth="1"/>
    <x:col min="2" max="2" width="16" customWidth="1"/>
    <x:col min="3" max="3" width="16" customWidth="1"/>
    <x:col min="4" max="4" width="18" customWidth="1"/>
    <x:col min="5" max="5" width="44" customWidth="1"/>
    <x:col min="6" max="6" width="16" customWidth="1"/>
    <x:col min="7" max="7" width="16" customWidth="1"/>
  </x:cols>
  <x:sheetData>
    <x:row r="1"/>
    <x:row r="2">
      <x:c r="B2" s="4" t="inlineStr">
        <x:is>
          <x:t xml:space="preserve">Document Control</x:t>
        </x:is>
      </x:c>
      <x:c r="C2" s="5" t="n"/>
      <x:c r="D2" s="5" t="n"/>
      <x:c r="E2" s="5" t="n"/>
      <x:c r="F2" s="5" t="n"/>
    </x:row>
    <x:row r="3"/>
    <x:row r="4">
      <x:c r="A4" s="7" t="inlineStr">
        <x:is>
          <x:t xml:space="preserve"/>
        </x:is>
      </x:c>
      <x:c r="B4" s="8" t="inlineStr">
        <x:is>
          <x:t xml:space="preserve">Rev</x:t>
        </x:is>
      </x:c>
      <x:c r="C4" s="8" t="inlineStr">
        <x:is>
          <x:t xml:space="preserve">Date</x:t>
        </x:is>
      </x:c>
      <x:c r="D4" s="8" t="inlineStr">
        <x:is>
          <x:t xml:space="preserve">Owner</x:t>
        </x:is>
      </x:c>
      <x:c r="E4" s="8" t="inlineStr">
        <x:is>
          <x:t xml:space="preserve">Summary</x:t>
        </x:is>
      </x:c>
      <x:c r="F4" s="8" t="inlineStr">
        <x:is>
          <x:t xml:space="preserve">Status</x:t>
        </x:is>
      </x:c>
    </x:row>
    <x:row r="5">
      <x:c r="B5" s="6" t="inlineStr">
        <x:is>
          <x:t xml:space="preserve">v6.0</x:t>
        </x:is>
      </x:c>
      <x:c r="C5" s="3" t="inlineStr">
        <x:is>
          <x:t xml:space="preserve">20 Mar 2026</x:t>
        </x:is>
      </x:c>
      <x:c r="D5" s="3" t="inlineStr">
        <x:is>
          <x:t xml:space="preserve">Finance</x:t>
        </x:is>
      </x:c>
      <x:c r="E5" s="3" t="inlineStr">
        <x:is>
          <x:t xml:space="preserve">Base credit committee pack created</x:t>
        </x:is>
      </x:c>
      <x:c r="F5" s="3" t="inlineStr">
        <x:is>
          <x:t xml:space="preserve">Superseded</x:t>
        </x:is>
      </x:c>
    </x:row>
    <x:row r="6">
      <x:c r="B6" s="6" t="inlineStr">
        <x:is>
          <x:t xml:space="preserve">v6.1</x:t>
        </x:is>
      </x:c>
      <x:c r="C6" s="3" t="inlineStr">
        <x:is>
          <x:t xml:space="preserve">20 Mar 2026</x:t>
        </x:is>
      </x:c>
      <x:c r="D6" s="3" t="inlineStr">
        <x:is>
          <x:t xml:space="preserve">Finance</x:t>
        </x:is>
      </x:c>
      <x:c r="E6" s="3" t="inlineStr">
        <x:is>
          <x:t xml:space="preserve">Model-integrated committee pack memo</x:t>
        </x:is>
      </x:c>
      <x:c r="F6" s="3" t="inlineStr">
        <x:is>
          <x:t xml:space="preserve">Superseded</x:t>
        </x:is>
      </x:c>
    </x:row>
    <x:row r="7">
      <x:c r="B7" s="6" t="inlineStr">
        <x:is>
          <x:t xml:space="preserve">v6.2</x:t>
        </x:is>
      </x:c>
      <x:c r="C7" s="3" t="inlineStr">
        <x:is>
          <x:t xml:space="preserve">20 Mar 2026</x:t>
        </x:is>
      </x:c>
      <x:c r="D7" s="3" t="inlineStr">
        <x:is>
          <x:t xml:space="preserve">Finance</x:t>
        </x:is>
      </x:c>
      <x:c r="E7" s="3" t="inlineStr">
        <x:is>
          <x:t xml:space="preserve">Live lender linkage workbook export (.xlsx)</x:t>
        </x:is>
      </x:c>
      <x:c r="F7" s="3" t="inlineStr">
        <x:is>
          <x:t xml:space="preserve">Current</x:t>
        </x:is>
      </x:c>
    </x:row>
    <x:row r="8">
      <x:c r="B8" t="str">
        <x:v>888 R1</x:v>
      </x:c>
      <x:c r="C8" t="str">
        <x:v>13 Sep 2026</x:v>
      </x:c>
      <x:c r="D8" t="str">
        <x:v>Technical review</x:v>
      </x:c>
      <x:c r="E8" t="str">
        <x:v>Tax, discount, covenants, DSRA and grace references corrected.</x:v>
      </x:c>
      <x:c r="F8" t="str">
        <x:v>HUMAN REVIEW</x:v>
      </x:c>
    </x:row>
  </x:sheetData>
  <x:mergeCells>
    <x:mergeCell ref="B2:F2"/>
  </x:mergeCells>
  <x:pageMargins left="0.7" right="0.7" top="0.75" bottom="0.75" header="0.3" footer="0.3"/>
</x:worksheet>
</file>