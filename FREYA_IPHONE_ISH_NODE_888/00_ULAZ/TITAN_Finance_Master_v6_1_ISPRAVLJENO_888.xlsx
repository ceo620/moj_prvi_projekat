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4c88cbc52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d1b02007189b4ab9"/>
    <x:sheet xmlns:r="http://schemas.openxmlformats.org/officeDocument/2006/relationships" name="Active_Data" sheetId="2" r:id="R413903627403417b"/>
    <x:sheet xmlns:r="http://schemas.openxmlformats.org/officeDocument/2006/relationships" name="Assumptions" sheetId="3" r:id="R7e75b6cb36d64a41"/>
    <x:sheet xmlns:r="http://schemas.openxmlformats.org/officeDocument/2006/relationships" name="Sources_Uses" sheetId="4" r:id="R1ad19d58b9a94e00"/>
    <x:sheet xmlns:r="http://schemas.openxmlformats.org/officeDocument/2006/relationships" name="DSCR_Profile" sheetId="5" r:id="R1ab06c5306134481"/>
    <x:sheet xmlns:r="http://schemas.openxmlformats.org/officeDocument/2006/relationships" name="Break_even" sheetId="6" r:id="Rc5c9cf6a552249cc"/>
    <x:sheet xmlns:r="http://schemas.openxmlformats.org/officeDocument/2006/relationships" name="Sensitivity" sheetId="7" r:id="R1d9d7ac723f94406"/>
    <x:sheet xmlns:r="http://schemas.openxmlformats.org/officeDocument/2006/relationships" name="Monte_Carlo_Results" sheetId="8" r:id="R90f9437f722a4816"/>
    <x:sheet xmlns:r="http://schemas.openxmlformats.org/officeDocument/2006/relationships" name="Dashboard" sheetId="9" r:id="R25ee934030384deb"/>
    <x:sheet xmlns:r="http://schemas.openxmlformats.org/officeDocument/2006/relationships" name="Audit_Checks" sheetId="10" r:id="R8cc1237bf93e4c23"/>
    <x:sheet xmlns:r="http://schemas.openxmlformats.org/officeDocument/2006/relationships" name="99_README" sheetId="11" r:id="Re01643391df04a6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E25" authorId="0">
      <x:text>
        <x:r>
          <x:t>Source: Central Brain brief. Keep locked unless baseline version changes.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B8" authorId="0">
      <x:text>
        <x:r>
          <x:t>Energy_per_unit is not verified in the current chat history.</x:t>
        </x:r>
      </x:text>
    </x:comment>
    <x:comment ref="B12" authorId="0">
      <x:text>
        <x:r>
          <x:t>Populate from reviewed daily market note; do not hardcode without source.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#,##0.0_);[Red](#,##0.0)"/>
    <x:numFmt numFmtId="166" formatCode="0.00x"/>
    <x:numFmt numFmtId="167" formatCode="#,##0.0"/>
  </x:numFmts>
  <x:fonts count="11">
    <x:font>
      <x:sz val="11"/>
      <x:color theme="1"/>
      <x:name val="Calibri"/>
    </x:font>
    <x:font>
      <x:b/>
      <x:sz val="12"/>
      <x:color rgb="FFFFFFFF"/>
      <x:name val="Calibri"/>
    </x:font>
    <x:font>
      <x:sz val="10"/>
      <x:color rgb="FF000000"/>
      <x:name val="Calibri"/>
    </x:font>
    <x:font>
      <x:sz val="10"/>
      <x:color rgb="FF0000FF"/>
      <x:name val="Calibri"/>
    </x:font>
    <x:font>
      <x:b/>
      <x:sz val="10"/>
      <x:color rgb="FFFFFFFF"/>
      <x:name val="Calibri"/>
    </x:font>
    <x:font>
      <x:sz val="10"/>
      <x:color rgb="FF008000"/>
      <x:name val="Calibri"/>
    </x:font>
    <x:font>
      <x:sz val="10"/>
      <x:color rgb="FF666666"/>
      <x:name val="Calibri"/>
    </x:font>
    <x:font>
      <x:b/>
      <x:sz val="10"/>
      <x:color rgb="FFC65911"/>
      <x:name val="Calibri"/>
    </x:font>
    <x:font>
      <x:b/>
      <x:sz val="10"/>
      <x:color rgb="FF7030A0"/>
      <x:name val="Calibri"/>
    </x:font>
    <x:font>
      <x:b/>
      <x:sz val="10"/>
      <x:color rgb="FF000000"/>
      <x:name val="Calibri"/>
    </x:font>
    <x:font>
      <x:b/>
      <x:sz val="11"/>
      <x:color rgb="FF008B8B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001F3F"/>
      </x:patternFill>
    </x:fill>
    <x:fill>
      <x:patternFill patternType="solid">
        <x:fgColor rgb="FFD9EAF7"/>
      </x:patternFill>
    </x:fill>
    <x:fill>
      <x:patternFill patternType="solid">
        <x:fgColor rgb="FF00A3E0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FE3FF"/>
      </x:patternFill>
    </x:fill>
    <x:fill>
      <x:patternFill patternType="solid">
        <x:fgColor rgb="FFE2F7F6"/>
      </x:patternFill>
    </x:fill>
  </x:fills>
  <x:borders count="6">
    <x:border/>
    <x:border>
      <x:top style="medium">
        <x:color rgb="FF001F3F"/>
      </x:top>
      <x:bottom style="medium">
        <x:color rgb="FF001F3F"/>
      </x:bottom>
    </x:border>
    <x:border>
      <x:bottom style="thin">
        <x:color rgb="FFBFBFBF"/>
      </x:bottom>
    </x:border>
    <x:border>
      <x:top style="medium">
        <x:color rgb="FF001F3F"/>
      </x:top>
    </x:border>
    <x:border>
      <x:top style="medium">
        <x:color rgb="FF001F3F"/>
      </x:top>
    </x:border>
    <x:border>
      <x:top style="medium">
        <x:color rgb="FF001F3F"/>
      </x:top>
      <x:bottom style="medium">
        <x:color rgb="FF001F3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3" fillId="3" borderId="0" xfId="0" applyAlignment="1">
      <x:alignment horizontal="left" vertical="center"/>
    </x:xf>
    <x:xf numFmtId="0" fontId="4" fillId="4" borderId="2" xfId="0" applyAlignment="1">
      <x:alignment horizontal="center" vertical="center" wrapText="1"/>
    </x:xf>
    <x:xf numFmtId="38" fontId="3" fillId="3" borderId="0" xfId="0" applyAlignment="1">
      <x:alignment horizontal="right" vertical="center"/>
    </x:xf>
    <x:xf numFmtId="0" fontId="5" fillId="0" borderId="0" xfId="0" applyAlignment="1">
      <x:alignment horizontal="right" vertical="center"/>
    </x:xf>
    <x:xf numFmtId="164" fontId="3" fillId="3" borderId="0" xfId="0" applyAlignment="1">
      <x:alignment horizontal="right" vertical="center"/>
    </x:xf>
    <x:xf numFmtId="165" fontId="3" fillId="3" borderId="0" xfId="0" applyAlignment="1">
      <x:alignment horizontal="right" vertical="center"/>
    </x:xf>
    <x:xf numFmtId="166" fontId="3" fillId="3" borderId="0" xfId="0" applyAlignment="1">
      <x:alignment horizontal="right" vertical="center"/>
    </x:xf>
    <x:xf numFmtId="0" fontId="6" fillId="5" borderId="0" xfId="0" applyAlignment="1">
      <x:alignment horizontal="right" vertical="center"/>
    </x:xf>
    <x:xf numFmtId="0" fontId="7" fillId="6" borderId="0" xfId="0" applyAlignment="1">
      <x:alignment horizontal="left" vertical="center"/>
    </x:xf>
    <x:xf numFmtId="0" fontId="8" fillId="7" borderId="0" xfId="0" applyAlignment="1">
      <x:alignment horizontal="right" vertical="center"/>
    </x:xf>
    <x:xf numFmtId="0" fontId="3" fillId="3" borderId="0" xfId="0" applyAlignment="1">
      <x:alignment horizontal="right" vertical="center"/>
    </x:xf>
    <x:xf numFmtId="164" fontId="3" fillId="3" borderId="0" xfId="0" applyAlignment="1">
      <x:alignment horizontal="left" vertical="center"/>
    </x:xf>
    <x:xf numFmtId="38" fontId="2" fillId="0" borderId="0" xfId="0" applyAlignment="1">
      <x:alignment horizontal="right" vertical="center"/>
    </x:xf>
    <x:xf numFmtId="164" fontId="2" fillId="0" borderId="0" xfId="0" applyAlignment="1">
      <x:alignment horizontal="right" vertical="center"/>
    </x:xf>
    <x:xf numFmtId="0" fontId="9" fillId="0" borderId="3" xfId="0" applyAlignment="1">
      <x:alignment horizontal="left" vertical="center"/>
    </x:xf>
    <x:xf numFmtId="0" fontId="9" fillId="0" borderId="3" xfId="0" applyAlignment="1">
      <x:alignment horizontal="right" vertical="center"/>
    </x:xf>
    <x:xf numFmtId="38" fontId="5" fillId="0" borderId="0" xfId="0" applyAlignment="1">
      <x:alignment horizontal="right" vertical="center"/>
    </x:xf>
    <x:xf numFmtId="166" fontId="10" fillId="8" borderId="0" xfId="0" applyAlignment="1">
      <x:alignment horizontal="right" vertical="center"/>
    </x:xf>
    <x:xf numFmtId="40" fontId="2" fillId="0" borderId="0" xfId="0" applyAlignment="1">
      <x:alignment horizontal="right" vertical="center"/>
    </x:xf>
    <x:xf numFmtId="0" fontId="0" fillId="0" borderId="5" xfId="0"/>
    <x:xf numFmtId="166" fontId="2" fillId="0" borderId="0" xfId="0" applyAlignment="1">
      <x:alignment horizontal="right" vertical="center"/>
    </x:xf>
    <x:xf numFmtId="164" fontId="10" fillId="8" borderId="0" xfId="0" applyAlignment="1">
      <x:alignment horizontal="right" vertical="center"/>
    </x:xf>
    <x:xf numFmtId="38" fontId="10" fillId="8" borderId="0" xfId="0" applyAlignment="1">
      <x:alignment horizontal="right" vertical="center"/>
    </x:xf>
    <x:xf numFmtId="167" fontId="10" fillId="8" borderId="0" xfId="0" applyAlignment="1">
      <x:alignment horizontal="right" vertical="center"/>
    </x:xf>
    <x:xf numFmtId="0" fontId="2" fillId="0" borderId="0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c9886d8d641d7" /><Relationship Type="http://schemas.openxmlformats.org/officeDocument/2006/relationships/theme" Target="/xl/theme/theme1.xml" Id="R16345940834140bb" /><Relationship Type="http://schemas.openxmlformats.org/officeDocument/2006/relationships/sharedStrings" Target="/xl/sharedStrings.xml" Id="R5d1d08f28d6b4f04" /><Relationship Type="http://schemas.openxmlformats.org/officeDocument/2006/relationships/worksheet" Target="/xl/worksheets/sheet1.xml" Id="Rd1b02007189b4ab9" /><Relationship Type="http://schemas.openxmlformats.org/officeDocument/2006/relationships/worksheet" Target="/xl/worksheets/sheet2.xml" Id="R413903627403417b" /><Relationship Type="http://schemas.openxmlformats.org/officeDocument/2006/relationships/worksheet" Target="/xl/worksheets/sheet3.xml" Id="R7e75b6cb36d64a41" /><Relationship Type="http://schemas.openxmlformats.org/officeDocument/2006/relationships/worksheet" Target="/xl/worksheets/sheet4.xml" Id="R1ad19d58b9a94e00" /><Relationship Type="http://schemas.openxmlformats.org/officeDocument/2006/relationships/worksheet" Target="/xl/worksheets/sheet5.xml" Id="R1ab06c5306134481" /><Relationship Type="http://schemas.openxmlformats.org/officeDocument/2006/relationships/worksheet" Target="/xl/worksheets/sheet6.xml" Id="Rc5c9cf6a552249cc" /><Relationship Type="http://schemas.openxmlformats.org/officeDocument/2006/relationships/worksheet" Target="/xl/worksheets/sheet7.xml" Id="R1d9d7ac723f94406" /><Relationship Type="http://schemas.openxmlformats.org/officeDocument/2006/relationships/worksheet" Target="/xl/worksheets/sheet8.xml" Id="R90f9437f722a4816" /><Relationship Type="http://schemas.openxmlformats.org/officeDocument/2006/relationships/worksheet" Target="/xl/worksheets/sheet9.xml" Id="R25ee934030384deb" /><Relationship Type="http://schemas.openxmlformats.org/officeDocument/2006/relationships/worksheet" Target="/xl/worksheets/sheet10.xml" Id="R8cc1237bf93e4c23" /><Relationship Type="http://schemas.openxmlformats.org/officeDocument/2006/relationships/worksheet" Target="/xl/worksheets/sheet11.xml" Id="Re01643391df04a6b" /><Relationship Type="http://schemas.microsoft.com/office/2017/10/relationships/person" Target="/xl/persons/person.xml" Id="R1c610aa498ea4f9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DSCR Profile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'DSCR_Profile'!$B$12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'DSCR_Profile'!$C$12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'DSCR_Profile'!$D$12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'DSCR_Profile'!$E$12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'DSCR_Profile'!$B$4:$F$4</f>
            </numRef>
          </cat>
          <val>
            <numRef>
              <f>'DSCR_Profile'!$F$12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Ramp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'DSCR_Profile'!$B$5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'DSCR_Profile'!$C$5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'DSCR_Profile'!$D$5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'DSCR_Profile'!$E$5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'DSCR_Profile'!$B$4:$F$4</f>
            </numRef>
          </cat>
          <val>
            <numRef>
              <f>'DSCR_Profile'!$F$5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DSCR Profile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'DSCR_Profile'!$C$12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'DSCR_Profile'!$D$12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'DSCR_Profile'!$F$12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Year</a:t>
                </a:r>
              </a:p>
            </c:rich>
          </c:tx>
        </c:title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Ramp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spPr>
            <a:ln xmlns:a="http://schemas.openxmlformats.org/drawingml/2006/main">
              <a:prstDash val="solid"/>
            </a:ln>
          </c:spP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spPr>
            <a:ln xmlns:a="http://schemas.openxmlformats.org/drawingml/2006/main">
              <a:prstDash val="solid"/>
            </a:ln>
          </c:spP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'DSCR_Profile'!$D$5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spPr>
            <a:ln xmlns:a="http://schemas.openxmlformats.org/drawingml/2006/main">
              <a:prstDash val="solid"/>
            </a:ln>
          </c:spP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'DSCR_Profile'!$E$5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spPr>
            <a:ln xmlns:a="http://schemas.openxmlformats.org/drawingml/2006/main">
              <a:prstDash val="solid"/>
            </a:ln>
          </c:spPr>
          <c:cat>
            <c:strRef>
              <c:f>'DSCR_Profile'!$B$4:$F$4</c:f>
              <c:strCache>
                <c:ptCount val="0"/>
              </c:strCache>
            </c:strRef>
          </c:cat>
          <c:val>
            <c:numRef>
              <c:f>'DSCR_Profile'!$F$5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EUR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persons/person.xml><?xml version="1.0" encoding="utf-8"?>
<xltc:personList xmlns:xltc="http://schemas.microsoft.com/office/spreadsheetml/2018/threadedcomments">
  <xltc:person displayName="OpenAI" id="{1D6FA1CC-8893-7262-32C8-35A21C8107D7}"/>
  <xltc:person displayName="OpenAI" id="{87346F0D-4CD1-7171-177B-BD2CF9C42E7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comments" Target="/xl/comments1.xml" Id="Re6403291453549dc" /><Relationship Type="http://schemas.openxmlformats.org/officeDocument/2006/relationships/vmlDrawing" Target="/xl/drawings/vmldrawing.vml" Id="Rfd7537848ded4a1e" 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comments" Target="/xl/comments2.xml" Id="R70ac5b8981224a8f" /><Relationship Type="http://schemas.openxmlformats.org/officeDocument/2006/relationships/vmlDrawing" Target="/xl/drawings/vmldrawing2.vml" Id="Rda32c326d28e4759" /></Relationships>
</file>

<file path=xl/worksheets/_rels/sheet5.xml.rels><?xml version='1.0' encoding='utf-8'?>
<Relationships xmlns="http://schemas.openxmlformats.org/package/2006/relationships"><Relationship Type="http://schemas.openxmlformats.org/officeDocument/2006/relationships/drawing" Target="/xl/drawings/drawing1.xml" Id="Reab846efdf09482b" /><Relationship Type="http://schemas.openxmlformats.org/officeDocument/2006/relationships/drawing" Target="/xl/drawings/drawing1.xml" Id="rId1" /></Relationships>
</file>

<file path=xl/worksheets/_rels/sheet9.xml.rels><?xml version='1.0' encoding='utf-8'?>
<Relationships xmlns="http://schemas.openxmlformats.org/package/2006/relationships"><Relationship Type="http://schemas.openxmlformats.org/officeDocument/2006/relationships/drawing" Target="/xl/drawings/drawing2.xml" Id="R562db797934e4e5e" /><Relationship Type="http://schemas.openxmlformats.org/officeDocument/2006/relationships/drawing" Target="/xl/drawings/drawing2.xml" Id="rId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4" customWidth="1"/>
    <x:col min="2" max="2" width="72" customWidth="1"/>
  </x:cols>
  <x:sheetData>
    <x:row r="1" ht="22" customHeight="1">
      <x:c r="A1" s="1" t="inlineStr">
        <x:is>
          <x:t xml:space="preserve">TITAN Central Brain Finance Master v6.1</x:t>
        </x:is>
      </x:c>
    </x:row>
    <x:row r="3">
      <x:c r="A3" s="2" t="inlineStr">
        <x:is>
          <x:t xml:space="preserve">Document</x:t>
        </x:is>
      </x:c>
      <x:c r="B3" s="3" t="inlineStr">
        <x:is>
          <x:t xml:space="preserve">TITAN Central Brain Finance Master v6.1</x:t>
        </x:is>
      </x:c>
    </x:row>
    <x:row r="4">
      <x:c r="A4" s="2" t="inlineStr">
        <x:is>
          <x:t xml:space="preserve">Prepared For</x:t>
        </x:is>
      </x:c>
      <x:c r="B4" s="3" t="inlineStr">
        <x:is>
          <x:t xml:space="preserve">ARS Metal / ADS Metal / TITAN Central Brain</x:t>
        </x:is>
      </x:c>
    </x:row>
    <x:row r="5">
      <x:c r="A5" s="2" t="inlineStr">
        <x:is>
          <x:t xml:space="preserve">Purpose</x:t>
        </x:is>
      </x:c>
      <x:c r="B5" s="3" t="str">
        <x:v>Baseline-aware source review; cash-flow model incomplete</x:v>
      </x:c>
    </x:row>
    <x:row r="6">
      <x:c r="A6" s="2" t="inlineStr">
        <x:is>
          <x:t xml:space="preserve">Important</x:t>
        </x:is>
      </x:c>
      <x:c r="B6" s="3" t="str">
        <x:v>HOLD: source metrics are not independently validated</x:v>
      </x:c>
    </x:row>
    <x:row r="7">
      <x:c r="A7" s="2" t="inlineStr">
        <x:is>
          <x:t xml:space="preserve">Version Date</x:t>
        </x:is>
      </x:c>
      <x:c r="B7" s="3" t="inlineStr">
        <x:is>
          <x:t xml:space="preserve">2026-04-03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8" customWidth="1"/>
    <x:col min="2" max="2" width="12" customWidth="1"/>
    <x:col min="3" max="3" width="13" customWidth="1"/>
    <x:col min="4" max="4" width="28" customWidth="1"/>
    <x:col min="5" max="5" width="16" customWidth="1"/>
    <x:col min="6" max="6" width="12" customWidth="1"/>
    <x:col min="7" max="7" width="24" customWidth="1"/>
    <x:col min="8" max="8" width="12" customWidth="1"/>
    <x:col min="9" max="9" width="16" customWidth="1"/>
    <x:col min="10" max="10" width="14" customWidth="1"/>
    <x:col min="11" max="11" width="14" customWidth="1"/>
  </x:cols>
  <x:sheetData>
    <x:row r="1" ht="22" customHeight="1">
      <x:c r="A1" s="1" t="inlineStr">
        <x:is>
          <x:t xml:space="preserve">Active_Data – Central Brain Memory</x:t>
        </x:is>
      </x:c>
    </x:row>
    <x:row r="4" ht="30" customHeight="1">
      <x:c r="A4" s="4" t="inlineStr">
        <x:is>
          <x:t xml:space="preserve">Baseline_ID</x:t>
        </x:is>
      </x:c>
      <x:c r="B4" s="4" t="inlineStr">
        <x:is>
          <x:t xml:space="preserve">Model_Version</x:t>
        </x:is>
      </x:c>
      <x:c r="C4" s="4" t="inlineStr">
        <x:is>
          <x:t xml:space="preserve">Scenario_Type</x:t>
        </x:is>
      </x:c>
      <x:c r="D4" s="4" t="inlineStr">
        <x:is>
          <x:t xml:space="preserve">Parameter</x:t>
        </x:is>
      </x:c>
      <x:c r="E4" s="4" t="inlineStr">
        <x:is>
          <x:t xml:space="preserve">Value</x:t>
        </x:is>
      </x:c>
      <x:c r="F4" s="4" t="inlineStr">
        <x:is>
          <x:t xml:space="preserve">Unit</x:t>
        </x:is>
      </x:c>
      <x:c r="G4" s="4" t="inlineStr">
        <x:is>
          <x:t xml:space="preserve">Source_Document</x:t>
        </x:is>
      </x:c>
      <x:c r="H4" s="4" t="inlineStr">
        <x:is>
          <x:t xml:space="preserve">Status_Flag</x:t>
        </x:is>
      </x:c>
      <x:c r="I4" s="4" t="inlineStr">
        <x:is>
          <x:t xml:space="preserve">Monte_Carlo_P90</x:t>
        </x:is>
      </x:c>
      <x:c r="J4" s="4" t="inlineStr">
        <x:is>
          <x:t xml:space="preserve">Equity_Impact</x:t>
        </x:is>
      </x:c>
      <x:c r="K4" s="4" t="inlineStr">
        <x:is>
          <x:t xml:space="preserve">Industry_Specific</x:t>
        </x:is>
      </x:c>
    </x:row>
    <x:row r="5">
      <x:c r="A5" s="3" t="inlineStr">
        <x:is>
          <x:t xml:space="preserve">ARS_IF25_v4.5</x:t>
        </x:is>
      </x:c>
      <x:c r="B5" s="3" t="inlineStr">
        <x:is>
          <x:t xml:space="preserve">v4.5</x:t>
        </x:is>
      </x:c>
      <x:c r="C5" s="3" t="inlineStr">
        <x:is>
          <x:t xml:space="preserve">Base</x:t>
        </x:is>
      </x:c>
      <x:c r="D5" s="3" t="inlineStr">
        <x:is>
          <x:t xml:space="preserve">Total_Project_Cost</x:t>
        </x:is>
      </x:c>
      <x:c r="E5" s="5" t="n">
        <x:v>27796156</x:v>
      </x:c>
      <x:c r="F5" s="3" t="inlineStr">
        <x:is>
          <x:t xml:space="preserve">EUR</x:t>
        </x:is>
      </x:c>
      <x:c r="G5" s="6" t="inlineStr">
        <x:is>
          <x:t xml:space="preserve">Titan Grid v4.5</x:t>
        </x:is>
      </x:c>
      <x:c r="H5" s="3" t="inlineStr">
        <x:is>
          <x:t xml:space="preserve">Locked</x:t>
        </x:is>
      </x:c>
      <x:c r="I5" s="5" t="inlineStr">
        <x:is>
          <x:t xml:space="preserve"/>
        </x:is>
      </x:c>
      <x:c r="J5" s="3" t="inlineStr">
        <x:is>
          <x:t xml:space="preserve"/>
        </x:is>
      </x:c>
      <x:c r="K5" s="3" t="inlineStr">
        <x:is>
          <x:t xml:space="preserve">Yes</x:t>
        </x:is>
      </x:c>
    </x:row>
    <x:row r="6">
      <x:c r="A6" s="3" t="inlineStr">
        <x:is>
          <x:t xml:space="preserve">ARS_IF25_v4.5</x:t>
        </x:is>
      </x:c>
      <x:c r="B6" s="3" t="inlineStr">
        <x:is>
          <x:t xml:space="preserve">v4.5</x:t>
        </x:is>
      </x:c>
      <x:c r="C6" s="3" t="inlineStr">
        <x:is>
          <x:t xml:space="preserve">Base</x:t>
        </x:is>
      </x:c>
      <x:c r="D6" s="3" t="inlineStr">
        <x:is>
          <x:t xml:space="preserve">Direct_CAPEX</x:t>
        </x:is>
      </x:c>
      <x:c r="E6" s="5" t="n">
        <x:v>24715200</x:v>
      </x:c>
      <x:c r="F6" s="3" t="inlineStr">
        <x:is>
          <x:t xml:space="preserve">EUR</x:t>
        </x:is>
      </x:c>
      <x:c r="G6" s="6" t="inlineStr">
        <x:is>
          <x:t xml:space="preserve">Titan Grid v4.5</x:t>
        </x:is>
      </x:c>
      <x:c r="H6" s="3" t="inlineStr">
        <x:is>
          <x:t xml:space="preserve">Locked</x:t>
        </x:is>
      </x:c>
      <x:c r="I6" s="5" t="inlineStr">
        <x:is>
          <x:t xml:space="preserve"/>
        </x:is>
      </x:c>
      <x:c r="J6" s="3" t="inlineStr">
        <x:is>
          <x:t xml:space="preserve"/>
        </x:is>
      </x:c>
      <x:c r="K6" s="3" t="inlineStr">
        <x:is>
          <x:t xml:space="preserve">Yes</x:t>
        </x:is>
      </x:c>
    </x:row>
    <x:row r="7">
      <x:c r="A7" s="3" t="inlineStr">
        <x:is>
          <x:t xml:space="preserve">ARS_IF25_v4.5</x:t>
        </x:is>
      </x:c>
      <x:c r="B7" s="3" t="inlineStr">
        <x:is>
          <x:t xml:space="preserve">v4.5</x:t>
        </x:is>
      </x:c>
      <x:c r="C7" s="3" t="inlineStr">
        <x:is>
          <x:t xml:space="preserve">Base</x:t>
        </x:is>
      </x:c>
      <x:c r="D7" s="3" t="inlineStr">
        <x:is>
          <x:t xml:space="preserve">Contingency</x:t>
        </x:is>
      </x:c>
      <x:c r="E7" s="5" t="n">
        <x:v>2471520</x:v>
      </x:c>
      <x:c r="F7" s="3" t="inlineStr">
        <x:is>
          <x:t xml:space="preserve">EUR</x:t>
        </x:is>
      </x:c>
      <x:c r="G7" s="6" t="inlineStr">
        <x:is>
          <x:t xml:space="preserve">Titan Grid v4.5</x:t>
        </x:is>
      </x:c>
      <x:c r="H7" s="3" t="inlineStr">
        <x:is>
          <x:t xml:space="preserve">Locked</x:t>
        </x:is>
      </x:c>
      <x:c r="I7" s="5" t="inlineStr">
        <x:is>
          <x:t xml:space="preserve"/>
        </x:is>
      </x:c>
      <x:c r="J7" s="3" t="inlineStr">
        <x:is>
          <x:t xml:space="preserve"/>
        </x:is>
      </x:c>
      <x:c r="K7" s="3" t="inlineStr">
        <x:is>
          <x:t xml:space="preserve">Yes</x:t>
        </x:is>
      </x:c>
    </x:row>
    <x:row r="8">
      <x:c r="A8" s="3" t="inlineStr">
        <x:is>
          <x:t xml:space="preserve">ARS_IF25_v4.5</x:t>
        </x:is>
      </x:c>
      <x:c r="B8" s="3" t="inlineStr">
        <x:is>
          <x:t xml:space="preserve">v4.5</x:t>
        </x:is>
      </x:c>
      <x:c r="C8" s="3" t="inlineStr">
        <x:is>
          <x:t xml:space="preserve">Base</x:t>
        </x:is>
      </x:c>
      <x:c r="D8" s="3" t="inlineStr">
        <x:is>
          <x:t xml:space="preserve">Debt_Percent</x:t>
        </x:is>
      </x:c>
      <x:c r="E8" s="7" t="n">
        <x:v>0.6</x:v>
      </x:c>
      <x:c r="F8" s="3" t="inlineStr">
        <x:is>
          <x:t xml:space="preserve">%</x:t>
        </x:is>
      </x:c>
      <x:c r="G8" s="6" t="inlineStr">
        <x:is>
          <x:t xml:space="preserve">Titan Grid v4.5</x:t>
        </x:is>
      </x:c>
      <x:c r="H8" s="3" t="inlineStr">
        <x:is>
          <x:t xml:space="preserve">Locked</x:t>
        </x:is>
      </x:c>
      <x:c r="I8" s="7" t="inlineStr">
        <x:is>
          <x:t xml:space="preserve"/>
        </x:is>
      </x:c>
      <x:c r="J8" s="3" t="inlineStr">
        <x:is>
          <x:t xml:space="preserve"/>
        </x:is>
      </x:c>
      <x:c r="K8" s="3" t="inlineStr">
        <x:is>
          <x:t xml:space="preserve">Yes</x:t>
        </x:is>
      </x:c>
    </x:row>
    <x:row r="9">
      <x:c r="A9" s="3" t="inlineStr">
        <x:is>
          <x:t xml:space="preserve">ARS_IF25_v4.5</x:t>
        </x:is>
      </x:c>
      <x:c r="B9" s="3" t="inlineStr">
        <x:is>
          <x:t xml:space="preserve">v4.5</x:t>
        </x:is>
      </x:c>
      <x:c r="C9" s="3" t="inlineStr">
        <x:is>
          <x:t xml:space="preserve">Base</x:t>
        </x:is>
      </x:c>
      <x:c r="D9" s="3" t="inlineStr">
        <x:is>
          <x:t xml:space="preserve">Equity_Percent</x:t>
        </x:is>
      </x:c>
      <x:c r="E9" s="7" t="n">
        <x:v>0.4</x:v>
      </x:c>
      <x:c r="F9" s="3" t="inlineStr">
        <x:is>
          <x:t xml:space="preserve">%</x:t>
        </x:is>
      </x:c>
      <x:c r="G9" s="6" t="inlineStr">
        <x:is>
          <x:t xml:space="preserve">Titan Grid v4.5</x:t>
        </x:is>
      </x:c>
      <x:c r="H9" s="3" t="inlineStr">
        <x:is>
          <x:t xml:space="preserve">Locked</x:t>
        </x:is>
      </x:c>
      <x:c r="I9" s="7" t="inlineStr">
        <x:is>
          <x:t xml:space="preserve"/>
        </x:is>
      </x:c>
      <x:c r="J9" s="3" t="inlineStr">
        <x:is>
          <x:t xml:space="preserve"/>
        </x:is>
      </x:c>
      <x:c r="K9" s="3" t="inlineStr">
        <x:is>
          <x:t xml:space="preserve">Yes</x:t>
        </x:is>
      </x:c>
    </x:row>
    <x:row r="10">
      <x:c r="A10" s="3" t="inlineStr">
        <x:is>
          <x:t xml:space="preserve">ARS_IF25_v4.5</x:t>
        </x:is>
      </x:c>
      <x:c r="B10" s="3" t="inlineStr">
        <x:is>
          <x:t xml:space="preserve">v4.5</x:t>
        </x:is>
      </x:c>
      <x:c r="C10" s="3" t="inlineStr">
        <x:is>
          <x:t xml:space="preserve">Base</x:t>
        </x:is>
      </x:c>
      <x:c r="D10" s="3" t="inlineStr">
        <x:is>
          <x:t xml:space="preserve">IDC</x:t>
        </x:is>
      </x:c>
      <x:c r="E10" s="5" t="n">
        <x:v>1031579</x:v>
      </x:c>
      <x:c r="F10" s="3" t="inlineStr">
        <x:is>
          <x:t xml:space="preserve">EUR</x:t>
        </x:is>
      </x:c>
      <x:c r="G10" s="6" t="inlineStr">
        <x:is>
          <x:t xml:space="preserve">Titan Grid v4.5</x:t>
        </x:is>
      </x:c>
      <x:c r="H10" s="3" t="inlineStr">
        <x:is>
          <x:t xml:space="preserve">Locked</x:t>
        </x:is>
      </x:c>
      <x:c r="I10" s="5" t="inlineStr">
        <x:is>
          <x:t xml:space="preserve"/>
        </x:is>
      </x:c>
      <x:c r="J10" s="3" t="inlineStr">
        <x:is>
          <x:t xml:space="preserve"/>
        </x:is>
      </x:c>
      <x:c r="K10" s="3" t="inlineStr">
        <x:is>
          <x:t xml:space="preserve">Yes</x:t>
        </x:is>
      </x:c>
    </x:row>
    <x:row r="11">
      <x:c r="A11" s="3" t="inlineStr">
        <x:is>
          <x:t xml:space="preserve">ARS_IF25_v4.5</x:t>
        </x:is>
      </x:c>
      <x:c r="B11" s="3" t="inlineStr">
        <x:is>
          <x:t xml:space="preserve">v4.5</x:t>
        </x:is>
      </x:c>
      <x:c r="C11" s="3" t="inlineStr">
        <x:is>
          <x:t xml:space="preserve">Base</x:t>
        </x:is>
      </x:c>
      <x:c r="D11" s="3" t="inlineStr">
        <x:is>
          <x:t xml:space="preserve">Revenue_Y1</x:t>
        </x:is>
      </x:c>
      <x:c r="E11" s="5" t="n">
        <x:v>8000000</x:v>
      </x:c>
      <x:c r="F11" s="3" t="inlineStr">
        <x:is>
          <x:t xml:space="preserve">EUR</x:t>
        </x:is>
      </x:c>
      <x:c r="G11" s="6" t="inlineStr">
        <x:is>
          <x:t xml:space="preserve">Titan Grid v4.5</x:t>
        </x:is>
      </x:c>
      <x:c r="H11" s="3" t="inlineStr">
        <x:is>
          <x:t xml:space="preserve">Locked</x:t>
        </x:is>
      </x:c>
      <x:c r="I11" s="5" t="inlineStr">
        <x:is>
          <x:t xml:space="preserve"/>
        </x:is>
      </x:c>
      <x:c r="J11" s="3" t="inlineStr">
        <x:is>
          <x:t xml:space="preserve"/>
        </x:is>
      </x:c>
      <x:c r="K11" s="3" t="inlineStr">
        <x:is>
          <x:t xml:space="preserve">Yes</x:t>
        </x:is>
      </x:c>
    </x:row>
    <x:row r="12">
      <x:c r="A12" s="3" t="inlineStr">
        <x:is>
          <x:t xml:space="preserve">ARS_IF25_v4.5</x:t>
        </x:is>
      </x:c>
      <x:c r="B12" s="3" t="inlineStr">
        <x:is>
          <x:t xml:space="preserve">v4.5</x:t>
        </x:is>
      </x:c>
      <x:c r="C12" s="3" t="inlineStr">
        <x:is>
          <x:t xml:space="preserve">Base</x:t>
        </x:is>
      </x:c>
      <x:c r="D12" s="3" t="inlineStr">
        <x:is>
          <x:t xml:space="preserve">Revenue_Y5</x:t>
        </x:is>
      </x:c>
      <x:c r="E12" s="5" t="n">
        <x:v>28000000</x:v>
      </x:c>
      <x:c r="F12" s="3" t="inlineStr">
        <x:is>
          <x:t xml:space="preserve">EUR</x:t>
        </x:is>
      </x:c>
      <x:c r="G12" s="6" t="inlineStr">
        <x:is>
          <x:t xml:space="preserve">Titan Grid v4.5</x:t>
        </x:is>
      </x:c>
      <x:c r="H12" s="3" t="inlineStr">
        <x:is>
          <x:t xml:space="preserve">Locked</x:t>
        </x:is>
      </x:c>
      <x:c r="I12" s="5" t="inlineStr">
        <x:is>
          <x:t xml:space="preserve"/>
        </x:is>
      </x:c>
      <x:c r="J12" s="3" t="inlineStr">
        <x:is>
          <x:t xml:space="preserve"/>
        </x:is>
      </x:c>
      <x:c r="K12" s="3" t="inlineStr">
        <x:is>
          <x:t xml:space="preserve">Yes</x:t>
        </x:is>
      </x:c>
    </x:row>
    <x:row r="13">
      <x:c r="A13" s="3" t="inlineStr">
        <x:is>
          <x:t xml:space="preserve">ARS_IF25_v4.5</x:t>
        </x:is>
      </x:c>
      <x:c r="B13" s="3" t="inlineStr">
        <x:is>
          <x:t xml:space="preserve">v4.5</x:t>
        </x:is>
      </x:c>
      <x:c r="C13" s="3" t="inlineStr">
        <x:is>
          <x:t xml:space="preserve">Base</x:t>
        </x:is>
      </x:c>
      <x:c r="D13" s="3" t="inlineStr">
        <x:is>
          <x:t xml:space="preserve">Revenue_Y12</x:t>
        </x:is>
      </x:c>
      <x:c r="E13" s="5" t="n">
        <x:v>32163198</x:v>
      </x:c>
      <x:c r="F13" s="3" t="inlineStr">
        <x:is>
          <x:t xml:space="preserve">EUR</x:t>
        </x:is>
      </x:c>
      <x:c r="G13" s="6" t="inlineStr">
        <x:is>
          <x:t xml:space="preserve">Titan Grid v4.5</x:t>
        </x:is>
      </x:c>
      <x:c r="H13" s="3" t="inlineStr">
        <x:is>
          <x:t xml:space="preserve">Locked</x:t>
        </x:is>
      </x:c>
      <x:c r="I13" s="5" t="inlineStr">
        <x:is>
          <x:t xml:space="preserve"/>
        </x:is>
      </x:c>
      <x:c r="J13" s="3" t="inlineStr">
        <x:is>
          <x:t xml:space="preserve"/>
        </x:is>
      </x:c>
      <x:c r="K13" s="3" t="inlineStr">
        <x:is>
          <x:t xml:space="preserve">Yes</x:t>
        </x:is>
      </x:c>
    </x:row>
    <x:row r="14">
      <x:c r="A14" s="3" t="inlineStr">
        <x:is>
          <x:t xml:space="preserve">ARS_IF25_v4.5</x:t>
        </x:is>
      </x:c>
      <x:c r="B14" s="3" t="inlineStr">
        <x:is>
          <x:t xml:space="preserve">v4.5</x:t>
        </x:is>
      </x:c>
      <x:c r="C14" s="3" t="inlineStr">
        <x:is>
          <x:t xml:space="preserve">Base</x:t>
        </x:is>
      </x:c>
      <x:c r="D14" s="3" t="inlineStr">
        <x:is>
          <x:t xml:space="preserve">EBITDA_Margin</x:t>
        </x:is>
      </x:c>
      <x:c r="E14" s="7" t="n">
        <x:v>0.22</x:v>
      </x:c>
      <x:c r="F14" s="3" t="inlineStr">
        <x:is>
          <x:t xml:space="preserve">%</x:t>
        </x:is>
      </x:c>
      <x:c r="G14" s="6" t="inlineStr">
        <x:is>
          <x:t xml:space="preserve">Titan Grid v4.5</x:t>
        </x:is>
      </x:c>
      <x:c r="H14" s="3" t="inlineStr">
        <x:is>
          <x:t xml:space="preserve">Locked</x:t>
        </x:is>
      </x:c>
      <x:c r="I14" s="7" t="inlineStr">
        <x:is>
          <x:t xml:space="preserve"/>
        </x:is>
      </x:c>
      <x:c r="J14" s="3" t="inlineStr">
        <x:is>
          <x:t xml:space="preserve"/>
        </x:is>
      </x:c>
      <x:c r="K14" s="3" t="inlineStr">
        <x:is>
          <x:t xml:space="preserve">Yes</x:t>
        </x:is>
      </x:c>
    </x:row>
    <x:row r="15">
      <x:c r="A15" s="3" t="inlineStr">
        <x:is>
          <x:t xml:space="preserve">ARS_IF25_v4.5</x:t>
        </x:is>
      </x:c>
      <x:c r="B15" s="3" t="inlineStr">
        <x:is>
          <x:t xml:space="preserve">v4.5</x:t>
        </x:is>
      </x:c>
      <x:c r="C15" s="3" t="inlineStr">
        <x:is>
          <x:t xml:space="preserve">Base</x:t>
        </x:is>
      </x:c>
      <x:c r="D15" s="3" t="inlineStr">
        <x:is>
          <x:t xml:space="preserve">Capacity_Y1</x:t>
        </x:is>
      </x:c>
      <x:c r="E15" s="8" t="n">
        <x:v>660</x:v>
      </x:c>
      <x:c r="F15" s="3" t="inlineStr">
        <x:is>
          <x:t xml:space="preserve">units</x:t>
        </x:is>
      </x:c>
      <x:c r="G15" s="6" t="inlineStr">
        <x:is>
          <x:t xml:space="preserve">ARS_Full_v3 + v4.5</x:t>
        </x:is>
      </x:c>
      <x:c r="H15" s="3" t="inlineStr">
        <x:is>
          <x:t xml:space="preserve">Active</x:t>
        </x:is>
      </x:c>
      <x:c r="I15" s="8" t="inlineStr">
        <x:is>
          <x:t xml:space="preserve"/>
        </x:is>
      </x:c>
      <x:c r="J15" s="3" t="inlineStr">
        <x:is>
          <x:t xml:space="preserve"/>
        </x:is>
      </x:c>
      <x:c r="K15" s="3" t="inlineStr">
        <x:is>
          <x:t xml:space="preserve">Yes</x:t>
        </x:is>
      </x:c>
    </x:row>
    <x:row r="16">
      <x:c r="A16" s="3" t="inlineStr">
        <x:is>
          <x:t xml:space="preserve">ARS_IF25_v4.5</x:t>
        </x:is>
      </x:c>
      <x:c r="B16" s="3" t="inlineStr">
        <x:is>
          <x:t xml:space="preserve">v4.5</x:t>
        </x:is>
      </x:c>
      <x:c r="C16" s="3" t="inlineStr">
        <x:is>
          <x:t xml:space="preserve">Base</x:t>
        </x:is>
      </x:c>
      <x:c r="D16" s="3" t="inlineStr">
        <x:is>
          <x:t xml:space="preserve">CCC_Days</x:t>
        </x:is>
      </x:c>
      <x:c r="E16" s="8" t="n">
        <x:v>100</x:v>
      </x:c>
      <x:c r="F16" s="3" t="inlineStr">
        <x:is>
          <x:t xml:space="preserve">days</x:t>
        </x:is>
      </x:c>
      <x:c r="G16" s="6" t="inlineStr">
        <x:is>
          <x:t xml:space="preserve">Titan Grid v4.5</x:t>
        </x:is>
      </x:c>
      <x:c r="H16" s="3" t="inlineStr">
        <x:is>
          <x:t xml:space="preserve">Locked</x:t>
        </x:is>
      </x:c>
      <x:c r="I16" s="8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>Yes</x:t>
        </x:is>
      </x:c>
    </x:row>
    <x:row r="17">
      <x:c r="A17" s="3" t="inlineStr">
        <x:is>
          <x:t xml:space="preserve">ARS_IF25_v4.5</x:t>
        </x:is>
      </x:c>
      <x:c r="B17" s="3" t="inlineStr">
        <x:is>
          <x:t xml:space="preserve">v4.5</x:t>
        </x:is>
      </x:c>
      <x:c r="C17" s="3" t="inlineStr">
        <x:is>
          <x:t xml:space="preserve">Base</x:t>
        </x:is>
      </x:c>
      <x:c r="D17" s="3" t="inlineStr">
        <x:is>
          <x:t xml:space="preserve">NWC_Y5</x:t>
        </x:is>
      </x:c>
      <x:c r="E17" s="5" t="n">
        <x:v>5753425</x:v>
      </x:c>
      <x:c r="F17" s="3" t="inlineStr">
        <x:is>
          <x:t xml:space="preserve">EUR</x:t>
        </x:is>
      </x:c>
      <x:c r="G17" s="6" t="inlineStr">
        <x:is>
          <x:t xml:space="preserve">Titan Grid v4.5</x:t>
        </x:is>
      </x:c>
      <x:c r="H17" s="3" t="inlineStr">
        <x:is>
          <x:t xml:space="preserve">Locked</x:t>
        </x:is>
      </x:c>
      <x:c r="I17" s="5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>Yes</x:t>
        </x:is>
      </x:c>
    </x:row>
    <x:row r="18">
      <x:c r="A18" s="3" t="inlineStr">
        <x:is>
          <x:t xml:space="preserve">ARS_IF25_v4.5</x:t>
        </x:is>
      </x:c>
      <x:c r="B18" s="3" t="inlineStr">
        <x:is>
          <x:t xml:space="preserve">v4.5</x:t>
        </x:is>
      </x:c>
      <x:c r="C18" s="3" t="inlineStr">
        <x:is>
          <x:t xml:space="preserve">Base</x:t>
        </x:is>
      </x:c>
      <x:c r="D18" s="3" t="inlineStr">
        <x:is>
          <x:t xml:space="preserve">NWC_Percent_of_Revenue</x:t>
        </x:is>
      </x:c>
      <x:c r="E18" s="7" t="n">
        <x:v>0.2055</x:v>
      </x:c>
      <x:c r="F18" s="3" t="inlineStr">
        <x:is>
          <x:t xml:space="preserve">%</x:t>
        </x:is>
      </x:c>
      <x:c r="G18" s="6" t="inlineStr">
        <x:is>
          <x:t xml:space="preserve">Titan Grid v4.5</x:t>
        </x:is>
      </x:c>
      <x:c r="H18" s="3" t="inlineStr">
        <x:is>
          <x:t xml:space="preserve">Locked</x:t>
        </x:is>
      </x:c>
      <x:c r="I18" s="7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>Yes</x:t>
        </x:is>
      </x:c>
    </x:row>
    <x:row r="19">
      <x:c r="A19" s="3" t="inlineStr">
        <x:is>
          <x:t xml:space="preserve">ARS_IF25_v4.5</x:t>
        </x:is>
      </x:c>
      <x:c r="B19" s="3" t="inlineStr">
        <x:is>
          <x:t xml:space="preserve">v4.5</x:t>
        </x:is>
      </x:c>
      <x:c r="C19" s="3" t="inlineStr">
        <x:is>
          <x:t xml:space="preserve">Base</x:t>
        </x:is>
      </x:c>
      <x:c r="D19" s="3" t="inlineStr">
        <x:is>
          <x:t xml:space="preserve">Min_DSCR</x:t>
        </x:is>
      </x:c>
      <x:c r="E19" s="9" t="n">
        <x:v>1.68</x:v>
      </x:c>
      <x:c r="F19" s="3" t="inlineStr">
        <x:is>
          <x:t xml:space="preserve">x</x:t>
        </x:is>
      </x:c>
      <x:c r="G19" s="6" t="inlineStr">
        <x:is>
          <x:t xml:space="preserve">Titan Grid v4.5</x:t>
        </x:is>
      </x:c>
      <x:c r="H19" s="3" t="inlineStr">
        <x:is>
          <x:t xml:space="preserve">Locked</x:t>
        </x:is>
      </x:c>
      <x:c r="I19" s="9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>Yes</x:t>
        </x:is>
      </x:c>
    </x:row>
    <x:row r="20">
      <x:c r="A20" s="3" t="inlineStr">
        <x:is>
          <x:t xml:space="preserve">ARS_IF25_v4.5</x:t>
        </x:is>
      </x:c>
      <x:c r="B20" s="3" t="inlineStr">
        <x:is>
          <x:t xml:space="preserve">v4.5</x:t>
        </x:is>
      </x:c>
      <x:c r="C20" s="3" t="inlineStr">
        <x:is>
          <x:t xml:space="preserve">Base</x:t>
        </x:is>
      </x:c>
      <x:c r="D20" s="3" t="inlineStr">
        <x:is>
          <x:t xml:space="preserve">Avg_DSCR</x:t>
        </x:is>
      </x:c>
      <x:c r="E20" s="9" t="n">
        <x:v>3.07</x:v>
      </x:c>
      <x:c r="F20" s="3" t="inlineStr">
        <x:is>
          <x:t xml:space="preserve">x</x:t>
        </x:is>
      </x:c>
      <x:c r="G20" s="6" t="inlineStr">
        <x:is>
          <x:t xml:space="preserve">Titan Grid v4.5</x:t>
        </x:is>
      </x:c>
      <x:c r="H20" s="3" t="inlineStr">
        <x:is>
          <x:t xml:space="preserve">Locked</x:t>
        </x:is>
      </x:c>
      <x:c r="I20" s="9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>Yes</x:t>
        </x:is>
      </x:c>
    </x:row>
    <x:row r="21">
      <x:c r="A21" s="3" t="inlineStr">
        <x:is>
          <x:t xml:space="preserve">ARS_IF25_v4.5</x:t>
        </x:is>
      </x:c>
      <x:c r="B21" s="3" t="inlineStr">
        <x:is>
          <x:t xml:space="preserve">v4.5</x:t>
        </x:is>
      </x:c>
      <x:c r="C21" s="3" t="inlineStr">
        <x:is>
          <x:t xml:space="preserve">Base</x:t>
        </x:is>
      </x:c>
      <x:c r="D21" s="3" t="inlineStr">
        <x:is>
          <x:t xml:space="preserve">DSRA_Months</x:t>
        </x:is>
      </x:c>
      <x:c r="E21" s="8" t="n">
        <x:v>6</x:v>
      </x:c>
      <x:c r="F21" s="3" t="inlineStr">
        <x:is>
          <x:t xml:space="preserve">months</x:t>
        </x:is>
      </x:c>
      <x:c r="G21" s="6" t="inlineStr">
        <x:is>
          <x:t xml:space="preserve">Titan Grid v4.5</x:t>
        </x:is>
      </x:c>
      <x:c r="H21" s="3" t="inlineStr">
        <x:is>
          <x:t xml:space="preserve">Locked</x:t>
        </x:is>
      </x:c>
      <x:c r="I21" s="8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>Yes</x:t>
        </x:is>
      </x:c>
    </x:row>
    <x:row r="22">
      <x:c r="A22" s="3" t="inlineStr">
        <x:is>
          <x:t xml:space="preserve">ARS_IF25_v4.5</x:t>
        </x:is>
      </x:c>
      <x:c r="B22" s="3" t="inlineStr">
        <x:is>
          <x:t xml:space="preserve">v4.5</x:t>
        </x:is>
      </x:c>
      <x:c r="C22" s="3" t="inlineStr">
        <x:is>
          <x:t xml:space="preserve">Base</x:t>
        </x:is>
      </x:c>
      <x:c r="D22" s="3" t="inlineStr">
        <x:is>
          <x:t xml:space="preserve">TRL</x:t>
        </x:is>
      </x:c>
      <x:c r="E22" s="8" t="n">
        <x:v>8</x:v>
      </x:c>
      <x:c r="F22" s="3" t="inlineStr">
        <x:is>
          <x:t xml:space="preserve">score</x:t>
        </x:is>
      </x:c>
      <x:c r="G22" s="6" t="inlineStr">
        <x:is>
          <x:t xml:space="preserve">Model + seismic data</x:t>
        </x:is>
      </x:c>
      <x:c r="H22" s="3" t="inlineStr">
        <x:is>
          <x:t xml:space="preserve">Locked</x:t>
        </x:is>
      </x:c>
      <x:c r="I22" s="8" t="inlineStr">
        <x:is>
          <x:t xml:space="preserve"/>
        </x:is>
      </x:c>
      <x:c r="J22" s="3" t="inlineStr">
        <x:is>
          <x:t xml:space="preserve"/>
        </x:is>
      </x:c>
      <x:c r="K22" s="3" t="inlineStr">
        <x:is>
          <x:t xml:space="preserve">Yes</x:t>
        </x:is>
      </x:c>
    </x:row>
    <x:row r="23">
      <x:c r="A23" s="3" t="inlineStr">
        <x:is>
          <x:t xml:space="preserve">ARS_IF25_v4.5</x:t>
        </x:is>
      </x:c>
      <x:c r="B23" s="3" t="inlineStr">
        <x:is>
          <x:t xml:space="preserve">v4.5</x:t>
        </x:is>
      </x:c>
      <x:c r="C23" s="3" t="inlineStr">
        <x:is>
          <x:t xml:space="preserve">Base</x:t>
        </x:is>
      </x:c>
      <x:c r="D23" s="3" t="inlineStr">
        <x:is>
          <x:t xml:space="preserve">Land_Area</x:t>
        </x:is>
      </x:c>
      <x:c r="E23" s="8" t="n">
        <x:v>22742</x:v>
      </x:c>
      <x:c r="F23" s="3" t="inlineStr">
        <x:is>
          <x:t xml:space="preserve">m2</x:t>
        </x:is>
      </x:c>
      <x:c r="G23" s="6" t="inlineStr">
        <x:is>
          <x:t xml:space="preserve">List nepokretnosti 3301</x:t>
        </x:is>
      </x:c>
      <x:c r="H23" s="3" t="inlineStr">
        <x:is>
          <x:t xml:space="preserve">Locked</x:t>
        </x:is>
      </x:c>
      <x:c r="I23" s="8" t="inlineStr">
        <x:is>
          <x:t xml:space="preserve"/>
        </x:is>
      </x:c>
      <x:c r="J23" s="3" t="inlineStr">
        <x:is>
          <x:t xml:space="preserve"/>
        </x:is>
      </x:c>
      <x:c r="K23" s="3" t="inlineStr">
        <x:is>
          <x:t xml:space="preserve">Yes</x:t>
        </x:is>
      </x:c>
    </x:row>
    <x:row r="24">
      <x:c r="A24" s="3" t="inlineStr">
        <x:is>
          <x:t xml:space="preserve">ARS_IF25_v4.5</x:t>
        </x:is>
      </x:c>
      <x:c r="B24" s="3" t="inlineStr">
        <x:is>
          <x:t xml:space="preserve">v4.5</x:t>
        </x:is>
      </x:c>
      <x:c r="C24" s="3" t="inlineStr">
        <x:is>
          <x:t xml:space="preserve">Base</x:t>
        </x:is>
      </x:c>
      <x:c r="D24" s="3" t="inlineStr">
        <x:is>
          <x:t xml:space="preserve">UTU_BGP_Limit</x:t>
        </x:is>
      </x:c>
      <x:c r="E24" s="8" t="n">
        <x:v>10000</x:v>
      </x:c>
      <x:c r="F24" s="3" t="inlineStr">
        <x:is>
          <x:t xml:space="preserve">m2</x:t>
        </x:is>
      </x:c>
      <x:c r="G24" s="6" t="inlineStr">
        <x:is>
          <x:t xml:space="preserve">UTU dokument</x:t>
        </x:is>
      </x:c>
      <x:c r="H24" s="3" t="inlineStr">
        <x:is>
          <x:t xml:space="preserve">Locked</x:t>
        </x:is>
      </x:c>
      <x:c r="I24" s="8" t="inlineStr">
        <x:is>
          <x:t xml:space="preserve"/>
        </x:is>
      </x:c>
      <x:c r="J24" s="3" t="inlineStr">
        <x:is>
          <x:t xml:space="preserve"/>
        </x:is>
      </x:c>
      <x:c r="K24" s="3" t="inlineStr">
        <x:is>
          <x:t xml:space="preserve">Yes</x:t>
        </x:is>
      </x:c>
    </x:row>
    <x:row r="25">
      <x:c r="A25" s="3" t="inlineStr">
        <x:is>
          <x:t xml:space="preserve">TITAN_CB_v5</x:t>
        </x:is>
      </x:c>
      <x:c r="B25" s="3" t="inlineStr">
        <x:is>
          <x:t xml:space="preserve">v5</x:t>
        </x:is>
      </x:c>
      <x:c r="C25" s="3" t="inlineStr">
        <x:is>
          <x:t xml:space="preserve">Base</x:t>
        </x:is>
      </x:c>
      <x:c r="D25" s="3" t="inlineStr">
        <x:is>
          <x:t xml:space="preserve">Total_Base_CAPEX</x:t>
        </x:is>
      </x:c>
      <x:c r="E25" s="5" t="n">
        <x:v>43560000</x:v>
      </x:c>
      <x:c r="F25" s="3" t="inlineStr">
        <x:is>
          <x:t xml:space="preserve">EUR</x:t>
        </x:is>
      </x:c>
      <x:c r="G25" s="6" t="inlineStr">
        <x:is>
          <x:t xml:space="preserve">Central Brain brief</x:t>
        </x:is>
      </x:c>
      <x:c r="H25" s="3" t="inlineStr">
        <x:is>
          <x:t xml:space="preserve">Locked</x:t>
        </x:is>
      </x:c>
      <x:c r="I25" s="5" t="n">
        <x:v>51400000</x:v>
      </x:c>
      <x:c r="J25" s="3" t="inlineStr">
        <x:is>
          <x:t xml:space="preserve">High</x:t>
        </x:is>
      </x:c>
      <x:c r="K25" s="3" t="inlineStr">
        <x:is>
          <x:t xml:space="preserve">Yes</x:t>
        </x:is>
      </x:c>
    </x:row>
    <x:row r="26">
      <x:c r="A26" s="3" t="inlineStr">
        <x:is>
          <x:t xml:space="preserve">TITAN_CB_v5</x:t>
        </x:is>
      </x:c>
      <x:c r="B26" s="3" t="inlineStr">
        <x:is>
          <x:t xml:space="preserve">v5</x:t>
        </x:is>
      </x:c>
      <x:c r="C26" s="3" t="inlineStr">
        <x:is>
          <x:t xml:space="preserve">Base</x:t>
        </x:is>
      </x:c>
      <x:c r="D26" s="3" t="inlineStr">
        <x:is>
          <x:t xml:space="preserve">P90_CAPEX</x:t>
        </x:is>
      </x:c>
      <x:c r="E26" s="5" t="n">
        <x:v>51400000</x:v>
      </x:c>
      <x:c r="F26" s="3" t="inlineStr">
        <x:is>
          <x:t xml:space="preserve">EUR</x:t>
        </x:is>
      </x:c>
      <x:c r="G26" s="6" t="inlineStr">
        <x:is>
          <x:t xml:space="preserve">Central Brain brief</x:t>
        </x:is>
      </x:c>
      <x:c r="H26" s="3" t="inlineStr">
        <x:is>
          <x:t xml:space="preserve">Locked</x:t>
        </x:is>
      </x:c>
      <x:c r="I26" s="5" t="n">
        <x:v>51400000</x:v>
      </x:c>
      <x:c r="J26" s="3" t="inlineStr">
        <x:is>
          <x:t xml:space="preserve">High</x:t>
        </x:is>
      </x:c>
      <x:c r="K26" s="3" t="inlineStr">
        <x:is>
          <x:t xml:space="preserve">Yes</x:t>
        </x:is>
      </x:c>
    </x:row>
    <x:row r="27">
      <x:c r="A27" s="3" t="inlineStr">
        <x:is>
          <x:t xml:space="preserve">TITAN_CB_v5</x:t>
        </x:is>
      </x:c>
      <x:c r="B27" s="3" t="inlineStr">
        <x:is>
          <x:t xml:space="preserve">v5</x:t>
        </x:is>
      </x:c>
      <x:c r="C27" s="3" t="inlineStr">
        <x:is>
          <x:t xml:space="preserve">Base</x:t>
        </x:is>
      </x:c>
      <x:c r="D27" s="3" t="inlineStr">
        <x:is>
          <x:t xml:space="preserve">ASP</x:t>
        </x:is>
      </x:c>
      <x:c r="E27" s="5" t="n">
        <x:v>6200</x:v>
      </x:c>
      <x:c r="F27" s="3" t="inlineStr">
        <x:is>
          <x:t xml:space="preserve">EUR/unit</x:t>
        </x:is>
      </x:c>
      <x:c r="G27" s="6" t="inlineStr">
        <x:is>
          <x:t xml:space="preserve">Central Brain brief</x:t>
        </x:is>
      </x:c>
      <x:c r="H27" s="3" t="inlineStr">
        <x:is>
          <x:t xml:space="preserve">Locked</x:t>
        </x:is>
      </x:c>
      <x:c r="I27" s="5" t="inlineStr">
        <x:is>
          <x:t xml:space="preserve"/>
        </x:is>
      </x:c>
      <x:c r="J27" s="3" t="inlineStr">
        <x:is>
          <x:t xml:space="preserve">High</x:t>
        </x:is>
      </x:c>
      <x:c r="K27" s="3" t="inlineStr">
        <x:is>
          <x:t xml:space="preserve">Yes</x:t>
        </x:is>
      </x:c>
    </x:row>
    <x:row r="28">
      <x:c r="A28" s="3" t="inlineStr">
        <x:is>
          <x:t xml:space="preserve">TITAN_CB_v5</x:t>
        </x:is>
      </x:c>
      <x:c r="B28" s="3" t="inlineStr">
        <x:is>
          <x:t xml:space="preserve">v5</x:t>
        </x:is>
      </x:c>
      <x:c r="C28" s="3" t="inlineStr">
        <x:is>
          <x:t xml:space="preserve">Base</x:t>
        </x:is>
      </x:c>
      <x:c r="D28" s="3" t="inlineStr">
        <x:is>
          <x:t xml:space="preserve">Gross_Margin</x:t>
        </x:is>
      </x:c>
      <x:c r="E28" s="7" t="n">
        <x:v>0.48</x:v>
      </x:c>
      <x:c r="F28" s="3" t="inlineStr">
        <x:is>
          <x:t xml:space="preserve">%</x:t>
        </x:is>
      </x:c>
      <x:c r="G28" s="6" t="inlineStr">
        <x:is>
          <x:t xml:space="preserve">Central Brain brief</x:t>
        </x:is>
      </x:c>
      <x:c r="H28" s="3" t="inlineStr">
        <x:is>
          <x:t xml:space="preserve">Locked</x:t>
        </x:is>
      </x:c>
      <x:c r="I28" s="7" t="inlineStr">
        <x:is>
          <x:t xml:space="preserve"/>
        </x:is>
      </x:c>
      <x:c r="J28" s="3" t="inlineStr">
        <x:is>
          <x:t xml:space="preserve">High</x:t>
        </x:is>
      </x:c>
      <x:c r="K28" s="3" t="inlineStr">
        <x:is>
          <x:t xml:space="preserve">Yes</x:t>
        </x:is>
      </x:c>
    </x:row>
    <x:row r="29">
      <x:c r="A29" s="3" t="inlineStr">
        <x:is>
          <x:t xml:space="preserve">TITAN_CB_v5</x:t>
        </x:is>
      </x:c>
      <x:c r="B29" s="3" t="inlineStr">
        <x:is>
          <x:t xml:space="preserve">v5</x:t>
        </x:is>
      </x:c>
      <x:c r="C29" s="3" t="inlineStr">
        <x:is>
          <x:t xml:space="preserve">Base</x:t>
        </x:is>
      </x:c>
      <x:c r="D29" s="3" t="inlineStr">
        <x:is>
          <x:t xml:space="preserve">Senior_Debt_Percent</x:t>
        </x:is>
      </x:c>
      <x:c r="E29" s="7" t="n">
        <x:v>0.62</x:v>
      </x:c>
      <x:c r="F29" s="3" t="inlineStr">
        <x:is>
          <x:t xml:space="preserve">%</x:t>
        </x:is>
      </x:c>
      <x:c r="G29" s="6" t="inlineStr">
        <x:is>
          <x:t xml:space="preserve">Central Brain brief</x:t>
        </x:is>
      </x:c>
      <x:c r="H29" s="3" t="inlineStr">
        <x:is>
          <x:t xml:space="preserve">Locked</x:t>
        </x:is>
      </x:c>
      <x:c r="I29" s="7" t="inlineStr">
        <x:is>
          <x:t xml:space="preserve"/>
        </x:is>
      </x:c>
      <x:c r="J29" s="3" t="inlineStr">
        <x:is>
          <x:t xml:space="preserve">High</x:t>
        </x:is>
      </x:c>
      <x:c r="K29" s="3" t="inlineStr">
        <x:is>
          <x:t xml:space="preserve">Yes</x:t>
        </x:is>
      </x:c>
    </x:row>
    <x:row r="30">
      <x:c r="A30" s="3" t="inlineStr">
        <x:is>
          <x:t xml:space="preserve">TITAN_CB_v5</x:t>
        </x:is>
      </x:c>
      <x:c r="B30" s="3" t="inlineStr">
        <x:is>
          <x:t xml:space="preserve">v5</x:t>
        </x:is>
      </x:c>
      <x:c r="C30" s="3" t="inlineStr">
        <x:is>
          <x:t xml:space="preserve">Base</x:t>
        </x:is>
      </x:c>
      <x:c r="D30" s="3" t="inlineStr">
        <x:is>
          <x:t xml:space="preserve">Equity_Percent</x:t>
        </x:is>
      </x:c>
      <x:c r="E30" s="7" t="n">
        <x:v>0.13</x:v>
      </x:c>
      <x:c r="F30" s="3" t="inlineStr">
        <x:is>
          <x:t xml:space="preserve">%</x:t>
        </x:is>
      </x:c>
      <x:c r="G30" s="6" t="inlineStr">
        <x:is>
          <x:t xml:space="preserve">Central Brain brief</x:t>
        </x:is>
      </x:c>
      <x:c r="H30" s="3" t="inlineStr">
        <x:is>
          <x:t xml:space="preserve">Locked</x:t>
        </x:is>
      </x:c>
      <x:c r="I30" s="7" t="inlineStr">
        <x:is>
          <x:t xml:space="preserve"/>
        </x:is>
      </x:c>
      <x:c r="J30" s="3" t="inlineStr">
        <x:is>
          <x:t xml:space="preserve">High</x:t>
        </x:is>
      </x:c>
      <x:c r="K30" s="3" t="inlineStr">
        <x:is>
          <x:t xml:space="preserve">Yes</x:t>
        </x:is>
      </x:c>
    </x:row>
    <x:row r="31">
      <x:c r="A31" s="3" t="inlineStr">
        <x:is>
          <x:t xml:space="preserve">TITAN_CB_v5</x:t>
        </x:is>
      </x:c>
      <x:c r="B31" s="3" t="inlineStr">
        <x:is>
          <x:t xml:space="preserve">v5</x:t>
        </x:is>
      </x:c>
      <x:c r="C31" s="3" t="inlineStr">
        <x:is>
          <x:t xml:space="preserve">Base</x:t>
        </x:is>
      </x:c>
      <x:c r="D31" s="3" t="inlineStr">
        <x:is>
          <x:t xml:space="preserve">Grant_Percent</x:t>
        </x:is>
      </x:c>
      <x:c r="E31" s="7" t="n">
        <x:v>0.25</x:v>
      </x:c>
      <x:c r="F31" s="3" t="inlineStr">
        <x:is>
          <x:t xml:space="preserve">%</x:t>
        </x:is>
      </x:c>
      <x:c r="G31" s="6" t="inlineStr">
        <x:is>
          <x:t xml:space="preserve">Central Brain brief</x:t>
        </x:is>
      </x:c>
      <x:c r="H31" s="3" t="inlineStr">
        <x:is>
          <x:t xml:space="preserve">Locked</x:t>
        </x:is>
      </x:c>
      <x:c r="I31" s="7" t="inlineStr">
        <x:is>
          <x:t xml:space="preserve"/>
        </x:is>
      </x:c>
      <x:c r="J31" s="3" t="inlineStr">
        <x:is>
          <x:t xml:space="preserve">High</x:t>
        </x:is>
      </x:c>
      <x:c r="K31" s="3" t="inlineStr">
        <x:is>
          <x:t xml:space="preserve">Yes</x:t>
        </x:is>
      </x:c>
    </x:row>
    <x:row r="32">
      <x:c r="A32" s="3" t="inlineStr">
        <x:is>
          <x:t xml:space="preserve">TITAN_CB_v5</x:t>
        </x:is>
      </x:c>
      <x:c r="B32" s="3" t="inlineStr">
        <x:is>
          <x:t xml:space="preserve">v5</x:t>
        </x:is>
      </x:c>
      <x:c r="C32" s="3" t="inlineStr">
        <x:is>
          <x:t xml:space="preserve">Base</x:t>
        </x:is>
      </x:c>
      <x:c r="D32" s="3" t="inlineStr">
        <x:is>
          <x:t xml:space="preserve">Project_IRR</x:t>
        </x:is>
      </x:c>
      <x:c r="E32" s="7" t="n">
        <x:v>0.265</x:v>
      </x:c>
      <x:c r="F32" s="3" t="inlineStr">
        <x:is>
          <x:t xml:space="preserve">%</x:t>
        </x:is>
      </x:c>
      <x:c r="G32" s="6" t="inlineStr">
        <x:is>
          <x:t xml:space="preserve">Central Brain brief</x:t>
        </x:is>
      </x:c>
      <x:c r="H32" s="3" t="inlineStr">
        <x:is>
          <x:t xml:space="preserve">Locked</x:t>
        </x:is>
      </x:c>
      <x:c r="I32" s="7" t="inlineStr">
        <x:is>
          <x:t xml:space="preserve"/>
        </x:is>
      </x:c>
      <x:c r="J32" s="3" t="inlineStr">
        <x:is>
          <x:t xml:space="preserve">High</x:t>
        </x:is>
      </x:c>
      <x:c r="K32" s="3" t="inlineStr">
        <x:is>
          <x:t xml:space="preserve">Yes</x:t>
        </x:is>
      </x:c>
    </x:row>
    <x:row r="33">
      <x:c r="A33" s="3" t="inlineStr">
        <x:is>
          <x:t xml:space="preserve">TITAN_CB_v5</x:t>
        </x:is>
      </x:c>
      <x:c r="B33" s="3" t="inlineStr">
        <x:is>
          <x:t xml:space="preserve">v5</x:t>
        </x:is>
      </x:c>
      <x:c r="C33" s="3" t="inlineStr">
        <x:is>
          <x:t xml:space="preserve">Base</x:t>
        </x:is>
      </x:c>
      <x:c r="D33" s="3" t="inlineStr">
        <x:is>
          <x:t xml:space="preserve">Equity_IRR</x:t>
        </x:is>
      </x:c>
      <x:c r="E33" s="7" t="n">
        <x:v>0.38</x:v>
      </x:c>
      <x:c r="F33" s="3" t="inlineStr">
        <x:is>
          <x:t xml:space="preserve">%</x:t>
        </x:is>
      </x:c>
      <x:c r="G33" s="6" t="inlineStr">
        <x:is>
          <x:t xml:space="preserve">Central Brain brief</x:t>
        </x:is>
      </x:c>
      <x:c r="H33" s="3" t="inlineStr">
        <x:is>
          <x:t xml:space="preserve">Locked</x:t>
        </x:is>
      </x:c>
      <x:c r="I33" s="7" t="inlineStr">
        <x:is>
          <x:t xml:space="preserve"/>
        </x:is>
      </x:c>
      <x:c r="J33" s="3" t="inlineStr">
        <x:is>
          <x:t xml:space="preserve">High</x:t>
        </x:is>
      </x:c>
      <x:c r="K33" s="3" t="inlineStr">
        <x:is>
          <x:t xml:space="preserve">Yes</x:t>
        </x:is>
      </x:c>
    </x:row>
    <x:row r="34">
      <x:c r="A34" s="3" t="inlineStr">
        <x:is>
          <x:t xml:space="preserve">TITAN_CB_v5</x:t>
        </x:is>
      </x:c>
      <x:c r="B34" s="3" t="inlineStr">
        <x:is>
          <x:t xml:space="preserve">v5</x:t>
        </x:is>
      </x:c>
      <x:c r="C34" s="3" t="inlineStr">
        <x:is>
          <x:t xml:space="preserve">Base</x:t>
        </x:is>
      </x:c>
      <x:c r="D34" s="3" t="inlineStr">
        <x:is>
          <x:t xml:space="preserve">Min_DSCR</x:t>
        </x:is>
      </x:c>
      <x:c r="E34" s="9" t="n">
        <x:v>1.95</x:v>
      </x:c>
      <x:c r="F34" s="3" t="inlineStr">
        <x:is>
          <x:t xml:space="preserve">x</x:t>
        </x:is>
      </x:c>
      <x:c r="G34" s="6" t="inlineStr">
        <x:is>
          <x:t xml:space="preserve">Central Brain brief</x:t>
        </x:is>
      </x:c>
      <x:c r="H34" s="3" t="inlineStr">
        <x:is>
          <x:t xml:space="preserve">Locked</x:t>
        </x:is>
      </x:c>
      <x:c r="I34" s="9" t="inlineStr">
        <x:is>
          <x:t xml:space="preserve"/>
        </x:is>
      </x:c>
      <x:c r="J34" s="3" t="inlineStr">
        <x:is>
          <x:t xml:space="preserve">High</x:t>
        </x:is>
      </x:c>
      <x:c r="K34" s="3" t="inlineStr">
        <x:is>
          <x:t xml:space="preserve">Yes</x:t>
        </x:is>
      </x:c>
    </x:row>
    <x:row r="35">
      <x:c r="A35" s="3" t="inlineStr">
        <x:is>
          <x:t xml:space="preserve">TITAN_CB_v5</x:t>
        </x:is>
      </x:c>
      <x:c r="B35" s="3" t="inlineStr">
        <x:is>
          <x:t xml:space="preserve">v5</x:t>
        </x:is>
      </x:c>
      <x:c r="C35" s="3" t="inlineStr">
        <x:is>
          <x:t xml:space="preserve">Base</x:t>
        </x:is>
      </x:c>
      <x:c r="D35" s="3" t="inlineStr">
        <x:is>
          <x:t xml:space="preserve">Simple_Payback</x:t>
        </x:is>
      </x:c>
      <x:c r="E35" s="8" t="n">
        <x:v>3.6</x:v>
      </x:c>
      <x:c r="F35" s="3" t="inlineStr">
        <x:is>
          <x:t xml:space="preserve">years</x:t>
        </x:is>
      </x:c>
      <x:c r="G35" s="6" t="inlineStr">
        <x:is>
          <x:t xml:space="preserve">Central Brain brief</x:t>
        </x:is>
      </x:c>
      <x:c r="H35" s="3" t="inlineStr">
        <x:is>
          <x:t xml:space="preserve">Locked</x:t>
        </x:is>
      </x:c>
      <x:c r="I35" s="8" t="inlineStr">
        <x:is>
          <x:t xml:space="preserve"/>
        </x:is>
      </x:c>
      <x:c r="J35" s="3" t="inlineStr">
        <x:is>
          <x:t xml:space="preserve">High</x:t>
        </x:is>
      </x:c>
      <x:c r="K35" s="3" t="inlineStr">
        <x:is>
          <x:t xml:space="preserve">Yes</x:t>
        </x:is>
      </x:c>
    </x:row>
    <x:row r="36">
      <x:c r="A36" s="3" t="inlineStr">
        <x:is>
          <x:t xml:space="preserve">TITAN_CB_v5</x:t>
        </x:is>
      </x:c>
      <x:c r="B36" s="3" t="inlineStr">
        <x:is>
          <x:t xml:space="preserve">v5</x:t>
        </x:is>
      </x:c>
      <x:c r="C36" s="3" t="inlineStr">
        <x:is>
          <x:t xml:space="preserve">Base</x:t>
        </x:is>
      </x:c>
      <x:c r="D36" s="3" t="inlineStr">
        <x:is>
          <x:t xml:space="preserve">Factories</x:t>
        </x:is>
      </x:c>
      <x:c r="E36" s="8" t="n">
        <x:v>3</x:v>
      </x:c>
      <x:c r="F36" s="3" t="inlineStr">
        <x:is>
          <x:t xml:space="preserve">count</x:t>
        </x:is>
      </x:c>
      <x:c r="G36" s="6" t="inlineStr">
        <x:is>
          <x:t xml:space="preserve">Central Brain brief</x:t>
        </x:is>
      </x:c>
      <x:c r="H36" s="3" t="inlineStr">
        <x:is>
          <x:t xml:space="preserve">Locked</x:t>
        </x:is>
      </x:c>
      <x:c r="I36" s="8" t="inlineStr">
        <x:is>
          <x:t xml:space="preserve"/>
        </x:is>
      </x:c>
      <x:c r="J36" s="3" t="inlineStr">
        <x:is>
          <x:t xml:space="preserve">High</x:t>
        </x:is>
      </x:c>
      <x:c r="K36" s="3" t="inlineStr">
        <x:is>
          <x:t xml:space="preserve">Yes</x:t>
        </x:is>
      </x:c>
    </x:row>
    <x:row r="37">
      <x:c r="A37" s="3" t="inlineStr">
        <x:is>
          <x:t xml:space="preserve">TITAN_CB_v5</x:t>
        </x:is>
      </x:c>
      <x:c r="B37" s="3" t="inlineStr">
        <x:is>
          <x:t xml:space="preserve">v5</x:t>
        </x:is>
      </x:c>
      <x:c r="C37" s="3" t="inlineStr">
        <x:is>
          <x:t xml:space="preserve">Base</x:t>
        </x:is>
      </x:c>
      <x:c r="D37" s="3" t="inlineStr">
        <x:is>
          <x:t xml:space="preserve">Full_Capacity</x:t>
        </x:is>
      </x:c>
      <x:c r="E37" s="8" t="n">
        <x:v>3600</x:v>
      </x:c>
      <x:c r="F37" s="3" t="inlineStr">
        <x:is>
          <x:t xml:space="preserve">units/year</x:t>
        </x:is>
      </x:c>
      <x:c r="G37" s="6" t="inlineStr">
        <x:is>
          <x:t xml:space="preserve">Central Brain brief</x:t>
        </x:is>
      </x:c>
      <x:c r="H37" s="3" t="inlineStr">
        <x:is>
          <x:t xml:space="preserve">Locked</x:t>
        </x:is>
      </x:c>
      <x:c r="I37" s="8" t="inlineStr">
        <x:is>
          <x:t xml:space="preserve"/>
        </x:is>
      </x:c>
      <x:c r="J37" s="3" t="inlineStr">
        <x:is>
          <x:t xml:space="preserve">High</x:t>
        </x:is>
      </x:c>
      <x:c r="K37" s="3" t="inlineStr">
        <x:is>
          <x:t xml:space="preserve">Yes</x:t>
        </x:is>
      </x:c>
    </x:row>
  </x:sheetData>
  <x:mergeCells>
    <x:mergeCell ref="A1:K1"/>
  </x:mergeCells>
  <x:pageMargins left="0.7" right="0.7" top="0.75" bottom="0.75" header="0.3" footer="0.3"/>
  <x:legacyDrawing xmlns:r="http://schemas.openxmlformats.org/officeDocument/2006/relationships" r:id="Rfd7537848ded4a1e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8" customWidth="1"/>
    <x:col min="2" max="2" width="18" customWidth="1"/>
    <x:col min="3" max="3" width="12" customWidth="1"/>
    <x:col min="4" max="4" width="24" customWidth="1"/>
    <x:col min="5" max="5" width="32" customWidth="1"/>
    <x:col min="6" max="6" width="28" customWidth="1"/>
  </x:cols>
  <x:sheetData>
    <x:row r="1" ht="22" customHeight="1">
      <x:c r="A1" s="1" t="inlineStr">
        <x:is>
          <x:t xml:space="preserve">Assumptions</x:t>
        </x:is>
      </x:c>
    </x:row>
    <x:row r="4" ht="30" customHeight="1">
      <x:c r="A4" s="4" t="inlineStr">
        <x:is>
          <x:t xml:space="preserve">Parameter</x:t>
        </x:is>
      </x:c>
      <x:c r="B4" s="4" t="inlineStr">
        <x:is>
          <x:t xml:space="preserve">Value</x:t>
        </x:is>
      </x:c>
      <x:c r="C4" s="4" t="inlineStr">
        <x:is>
          <x:t xml:space="preserve">Unit</x:t>
        </x:is>
      </x:c>
      <x:c r="D4" s="4" t="inlineStr">
        <x:is>
          <x:t xml:space="preserve">Source</x:t>
        </x:is>
      </x:c>
      <x:c r="E4" s="4" t="inlineStr">
        <x:is>
          <x:t xml:space="preserve">Comment</x:t>
        </x:is>
      </x:c>
      <x:c r="F4" s="4" t="inlineStr">
        <x:is>
          <x:t xml:space="preserve">Named_Range</x:t>
        </x:is>
      </x:c>
    </x:row>
    <x:row r="5">
      <x:c r="A5" s="2" t="inlineStr">
        <x:is>
          <x:t xml:space="preserve">Current_Baseline_ID</x:t>
        </x:is>
      </x:c>
      <x:c r="B5" s="3" t="inlineStr">
        <x:is>
          <x:t xml:space="preserve">TITAN_CB_v5</x:t>
        </x:is>
      </x:c>
      <x:c r="C5" s="10" t="inlineStr">
        <x:is>
          <x:t xml:space="preserve">text</x:t>
        </x:is>
      </x:c>
      <x:c r="D5" s="6" t="inlineStr">
        <x:is>
          <x:t xml:space="preserve">Control</x:t>
        </x:is>
      </x:c>
      <x:c r="E5" s="11" t="inlineStr">
        <x:is>
          <x:t xml:space="preserve"/>
        </x:is>
      </x:c>
      <x:c r="F5" s="12" t="inlineStr">
        <x:is>
          <x:t xml:space="preserve">Current_Baseline_ID</x:t>
        </x:is>
      </x:c>
    </x:row>
    <x:row r="6">
      <x:c r="A6" s="2" t="inlineStr">
        <x:is>
          <x:t xml:space="preserve">Backup_Baseline_ID</x:t>
        </x:is>
      </x:c>
      <x:c r="B6" s="3" t="inlineStr">
        <x:is>
          <x:t xml:space="preserve">ARS_IF25_v4.5</x:t>
        </x:is>
      </x:c>
      <x:c r="C6" s="10" t="inlineStr">
        <x:is>
          <x:t xml:space="preserve">text</x:t>
        </x:is>
      </x:c>
      <x:c r="D6" s="6" t="inlineStr">
        <x:is>
          <x:t xml:space="preserve">Control</x:t>
        </x:is>
      </x:c>
      <x:c r="E6" s="11" t="inlineStr">
        <x:is>
          <x:t xml:space="preserve"/>
        </x:is>
      </x:c>
      <x:c r="F6" s="12" t="inlineStr">
        <x:is>
          <x:t xml:space="preserve">Backup_Baseline_ID</x:t>
        </x:is>
      </x:c>
    </x:row>
    <x:row r="7">
      <x:c r="A7" s="2" t="inlineStr">
        <x:is>
          <x:t xml:space="preserve">Factory1_COD</x:t>
        </x:is>
      </x:c>
      <x:c r="B7" s="13" t="n">
        <x:v>2027</x:v>
      </x:c>
      <x:c r="C7" s="10" t="inlineStr">
        <x:is>
          <x:t xml:space="preserve">year</x:t>
        </x:is>
      </x:c>
      <x:c r="D7" s="6" t="inlineStr">
        <x:is>
          <x:t xml:space="preserve">Central Brain brief</x:t>
        </x:is>
      </x:c>
      <x:c r="E7" s="11" t="inlineStr">
        <x:is>
          <x:t xml:space="preserve"/>
        </x:is>
      </x:c>
      <x:c r="F7" s="12" t="inlineStr">
        <x:is>
          <x:t xml:space="preserve">Factory1_COD</x:t>
        </x:is>
      </x:c>
    </x:row>
    <x:row r="8">
      <x:c r="A8" s="2" t="inlineStr">
        <x:is>
          <x:t xml:space="preserve">Full_Capacity_All_3_Factories</x:t>
        </x:is>
      </x:c>
      <x:c r="B8" s="13" t="n">
        <x:v>2029</x:v>
      </x:c>
      <x:c r="C8" s="10" t="inlineStr">
        <x:is>
          <x:t xml:space="preserve">year</x:t>
        </x:is>
      </x:c>
      <x:c r="D8" s="6" t="inlineStr">
        <x:is>
          <x:t xml:space="preserve">Central Brain brief</x:t>
        </x:is>
      </x:c>
      <x:c r="E8" s="11" t="inlineStr">
        <x:is>
          <x:t xml:space="preserve"/>
        </x:is>
      </x:c>
      <x:c r="F8" s="12" t="inlineStr">
        <x:is>
          <x:t xml:space="preserve">Full_Capacity_All_3_Factories</x:t>
        </x:is>
      </x:c>
    </x:row>
    <x:row r="9">
      <x:c r="A9" s="2" t="inlineStr">
        <x:is>
          <x:t xml:space="preserve">OEE</x:t>
        </x:is>
      </x:c>
      <x:c r="B9" s="7" t="n">
        <x:v>0.85</x:v>
      </x:c>
      <x:c r="C9" s="10" t="inlineStr">
        <x:is>
          <x:t xml:space="preserve">%</x:t>
        </x:is>
      </x:c>
      <x:c r="D9" s="6" t="inlineStr">
        <x:is>
          <x:t xml:space="preserve">Model reference</x:t>
        </x:is>
      </x:c>
      <x:c r="E9" s="11" t="inlineStr">
        <x:is>
          <x:t xml:space="preserve"/>
        </x:is>
      </x:c>
      <x:c r="F9" s="12" t="inlineStr">
        <x:is>
          <x:t xml:space="preserve">OEE</x:t>
        </x:is>
      </x:c>
    </x:row>
    <x:row r="10">
      <x:c r="A10" s="2" t="inlineStr">
        <x:is>
          <x:t xml:space="preserve">Scrap</x:t>
        </x:is>
      </x:c>
      <x:c r="B10" s="7" t="n">
        <x:v>0.035</x:v>
      </x:c>
      <x:c r="C10" s="10" t="inlineStr">
        <x:is>
          <x:t xml:space="preserve">%</x:t>
        </x:is>
      </x:c>
      <x:c r="D10" s="6" t="inlineStr">
        <x:is>
          <x:t xml:space="preserve">Model reference</x:t>
        </x:is>
      </x:c>
      <x:c r="E10" s="11" t="inlineStr">
        <x:is>
          <x:t xml:space="preserve"/>
        </x:is>
      </x:c>
      <x:c r="F10" s="12" t="inlineStr">
        <x:is>
          <x:t xml:space="preserve">Scrap</x:t>
        </x:is>
      </x:c>
    </x:row>
    <x:row r="11">
      <x:c r="A11" s="2" t="inlineStr">
        <x:is>
          <x:t xml:space="preserve">Steel_per_unit</x:t>
        </x:is>
      </x:c>
      <x:c r="B11" s="13" t="n">
        <x:v>15</x:v>
      </x:c>
      <x:c r="C11" s="10" t="inlineStr">
        <x:is>
          <x:t xml:space="preserve">t/unit</x:t>
        </x:is>
      </x:c>
      <x:c r="D11" s="6" t="inlineStr">
        <x:is>
          <x:t xml:space="preserve">Model reference</x:t>
        </x:is>
      </x:c>
      <x:c r="E11" s="11" t="inlineStr">
        <x:is>
          <x:t xml:space="preserve"/>
        </x:is>
      </x:c>
      <x:c r="F11" s="12" t="inlineStr">
        <x:is>
          <x:t xml:space="preserve">Steel_per_unit</x:t>
        </x:is>
      </x:c>
    </x:row>
    <x:row r="12">
      <x:c r="A12" s="2" t="inlineStr">
        <x:is>
          <x:t xml:space="preserve">Energy_per_unit</x:t>
        </x:is>
      </x:c>
      <x:c r="B12" s="3" t="inlineStr">
        <x:is>
          <x:t xml:space="preserve">INPUT_REQUIRED</x:t>
        </x:is>
      </x:c>
      <x:c r="C12" s="10" t="inlineStr">
        <x:is>
          <x:t xml:space="preserve">MWh/unit</x:t>
        </x:is>
      </x:c>
      <x:c r="D12" s="6" t="inlineStr">
        <x:is>
          <x:t xml:space="preserve">Missing verified input</x:t>
        </x:is>
      </x:c>
      <x:c r="E12" s="11" t="inlineStr">
        <x:is>
          <x:t xml:space="preserve">Daily market input placeholder</x:t>
        </x:is>
      </x:c>
      <x:c r="F12" s="12" t="inlineStr">
        <x:is>
          <x:t xml:space="preserve">Energy_per_unit</x:t>
        </x:is>
      </x:c>
    </x:row>
    <x:row r="13">
      <x:c r="A13" s="2" t="inlineStr">
        <x:is>
          <x:t xml:space="preserve">EURIBOR_6M</x:t>
        </x:is>
      </x:c>
      <x:c r="B13" s="14" t="inlineStr">
        <x:is>
          <x:t xml:space="preserve">UPDATE_DAILY</x:t>
        </x:is>
      </x:c>
      <x:c r="C13" s="10" t="inlineStr">
        <x:is>
          <x:t xml:space="preserve">%</x:t>
        </x:is>
      </x:c>
      <x:c r="D13" s="6" t="inlineStr">
        <x:is>
          <x:t xml:space="preserve">Daily market refresh</x:t>
        </x:is>
      </x:c>
      <x:c r="E13" s="11" t="inlineStr">
        <x:is>
          <x:t xml:space="preserve">Daily market input placeholder</x:t>
        </x:is>
      </x:c>
      <x:c r="F13" s="12" t="inlineStr">
        <x:is>
          <x:t xml:space="preserve">EURIBOR_6M</x:t>
        </x:is>
      </x:c>
    </x:row>
    <x:row r="14">
      <x:c r="A14" s="2" t="inlineStr">
        <x:is>
          <x:t xml:space="preserve">TRY_EUR</x:t>
        </x:is>
      </x:c>
      <x:c r="B14" s="3" t="inlineStr">
        <x:is>
          <x:t xml:space="preserve">UPDATE_DAILY</x:t>
        </x:is>
      </x:c>
      <x:c r="C14" s="10" t="inlineStr">
        <x:is>
          <x:t xml:space="preserve">rate</x:t>
        </x:is>
      </x:c>
      <x:c r="D14" s="6" t="inlineStr">
        <x:is>
          <x:t xml:space="preserve">Daily market refresh</x:t>
        </x:is>
      </x:c>
      <x:c r="E14" s="11" t="inlineStr">
        <x:is>
          <x:t xml:space="preserve">Daily market input placeholder</x:t>
        </x:is>
      </x:c>
      <x:c r="F14" s="12" t="inlineStr">
        <x:is>
          <x:t xml:space="preserve">TRY_EUR</x:t>
        </x:is>
      </x:c>
    </x:row>
    <x:row r="15">
      <x:c r="A15" s="2" t="inlineStr">
        <x:is>
          <x:t xml:space="preserve">Inflation_Eurozone</x:t>
        </x:is>
      </x:c>
      <x:c r="B15" s="14" t="inlineStr">
        <x:is>
          <x:t xml:space="preserve">UPDATE_DAILY</x:t>
        </x:is>
      </x:c>
      <x:c r="C15" s="10" t="inlineStr">
        <x:is>
          <x:t xml:space="preserve">%</x:t>
        </x:is>
      </x:c>
      <x:c r="D15" s="6" t="inlineStr">
        <x:is>
          <x:t xml:space="preserve">Daily market refresh</x:t>
        </x:is>
      </x:c>
      <x:c r="E15" s="11" t="inlineStr">
        <x:is>
          <x:t xml:space="preserve"/>
        </x:is>
      </x:c>
      <x:c r="F15" s="12" t="inlineStr">
        <x:is>
          <x:t xml:space="preserve">Inflation_Eurozone</x:t>
        </x:is>
      </x:c>
    </x:row>
    <x:row r="16">
      <x:c r="A16" s="2" t="inlineStr">
        <x:is>
          <x:t xml:space="preserve">Steel_Price_HRC_EU</x:t>
        </x:is>
      </x:c>
      <x:c r="B16" s="3" t="inlineStr">
        <x:is>
          <x:t xml:space="preserve">UPDATE_DAILY</x:t>
        </x:is>
      </x:c>
      <x:c r="C16" s="10" t="inlineStr">
        <x:is>
          <x:t xml:space="preserve">EUR/t</x:t>
        </x:is>
      </x:c>
      <x:c r="D16" s="6" t="inlineStr">
        <x:is>
          <x:t xml:space="preserve">Daily market refresh</x:t>
        </x:is>
      </x:c>
      <x:c r="E16" s="11" t="inlineStr">
        <x:is>
          <x:t xml:space="preserve"/>
        </x:is>
      </x:c>
      <x:c r="F16" s="12" t="inlineStr">
        <x:is>
          <x:t xml:space="preserve">Steel_Price_HRC_EU</x:t>
        </x:is>
      </x:c>
    </x:row>
    <x:row r="17">
      <x:c r="A17" s="2" t="inlineStr">
        <x:is>
          <x:t xml:space="preserve">Transformer_Demand_Signal</x:t>
        </x:is>
      </x:c>
      <x:c r="B17" s="3" t="inlineStr">
        <x:is>
          <x:t xml:space="preserve">UPDATE_DAILY</x:t>
        </x:is>
      </x:c>
      <x:c r="C17" s="10" t="inlineStr">
        <x:is>
          <x:t xml:space="preserve">text</x:t>
        </x:is>
      </x:c>
      <x:c r="D17" s="6" t="inlineStr">
        <x:is>
          <x:t xml:space="preserve">Daily market refresh</x:t>
        </x:is>
      </x:c>
      <x:c r="E17" s="11" t="inlineStr">
        <x:is>
          <x:t xml:space="preserve"/>
        </x:is>
      </x:c>
      <x:c r="F17" s="12" t="inlineStr">
        <x:is>
          <x:t xml:space="preserve">Transformer_Demand_Signal</x:t>
        </x:is>
      </x:c>
    </x:row>
    <x:row r="18">
      <x:c r="A18" s="2" t="inlineStr">
        <x:is>
          <x:t xml:space="preserve">Grant_Status_ME</x:t>
        </x:is>
      </x:c>
      <x:c r="B18" s="3" t="inlineStr">
        <x:is>
          <x:t xml:space="preserve">Relevant but non-committed</x:t>
        </x:is>
      </x:c>
      <x:c r="C18" s="10" t="inlineStr">
        <x:is>
          <x:t xml:space="preserve">text</x:t>
        </x:is>
      </x:c>
      <x:c r="D18" s="6" t="inlineStr">
        <x:is>
          <x:t xml:space="preserve">Desk review</x:t>
        </x:is>
      </x:c>
      <x:c r="E18" s="11" t="inlineStr">
        <x:is>
          <x:t xml:space="preserve"/>
        </x:is>
      </x:c>
      <x:c r="F18" s="12" t="inlineStr">
        <x:is>
          <x:t xml:space="preserve">Grant_Status_ME</x:t>
        </x:is>
      </x:c>
    </x:row>
    <x:row r="19">
      <x:c r="A19" s="2" t="inlineStr">
        <x:is>
          <x:t xml:space="preserve">Grant_Status_TR</x:t>
        </x:is>
      </x:c>
      <x:c r="B19" s="3" t="inlineStr">
        <x:is>
          <x:t xml:space="preserve">Active / project-screening required</x:t>
        </x:is>
      </x:c>
      <x:c r="C19" s="10" t="inlineStr">
        <x:is>
          <x:t xml:space="preserve">text</x:t>
        </x:is>
      </x:c>
      <x:c r="D19" s="6" t="inlineStr">
        <x:is>
          <x:t xml:space="preserve">Desk review</x:t>
        </x:is>
      </x:c>
      <x:c r="E19" s="11" t="inlineStr">
        <x:is>
          <x:t xml:space="preserve"/>
        </x:is>
      </x:c>
      <x:c r="F19" s="12" t="inlineStr">
        <x:is>
          <x:t xml:space="preserve">Grant_Status_TR</x:t>
        </x:is>
      </x:c>
    </x:row>
    <x:row r="21">
      <x:c r="A21" t="str">
        <x:v>Human approval</x:v>
      </x:c>
      <x:c r="B21" t="str">
        <x:v>PENDING</x:v>
      </x:c>
    </x:row>
    <x:row r="22">
      <x:c r="A22" t="str">
        <x:v>Approval evidence</x:v>
      </x:c>
      <x:c r="B22" t="str"/>
    </x:row>
  </x:sheetData>
  <x:mergeCells>
    <x:mergeCell ref="A1:F1"/>
  </x:mergeCells>
  <x:dataValidations count="1">
    <x:dataValidation type="list" sqref="B5">
      <x:formula1>"TITAN_CB_v5,ARS_IF25_v4.5"</x:formula1>
    </x:dataValidation>
  </x:dataValidations>
  <x:pageMargins left="0.7" right="0.7" top="0.75" bottom="0.75" header="0.3" footer="0.3"/>
  <x:legacyDrawing xmlns:r="http://schemas.openxmlformats.org/officeDocument/2006/relationships" r:id="Rda32c326d28e4759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2" customWidth="1"/>
    <x:col min="2" max="2" width="24" customWidth="1"/>
    <x:col min="3" max="3" width="16" customWidth="1"/>
    <x:col min="4" max="4" width="12" customWidth="1"/>
    <x:col min="5" max="5" width="12" customWidth="1"/>
    <x:col min="6" max="6" width="16" customWidth="1"/>
    <x:col min="7" max="7" width="12" customWidth="1"/>
  </x:cols>
  <x:sheetData>
    <x:row r="1" ht="22" customHeight="1">
      <x:c r="A1" s="1" t="inlineStr">
        <x:is>
          <x:t xml:space="preserve">Sources_Uses</x:t>
        </x:is>
      </x:c>
    </x:row>
    <x:row r="4" ht="30" customHeight="1">
      <x:c r="A4" s="4" t="inlineStr">
        <x:is>
          <x:t xml:space="preserve">Category</x:t>
        </x:is>
      </x:c>
      <x:c r="B4" s="4" t="inlineStr">
        <x:is>
          <x:t xml:space="preserve">Description</x:t>
        </x:is>
      </x:c>
      <x:c r="C4" s="4" t="inlineStr">
        <x:is>
          <x:t xml:space="preserve">Amount</x:t>
        </x:is>
      </x:c>
      <x:c r="D4" s="4" t="inlineStr">
        <x:is>
          <x:t xml:space="preserve">Unit</x:t>
        </x:is>
      </x:c>
      <x:c r="E4" s="4" t="inlineStr">
        <x:is>
          <x:t xml:space="preserve">Type</x:t>
        </x:is>
      </x:c>
      <x:c r="F4" s="4" t="inlineStr">
        <x:is>
          <x:t xml:space="preserve">Source</x:t>
        </x:is>
      </x:c>
      <x:c r="G4" s="4" t="inlineStr">
        <x:is>
          <x:t xml:space="preserve">Check</x:t>
        </x:is>
      </x:c>
    </x:row>
    <x:row r="5">
      <x:c r="A5" s="2" t="inlineStr">
        <x:is>
          <x:t xml:space="preserve">Use</x:t>
        </x:is>
      </x:c>
      <x:c r="B5" s="2" t="inlineStr">
        <x:is>
          <x:t xml:space="preserve">Base CAPEX</x:t>
        </x:is>
      </x:c>
      <x:c r="C5" s="15" t="n">
        <x:f>IF(COUNTIFS(Active_Data!$A$5:$A$37,Assumptions!$B$5,Active_Data!$D$5:$D$37,"Total_Base_CAPEX")=1,SUMIFS(Active_Data!$E$5:$E$37,Active_Data!$A$5:$A$37,Assumptions!$B$5,Active_Data!$D$5:$D$37,"Total_Base_CAPEX"),"MISSING")</x:f>
        <x:v>43560000</x:v>
      </x:c>
      <x:c r="D5" s="2" t="inlineStr">
        <x:is>
          <x:t xml:space="preserve">EUR</x:t>
        </x:is>
      </x:c>
      <x:c r="E5" s="2" t="inlineStr">
        <x:is>
          <x:t xml:space="preserve">Use</x:t>
        </x:is>
      </x:c>
      <x:c r="F5" s="2" t="inlineStr">
        <x:is>
          <x:t xml:space="preserve">Active_Data</x:t>
        </x:is>
      </x:c>
      <x:c r="G5" s="12" t="inlineStr">
        <x:is>
          <x:t xml:space="preserve"/>
        </x:is>
      </x:c>
    </x:row>
    <x:row r="6">
      <x:c r="A6" s="2" t="inlineStr">
        <x:is>
          <x:t xml:space="preserve">Use</x:t>
        </x:is>
      </x:c>
      <x:c r="B6" s="2" t="inlineStr">
        <x:is>
          <x:t xml:space="preserve">P90 CAPEX</x:t>
        </x:is>
      </x:c>
      <x:c r="C6" s="15" t="n">
        <x:f>IF(COUNTIFS(Active_Data!$A$5:$A$37,Assumptions!$B$5,Active_Data!$D$5:$D$37,"P90_CAPEX")=1,SUMIFS(Active_Data!$E$5:$E$37,Active_Data!$A$5:$A$37,Assumptions!$B$5,Active_Data!$D$5:$D$37,"P90_CAPEX"),"MISSING")</x:f>
        <x:v>51400000</x:v>
      </x:c>
      <x:c r="D6" s="2" t="inlineStr">
        <x:is>
          <x:t xml:space="preserve">EUR</x:t>
        </x:is>
      </x:c>
      <x:c r="E6" s="2" t="inlineStr">
        <x:is>
          <x:t xml:space="preserve">Use</x:t>
        </x:is>
      </x:c>
      <x:c r="F6" s="2" t="inlineStr">
        <x:is>
          <x:t xml:space="preserve">Active_Data</x:t>
        </x:is>
      </x:c>
      <x:c r="G6" s="12" t="inlineStr">
        <x:is>
          <x:t xml:space="preserve"/>
        </x:is>
      </x:c>
    </x:row>
    <x:row r="7">
      <x:c r="A7" s="2" t="inlineStr">
        <x:is>
          <x:t xml:space="preserve">Source</x:t>
        </x:is>
      </x:c>
      <x:c r="B7" s="2" t="inlineStr">
        <x:is>
          <x:t xml:space="preserve">Senior Debt %</x:t>
        </x:is>
      </x:c>
      <x:c r="C7" s="16" t="n">
        <x:f>IF(COUNTIFS(Active_Data!$A$5:$A$37,Assumptions!$B$5,Active_Data!$D$5:$D$37,"Senior_Debt_Percent")=1,SUMIFS(Active_Data!$E$5:$E$37,Active_Data!$A$5:$A$37,Assumptions!$B$5,Active_Data!$D$5:$D$37,"Senior_Debt_Percent"),"MISSING")</x:f>
        <x:v>0.62</x:v>
      </x:c>
      <x:c r="D7" s="2" t="inlineStr">
        <x:is>
          <x:t xml:space="preserve">%</x:t>
        </x:is>
      </x:c>
      <x:c r="E7" s="2" t="inlineStr">
        <x:is>
          <x:t xml:space="preserve">Source</x:t>
        </x:is>
      </x:c>
      <x:c r="F7" s="2" t="inlineStr">
        <x:is>
          <x:t xml:space="preserve">Active_Data</x:t>
        </x:is>
      </x:c>
      <x:c r="G7" s="12" t="inlineStr">
        <x:is>
          <x:t xml:space="preserve"/>
        </x:is>
      </x:c>
    </x:row>
    <x:row r="8">
      <x:c r="A8" s="2" t="inlineStr">
        <x:is>
          <x:t xml:space="preserve">Source</x:t>
        </x:is>
      </x:c>
      <x:c r="B8" s="2" t="inlineStr">
        <x:is>
          <x:t xml:space="preserve">Equity %</x:t>
        </x:is>
      </x:c>
      <x:c r="C8" s="16" t="n">
        <x:f>IF(COUNTIFS(Active_Data!$A$5:$A$37,Assumptions!$B$5,Active_Data!$D$5:$D$37,"Equity_Percent")=1,SUMIFS(Active_Data!$E$5:$E$37,Active_Data!$A$5:$A$37,Assumptions!$B$5,Active_Data!$D$5:$D$37,"Equity_Percent"),"MISSING")</x:f>
        <x:v>0.13</x:v>
      </x:c>
      <x:c r="D8" s="2" t="inlineStr">
        <x:is>
          <x:t xml:space="preserve">%</x:t>
        </x:is>
      </x:c>
      <x:c r="E8" s="2" t="inlineStr">
        <x:is>
          <x:t xml:space="preserve">Source</x:t>
        </x:is>
      </x:c>
      <x:c r="F8" s="2" t="inlineStr">
        <x:is>
          <x:t xml:space="preserve">Active_Data</x:t>
        </x:is>
      </x:c>
      <x:c r="G8" s="12" t="inlineStr">
        <x:is>
          <x:t xml:space="preserve"/>
        </x:is>
      </x:c>
    </x:row>
    <x:row r="9">
      <x:c r="A9" s="2" t="inlineStr">
        <x:is>
          <x:t xml:space="preserve">Source</x:t>
        </x:is>
      </x:c>
      <x:c r="B9" s="2" t="inlineStr">
        <x:is>
          <x:t xml:space="preserve">Grant %</x:t>
        </x:is>
      </x:c>
      <x:c r="C9" s="16" t="n">
        <x:f>IF(COUNTIFS(Active_Data!$A$5:$A$37,Assumptions!$B$5,Active_Data!$D$5:$D$37,"Grant_Percent")=1,SUMIFS(Active_Data!$E$5:$E$37,Active_Data!$A$5:$A$37,Assumptions!$B$5,Active_Data!$D$5:$D$37,"Grant_Percent"),"MISSING")</x:f>
        <x:v>0.25</x:v>
      </x:c>
      <x:c r="D9" s="2" t="inlineStr">
        <x:is>
          <x:t xml:space="preserve">%</x:t>
        </x:is>
      </x:c>
      <x:c r="E9" s="2" t="inlineStr">
        <x:is>
          <x:t xml:space="preserve">Source</x:t>
        </x:is>
      </x:c>
      <x:c r="F9" s="2" t="inlineStr">
        <x:is>
          <x:t xml:space="preserve">Active_Data</x:t>
        </x:is>
      </x:c>
      <x:c r="G9" s="12" t="inlineStr">
        <x:is>
          <x:t xml:space="preserve"/>
        </x:is>
      </x:c>
    </x:row>
    <x:row r="10">
      <x:c r="A10" s="2" t="inlineStr">
        <x:is>
          <x:t xml:space="preserve">Source</x:t>
        </x:is>
      </x:c>
      <x:c r="B10" s="2" t="inlineStr">
        <x:is>
          <x:t xml:space="preserve">Debt Amount</x:t>
        </x:is>
      </x:c>
      <x:c r="C10" s="15" t="n">
        <x:f>IF(AND(ISNUMBER(C5),ISNUMBER(C7)),C5*C7,"MISSING")</x:f>
        <x:v>27007200</x:v>
      </x:c>
      <x:c r="D10" s="2" t="inlineStr">
        <x:is>
          <x:t xml:space="preserve">EUR</x:t>
        </x:is>
      </x:c>
      <x:c r="E10" s="2" t="inlineStr">
        <x:is>
          <x:t xml:space="preserve">Derived</x:t>
        </x:is>
      </x:c>
      <x:c r="F10" s="2" t="inlineStr">
        <x:is>
          <x:t xml:space="preserve">Formula</x:t>
        </x:is>
      </x:c>
      <x:c r="G10" s="12" t="inlineStr">
        <x:is>
          <x:t xml:space="preserve"/>
        </x:is>
      </x:c>
    </x:row>
    <x:row r="11">
      <x:c r="A11" s="2" t="inlineStr">
        <x:is>
          <x:t xml:space="preserve">Source</x:t>
        </x:is>
      </x:c>
      <x:c r="B11" s="2" t="inlineStr">
        <x:is>
          <x:t xml:space="preserve">Equity Amount</x:t>
        </x:is>
      </x:c>
      <x:c r="C11" s="15" t="n">
        <x:f>IF(AND(ISNUMBER(C5),ISNUMBER(C8)),C5*C8,"MISSING")</x:f>
        <x:v>5662800</x:v>
      </x:c>
      <x:c r="D11" s="2" t="inlineStr">
        <x:is>
          <x:t xml:space="preserve">EUR</x:t>
        </x:is>
      </x:c>
      <x:c r="E11" s="2" t="inlineStr">
        <x:is>
          <x:t xml:space="preserve">Derived</x:t>
        </x:is>
      </x:c>
      <x:c r="F11" s="2" t="inlineStr">
        <x:is>
          <x:t xml:space="preserve">Formula</x:t>
        </x:is>
      </x:c>
      <x:c r="G11" s="12" t="inlineStr">
        <x:is>
          <x:t xml:space="preserve"/>
        </x:is>
      </x:c>
    </x:row>
    <x:row r="12">
      <x:c r="A12" s="2" t="inlineStr">
        <x:is>
          <x:t xml:space="preserve">Source</x:t>
        </x:is>
      </x:c>
      <x:c r="B12" s="2" t="inlineStr">
        <x:is>
          <x:t xml:space="preserve">Grant Amount</x:t>
        </x:is>
      </x:c>
      <x:c r="C12" s="15" t="n">
        <x:f>IF(AND(ISNUMBER(C5),ISNUMBER(C9)),C5*C9,"MISSING")</x:f>
        <x:v>10890000</x:v>
      </x:c>
      <x:c r="D12" s="2" t="inlineStr">
        <x:is>
          <x:t xml:space="preserve">EUR</x:t>
        </x:is>
      </x:c>
      <x:c r="E12" s="2" t="inlineStr">
        <x:is>
          <x:t xml:space="preserve">Derived</x:t>
        </x:is>
      </x:c>
      <x:c r="F12" s="2" t="inlineStr">
        <x:is>
          <x:t xml:space="preserve">Formula</x:t>
        </x:is>
      </x:c>
      <x:c r="G12" s="12" t="inlineStr">
        <x:is>
          <x:t xml:space="preserve"/>
        </x:is>
      </x:c>
    </x:row>
    <x:row r="13">
      <x:c r="A13" s="2" t="inlineStr">
        <x:is>
          <x:t xml:space="preserve">Check</x:t>
        </x:is>
      </x:c>
      <x:c r="B13" s="2" t="inlineStr">
        <x:is>
          <x:t xml:space="preserve">Sources less Uses</x:t>
        </x:is>
      </x:c>
      <x:c r="C13" s="15" t="n">
        <x:f>IF(COUNT(C10:C12)=3,SUM(C10:C12)-C5,"MISSING")</x:f>
        <x:v>0</x:v>
      </x:c>
      <x:c r="D13" s="2" t="inlineStr">
        <x:is>
          <x:t xml:space="preserve">EUR</x:t>
        </x:is>
      </x:c>
      <x:c r="E13" s="2" t="inlineStr">
        <x:is>
          <x:t xml:space="preserve">Check</x:t>
        </x:is>
      </x:c>
      <x:c r="F13" s="2" t="inlineStr">
        <x:is>
          <x:t xml:space="preserve">Formula</x:t>
        </x:is>
      </x:c>
      <x:c r="G13" s="12" t="b">
        <x:f>IF(ISNUMBER(C13),ABS(C13)&lt;1,FALSE)</x:f>
        <x:v>1</x:v>
      </x:c>
    </x:row>
    <x:row r="16">
      <x:c r="B16" s="17" t="inlineStr">
        <x:is>
          <x:t xml:space="preserve">Funding completeness</x:t>
        </x:is>
      </x:c>
      <x:c r="C16" s="18" t="str">
        <x:f>IF(ISNUMBER(C13),IF(ABS(C13)&lt;1,"ARITHMETIC OK","ERROR"),"MISSING")</x:f>
        <x:v>ARITHMETIC OK</x:v>
      </x:c>
    </x:row>
    <x:row r="18">
      <x:c r="B18" t="str">
        <x:v>Funding commitment</x:v>
      </x:c>
      <x:c r="C18" t="str">
        <x:v>PENDING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</ns0:sheetView>
  </ns0:sheetViews>
  <ns0:sheetFormatPr baseColWidth="8" defaultRowHeight="15"/>
  <ns0:cols>
    <ns0:col min="1" max="1" width="20" customWidth="1"/>
    <ns0:col min="2" max="2" width="14" customWidth="1"/>
    <ns0:col min="3" max="3" width="14" customWidth="1"/>
    <ns0:col min="4" max="4" width="14" customWidth="1"/>
    <ns0:col min="5" max="5" width="14" customWidth="1"/>
    <ns0:col min="6" max="6" width="14" customWidth="1"/>
    <ns0:col min="7" max="7" width="12" customWidth="1"/>
    <ns0:col min="8" max="8" width="12" customWidth="1"/>
    <ns0:col min="9" max="9" width="2" customWidth="1"/>
    <ns0:col min="10" max="10" width="14" customWidth="1"/>
  </ns0:cols>
  <ns0:sheetData>
    <ns0:row r="1" ht="22" customHeight="1">
      <ns0:c r="A1" s="1" t="inlineStr">
        <ns0:is>
          <ns0:t xml:space="preserve">DSCR_Profile</ns0:t>
        </ns0:is>
      </ns0:c>
    </ns0:row>
    <ns0:row r="4" ht="30" customHeight="1">
      <ns0:c r="A4" s="4" t="inlineStr">
        <ns0:is>
          <ns0:t xml:space="preserve">Line Item</ns0:t>
        </ns0:is>
      </ns0:c>
      <ns0:c r="B4" s="4" t="n">
        <ns0:v>2027</ns0:v>
      </ns0:c>
      <ns0:c r="C4" s="4" t="n">
        <ns0:v>2028</ns0:v>
      </ns0:c>
      <ns0:c r="D4" s="4" t="n">
        <ns0:v>2029</ns0:v>
      </ns0:c>
      <ns0:c r="E4" s="4" t="n">
        <ns0:v>2030</ns0:v>
      </ns0:c>
      <ns0:c r="F4" s="4" t="n">
        <ns0:v>2031</ns0:v>
      </ns0:c>
      <ns0:c r="G4" s="4" t="inlineStr">
        <ns0:is>
          <ns0:t xml:space="preserve">Min / Avg</ns0:t>
        </ns0:is>
      </ns0:c>
    </ns0:row>
    <ns0:row r="5">
      <ns0:c r="A5" s="2" t="inlineStr">
        <ns0:is>
          <ns0:t xml:space="preserve">Revenue</ns0:t>
        </ns0:is>
      </ns0:c>
      <ns0:c r="B5" s="19" t="n">
        <ns0:v>8000000</ns0:v>
      </ns0:c>
      <ns0:c r="C5" s="19" t="n">
        <ns0:v>18000000</ns0:v>
      </ns0:c>
      <ns0:c r="D5" s="19" t="n">
        <ns0:v>28000000</ns0:v>
      </ns0:c>
      <ns0:c r="E5" s="19" t="n">
        <ns0:v>30500000</ns0:v>
      </ns0:c>
      <ns0:c r="F5" s="19" t="n">
        <ns0:v>32163198</ns0:v>
      </ns0:c>
    </ns0:row>
    <ns0:row r="6">
      <ns0:c r="A6" s="2" t="inlineStr">
        <ns0:is>
          <ns0:t xml:space="preserve">EBITDA Margin</ns0:t>
        </ns0:is>
      </ns0:c>
      <ns0:c r="B6" s="7" t="n">
        <ns0:v>0.22</ns0:v>
      </ns0:c>
      <ns0:c r="C6" s="7" t="n">
        <ns0:v>0.22</ns0:v>
      </ns0:c>
      <ns0:c r="D6" s="7" t="n">
        <ns0:v>0.22</ns0:v>
      </ns0:c>
      <ns0:c r="E6" s="7" t="n">
        <ns0:v>0.22</ns0:v>
      </ns0:c>
      <ns0:c r="F6" s="7" t="n">
        <ns0:v>0.22</ns0:v>
      </ns0:c>
    </ns0:row>
    <ns0:row r="7">
      <ns0:c r="A7" s="2" t="inlineStr">
        <ns0:is>
          <ns0:t xml:space="preserve">EBITDA</ns0:t>
        </ns0:is>
      </ns0:c>
      <ns0:c r="B7" s="15" t="n">
        <ns0:f>B5*B6</ns0:f>
        <ns0:v>1760000</ns0:v>
      </ns0:c>
      <ns0:c r="C7" s="15" t="n">
        <ns0:f>C5*C6</ns0:f>
        <ns0:v>3960000</ns0:v>
      </ns0:c>
      <ns0:c r="D7" s="15" t="n">
        <ns0:f>D5*D6</ns0:f>
        <ns0:v>6160000</ns0:v>
      </ns0:c>
      <ns0:c r="E7" s="15" t="n">
        <ns0:f>E5*E6</ns0:f>
        <ns0:v>6710000</ns0:v>
      </ns0:c>
      <ns0:c r="F7" s="15" t="n">
        <ns0:f>F5*F6</ns0:f>
        <ns0:v>7075903.56</ns0:v>
      </ns0:c>
    </ns0:row>
    <ns0:row r="8">
      <ns0:c r="A8" s="2" t="inlineStr">
        <ns0:is>
          <ns0:t xml:space="preserve">NWC %</ns0:t>
        </ns0:is>
      </ns0:c>
      <ns0:c r="B8" s="7" t="n">
        <ns0:v>0.2055</ns0:v>
      </ns0:c>
      <ns0:c r="C8" s="7" t="n">
        <ns0:v>0.2055</ns0:v>
      </ns0:c>
      <ns0:c r="D8" s="7" t="n">
        <ns0:v>0.2055</ns0:v>
      </ns0:c>
      <ns0:c r="E8" s="7" t="n">
        <ns0:v>0.2055</ns0:v>
      </ns0:c>
      <ns0:c r="F8" s="7" t="n">
        <ns0:v>0.2055</ns0:v>
      </ns0:c>
    </ns0:row>
    <ns0:row r="9">
      <ns0:c r="A9" s="2" t="inlineStr">
        <ns0:is>
          <ns0:t xml:space="preserve">NWC</ns0:t>
        </ns0:is>
      </ns0:c>
      <ns0:c r="B9" s="15" t="n">
        <ns0:f>B5*B8</ns0:f>
        <ns0:v>1644000</ns0:v>
      </ns0:c>
      <ns0:c r="C9" s="15" t="n">
        <ns0:f>C5*C8</ns0:f>
        <ns0:v>3699000</ns0:v>
      </ns0:c>
      <ns0:c r="D9" s="15" t="n">
        <ns0:f>D5*D8</ns0:f>
        <ns0:v>5754000</ns0:v>
      </ns0:c>
      <ns0:c r="E9" s="15" t="n">
        <ns0:f>E5*E8</ns0:f>
        <ns0:v>6267750</ns0:v>
      </ns0:c>
      <ns0:c r="F9" s="15" t="n">
        <ns0:f>F5*F8</ns0:f>
        <ns0:v>6609537.188999999</ns0:v>
      </ns0:c>
    </ns0:row>
    <ns0:row r="10">
      <ns0:c r="A10" s="2" t="str">
        <ns0:v>CFADS proxy (illustrative)</ns0:v>
      </ns0:c>
      <ns0:c r="B10" s="15" t="n">
        <ns0:f>B7-(B9*0.10)</ns0:f>
        <ns0:v>1595600</ns0:v>
      </ns0:c>
      <ns0:c r="C10" s="15" t="n">
        <ns0:f>C7-(C9*0.10)</ns0:f>
        <ns0:v>3590100</ns0:v>
      </ns0:c>
      <ns0:c r="D10" s="15" t="n">
        <ns0:f>D7-(D9*0.10)</ns0:f>
        <ns0:v>5584600</ns0:v>
      </ns0:c>
      <ns0:c r="E10" s="15" t="n">
        <ns0:f>E7-(E9*0.10)</ns0:f>
        <ns0:v>6083225</ns0:v>
      </ns0:c>
      <ns0:c r="F10" s="15" t="n">
        <ns0:f>F7-(F9*0.10)</ns0:f>
        <ns0:v>6414949.8411</ns0:v>
      </ns0:c>
    </ns0:row>
    <ns0:row r="11">
      <ns0:c r="A11" s="2" t="str">
        <ns0:v>Debt service input (EUR)</ns0:v>
      </ns0:c>
      <ns0:c r="B11" s="15"/>
      <ns0:c r="C11" s="15"/>
      <ns0:c r="D11" s="15"/>
      <ns0:c r="E11" s="15"/>
      <ns0:c r="F11" s="15"/>
    </ns0:row>
    <ns0:row r="12">
      <ns0:c r="A12" s="2" t="inlineStr">
        <ns0:is>
          <ns0:t xml:space="preserve">DSCR</ns0:t>
        </ns0:is>
      </ns0:c>
      <ns0:c r="B12" s="9" t="str">
        <ns0:f>IF(AND(ISNUMBER(B11),B11&gt;0,ISNUMBER(B10)),B10/B11,"MISSING")</ns0:f>
        <ns0:v>MISSING</ns0:v>
      </ns0:c>
      <ns0:c r="C12" s="9" t="str">
        <ns0:f>IF(AND(ISNUMBER(C11),C11&gt;0,ISNUMBER(C10)),C10/C11,"MISSING")</ns0:f>
        <ns0:v>MISSING</ns0:v>
      </ns0:c>
      <ns0:c r="D12" s="9" t="str">
        <ns0:f>IF(AND(ISNUMBER(D11),D11&gt;0,ISNUMBER(D10)),D10/D11,"MISSING")</ns0:f>
        <ns0:v>MISSING</ns0:v>
      </ns0:c>
      <ns0:c r="E12" s="9" t="str">
        <ns0:f>IF(AND(ISNUMBER(E11),E11&gt;0,ISNUMBER(E10)),E10/E11,"MISSING")</ns0:f>
        <ns0:v>MISSING</ns0:v>
      </ns0:c>
      <ns0:c r="F12" s="9" t="str">
        <ns0:f>IF(AND(ISNUMBER(F11),F11&gt;0,ISNUMBER(F10)),F10/F11,"MISSING")</ns0:f>
        <ns0:v>MISSING</ns0:v>
      </ns0:c>
      <ns0:c r="G12" s="20" t="str">
        <ns0:f>IF(COUNT(B12:F12)=5,MIN(B12:F12),"MISSING")</ns0:f>
        <ns0:v>MISSING</ns0:v>
      </ns0:c>
      <ns0:c r="H12" s="20" t="str">
        <ns0:f>IF(COUNT(B12:F12)=5,AVERAGE(B12:F12),"MISSING")</ns0:f>
        <ns0:v>MISSING</ns0:v>
      </ns0:c>
    </ns0:row>
    <ns0:row r="15">
      <ns0:c r="A15" t="str">
        <ns0:v>Prior illustrative DSCR</ns0:v>
      </ns0:c>
      <ns0:c r="B15" t="n">
        <ns0:v>1.95</ns0:v>
      </ns0:c>
      <ns0:c r="C15" t="n">
        <ns0:v>2.1</ns0:v>
      </ns0:c>
      <ns0:c r="D15" t="n">
        <ns0:v>2.8</ns0:v>
      </ns0:c>
      <ns0:c r="E15" t="n">
        <ns0:v>3.1</ns0:v>
      </ns0:c>
      <ns0:c r="F15" t="n">
        <ns0:v>3.4</ns0:v>
      </ns0:c>
    </ns0:row>
    <ns0:row r="17">
      <ns0:c r="A17" t="str">
        <ns0:v>Original illustrative revenue and margins retained; profile is not linked to the baseline selector.</ns0:v>
      </ns0:c>
    </ns0:row>
    <ns0:row r="18">
      <ns0:c r="A18" t="str">
        <ns0:v>Enter verified debt service in row 11. Prior source ratios are retained in row 15.</ns0:v>
      </ns0:c>
    </ns0:row>
  </ns0:sheetData>
  <ns0:mergeCells>
    <ns0:mergeCell ref="A1:H1"/>
  </ns0:mergeCells>
  <ns0:pageMargins left="0.7" right="0.7" top="0.75" bottom="0.75" header="0.3" footer="0.3"/>
  <ns0:drawing ns1:id="Reab846efdf09482b"/>
  <ns0:drawing ns1:id="rId1"/>
</ns0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0" customWidth="1"/>
    <x:col min="5" max="5" width="28" customWidth="1"/>
    <x:col min="6" max="6" width="12" customWidth="1"/>
  </x:cols>
  <x:sheetData>
    <x:row r="1" ht="22" customHeight="1">
      <x:c r="A1" s="1" t="inlineStr">
        <x:is>
          <x:t xml:space="preserve">Break_even</x:t>
        </x:is>
      </x:c>
    </x:row>
    <x:row r="4" ht="30" customHeight="1">
      <x:c r="A4" s="4" t="inlineStr">
        <x:is>
          <x:t xml:space="preserve">Metric</x:t>
        </x:is>
      </x:c>
      <x:c r="B4" s="4" t="inlineStr">
        <x:is>
          <x:t xml:space="preserve">Formula</x:t>
        </x:is>
      </x:c>
      <x:c r="C4" s="4" t="inlineStr">
        <x:is>
          <x:t xml:space="preserve">Value</x:t>
        </x:is>
      </x:c>
      <x:c r="D4" s="4" t="inlineStr">
        <x:is>
          <x:t xml:space="preserve">Unit</x:t>
        </x:is>
      </x:c>
      <x:c r="E4" s="4" t="inlineStr">
        <x:is>
          <x:t xml:space="preserve">Comment</x:t>
        </x:is>
      </x:c>
      <x:c r="F4" s="4" t="inlineStr">
        <x:is>
          <x:t xml:space="preserve">Status</x:t>
        </x:is>
      </x:c>
    </x:row>
    <x:row r="5">
      <x:c r="A5" s="2" t="inlineStr">
        <x:is>
          <x:t xml:space="preserve">Break-even Revenue</x:t>
        </x:is>
      </x:c>
      <x:c r="B5" s="2" t="inlineStr">
        <x:is>
          <x:t xml:space="preserve">Min Debt Service / EBITDA Margin</x:t>
        </x:is>
      </x:c>
      <x:c r="C5" s="21" t="str">
        <x:f>IF(AND(COUNT(DSCR_Profile!B11:F11)=5,ISNUMBER(IF(COUNTIFS(Active_Data!$A$5:$A$37,Assumptions!$B$5,Active_Data!$D$5:$D$37,"EBITDA_Margin")=1,SUMIFS(Active_Data!$E$5:$E$37,Active_Data!$A$5:$A$37,Assumptions!$B$5,Active_Data!$D$5:$D$37,"EBITDA_Margin"),"MISSING"))),MIN(DSCR_Profile!B11:F11)/IF(COUNTIFS(Active_Data!$A$5:$A$37,Assumptions!$B$5,Active_Data!$D$5:$D$37,"EBITDA_Margin")=1,SUMIFS(Active_Data!$E$5:$E$37,Active_Data!$A$5:$A$37,Assumptions!$B$5,Active_Data!$D$5:$D$37,"EBITDA_Margin"),"MISSING"),"MISSING")</x:f>
        <x:v>MISSING</x:v>
      </x:c>
      <x:c r="D5" s="2" t="inlineStr">
        <x:is>
          <x:t xml:space="preserve">EUR</x:t>
        </x:is>
      </x:c>
      <x:c r="E5" s="2" t="inlineStr">
        <x:is>
          <x:t xml:space="preserve">Illustrative break-even proxy</x:t>
        </x:is>
      </x:c>
      <x:c r="F5" s="2" t="str">
        <x:v>ILLUSTRATIVE</x:v>
      </x:c>
    </x:row>
    <x:row r="6">
      <x:c r="A6" s="2" t="inlineStr">
        <x:is>
          <x:t xml:space="preserve">Revenue Downside Buffer</x:t>
        </x:is>
      </x:c>
      <x:c r="B6" s="2" t="inlineStr">
        <x:is>
          <x:t xml:space="preserve">Min DSCR - covenant</x:t>
        </x:is>
      </x:c>
      <x:c r="C6" s="21" t="n">
        <x:f>IF(COUNTIFS(Active_Data!$A$5:$A$37,Assumptions!$B$5,Active_Data!$D$5:$D$37,"Min_DSCR")=1,SUMIFS(Active_Data!$E$5:$E$37,Active_Data!$A$5:$A$37,Assumptions!$B$5,Active_Data!$D$5:$D$37,"Min_DSCR"),"MISSING")-1.35</x:f>
        <x:v>0.5999999999999999</x:v>
      </x:c>
      <x:c r="D6" s="2" t="inlineStr">
        <x:is>
          <x:t xml:space="preserve">x</x:t>
        </x:is>
      </x:c>
      <x:c r="E6" s="2" t="inlineStr">
        <x:is>
          <x:t xml:space="preserve">Positive buffer required</x:t>
        </x:is>
      </x:c>
      <x:c r="F6" s="2" t="str">
        <x:v>SOURCE ONLY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4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 ht="22" customHeight="1">
      <x:c r="A1" s="1" t="inlineStr">
        <x:is>
          <x:t xml:space="preserve">Sensitivity</x:t>
        </x:is>
      </x:c>
    </x:row>
    <x:row r="4">
      <x:c r="A4" s="1" t="str">
        <x:v>Illustrative source-DSCR scaling, not a cash-flow stress test</x:v>
      </x:c>
      <x:c r="B4" s="22" t="n"/>
      <x:c r="C4" s="22" t="n"/>
      <x:c r="D4" s="22" t="n"/>
      <x:c r="E4" s="22" t="n"/>
      <x:c r="F4" s="22" t="n"/>
      <x:c r="G4" s="22" t="n"/>
      <x:c r="H4" s="22" t="n"/>
    </x:row>
    <x:row r="5">
      <x:c r="B5" s="4" t="inlineStr">
        <x:is>
          <x:t xml:space="preserve">Volume \ Price</x:t>
        </x:is>
      </x:c>
      <x:c r="C5" s="7" t="n">
        <x:v>-0.2</x:v>
      </x:c>
      <x:c r="D5" s="7" t="n">
        <x:v>-0.1</x:v>
      </x:c>
      <x:c r="E5" s="7" t="n">
        <x:v>0</x:v>
      </x:c>
      <x:c r="F5" s="7" t="n">
        <x:v>0.1</x:v>
      </x:c>
      <x:c r="G5" s="7" t="n">
        <x:v>0.2</x:v>
      </x:c>
    </x:row>
    <x:row r="6">
      <x:c r="B6" s="7" t="n">
        <x:v>-0.2</x:v>
      </x:c>
      <x:c r="C6" s="23" t="n">
        <x:f>IF(COUNTIFS(Active_Data!$A$5:$A$37,Assumptions!$B$5,Active_Data!$D$5:$D$37,"Min_DSCR")=1,SUMIFS(Active_Data!$E$5:$E$37,Active_Data!$A$5:$A$37,Assumptions!$B$5,Active_Data!$D$5:$D$37,"Min_DSCR"),"MISSING")*(1+$B6)*(1+C$5)</x:f>
        <x:v>1.2480000000000002</x:v>
      </x:c>
      <x:c r="D6" s="23" t="n">
        <x:f>IF(COUNTIFS(Active_Data!$A$5:$A$37,Assumptions!$B$5,Active_Data!$D$5:$D$37,"Min_DSCR")=1,SUMIFS(Active_Data!$E$5:$E$37,Active_Data!$A$5:$A$37,Assumptions!$B$5,Active_Data!$D$5:$D$37,"Min_DSCR"),"MISSING")*(1+$B6)*(1+D$5)</x:f>
        <x:v>1.4040000000000001</x:v>
      </x:c>
      <x:c r="E6" s="23" t="n">
        <x:f>IF(COUNTIFS(Active_Data!$A$5:$A$37,Assumptions!$B$5,Active_Data!$D$5:$D$37,"Min_DSCR")=1,SUMIFS(Active_Data!$E$5:$E$37,Active_Data!$A$5:$A$37,Assumptions!$B$5,Active_Data!$D$5:$D$37,"Min_DSCR"),"MISSING")*(1+$B6)*(1+E$5)</x:f>
        <x:v>1.56</x:v>
      </x:c>
      <x:c r="F6" s="23" t="n">
        <x:f>IF(COUNTIFS(Active_Data!$A$5:$A$37,Assumptions!$B$5,Active_Data!$D$5:$D$37,"Min_DSCR")=1,SUMIFS(Active_Data!$E$5:$E$37,Active_Data!$A$5:$A$37,Assumptions!$B$5,Active_Data!$D$5:$D$37,"Min_DSCR"),"MISSING")*(1+$B6)*(1+F$5)</x:f>
        <x:v>1.7160000000000002</x:v>
      </x:c>
      <x:c r="G6" s="23" t="n">
        <x:f>IF(COUNTIFS(Active_Data!$A$5:$A$37,Assumptions!$B$5,Active_Data!$D$5:$D$37,"Min_DSCR")=1,SUMIFS(Active_Data!$E$5:$E$37,Active_Data!$A$5:$A$37,Assumptions!$B$5,Active_Data!$D$5:$D$37,"Min_DSCR"),"MISSING")*(1+$B6)*(1+G$5)</x:f>
        <x:v>1.8719999999999999</x:v>
      </x:c>
    </x:row>
    <x:row r="7">
      <x:c r="B7" s="7" t="n">
        <x:v>-0.1</x:v>
      </x:c>
      <x:c r="C7" s="23" t="n">
        <x:f>IF(COUNTIFS(Active_Data!$A$5:$A$37,Assumptions!$B$5,Active_Data!$D$5:$D$37,"Min_DSCR")=1,SUMIFS(Active_Data!$E$5:$E$37,Active_Data!$A$5:$A$37,Assumptions!$B$5,Active_Data!$D$5:$D$37,"Min_DSCR"),"MISSING")*(1+$B7)*(1+C$5)</x:f>
        <x:v>1.404</x:v>
      </x:c>
      <x:c r="D7" s="23" t="n">
        <x:f>IF(COUNTIFS(Active_Data!$A$5:$A$37,Assumptions!$B$5,Active_Data!$D$5:$D$37,"Min_DSCR")=1,SUMIFS(Active_Data!$E$5:$E$37,Active_Data!$A$5:$A$37,Assumptions!$B$5,Active_Data!$D$5:$D$37,"Min_DSCR"),"MISSING")*(1+$B7)*(1+D$5)</x:f>
        <x:v>1.5795</x:v>
      </x:c>
      <x:c r="E7" s="23" t="n">
        <x:f>IF(COUNTIFS(Active_Data!$A$5:$A$37,Assumptions!$B$5,Active_Data!$D$5:$D$37,"Min_DSCR")=1,SUMIFS(Active_Data!$E$5:$E$37,Active_Data!$A$5:$A$37,Assumptions!$B$5,Active_Data!$D$5:$D$37,"Min_DSCR"),"MISSING")*(1+$B7)*(1+E$5)</x:f>
        <x:v>1.755</x:v>
      </x:c>
      <x:c r="F7" s="23" t="n">
        <x:f>IF(COUNTIFS(Active_Data!$A$5:$A$37,Assumptions!$B$5,Active_Data!$D$5:$D$37,"Min_DSCR")=1,SUMIFS(Active_Data!$E$5:$E$37,Active_Data!$A$5:$A$37,Assumptions!$B$5,Active_Data!$D$5:$D$37,"Min_DSCR"),"MISSING")*(1+$B7)*(1+F$5)</x:f>
        <x:v>1.9305</x:v>
      </x:c>
      <x:c r="G7" s="23" t="n">
        <x:f>IF(COUNTIFS(Active_Data!$A$5:$A$37,Assumptions!$B$5,Active_Data!$D$5:$D$37,"Min_DSCR")=1,SUMIFS(Active_Data!$E$5:$E$37,Active_Data!$A$5:$A$37,Assumptions!$B$5,Active_Data!$D$5:$D$37,"Min_DSCR"),"MISSING")*(1+$B7)*(1+G$5)</x:f>
        <x:v>2.106</x:v>
      </x:c>
    </x:row>
    <x:row r="8">
      <x:c r="B8" s="7" t="n">
        <x:v>0</x:v>
      </x:c>
      <x:c r="C8" s="23" t="n">
        <x:f>IF(COUNTIFS(Active_Data!$A$5:$A$37,Assumptions!$B$5,Active_Data!$D$5:$D$37,"Min_DSCR")=1,SUMIFS(Active_Data!$E$5:$E$37,Active_Data!$A$5:$A$37,Assumptions!$B$5,Active_Data!$D$5:$D$37,"Min_DSCR"),"MISSING")*(1+$B8)*(1+C$5)</x:f>
        <x:v>1.56</x:v>
      </x:c>
      <x:c r="D8" s="23" t="n">
        <x:f>IF(COUNTIFS(Active_Data!$A$5:$A$37,Assumptions!$B$5,Active_Data!$D$5:$D$37,"Min_DSCR")=1,SUMIFS(Active_Data!$E$5:$E$37,Active_Data!$A$5:$A$37,Assumptions!$B$5,Active_Data!$D$5:$D$37,"Min_DSCR"),"MISSING")*(1+$B8)*(1+D$5)</x:f>
        <x:v>1.755</x:v>
      </x:c>
      <x:c r="E8" s="23" t="n">
        <x:f>IF(COUNTIFS(Active_Data!$A$5:$A$37,Assumptions!$B$5,Active_Data!$D$5:$D$37,"Min_DSCR")=1,SUMIFS(Active_Data!$E$5:$E$37,Active_Data!$A$5:$A$37,Assumptions!$B$5,Active_Data!$D$5:$D$37,"Min_DSCR"),"MISSING")*(1+$B8)*(1+E$5)</x:f>
        <x:v>1.95</x:v>
      </x:c>
      <x:c r="F8" s="23" t="n">
        <x:f>IF(COUNTIFS(Active_Data!$A$5:$A$37,Assumptions!$B$5,Active_Data!$D$5:$D$37,"Min_DSCR")=1,SUMIFS(Active_Data!$E$5:$E$37,Active_Data!$A$5:$A$37,Assumptions!$B$5,Active_Data!$D$5:$D$37,"Min_DSCR"),"MISSING")*(1+$B8)*(1+F$5)</x:f>
        <x:v>2.145</x:v>
      </x:c>
      <x:c r="G8" s="23" t="n">
        <x:f>IF(COUNTIFS(Active_Data!$A$5:$A$37,Assumptions!$B$5,Active_Data!$D$5:$D$37,"Min_DSCR")=1,SUMIFS(Active_Data!$E$5:$E$37,Active_Data!$A$5:$A$37,Assumptions!$B$5,Active_Data!$D$5:$D$37,"Min_DSCR"),"MISSING")*(1+$B8)*(1+G$5)</x:f>
        <x:v>2.34</x:v>
      </x:c>
    </x:row>
    <x:row r="9">
      <x:c r="B9" s="7" t="n">
        <x:v>0.1</x:v>
      </x:c>
      <x:c r="C9" s="23" t="n">
        <x:f>IF(COUNTIFS(Active_Data!$A$5:$A$37,Assumptions!$B$5,Active_Data!$D$5:$D$37,"Min_DSCR")=1,SUMIFS(Active_Data!$E$5:$E$37,Active_Data!$A$5:$A$37,Assumptions!$B$5,Active_Data!$D$5:$D$37,"Min_DSCR"),"MISSING")*(1+$B9)*(1+C$5)</x:f>
        <x:v>1.7160000000000002</x:v>
      </x:c>
      <x:c r="D9" s="23" t="n">
        <x:f>IF(COUNTIFS(Active_Data!$A$5:$A$37,Assumptions!$B$5,Active_Data!$D$5:$D$37,"Min_DSCR")=1,SUMIFS(Active_Data!$E$5:$E$37,Active_Data!$A$5:$A$37,Assumptions!$B$5,Active_Data!$D$5:$D$37,"Min_DSCR"),"MISSING")*(1+$B9)*(1+D$5)</x:f>
        <x:v>1.9305</x:v>
      </x:c>
      <x:c r="E9" s="23" t="n">
        <x:f>IF(COUNTIFS(Active_Data!$A$5:$A$37,Assumptions!$B$5,Active_Data!$D$5:$D$37,"Min_DSCR")=1,SUMIFS(Active_Data!$E$5:$E$37,Active_Data!$A$5:$A$37,Assumptions!$B$5,Active_Data!$D$5:$D$37,"Min_DSCR"),"MISSING")*(1+$B9)*(1+E$5)</x:f>
        <x:v>2.145</x:v>
      </x:c>
      <x:c r="F9" s="23" t="n">
        <x:f>IF(COUNTIFS(Active_Data!$A$5:$A$37,Assumptions!$B$5,Active_Data!$D$5:$D$37,"Min_DSCR")=1,SUMIFS(Active_Data!$E$5:$E$37,Active_Data!$A$5:$A$37,Assumptions!$B$5,Active_Data!$D$5:$D$37,"Min_DSCR"),"MISSING")*(1+$B9)*(1+F$5)</x:f>
        <x:v>2.3595</x:v>
      </x:c>
      <x:c r="G9" s="23" t="n">
        <x:f>IF(COUNTIFS(Active_Data!$A$5:$A$37,Assumptions!$B$5,Active_Data!$D$5:$D$37,"Min_DSCR")=1,SUMIFS(Active_Data!$E$5:$E$37,Active_Data!$A$5:$A$37,Assumptions!$B$5,Active_Data!$D$5:$D$37,"Min_DSCR"),"MISSING")*(1+$B9)*(1+G$5)</x:f>
        <x:v>2.574</x:v>
      </x:c>
    </x:row>
    <x:row r="10">
      <x:c r="B10" s="7" t="n">
        <x:v>0.2</x:v>
      </x:c>
      <x:c r="C10" s="23" t="n">
        <x:f>IF(COUNTIFS(Active_Data!$A$5:$A$37,Assumptions!$B$5,Active_Data!$D$5:$D$37,"Min_DSCR")=1,SUMIFS(Active_Data!$E$5:$E$37,Active_Data!$A$5:$A$37,Assumptions!$B$5,Active_Data!$D$5:$D$37,"Min_DSCR"),"MISSING")*(1+$B10)*(1+C$5)</x:f>
        <x:v>1.8719999999999999</x:v>
      </x:c>
      <x:c r="D10" s="23" t="n">
        <x:f>IF(COUNTIFS(Active_Data!$A$5:$A$37,Assumptions!$B$5,Active_Data!$D$5:$D$37,"Min_DSCR")=1,SUMIFS(Active_Data!$E$5:$E$37,Active_Data!$A$5:$A$37,Assumptions!$B$5,Active_Data!$D$5:$D$37,"Min_DSCR"),"MISSING")*(1+$B10)*(1+D$5)</x:f>
        <x:v>2.106</x:v>
      </x:c>
      <x:c r="E10" s="23" t="n">
        <x:f>IF(COUNTIFS(Active_Data!$A$5:$A$37,Assumptions!$B$5,Active_Data!$D$5:$D$37,"Min_DSCR")=1,SUMIFS(Active_Data!$E$5:$E$37,Active_Data!$A$5:$A$37,Assumptions!$B$5,Active_Data!$D$5:$D$37,"Min_DSCR"),"MISSING")*(1+$B10)*(1+E$5)</x:f>
        <x:v>2.34</x:v>
      </x:c>
      <x:c r="F10" s="23" t="n">
        <x:f>IF(COUNTIFS(Active_Data!$A$5:$A$37,Assumptions!$B$5,Active_Data!$D$5:$D$37,"Min_DSCR")=1,SUMIFS(Active_Data!$E$5:$E$37,Active_Data!$A$5:$A$37,Assumptions!$B$5,Active_Data!$D$5:$D$37,"Min_DSCR"),"MISSING")*(1+$B10)*(1+F$5)</x:f>
        <x:v>2.574</x:v>
      </x:c>
      <x:c r="G10" s="23" t="n">
        <x:f>IF(COUNTIFS(Active_Data!$A$5:$A$37,Assumptions!$B$5,Active_Data!$D$5:$D$37,"Min_DSCR")=1,SUMIFS(Active_Data!$E$5:$E$37,Active_Data!$A$5:$A$37,Assumptions!$B$5,Active_Data!$D$5:$D$37,"Min_DSCR"),"MISSING")*(1+$B10)*(1+G$5)</x:f>
        <x:v>2.808</x:v>
      </x:c>
    </x:row>
  </x:sheetData>
  <x:mergeCells>
    <x:mergeCell ref="A4:H4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8" customWidth="1"/>
    <x:col min="2" max="2" width="12" customWidth="1"/>
    <x:col min="3" max="3" width="12" customWidth="1"/>
    <x:col min="4" max="4" width="12" customWidth="1"/>
    <x:col min="5" max="5" width="10" customWidth="1"/>
    <x:col min="6" max="6" width="12" customWidth="1"/>
    <x:col min="7" max="7" width="14" customWidth="1"/>
    <x:col min="8" max="8" width="34" customWidth="1"/>
  </x:cols>
  <x:sheetData>
    <x:row r="1" ht="22" customHeight="1">
      <x:c r="A1" s="1" t="inlineStr">
        <x:is>
          <x:t xml:space="preserve">Monte_Carlo_Results</x:t>
        </x:is>
      </x:c>
    </x:row>
    <x:row r="4" ht="30" customHeight="1">
      <x:c r="A4" s="4" t="inlineStr">
        <x:is>
          <x:t xml:space="preserve">Variable</x:t>
        </x:is>
      </x:c>
      <x:c r="B4" s="4" t="inlineStr">
        <x:is>
          <x:t xml:space="preserve">P10</x:t>
        </x:is>
      </x:c>
      <x:c r="C4" s="4" t="inlineStr">
        <x:is>
          <x:t xml:space="preserve">P50</x:t>
        </x:is>
      </x:c>
      <x:c r="D4" s="4" t="inlineStr">
        <x:is>
          <x:t xml:space="preserve">P90</x:t>
        </x:is>
      </x:c>
      <x:c r="E4" s="4" t="inlineStr">
        <x:is>
          <x:t xml:space="preserve">Unit</x:t>
        </x:is>
      </x:c>
      <x:c r="F4" s="4" t="inlineStr">
        <x:is>
          <x:t xml:space="preserve">Base</x:t>
        </x:is>
      </x:c>
      <x:c r="G4" s="4" t="inlineStr">
        <x:is>
          <x:t xml:space="preserve">Delta vs Base</x:t>
        </x:is>
      </x:c>
      <x:c r="H4" s="4" t="inlineStr">
        <x:is>
          <x:t xml:space="preserve">Comment</x:t>
        </x:is>
      </x:c>
    </x:row>
    <x:row r="5">
      <x:c r="A5" s="2" t="inlineStr">
        <x:is>
          <x:t xml:space="preserve">CAPEX</x:t>
        </x:is>
      </x:c>
      <x:c r="B5" s="5" t="n">
        <x:v>41500000</x:v>
      </x:c>
      <x:c r="C5" s="5" t="n">
        <x:v>43560000</x:v>
      </x:c>
      <x:c r="D5" s="5" t="n">
        <x:v>51400000</x:v>
      </x:c>
      <x:c r="E5" s="2" t="inlineStr">
        <x:is>
          <x:t xml:space="preserve">EUR</x:t>
        </x:is>
      </x:c>
      <x:c r="F5" s="5" t="n">
        <x:v>43560000</x:v>
      </x:c>
      <x:c r="G5" s="15" t="n">
        <x:f>D5-F5</x:f>
        <x:v>7840000</x:v>
      </x:c>
      <x:c r="H5" s="2" t="inlineStr">
        <x:is>
          <x:t xml:space="preserve">P90 taken from Central Brain brief</x:t>
        </x:is>
      </x:c>
    </x:row>
    <x:row r="6">
      <x:c r="A6" s="2" t="inlineStr">
        <x:is>
          <x:t xml:space="preserve">Project IRR</x:t>
        </x:is>
      </x:c>
      <x:c r="B6" s="7" t="n">
        <x:v>0.22</x:v>
      </x:c>
      <x:c r="C6" s="7" t="n">
        <x:v>0.265</x:v>
      </x:c>
      <x:c r="D6" s="7" t="n">
        <x:v>0.3</x:v>
      </x:c>
      <x:c r="E6" s="2" t="inlineStr">
        <x:is>
          <x:t xml:space="preserve">%</x:t>
        </x:is>
      </x:c>
      <x:c r="F6" s="7" t="n">
        <x:v>0.265</x:v>
      </x:c>
      <x:c r="G6" s="16" t="n">
        <x:f>D6-F6</x:f>
        <x:v>0.034999999999999976</x:v>
      </x:c>
      <x:c r="H6" s="2" t="inlineStr">
        <x:is>
          <x:t xml:space="preserve">Illustrative range around base case</x:t>
        </x:is>
      </x:c>
    </x:row>
    <x:row r="7">
      <x:c r="A7" s="2" t="inlineStr">
        <x:is>
          <x:t xml:space="preserve">Equity IRR</x:t>
        </x:is>
      </x:c>
      <x:c r="B7" s="7" t="n">
        <x:v>0.31</x:v>
      </x:c>
      <x:c r="C7" s="7" t="n">
        <x:v>0.38</x:v>
      </x:c>
      <x:c r="D7" s="7" t="n">
        <x:v>0.45</x:v>
      </x:c>
      <x:c r="E7" s="2" t="inlineStr">
        <x:is>
          <x:t xml:space="preserve">%</x:t>
        </x:is>
      </x:c>
      <x:c r="F7" s="7" t="n">
        <x:v>0.38</x:v>
      </x:c>
      <x:c r="G7" s="16" t="n">
        <x:f>D7-F7</x:f>
        <x:v>0.07</x:v>
      </x:c>
      <x:c r="H7" s="2" t="inlineStr">
        <x:is>
          <x:t xml:space="preserve">Illustrative range around base case</x:t>
        </x:is>
      </x:c>
    </x:row>
    <x:row r="8">
      <x:c r="A8" s="2" t="inlineStr">
        <x:is>
          <x:t xml:space="preserve">Min DSCR</x:t>
        </x:is>
      </x:c>
      <x:c r="B8" s="9" t="n">
        <x:v>1.6</x:v>
      </x:c>
      <x:c r="C8" s="9" t="n">
        <x:v>1.95</x:v>
      </x:c>
      <x:c r="D8" s="9" t="n">
        <x:v>2.2</x:v>
      </x:c>
      <x:c r="E8" s="2" t="inlineStr">
        <x:is>
          <x:t xml:space="preserve">x</x:t>
        </x:is>
      </x:c>
      <x:c r="F8" s="9" t="n">
        <x:v>1.95</x:v>
      </x:c>
      <x:c r="G8" s="23" t="n">
        <x:f>D8-F8</x:f>
        <x:v>0.2500000000000002</x:v>
      </x:c>
      <x:c r="H8" s="2" t="inlineStr">
        <x:is>
          <x:t xml:space="preserve">Aligned to covenant-focused range</x:t>
        </x:is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</ns0:sheetView>
  </ns0:sheetViews>
  <ns0:sheetFormatPr baseColWidth="8" defaultRowHeight="15"/>
  <ns0:cols>
    <ns0:col min="1" max="1" width="18" customWidth="1"/>
    <ns0:col min="2" max="2" width="16" customWidth="1"/>
    <ns0:col min="3" max="3" width="14" customWidth="1"/>
    <ns0:col min="4" max="4" width="10" customWidth="1"/>
    <ns0:col min="5" max="5" width="14" hidden="0" customWidth="1"/>
    <ns0:col min="6" max="6" width="18" customWidth="1"/>
    <ns0:col min="7" max="7" width="16" customWidth="1"/>
    <ns0:col min="8" max="8" width="19" hidden="0" customWidth="1"/>
    <ns0:col min="9" max="9" width="10" customWidth="1"/>
    <ns0:col min="10" max="10" width="10" customWidth="1"/>
  </ns0:cols>
  <ns0:sheetData>
    <ns0:row r="1" ht="22" customHeight="1">
      <ns0:c r="A1" s="1" t="inlineStr">
        <ns0:is>
          <ns0:t xml:space="preserve">Dashboard</ns0:t>
        </ns0:is>
      </ns0:c>
    </ns0:row>
    <ns0:row r="4" ht="30" customHeight="1">
      <ns0:c r="A4" s="4" t="inlineStr">
        <ns0:is>
          <ns0:t xml:space="preserve">KPI</ns0:t>
        </ns0:is>
      </ns0:c>
      <ns0:c r="B4" s="4" t="inlineStr">
        <ns0:is>
          <ns0:t xml:space="preserve">Formula / Source</ns0:t>
        </ns0:is>
      </ns0:c>
      <ns0:c r="C4" s="4" t="inlineStr">
        <ns0:is>
          <ns0:t xml:space="preserve">Value</ns0:t>
        </ns0:is>
      </ns0:c>
      <ns0:c r="D4" s="4" t="inlineStr">
        <ns0:is>
          <ns0:t xml:space="preserve">Unit</ns0:t>
        </ns0:is>
      </ns0:c>
      <ns0:c r="E4" s="4" t="inlineStr">
        <ns0:is>
          <ns0:t xml:space="preserve">Status</ns0:t>
        </ns0:is>
      </ns0:c>
      <ns0:c r="F4" s="4" t="inlineStr">
        <ns0:is>
          <ns0:t xml:space="preserve">KPI</ns0:t>
        </ns0:is>
      </ns0:c>
      <ns0:c r="G4" s="4" t="inlineStr">
        <ns0:is>
          <ns0:t xml:space="preserve">Formula / Source</ns0:t>
        </ns0:is>
      </ns0:c>
      <ns0:c r="H4" s="4" t="inlineStr">
        <ns0:is>
          <ns0:t xml:space="preserve">Value</ns0:t>
        </ns0:is>
      </ns0:c>
      <ns0:c r="I4" s="4" t="inlineStr">
        <ns0:is>
          <ns0:t xml:space="preserve">Unit</ns0:t>
        </ns0:is>
      </ns0:c>
      <ns0:c r="J4" s="4" t="inlineStr">
        <ns0:is>
          <ns0:t xml:space="preserve">Status</ns0:t>
        </ns0:is>
      </ns0:c>
    </ns0:row>
    <ns0:row r="5">
      <ns0:c r="A5" s="2" t="inlineStr">
        <ns0:is>
          <ns0:t xml:space="preserve">Project IRR</ns0:t>
        </ns0:is>
      </ns0:c>
      <ns0:c r="B5" s="2" t="inlineStr">
        <ns0:is>
          <ns0:t xml:space="preserve">Active_Data</ns0:t>
        </ns0:is>
      </ns0:c>
      <ns0:c r="C5" s="24" t="n">
        <ns0:f>IF(COUNTIFS(Active_Data!$A$5:$A$37,Assumptions!$B$5,Active_Data!$D$5:$D$37,"Project_IRR")=1,SUMIFS(Active_Data!$E$5:$E$37,Active_Data!$A$5:$A$37,Assumptions!$B$5,Active_Data!$D$5:$D$37,"Project_IRR"),"MISSING")</ns0:f>
        <ns0:v>0.265</ns0:v>
      </ns0:c>
      <ns0:c r="D5" s="2" t="inlineStr">
        <ns0:is>
          <ns0:t xml:space="preserve">%</ns0:t>
        </ns0:is>
      </ns0:c>
      <ns0:c r="E5" s="2" t="str">
        <ns0:f>IF(ISNUMBER(C5),"SOURCE","MISSING")</ns0:f>
        <ns0:v>SOURCE</ns0:v>
      </ns0:c>
      <ns0:c r="F5" s="2" t="inlineStr">
        <ns0:is>
          <ns0:t xml:space="preserve">Revenue Y1</ns0:t>
        </ns0:is>
      </ns0:c>
      <ns0:c r="G5" s="2" t="inlineStr">
        <ns0:is>
          <ns0:t xml:space="preserve">Active_Data</ns0:t>
        </ns0:is>
      </ns0:c>
      <ns0:c r="H5" s="25" t="str">
        <ns0:f>IF(COUNTIFS(Active_Data!$A$5:$A$37,Assumptions!$B$5,Active_Data!$D$5:$D$37,"Revenue_Y1")=1,SUMIFS(Active_Data!$E$5:$E$37,Active_Data!$A$5:$A$37,Assumptions!$B$5,Active_Data!$D$5:$D$37,"Revenue_Y1"),"MISSING")</ns0:f>
        <ns0:v>MISSING</ns0:v>
      </ns0:c>
      <ns0:c r="I5" s="2" t="inlineStr">
        <ns0:is>
          <ns0:t xml:space="preserve">EUR</ns0:t>
        </ns0:is>
      </ns0:c>
      <ns0:c r="J5" s="2" t="str">
        <ns0:f>IF(ISNUMBER(H5),"SOURCE","MISSING")</ns0:f>
        <ns0:v>MISSING</ns0:v>
      </ns0:c>
    </ns0:row>
    <ns0:row r="6">
      <ns0:c r="A6" s="2" t="inlineStr">
        <ns0:is>
          <ns0:t xml:space="preserve">Equity IRR</ns0:t>
        </ns0:is>
      </ns0:c>
      <ns0:c r="B6" s="2" t="inlineStr">
        <ns0:is>
          <ns0:t xml:space="preserve">Active_Data</ns0:t>
        </ns0:is>
      </ns0:c>
      <ns0:c r="C6" s="24" t="n">
        <ns0:f>IF(COUNTIFS(Active_Data!$A$5:$A$37,Assumptions!$B$5,Active_Data!$D$5:$D$37,"Equity_IRR")=1,SUMIFS(Active_Data!$E$5:$E$37,Active_Data!$A$5:$A$37,Assumptions!$B$5,Active_Data!$D$5:$D$37,"Equity_IRR"),"MISSING")</ns0:f>
        <ns0:v>0.38</ns0:v>
      </ns0:c>
      <ns0:c r="D6" s="2" t="inlineStr">
        <ns0:is>
          <ns0:t xml:space="preserve">%</ns0:t>
        </ns0:is>
      </ns0:c>
      <ns0:c r="E6" s="2" t="str">
        <ns0:f>IF(ISNUMBER(C6),"SOURCE","MISSING")</ns0:f>
        <ns0:v>SOURCE</ns0:v>
      </ns0:c>
      <ns0:c r="F6" s="2" t="inlineStr">
        <ns0:is>
          <ns0:t xml:space="preserve">Revenue Y5</ns0:t>
        </ns0:is>
      </ns0:c>
      <ns0:c r="G6" s="2" t="inlineStr">
        <ns0:is>
          <ns0:t xml:space="preserve">Active_Data</ns0:t>
        </ns0:is>
      </ns0:c>
      <ns0:c r="H6" s="25" t="str">
        <ns0:f>IF(COUNTIFS(Active_Data!$A$5:$A$37,Assumptions!$B$5,Active_Data!$D$5:$D$37,"Revenue_Y5")=1,SUMIFS(Active_Data!$E$5:$E$37,Active_Data!$A$5:$A$37,Assumptions!$B$5,Active_Data!$D$5:$D$37,"Revenue_Y5"),"MISSING")</ns0:f>
        <ns0:v>MISSING</ns0:v>
      </ns0:c>
      <ns0:c r="I6" s="2" t="inlineStr">
        <ns0:is>
          <ns0:t xml:space="preserve">EUR</ns0:t>
        </ns0:is>
      </ns0:c>
      <ns0:c r="J6" s="2" t="str">
        <ns0:f>IF(ISNUMBER(H6),"SOURCE","MISSING")</ns0:f>
        <ns0:v>MISSING</ns0:v>
      </ns0:c>
    </ns0:row>
    <ns0:row r="7">
      <ns0:c r="A7" s="2" t="inlineStr">
        <ns0:is>
          <ns0:t xml:space="preserve">Min DSCR</ns0:t>
        </ns0:is>
      </ns0:c>
      <ns0:c r="B7" s="2" t="inlineStr">
        <ns0:is>
          <ns0:t xml:space="preserve">Active_Data</ns0:t>
        </ns0:is>
      </ns0:c>
      <ns0:c r="C7" s="20" t="n">
        <ns0:f>IF(COUNTIFS(Active_Data!$A$5:$A$37,Assumptions!$B$5,Active_Data!$D$5:$D$37,"Min_DSCR")=1,SUMIFS(Active_Data!$E$5:$E$37,Active_Data!$A$5:$A$37,Assumptions!$B$5,Active_Data!$D$5:$D$37,"Min_DSCR"),"MISSING")</ns0:f>
        <ns0:v>1.95</ns0:v>
      </ns0:c>
      <ns0:c r="D7" s="2" t="inlineStr">
        <ns0:is>
          <ns0:t xml:space="preserve">x</ns0:t>
        </ns0:is>
      </ns0:c>
      <ns0:c r="E7" s="2" t="str">
        <ns0:f>IF(ISNUMBER(C7),"SOURCE","MISSING")</ns0:f>
        <ns0:v>SOURCE</ns0:v>
      </ns0:c>
      <ns0:c r="F7" s="2" t="inlineStr">
        <ns0:is>
          <ns0:t xml:space="preserve">Avg DSCR</ns0:t>
        </ns0:is>
      </ns0:c>
      <ns0:c r="G7" s="2" t="inlineStr">
        <ns0:is>
          <ns0:t xml:space="preserve">Active_Data</ns0:t>
        </ns0:is>
      </ns0:c>
      <ns0:c r="H7" s="20" t="str">
        <ns0:f>IF(COUNTIFS(Active_Data!$A$5:$A$37,Assumptions!$B$5,Active_Data!$D$5:$D$37,"Avg_DSCR")=1,SUMIFS(Active_Data!$E$5:$E$37,Active_Data!$A$5:$A$37,Assumptions!$B$5,Active_Data!$D$5:$D$37,"Avg_DSCR"),"MISSING")</ns0:f>
        <ns0:v>MISSING</ns0:v>
      </ns0:c>
      <ns0:c r="I7" s="2" t="inlineStr">
        <ns0:is>
          <ns0:t xml:space="preserve">x</ns0:t>
        </ns0:is>
      </ns0:c>
      <ns0:c r="J7" s="2" t="str">
        <ns0:f>IF(ISNUMBER(H7),"SOURCE","MISSING")</ns0:f>
        <ns0:v>MISSING</ns0:v>
      </ns0:c>
    </ns0:row>
    <ns0:row r="8">
      <ns0:c r="A8" s="2" t="inlineStr">
        <ns0:is>
          <ns0:t xml:space="preserve">P90 CAPEX</ns0:t>
        </ns0:is>
      </ns0:c>
      <ns0:c r="B8" s="2" t="inlineStr">
        <ns0:is>
          <ns0:t xml:space="preserve">Active_Data</ns0:t>
        </ns0:is>
      </ns0:c>
      <ns0:c r="C8" s="25" t="n">
        <ns0:f>IF(COUNTIFS(Active_Data!$A$5:$A$37,Assumptions!$B$5,Active_Data!$D$5:$D$37,"P90_CAPEX")=1,SUMIFS(Active_Data!$E$5:$E$37,Active_Data!$A$5:$A$37,Assumptions!$B$5,Active_Data!$D$5:$D$37,"P90_CAPEX"),"MISSING")</ns0:f>
        <ns0:v>51400000</ns0:v>
      </ns0:c>
      <ns0:c r="D8" s="2" t="inlineStr">
        <ns0:is>
          <ns0:t xml:space="preserve">EUR</ns0:t>
        </ns0:is>
      </ns0:c>
      <ns0:c r="E8" s="2" t="str">
        <ns0:f>IF(ISNUMBER(C8),"SOURCE","MISSING")</ns0:f>
        <ns0:v>SOURCE</ns0:v>
      </ns0:c>
      <ns0:c r="F8" s="2" t="inlineStr">
        <ns0:is>
          <ns0:t xml:space="preserve">TRL</ns0:t>
        </ns0:is>
      </ns0:c>
      <ns0:c r="G8" s="2" t="inlineStr">
        <ns0:is>
          <ns0:t xml:space="preserve">Active_Data</ns0:t>
        </ns0:is>
      </ns0:c>
      <ns0:c r="H8" s="26" t="str">
        <ns0:f>IF(COUNTIFS(Active_Data!$A$5:$A$37,Assumptions!$B$5,Active_Data!$D$5:$D$37,"TRL")=1,SUMIFS(Active_Data!$E$5:$E$37,Active_Data!$A$5:$A$37,Assumptions!$B$5,Active_Data!$D$5:$D$37,"TRL"),"MISSING")</ns0:f>
        <ns0:v>MISSING</ns0:v>
      </ns0:c>
      <ns0:c r="I8" s="2" t="inlineStr">
        <ns0:is>
          <ns0:t xml:space="preserve">score</ns0:t>
        </ns0:is>
      </ns0:c>
      <ns0:c r="J8" s="2" t="str">
        <ns0:f>IF(ISNUMBER(H8),"SOURCE","MISSING")</ns0:f>
        <ns0:v>MISSING</ns0:v>
      </ns0:c>
    </ns0:row>
    <ns0:row r="10">
      <ns0:c r="A10" t="str">
        <ns0:v>Review status</ns0:v>
      </ns0:c>
      <ns0:c r="C10" t="str">
        <ns0:v>HOLD</ns0:v>
      </ns0:c>
      <ns0:c r="F10" t="str">
        <ns0:v>Chart: prior illustrative revenue profile</ns0:v>
      </ns0:c>
    </ns0:row>
    <ns0:row r="36">
      <ns0:c r="A36" t="str">
        <ns0:v>Source KPIs only. Baseline selection: Assumptions!B5.</ns0:v>
      </ns0:c>
    </ns0:row>
    <ns0:row r="37">
      <ns0:c r="A37" t="str">
        <ns0:v>Verified cash flows, debt schedule and CAPEX scope are required.</ns0:v>
      </ns0:c>
    </ns0:row>
  </ns0:sheetData>
  <ns0:mergeCells>
    <ns0:mergeCell ref="A1:J1"/>
  </ns0:mergeCells>
  <ns0:pageMargins left="0.7" right="0.7" top="0.75" bottom="0.75" header="0.3" footer="0.3"/>
  <ns0:drawing ns1:id="R562db797934e4e5e"/>
  <ns0:drawing ns1:id="rId1"/>
</ns0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2" customWidth="1"/>
    <x:col min="2" max="2" width="28" customWidth="1"/>
    <x:col min="3" max="3" width="36" customWidth="1"/>
    <x:col min="4" max="4" width="12" customWidth="1"/>
    <x:col min="5" max="5" width="12" customWidth="1"/>
    <x:col min="6" max="6" width="12" customWidth="1"/>
  </x:cols>
  <x:sheetData>
    <x:row r="1" ht="22" customHeight="1">
      <x:c r="A1" s="1" t="inlineStr">
        <x:is>
          <x:t xml:space="preserve">Audit_Checks</x:t>
        </x:is>
      </x:c>
    </x:row>
    <x:row r="4" ht="30" customHeight="1">
      <x:c r="A4" s="4" t="inlineStr">
        <x:is>
          <x:t xml:space="preserve">Check_ID</x:t>
        </x:is>
      </x:c>
      <x:c r="B4" s="4" t="inlineStr">
        <x:is>
          <x:t xml:space="preserve">Check_Name</x:t>
        </x:is>
      </x:c>
      <x:c r="C4" s="4" t="inlineStr">
        <x:is>
          <x:t xml:space="preserve">Formula</x:t>
        </x:is>
      </x:c>
      <x:c r="D4" s="4" t="inlineStr">
        <x:is>
          <x:t xml:space="preserve">Expected</x:t>
        </x:is>
      </x:c>
      <x:c r="E4" s="4" t="inlineStr">
        <x:is>
          <x:t xml:space="preserve">Actual</x:t>
        </x:is>
      </x:c>
      <x:c r="F4" s="4" t="inlineStr">
        <x:is>
          <x:t xml:space="preserve">Status</x:t>
        </x:is>
      </x:c>
    </x:row>
    <x:row r="5">
      <x:c r="A5" s="2" t="inlineStr">
        <x:is>
          <x:t xml:space="preserve">AUD-001</x:t>
        </x:is>
      </x:c>
      <x:c r="B5" s="2" t="inlineStr">
        <x:is>
          <x:t xml:space="preserve">Sources = Uses</x:t>
        </x:is>
      </x:c>
      <x:c r="C5" s="27" t="n">
        <x:f>Sources_Uses!C13</x:f>
        <x:v>0</x:v>
      </x:c>
      <x:c r="D5" s="16" t="n">
        <x:v>0</x:v>
      </x:c>
      <x:c r="E5" s="27" t="n">
        <x:f>Sources_Uses!C13</x:f>
        <x:v>0</x:v>
      </x:c>
      <x:c r="F5" s="27" t="str">
        <x:f>IF(ISNUMBER(E5),IF(ABS(E5-D5)&lt;1,"OK","ERROR"),"MISSING")</x:f>
        <x:v>OK</x:v>
      </x:c>
    </x:row>
    <x:row r="6">
      <x:c r="A6" s="2" t="inlineStr">
        <x:is>
          <x:t xml:space="preserve">AUD-002</x:t>
        </x:is>
      </x:c>
      <x:c r="B6" s="2" t="inlineStr">
        <x:is>
          <x:t xml:space="preserve">Min DSCR &gt; 1.35x</x:t>
        </x:is>
      </x:c>
      <x:c r="C6" s="27" t="n">
        <x:f>IF(COUNTIFS(Active_Data!$A$5:$A$37,Assumptions!$B$5,Active_Data!$D$5:$D$37,"Min_DSCR")=1,SUMIFS(Active_Data!$E$5:$E$37,Active_Data!$A$5:$A$37,Assumptions!$B$5,Active_Data!$D$5:$D$37,"Min_DSCR"),"MISSING")</x:f>
        <x:v>1.95</x:v>
      </x:c>
      <x:c r="D6" s="23" t="n">
        <x:v>1.35</x:v>
      </x:c>
      <x:c r="E6" s="27" t="n">
        <x:f>IF(COUNTIFS(Active_Data!$A$5:$A$37,Assumptions!$B$5,Active_Data!$D$5:$D$37,"Min_DSCR")=1,SUMIFS(Active_Data!$E$5:$E$37,Active_Data!$A$5:$A$37,Assumptions!$B$5,Active_Data!$D$5:$D$37,"Min_DSCR"),"MISSING")</x:f>
        <x:v>1.95</x:v>
      </x:c>
      <x:c r="F6" s="27" t="str">
        <x:f>IF(ISNUMBER(E6),IF(E6&gt;D6,"SOURCE ABOVE THRESHOLD","BELOW THRESHOLD"),"MISSING")</x:f>
        <x:v>SOURCE ABOVE THRESHOLD</x:v>
      </x:c>
    </x:row>
    <x:row r="7">
      <x:c r="A7" s="2" t="inlineStr">
        <x:is>
          <x:t xml:space="preserve">AUD-003</x:t>
        </x:is>
      </x:c>
      <x:c r="B7" s="2" t="inlineStr">
        <x:is>
          <x:t xml:space="preserve">Grant + Debt + Equity = 100%</x:t>
        </x:is>
      </x:c>
      <x:c r="C7" s="27" t="n">
        <x:f>IF(COUNT(Sources_Uses!C7:C9)=3,SUM(Sources_Uses!C7:C9),"MISSING")</x:f>
        <x:v>1</x:v>
      </x:c>
      <x:c r="D7" s="16" t="n">
        <x:v>1</x:v>
      </x:c>
      <x:c r="E7" s="27" t="n">
        <x:f>IF(COUNT(Sources_Uses!C7:C9)=3,SUM(Sources_Uses!C7:C9),"MISSING")</x:f>
        <x:v>1</x:v>
      </x:c>
      <x:c r="F7" s="27" t="str">
        <x:f>IF(ISNUMBER(E7),IF(ABS(E7-D7)&lt;0.001,"OK","ERROR"),"MISSING")</x:f>
        <x:v>OK</x:v>
      </x:c>
    </x:row>
    <x:row r="8">
      <x:c r="A8" s="2" t="inlineStr">
        <x:is>
          <x:t xml:space="preserve">AUD-004</x:t>
        </x:is>
      </x:c>
      <x:c r="B8" s="2" t="str">
        <x:v>Selected baseline exists</x:v>
      </x:c>
      <x:c r="C8" s="27" t="n">
        <x:f>IF(COUNTIF(Active_Data!A5:A37,Assumptions!B5)&gt;0,1,0)</x:f>
        <x:v>1</x:v>
      </x:c>
      <x:c r="D8" s="16" t="n">
        <x:v>1</x:v>
      </x:c>
      <x:c r="E8" s="27" t="n">
        <x:f>IF(COUNTIF(Active_Data!A5:A37,Assumptions!B5)&gt;0,1,0)</x:f>
        <x:v>1</x:v>
      </x:c>
      <x:c r="F8" s="27" t="str">
        <x:f>IF(E8=D8,"OK","ERROR")</x:f>
        <x:v>OK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10" customWidth="1"/>
  </x:cols>
  <x:sheetData>
    <x:row r="1" ht="22" customHeight="1">
      <x:c r="A1" s="1" t="inlineStr">
        <x:is>
          <x:t xml:space="preserve">README / Python Update Logic</x:t>
        </x:is>
      </x:c>
    </x:row>
    <x:row r="4">
      <x:c r="A4" s="3" t="inlineStr">
        <x:is>
          <x:t xml:space="preserve">This workbook intentionally separates conflicting baselines using Baseline_ID.</x:t>
        </x:is>
      </x:c>
    </x:row>
    <x:row r="5">
      <x:c r="A5" s="3" t="inlineStr">
        <x:is>
          <x:t xml:space="preserve">Do not overwrite locked metrics without changing Baseline_ID or Scenario_Type.</x:t>
        </x:is>
      </x:c>
    </x:row>
    <x:row r="6">
      <x:c r="A6" s="3" t="inlineStr">
        <x:is>
          <x:t xml:space="preserve">For daily updates, populate market cells in Assumptions with reviewed external inputs.</x:t>
        </x:is>
      </x:c>
    </x:row>
    <x:row r="7">
      <x:c r="A7" s="3" t="inlineStr">
        <x:is>
          <x:t xml:space="preserve">Suggested Python stub:</x:t>
        </x:is>
      </x:c>
    </x:row>
    <x:row r="8">
      <x:c r="A8" s="3" t="inlineStr">
        <x:is>
          <x:t xml:space="preserve">def daily_update(active_data_df, market_inputs):</x:t>
        </x:is>
      </x:c>
    </x:row>
    <x:row r="9">
      <x:c r="A9" s="3" t="inlineStr">
        <x:is>
          <x:t xml:space="preserve">    # validate source timestamps, map to Baseline_ID, propose updates only</x:t>
        </x:is>
      </x:c>
    </x:row>
    <x:row r="10">
      <x:c r="A10" s="3" t="inlineStr">
        <x:is>
          <x:t xml:space="preserve">    return proposed_changes_df</x:t>
        </x:is>
      </x:c>
    </x:row>
    <x:row r="11">
      <x:c r="A11" s="3" t="inlineStr">
        <x:is>
          <x:t xml:space="preserve">Missing verified inputs remain tagged as INPUT_REQUIRED or UPDATE_DAILY.</x:t>
        </x:is>
      </x:c>
    </x:row>
    <x:row r="12">
      <x:c r="A12" t="str">
        <x:v>888 revision: source baselines preserved; lookups use Baseline_ID plus Parameter.</x:v>
      </x:c>
    </x:row>
    <x:row r="13">
      <x:c r="A13" t="str">
        <x:v>DSCR history retained in row 15. Actual debt service inputs are blank.</x:v>
      </x:c>
    </x:row>
    <x:row r="14">
      <x:c r="A14" t="str">
        <x:v>Market placeholders and source-only IRR/P90 are not verified model outputs.</x:v>
      </x:c>
    </x:row>
  </x:sheetData>
  <x:mergeCells>
    <x:mergeCell ref="A1:H1"/>
  </x:mergeCells>
  <x:pageMargins left="0.7" right="0.7" top="0.75" bottom="0.75" header="0.3" footer="0.3"/>
</x:worksheet>
</file>