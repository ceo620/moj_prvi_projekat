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Active_Data" sheetId="2" state="visible" r:id="rId2"/>
    <sheet name="Assumptions" sheetId="3" state="visible" r:id="rId3"/>
    <sheet name="Sources_Uses" sheetId="4" state="visible" r:id="rId4"/>
    <sheet name="DSCR_Profile" sheetId="5" state="visible" r:id="rId5"/>
    <sheet name="Break_even" sheetId="6" state="visible" r:id="rId6"/>
    <sheet name="Sensitivity" sheetId="7" state="visible" r:id="rId7"/>
    <sheet name="Monte_Carlo_Results" sheetId="8" state="visible" r:id="rId8"/>
    <sheet name="Dashboard" sheetId="9" state="visible" r:id="rId9"/>
    <sheet name="Audit_Checks" sheetId="10" state="visible" r:id="rId10"/>
    <sheet name="99_READ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_);[Red](#,##0.0)"/>
    <numFmt numFmtId="166" formatCode="0.00x"/>
    <numFmt numFmtId="167" formatCode="#,##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FFFFFF"/>
      <sz val="10"/>
    </font>
    <font>
      <name val="Calibri"/>
      <color rgb="00008000"/>
      <sz val="10"/>
    </font>
    <font>
      <name val="Calibri"/>
      <color rgb="00666666"/>
      <sz val="10"/>
    </font>
    <font>
      <name val="Calibri"/>
      <b val="1"/>
      <color rgb="00C65911"/>
      <sz val="10"/>
    </font>
    <font>
      <name val="Calibri"/>
      <b val="1"/>
      <color rgb="007030A0"/>
      <sz val="10"/>
    </font>
    <font>
      <name val="Calibri"/>
      <b val="1"/>
      <color rgb="00000000"/>
      <sz val="10"/>
    </font>
    <font>
      <name val="Calibri"/>
      <b val="1"/>
      <color rgb="00008B8B"/>
      <sz val="11"/>
    </font>
  </fonts>
  <fills count="9">
    <fill>
      <patternFill/>
    </fill>
    <fill>
      <patternFill patternType="gray125"/>
    </fill>
    <fill>
      <patternFill patternType="solid">
        <fgColor rgb="00001F3F"/>
      </patternFill>
    </fill>
    <fill>
      <patternFill patternType="solid">
        <fgColor rgb="00D9EAF7"/>
      </patternFill>
    </fill>
    <fill>
      <patternFill patternType="solid">
        <fgColor rgb="0000A3E0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FE3FF"/>
      </patternFill>
    </fill>
    <fill>
      <patternFill patternType="solid">
        <fgColor rgb="00E2F7F6"/>
      </patternFill>
    </fill>
  </fills>
  <borders count="6">
    <border>
      <left/>
      <right/>
      <top/>
      <bottom/>
      <diagonal/>
    </border>
    <border>
      <top style="medium">
        <color rgb="00001F3F"/>
      </top>
      <bottom style="medium">
        <color rgb="00001F3F"/>
      </bottom>
    </border>
    <border>
      <bottom style="thin">
        <color rgb="00BFBFBF"/>
      </bottom>
    </border>
    <border>
      <top style="medium">
        <color rgb="00001F3F"/>
      </top>
    </border>
    <border>
      <left/>
      <right/>
      <top style="medium">
        <color rgb="00001F3F"/>
      </top>
      <bottom/>
      <diagonal/>
    </border>
    <border>
      <left/>
      <right/>
      <top style="medium">
        <color rgb="00001F3F"/>
      </top>
      <bottom style="medium">
        <color rgb="00001F3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 wrapText="1"/>
    </xf>
    <xf numFmtId="38" fontId="3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right" vertical="center"/>
    </xf>
    <xf numFmtId="166" fontId="3" fillId="3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164" fontId="3" fillId="3" borderId="0" applyAlignment="1" pivotButton="0" quotePrefix="0" xfId="0">
      <alignment horizontal="left" vertical="center"/>
    </xf>
    <xf numFmtId="38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horizontal="right" vertical="center"/>
    </xf>
    <xf numFmtId="38" fontId="5" fillId="0" borderId="0" applyAlignment="1" pivotButton="0" quotePrefix="0" xfId="0">
      <alignment horizontal="right" vertical="center"/>
    </xf>
    <xf numFmtId="166" fontId="10" fillId="8" borderId="0" applyAlignment="1" pivotButton="0" quotePrefix="0" xfId="0">
      <alignment horizontal="right" vertical="center"/>
    </xf>
    <xf numFmtId="40" fontId="2" fillId="0" borderId="0" applyAlignment="1" pivotButton="0" quotePrefix="0" xfId="0">
      <alignment horizontal="right" vertical="center"/>
    </xf>
    <xf numFmtId="0" fontId="0" fillId="0" borderId="5" pivotButton="0" quotePrefix="0" xfId="0"/>
    <xf numFmtId="166" fontId="2" fillId="0" borderId="0" applyAlignment="1" pivotButton="0" quotePrefix="0" xfId="0">
      <alignment horizontal="right" vertical="center"/>
    </xf>
    <xf numFmtId="164" fontId="10" fillId="8" borderId="0" applyAlignment="1" pivotButton="0" quotePrefix="0" xfId="0">
      <alignment horizontal="right" vertical="center"/>
    </xf>
    <xf numFmtId="38" fontId="10" fillId="8" borderId="0" applyAlignment="1" pivotButton="0" quotePrefix="0" xfId="0">
      <alignment horizontal="right" vertical="center"/>
    </xf>
    <xf numFmtId="167" fontId="10" fillId="8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DSCR Profile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'DSCR_Profile'!$B$4:$F$4</f>
            </numRef>
          </cat>
          <val>
            <numRef>
              <f>'DSCR_Profile'!$B$12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'DSCR_Profile'!$B$4:$F$4</f>
            </numRef>
          </cat>
          <val>
            <numRef>
              <f>'DSCR_Profile'!$C$12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'DSCR_Profile'!$B$4:$F$4</f>
            </numRef>
          </cat>
          <val>
            <numRef>
              <f>'DSCR_Profile'!$D$12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'DSCR_Profile'!$B$4:$F$4</f>
            </numRef>
          </cat>
          <val>
            <numRef>
              <f>'DSCR_Profile'!$E$12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'DSCR_Profile'!$B$4:$F$4</f>
            </numRef>
          </cat>
          <val>
            <numRef>
              <f>'DSCR_Profile'!$F$12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Ramp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'DSCR_Profile'!$B$4:$F$4</f>
            </numRef>
          </cat>
          <val>
            <numRef>
              <f>'DSCR_Profile'!$B$5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'DSCR_Profile'!$B$4:$F$4</f>
            </numRef>
          </cat>
          <val>
            <numRef>
              <f>'DSCR_Profile'!$C$5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'DSCR_Profile'!$B$4:$F$4</f>
            </numRef>
          </cat>
          <val>
            <numRef>
              <f>'DSCR_Profile'!$D$5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'DSCR_Profile'!$B$4:$F$4</f>
            </numRef>
          </cat>
          <val>
            <numRef>
              <f>'DSCR_Profile'!$E$5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'DSCR_Profile'!$B$4:$F$4</f>
            </numRef>
          </cat>
          <val>
            <numRef>
              <f>'DSCR_Profile'!$F$5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E25" authorId="0" shapeId="0">
      <text>
        <t>Source: Central Brain brief. Keep locked unless baseline version changes.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8" authorId="0" shapeId="0">
      <text>
        <t>Energy_per_unit is not verified in the current chat history.</t>
      </text>
    </comment>
    <comment ref="B12" authorId="0" shapeId="0">
      <text>
        <t>Populate from reviewed daily market note; do not hardcode without source.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360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360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2" customHeight="1">
      <c r="A1" s="1" t="inlineStr">
        <is>
          <t>TITAN Central Brain Finance Master v6.1</t>
        </is>
      </c>
    </row>
    <row r="3">
      <c r="A3" s="2" t="inlineStr">
        <is>
          <t>Document</t>
        </is>
      </c>
      <c r="B3" s="3" t="inlineStr">
        <is>
          <t>TITAN Central Brain Finance Master v6.1</t>
        </is>
      </c>
    </row>
    <row r="4">
      <c r="A4" s="2" t="inlineStr">
        <is>
          <t>Prepared For</t>
        </is>
      </c>
      <c r="B4" s="3" t="inlineStr">
        <is>
          <t>ARS Metal / ADS Metal / TITAN Central Brain</t>
        </is>
      </c>
    </row>
    <row r="5">
      <c r="A5" s="2" t="inlineStr">
        <is>
          <t>Purpose</t>
        </is>
      </c>
      <c r="B5" s="3" t="inlineStr">
        <is>
          <t>Harmonized multi-baseline finance master with audit controls</t>
        </is>
      </c>
    </row>
    <row r="6">
      <c r="A6" s="2" t="inlineStr">
        <is>
          <t>Important</t>
        </is>
      </c>
      <c r="B6" s="3" t="inlineStr">
        <is>
          <t>Baselines are segregated using Baseline_ID to avoid forensic conflicts</t>
        </is>
      </c>
    </row>
    <row r="7">
      <c r="A7" s="2" t="inlineStr">
        <is>
          <t>Version Date</t>
        </is>
      </c>
      <c r="B7" s="3" t="inlineStr">
        <is>
          <t>2026-04-03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28" customWidth="1" min="4" max="4"/>
    <col width="16" customWidth="1" min="5" max="5"/>
    <col width="12" customWidth="1" min="6" max="6"/>
    <col width="24" customWidth="1" min="7" max="7"/>
    <col width="12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1" t="inlineStr">
        <is>
          <t>Active_Data – Central Brain Memory</t>
        </is>
      </c>
    </row>
    <row r="4" ht="30" customHeight="1">
      <c r="A4" s="4" t="inlineStr">
        <is>
          <t>Baseline_ID</t>
        </is>
      </c>
      <c r="B4" s="4" t="inlineStr">
        <is>
          <t>Model_Version</t>
        </is>
      </c>
      <c r="C4" s="4" t="inlineStr">
        <is>
          <t>Scenario_Type</t>
        </is>
      </c>
      <c r="D4" s="4" t="inlineStr">
        <is>
          <t>Parameter</t>
        </is>
      </c>
      <c r="E4" s="4" t="inlineStr">
        <is>
          <t>Value</t>
        </is>
      </c>
      <c r="F4" s="4" t="inlineStr">
        <is>
          <t>Unit</t>
        </is>
      </c>
      <c r="G4" s="4" t="inlineStr">
        <is>
          <t>Source_Document</t>
        </is>
      </c>
      <c r="H4" s="4" t="inlineStr">
        <is>
          <t>Status_Flag</t>
        </is>
      </c>
      <c r="I4" s="4" t="inlineStr">
        <is>
          <t>Monte_Carlo_P90</t>
        </is>
      </c>
      <c r="J4" s="4" t="inlineStr">
        <is>
          <t>Equity_Impact</t>
        </is>
      </c>
      <c r="K4" s="4" t="inlineStr">
        <is>
          <t>Industry_Specific</t>
        </is>
      </c>
    </row>
    <row r="5">
      <c r="A5" s="3" t="inlineStr">
        <is>
          <t>ARS_IF25_v4.5</t>
        </is>
      </c>
      <c r="B5" s="3" t="inlineStr">
        <is>
          <t>v4.5</t>
        </is>
      </c>
      <c r="C5" s="3" t="inlineStr">
        <is>
          <t>Base</t>
        </is>
      </c>
      <c r="D5" s="3" t="inlineStr">
        <is>
          <t>Total_Project_Cost</t>
        </is>
      </c>
      <c r="E5" s="5" t="n">
        <v>27796156</v>
      </c>
      <c r="F5" s="3" t="inlineStr">
        <is>
          <t>EUR</t>
        </is>
      </c>
      <c r="G5" s="6" t="inlineStr">
        <is>
          <t>Titan Grid v4.5</t>
        </is>
      </c>
      <c r="H5" s="3" t="inlineStr">
        <is>
          <t>Locked</t>
        </is>
      </c>
      <c r="I5" s="5" t="inlineStr"/>
      <c r="J5" s="3" t="inlineStr"/>
      <c r="K5" s="3" t="inlineStr">
        <is>
          <t>Yes</t>
        </is>
      </c>
    </row>
    <row r="6">
      <c r="A6" s="3" t="inlineStr">
        <is>
          <t>ARS_IF25_v4.5</t>
        </is>
      </c>
      <c r="B6" s="3" t="inlineStr">
        <is>
          <t>v4.5</t>
        </is>
      </c>
      <c r="C6" s="3" t="inlineStr">
        <is>
          <t>Base</t>
        </is>
      </c>
      <c r="D6" s="3" t="inlineStr">
        <is>
          <t>Direct_CAPEX</t>
        </is>
      </c>
      <c r="E6" s="5" t="n">
        <v>24715200</v>
      </c>
      <c r="F6" s="3" t="inlineStr">
        <is>
          <t>EUR</t>
        </is>
      </c>
      <c r="G6" s="6" t="inlineStr">
        <is>
          <t>Titan Grid v4.5</t>
        </is>
      </c>
      <c r="H6" s="3" t="inlineStr">
        <is>
          <t>Locked</t>
        </is>
      </c>
      <c r="I6" s="5" t="inlineStr"/>
      <c r="J6" s="3" t="inlineStr"/>
      <c r="K6" s="3" t="inlineStr">
        <is>
          <t>Yes</t>
        </is>
      </c>
    </row>
    <row r="7">
      <c r="A7" s="3" t="inlineStr">
        <is>
          <t>ARS_IF25_v4.5</t>
        </is>
      </c>
      <c r="B7" s="3" t="inlineStr">
        <is>
          <t>v4.5</t>
        </is>
      </c>
      <c r="C7" s="3" t="inlineStr">
        <is>
          <t>Base</t>
        </is>
      </c>
      <c r="D7" s="3" t="inlineStr">
        <is>
          <t>Contingency</t>
        </is>
      </c>
      <c r="E7" s="5" t="n">
        <v>2471520</v>
      </c>
      <c r="F7" s="3" t="inlineStr">
        <is>
          <t>EUR</t>
        </is>
      </c>
      <c r="G7" s="6" t="inlineStr">
        <is>
          <t>Titan Grid v4.5</t>
        </is>
      </c>
      <c r="H7" s="3" t="inlineStr">
        <is>
          <t>Locked</t>
        </is>
      </c>
      <c r="I7" s="5" t="inlineStr"/>
      <c r="J7" s="3" t="inlineStr"/>
      <c r="K7" s="3" t="inlineStr">
        <is>
          <t>Yes</t>
        </is>
      </c>
    </row>
    <row r="8">
      <c r="A8" s="3" t="inlineStr">
        <is>
          <t>ARS_IF25_v4.5</t>
        </is>
      </c>
      <c r="B8" s="3" t="inlineStr">
        <is>
          <t>v4.5</t>
        </is>
      </c>
      <c r="C8" s="3" t="inlineStr">
        <is>
          <t>Base</t>
        </is>
      </c>
      <c r="D8" s="3" t="inlineStr">
        <is>
          <t>Debt_Percent</t>
        </is>
      </c>
      <c r="E8" s="7" t="n">
        <v>0.6</v>
      </c>
      <c r="F8" s="3" t="inlineStr">
        <is>
          <t>%</t>
        </is>
      </c>
      <c r="G8" s="6" t="inlineStr">
        <is>
          <t>Titan Grid v4.5</t>
        </is>
      </c>
      <c r="H8" s="3" t="inlineStr">
        <is>
          <t>Locked</t>
        </is>
      </c>
      <c r="I8" s="7" t="inlineStr"/>
      <c r="J8" s="3" t="inlineStr"/>
      <c r="K8" s="3" t="inlineStr">
        <is>
          <t>Yes</t>
        </is>
      </c>
    </row>
    <row r="9">
      <c r="A9" s="3" t="inlineStr">
        <is>
          <t>ARS_IF25_v4.5</t>
        </is>
      </c>
      <c r="B9" s="3" t="inlineStr">
        <is>
          <t>v4.5</t>
        </is>
      </c>
      <c r="C9" s="3" t="inlineStr">
        <is>
          <t>Base</t>
        </is>
      </c>
      <c r="D9" s="3" t="inlineStr">
        <is>
          <t>Equity_Percent</t>
        </is>
      </c>
      <c r="E9" s="7" t="n">
        <v>0.4</v>
      </c>
      <c r="F9" s="3" t="inlineStr">
        <is>
          <t>%</t>
        </is>
      </c>
      <c r="G9" s="6" t="inlineStr">
        <is>
          <t>Titan Grid v4.5</t>
        </is>
      </c>
      <c r="H9" s="3" t="inlineStr">
        <is>
          <t>Locked</t>
        </is>
      </c>
      <c r="I9" s="7" t="inlineStr"/>
      <c r="J9" s="3" t="inlineStr"/>
      <c r="K9" s="3" t="inlineStr">
        <is>
          <t>Yes</t>
        </is>
      </c>
    </row>
    <row r="10">
      <c r="A10" s="3" t="inlineStr">
        <is>
          <t>ARS_IF25_v4.5</t>
        </is>
      </c>
      <c r="B10" s="3" t="inlineStr">
        <is>
          <t>v4.5</t>
        </is>
      </c>
      <c r="C10" s="3" t="inlineStr">
        <is>
          <t>Base</t>
        </is>
      </c>
      <c r="D10" s="3" t="inlineStr">
        <is>
          <t>IDC</t>
        </is>
      </c>
      <c r="E10" s="5" t="n">
        <v>1031579</v>
      </c>
      <c r="F10" s="3" t="inlineStr">
        <is>
          <t>EUR</t>
        </is>
      </c>
      <c r="G10" s="6" t="inlineStr">
        <is>
          <t>Titan Grid v4.5</t>
        </is>
      </c>
      <c r="H10" s="3" t="inlineStr">
        <is>
          <t>Locked</t>
        </is>
      </c>
      <c r="I10" s="5" t="inlineStr"/>
      <c r="J10" s="3" t="inlineStr"/>
      <c r="K10" s="3" t="inlineStr">
        <is>
          <t>Yes</t>
        </is>
      </c>
    </row>
    <row r="11">
      <c r="A11" s="3" t="inlineStr">
        <is>
          <t>ARS_IF25_v4.5</t>
        </is>
      </c>
      <c r="B11" s="3" t="inlineStr">
        <is>
          <t>v4.5</t>
        </is>
      </c>
      <c r="C11" s="3" t="inlineStr">
        <is>
          <t>Base</t>
        </is>
      </c>
      <c r="D11" s="3" t="inlineStr">
        <is>
          <t>Revenue_Y1</t>
        </is>
      </c>
      <c r="E11" s="5" t="n">
        <v>8000000</v>
      </c>
      <c r="F11" s="3" t="inlineStr">
        <is>
          <t>EUR</t>
        </is>
      </c>
      <c r="G11" s="6" t="inlineStr">
        <is>
          <t>Titan Grid v4.5</t>
        </is>
      </c>
      <c r="H11" s="3" t="inlineStr">
        <is>
          <t>Locked</t>
        </is>
      </c>
      <c r="I11" s="5" t="inlineStr"/>
      <c r="J11" s="3" t="inlineStr"/>
      <c r="K11" s="3" t="inlineStr">
        <is>
          <t>Yes</t>
        </is>
      </c>
    </row>
    <row r="12">
      <c r="A12" s="3" t="inlineStr">
        <is>
          <t>ARS_IF25_v4.5</t>
        </is>
      </c>
      <c r="B12" s="3" t="inlineStr">
        <is>
          <t>v4.5</t>
        </is>
      </c>
      <c r="C12" s="3" t="inlineStr">
        <is>
          <t>Base</t>
        </is>
      </c>
      <c r="D12" s="3" t="inlineStr">
        <is>
          <t>Revenue_Y5</t>
        </is>
      </c>
      <c r="E12" s="5" t="n">
        <v>28000000</v>
      </c>
      <c r="F12" s="3" t="inlineStr">
        <is>
          <t>EUR</t>
        </is>
      </c>
      <c r="G12" s="6" t="inlineStr">
        <is>
          <t>Titan Grid v4.5</t>
        </is>
      </c>
      <c r="H12" s="3" t="inlineStr">
        <is>
          <t>Locked</t>
        </is>
      </c>
      <c r="I12" s="5" t="inlineStr"/>
      <c r="J12" s="3" t="inlineStr"/>
      <c r="K12" s="3" t="inlineStr">
        <is>
          <t>Yes</t>
        </is>
      </c>
    </row>
    <row r="13">
      <c r="A13" s="3" t="inlineStr">
        <is>
          <t>ARS_IF25_v4.5</t>
        </is>
      </c>
      <c r="B13" s="3" t="inlineStr">
        <is>
          <t>v4.5</t>
        </is>
      </c>
      <c r="C13" s="3" t="inlineStr">
        <is>
          <t>Base</t>
        </is>
      </c>
      <c r="D13" s="3" t="inlineStr">
        <is>
          <t>Revenue_Y12</t>
        </is>
      </c>
      <c r="E13" s="5" t="n">
        <v>32163198</v>
      </c>
      <c r="F13" s="3" t="inlineStr">
        <is>
          <t>EUR</t>
        </is>
      </c>
      <c r="G13" s="6" t="inlineStr">
        <is>
          <t>Titan Grid v4.5</t>
        </is>
      </c>
      <c r="H13" s="3" t="inlineStr">
        <is>
          <t>Locked</t>
        </is>
      </c>
      <c r="I13" s="5" t="inlineStr"/>
      <c r="J13" s="3" t="inlineStr"/>
      <c r="K13" s="3" t="inlineStr">
        <is>
          <t>Yes</t>
        </is>
      </c>
    </row>
    <row r="14">
      <c r="A14" s="3" t="inlineStr">
        <is>
          <t>ARS_IF25_v4.5</t>
        </is>
      </c>
      <c r="B14" s="3" t="inlineStr">
        <is>
          <t>v4.5</t>
        </is>
      </c>
      <c r="C14" s="3" t="inlineStr">
        <is>
          <t>Base</t>
        </is>
      </c>
      <c r="D14" s="3" t="inlineStr">
        <is>
          <t>EBITDA_Margin</t>
        </is>
      </c>
      <c r="E14" s="7" t="n">
        <v>0.22</v>
      </c>
      <c r="F14" s="3" t="inlineStr">
        <is>
          <t>%</t>
        </is>
      </c>
      <c r="G14" s="6" t="inlineStr">
        <is>
          <t>Titan Grid v4.5</t>
        </is>
      </c>
      <c r="H14" s="3" t="inlineStr">
        <is>
          <t>Locked</t>
        </is>
      </c>
      <c r="I14" s="7" t="inlineStr"/>
      <c r="J14" s="3" t="inlineStr"/>
      <c r="K14" s="3" t="inlineStr">
        <is>
          <t>Yes</t>
        </is>
      </c>
    </row>
    <row r="15">
      <c r="A15" s="3" t="inlineStr">
        <is>
          <t>ARS_IF25_v4.5</t>
        </is>
      </c>
      <c r="B15" s="3" t="inlineStr">
        <is>
          <t>v4.5</t>
        </is>
      </c>
      <c r="C15" s="3" t="inlineStr">
        <is>
          <t>Base</t>
        </is>
      </c>
      <c r="D15" s="3" t="inlineStr">
        <is>
          <t>Capacity_Y1</t>
        </is>
      </c>
      <c r="E15" s="8" t="n">
        <v>660</v>
      </c>
      <c r="F15" s="3" t="inlineStr">
        <is>
          <t>units</t>
        </is>
      </c>
      <c r="G15" s="6" t="inlineStr">
        <is>
          <t>ARS_Full_v3 + v4.5</t>
        </is>
      </c>
      <c r="H15" s="3" t="inlineStr">
        <is>
          <t>Active</t>
        </is>
      </c>
      <c r="I15" s="8" t="inlineStr"/>
      <c r="J15" s="3" t="inlineStr"/>
      <c r="K15" s="3" t="inlineStr">
        <is>
          <t>Yes</t>
        </is>
      </c>
    </row>
    <row r="16">
      <c r="A16" s="3" t="inlineStr">
        <is>
          <t>ARS_IF25_v4.5</t>
        </is>
      </c>
      <c r="B16" s="3" t="inlineStr">
        <is>
          <t>v4.5</t>
        </is>
      </c>
      <c r="C16" s="3" t="inlineStr">
        <is>
          <t>Base</t>
        </is>
      </c>
      <c r="D16" s="3" t="inlineStr">
        <is>
          <t>CCC_Days</t>
        </is>
      </c>
      <c r="E16" s="8" t="n">
        <v>100</v>
      </c>
      <c r="F16" s="3" t="inlineStr">
        <is>
          <t>days</t>
        </is>
      </c>
      <c r="G16" s="6" t="inlineStr">
        <is>
          <t>Titan Grid v4.5</t>
        </is>
      </c>
      <c r="H16" s="3" t="inlineStr">
        <is>
          <t>Locked</t>
        </is>
      </c>
      <c r="I16" s="8" t="inlineStr"/>
      <c r="J16" s="3" t="inlineStr"/>
      <c r="K16" s="3" t="inlineStr">
        <is>
          <t>Yes</t>
        </is>
      </c>
    </row>
    <row r="17">
      <c r="A17" s="3" t="inlineStr">
        <is>
          <t>ARS_IF25_v4.5</t>
        </is>
      </c>
      <c r="B17" s="3" t="inlineStr">
        <is>
          <t>v4.5</t>
        </is>
      </c>
      <c r="C17" s="3" t="inlineStr">
        <is>
          <t>Base</t>
        </is>
      </c>
      <c r="D17" s="3" t="inlineStr">
        <is>
          <t>NWC_Y5</t>
        </is>
      </c>
      <c r="E17" s="5" t="n">
        <v>5753425</v>
      </c>
      <c r="F17" s="3" t="inlineStr">
        <is>
          <t>EUR</t>
        </is>
      </c>
      <c r="G17" s="6" t="inlineStr">
        <is>
          <t>Titan Grid v4.5</t>
        </is>
      </c>
      <c r="H17" s="3" t="inlineStr">
        <is>
          <t>Locked</t>
        </is>
      </c>
      <c r="I17" s="5" t="inlineStr"/>
      <c r="J17" s="3" t="inlineStr"/>
      <c r="K17" s="3" t="inlineStr">
        <is>
          <t>Yes</t>
        </is>
      </c>
    </row>
    <row r="18">
      <c r="A18" s="3" t="inlineStr">
        <is>
          <t>ARS_IF25_v4.5</t>
        </is>
      </c>
      <c r="B18" s="3" t="inlineStr">
        <is>
          <t>v4.5</t>
        </is>
      </c>
      <c r="C18" s="3" t="inlineStr">
        <is>
          <t>Base</t>
        </is>
      </c>
      <c r="D18" s="3" t="inlineStr">
        <is>
          <t>NWC_Percent_of_Revenue</t>
        </is>
      </c>
      <c r="E18" s="7" t="n">
        <v>0.2055</v>
      </c>
      <c r="F18" s="3" t="inlineStr">
        <is>
          <t>%</t>
        </is>
      </c>
      <c r="G18" s="6" t="inlineStr">
        <is>
          <t>Titan Grid v4.5</t>
        </is>
      </c>
      <c r="H18" s="3" t="inlineStr">
        <is>
          <t>Locked</t>
        </is>
      </c>
      <c r="I18" s="7" t="inlineStr"/>
      <c r="J18" s="3" t="inlineStr"/>
      <c r="K18" s="3" t="inlineStr">
        <is>
          <t>Yes</t>
        </is>
      </c>
    </row>
    <row r="19">
      <c r="A19" s="3" t="inlineStr">
        <is>
          <t>ARS_IF25_v4.5</t>
        </is>
      </c>
      <c r="B19" s="3" t="inlineStr">
        <is>
          <t>v4.5</t>
        </is>
      </c>
      <c r="C19" s="3" t="inlineStr">
        <is>
          <t>Base</t>
        </is>
      </c>
      <c r="D19" s="3" t="inlineStr">
        <is>
          <t>Min_DSCR</t>
        </is>
      </c>
      <c r="E19" s="9" t="n">
        <v>1.68</v>
      </c>
      <c r="F19" s="3" t="inlineStr">
        <is>
          <t>x</t>
        </is>
      </c>
      <c r="G19" s="6" t="inlineStr">
        <is>
          <t>Titan Grid v4.5</t>
        </is>
      </c>
      <c r="H19" s="3" t="inlineStr">
        <is>
          <t>Locked</t>
        </is>
      </c>
      <c r="I19" s="9" t="inlineStr"/>
      <c r="J19" s="3" t="inlineStr"/>
      <c r="K19" s="3" t="inlineStr">
        <is>
          <t>Yes</t>
        </is>
      </c>
    </row>
    <row r="20">
      <c r="A20" s="3" t="inlineStr">
        <is>
          <t>ARS_IF25_v4.5</t>
        </is>
      </c>
      <c r="B20" s="3" t="inlineStr">
        <is>
          <t>v4.5</t>
        </is>
      </c>
      <c r="C20" s="3" t="inlineStr">
        <is>
          <t>Base</t>
        </is>
      </c>
      <c r="D20" s="3" t="inlineStr">
        <is>
          <t>Avg_DSCR</t>
        </is>
      </c>
      <c r="E20" s="9" t="n">
        <v>3.07</v>
      </c>
      <c r="F20" s="3" t="inlineStr">
        <is>
          <t>x</t>
        </is>
      </c>
      <c r="G20" s="6" t="inlineStr">
        <is>
          <t>Titan Grid v4.5</t>
        </is>
      </c>
      <c r="H20" s="3" t="inlineStr">
        <is>
          <t>Locked</t>
        </is>
      </c>
      <c r="I20" s="9" t="inlineStr"/>
      <c r="J20" s="3" t="inlineStr"/>
      <c r="K20" s="3" t="inlineStr">
        <is>
          <t>Yes</t>
        </is>
      </c>
    </row>
    <row r="21">
      <c r="A21" s="3" t="inlineStr">
        <is>
          <t>ARS_IF25_v4.5</t>
        </is>
      </c>
      <c r="B21" s="3" t="inlineStr">
        <is>
          <t>v4.5</t>
        </is>
      </c>
      <c r="C21" s="3" t="inlineStr">
        <is>
          <t>Base</t>
        </is>
      </c>
      <c r="D21" s="3" t="inlineStr">
        <is>
          <t>DSRA_Months</t>
        </is>
      </c>
      <c r="E21" s="8" t="n">
        <v>6</v>
      </c>
      <c r="F21" s="3" t="inlineStr">
        <is>
          <t>months</t>
        </is>
      </c>
      <c r="G21" s="6" t="inlineStr">
        <is>
          <t>Titan Grid v4.5</t>
        </is>
      </c>
      <c r="H21" s="3" t="inlineStr">
        <is>
          <t>Locked</t>
        </is>
      </c>
      <c r="I21" s="8" t="inlineStr"/>
      <c r="J21" s="3" t="inlineStr"/>
      <c r="K21" s="3" t="inlineStr">
        <is>
          <t>Yes</t>
        </is>
      </c>
    </row>
    <row r="22">
      <c r="A22" s="3" t="inlineStr">
        <is>
          <t>ARS_IF25_v4.5</t>
        </is>
      </c>
      <c r="B22" s="3" t="inlineStr">
        <is>
          <t>v4.5</t>
        </is>
      </c>
      <c r="C22" s="3" t="inlineStr">
        <is>
          <t>Base</t>
        </is>
      </c>
      <c r="D22" s="3" t="inlineStr">
        <is>
          <t>TRL</t>
        </is>
      </c>
      <c r="E22" s="8" t="n">
        <v>8</v>
      </c>
      <c r="F22" s="3" t="inlineStr">
        <is>
          <t>score</t>
        </is>
      </c>
      <c r="G22" s="6" t="inlineStr">
        <is>
          <t>Model + seismic data</t>
        </is>
      </c>
      <c r="H22" s="3" t="inlineStr">
        <is>
          <t>Locked</t>
        </is>
      </c>
      <c r="I22" s="8" t="inlineStr"/>
      <c r="J22" s="3" t="inlineStr"/>
      <c r="K22" s="3" t="inlineStr">
        <is>
          <t>Yes</t>
        </is>
      </c>
    </row>
    <row r="23">
      <c r="A23" s="3" t="inlineStr">
        <is>
          <t>ARS_IF25_v4.5</t>
        </is>
      </c>
      <c r="B23" s="3" t="inlineStr">
        <is>
          <t>v4.5</t>
        </is>
      </c>
      <c r="C23" s="3" t="inlineStr">
        <is>
          <t>Base</t>
        </is>
      </c>
      <c r="D23" s="3" t="inlineStr">
        <is>
          <t>Land_Area</t>
        </is>
      </c>
      <c r="E23" s="8" t="n">
        <v>22742</v>
      </c>
      <c r="F23" s="3" t="inlineStr">
        <is>
          <t>m2</t>
        </is>
      </c>
      <c r="G23" s="6" t="inlineStr">
        <is>
          <t>List nepokretnosti 3301</t>
        </is>
      </c>
      <c r="H23" s="3" t="inlineStr">
        <is>
          <t>Locked</t>
        </is>
      </c>
      <c r="I23" s="8" t="inlineStr"/>
      <c r="J23" s="3" t="inlineStr"/>
      <c r="K23" s="3" t="inlineStr">
        <is>
          <t>Yes</t>
        </is>
      </c>
    </row>
    <row r="24">
      <c r="A24" s="3" t="inlineStr">
        <is>
          <t>ARS_IF25_v4.5</t>
        </is>
      </c>
      <c r="B24" s="3" t="inlineStr">
        <is>
          <t>v4.5</t>
        </is>
      </c>
      <c r="C24" s="3" t="inlineStr">
        <is>
          <t>Base</t>
        </is>
      </c>
      <c r="D24" s="3" t="inlineStr">
        <is>
          <t>UTU_BGP_Limit</t>
        </is>
      </c>
      <c r="E24" s="8" t="n">
        <v>10000</v>
      </c>
      <c r="F24" s="3" t="inlineStr">
        <is>
          <t>m2</t>
        </is>
      </c>
      <c r="G24" s="6" t="inlineStr">
        <is>
          <t>UTU dokument</t>
        </is>
      </c>
      <c r="H24" s="3" t="inlineStr">
        <is>
          <t>Locked</t>
        </is>
      </c>
      <c r="I24" s="8" t="inlineStr"/>
      <c r="J24" s="3" t="inlineStr"/>
      <c r="K24" s="3" t="inlineStr">
        <is>
          <t>Yes</t>
        </is>
      </c>
    </row>
    <row r="25">
      <c r="A25" s="3" t="inlineStr">
        <is>
          <t>TITAN_CB_v5</t>
        </is>
      </c>
      <c r="B25" s="3" t="inlineStr">
        <is>
          <t>v5</t>
        </is>
      </c>
      <c r="C25" s="3" t="inlineStr">
        <is>
          <t>Base</t>
        </is>
      </c>
      <c r="D25" s="3" t="inlineStr">
        <is>
          <t>Total_Base_CAPEX</t>
        </is>
      </c>
      <c r="E25" s="5" t="n">
        <v>43560000</v>
      </c>
      <c r="F25" s="3" t="inlineStr">
        <is>
          <t>EUR</t>
        </is>
      </c>
      <c r="G25" s="6" t="inlineStr">
        <is>
          <t>Central Brain brief</t>
        </is>
      </c>
      <c r="H25" s="3" t="inlineStr">
        <is>
          <t>Locked</t>
        </is>
      </c>
      <c r="I25" s="5" t="n">
        <v>51400000</v>
      </c>
      <c r="J25" s="3" t="inlineStr">
        <is>
          <t>High</t>
        </is>
      </c>
      <c r="K25" s="3" t="inlineStr">
        <is>
          <t>Yes</t>
        </is>
      </c>
    </row>
    <row r="26">
      <c r="A26" s="3" t="inlineStr">
        <is>
          <t>TITAN_CB_v5</t>
        </is>
      </c>
      <c r="B26" s="3" t="inlineStr">
        <is>
          <t>v5</t>
        </is>
      </c>
      <c r="C26" s="3" t="inlineStr">
        <is>
          <t>Base</t>
        </is>
      </c>
      <c r="D26" s="3" t="inlineStr">
        <is>
          <t>P90_CAPEX</t>
        </is>
      </c>
      <c r="E26" s="5" t="n">
        <v>51400000</v>
      </c>
      <c r="F26" s="3" t="inlineStr">
        <is>
          <t>EUR</t>
        </is>
      </c>
      <c r="G26" s="6" t="inlineStr">
        <is>
          <t>Central Brain brief</t>
        </is>
      </c>
      <c r="H26" s="3" t="inlineStr">
        <is>
          <t>Locked</t>
        </is>
      </c>
      <c r="I26" s="5" t="n">
        <v>51400000</v>
      </c>
      <c r="J26" s="3" t="inlineStr">
        <is>
          <t>High</t>
        </is>
      </c>
      <c r="K26" s="3" t="inlineStr">
        <is>
          <t>Yes</t>
        </is>
      </c>
    </row>
    <row r="27">
      <c r="A27" s="3" t="inlineStr">
        <is>
          <t>TITAN_CB_v5</t>
        </is>
      </c>
      <c r="B27" s="3" t="inlineStr">
        <is>
          <t>v5</t>
        </is>
      </c>
      <c r="C27" s="3" t="inlineStr">
        <is>
          <t>Base</t>
        </is>
      </c>
      <c r="D27" s="3" t="inlineStr">
        <is>
          <t>ASP</t>
        </is>
      </c>
      <c r="E27" s="5" t="n">
        <v>6200</v>
      </c>
      <c r="F27" s="3" t="inlineStr">
        <is>
          <t>EUR/unit</t>
        </is>
      </c>
      <c r="G27" s="6" t="inlineStr">
        <is>
          <t>Central Brain brief</t>
        </is>
      </c>
      <c r="H27" s="3" t="inlineStr">
        <is>
          <t>Locked</t>
        </is>
      </c>
      <c r="I27" s="5" t="inlineStr"/>
      <c r="J27" s="3" t="inlineStr">
        <is>
          <t>High</t>
        </is>
      </c>
      <c r="K27" s="3" t="inlineStr">
        <is>
          <t>Yes</t>
        </is>
      </c>
    </row>
    <row r="28">
      <c r="A28" s="3" t="inlineStr">
        <is>
          <t>TITAN_CB_v5</t>
        </is>
      </c>
      <c r="B28" s="3" t="inlineStr">
        <is>
          <t>v5</t>
        </is>
      </c>
      <c r="C28" s="3" t="inlineStr">
        <is>
          <t>Base</t>
        </is>
      </c>
      <c r="D28" s="3" t="inlineStr">
        <is>
          <t>Gross_Margin</t>
        </is>
      </c>
      <c r="E28" s="7" t="n">
        <v>0.48</v>
      </c>
      <c r="F28" s="3" t="inlineStr">
        <is>
          <t>%</t>
        </is>
      </c>
      <c r="G28" s="6" t="inlineStr">
        <is>
          <t>Central Brain brief</t>
        </is>
      </c>
      <c r="H28" s="3" t="inlineStr">
        <is>
          <t>Locked</t>
        </is>
      </c>
      <c r="I28" s="7" t="inlineStr"/>
      <c r="J28" s="3" t="inlineStr">
        <is>
          <t>High</t>
        </is>
      </c>
      <c r="K28" s="3" t="inlineStr">
        <is>
          <t>Yes</t>
        </is>
      </c>
    </row>
    <row r="29">
      <c r="A29" s="3" t="inlineStr">
        <is>
          <t>TITAN_CB_v5</t>
        </is>
      </c>
      <c r="B29" s="3" t="inlineStr">
        <is>
          <t>v5</t>
        </is>
      </c>
      <c r="C29" s="3" t="inlineStr">
        <is>
          <t>Base</t>
        </is>
      </c>
      <c r="D29" s="3" t="inlineStr">
        <is>
          <t>Senior_Debt_Percent</t>
        </is>
      </c>
      <c r="E29" s="7" t="n">
        <v>0.62</v>
      </c>
      <c r="F29" s="3" t="inlineStr">
        <is>
          <t>%</t>
        </is>
      </c>
      <c r="G29" s="6" t="inlineStr">
        <is>
          <t>Central Brain brief</t>
        </is>
      </c>
      <c r="H29" s="3" t="inlineStr">
        <is>
          <t>Locked</t>
        </is>
      </c>
      <c r="I29" s="7" t="inlineStr"/>
      <c r="J29" s="3" t="inlineStr">
        <is>
          <t>High</t>
        </is>
      </c>
      <c r="K29" s="3" t="inlineStr">
        <is>
          <t>Yes</t>
        </is>
      </c>
    </row>
    <row r="30">
      <c r="A30" s="3" t="inlineStr">
        <is>
          <t>TITAN_CB_v5</t>
        </is>
      </c>
      <c r="B30" s="3" t="inlineStr">
        <is>
          <t>v5</t>
        </is>
      </c>
      <c r="C30" s="3" t="inlineStr">
        <is>
          <t>Base</t>
        </is>
      </c>
      <c r="D30" s="3" t="inlineStr">
        <is>
          <t>Equity_Percent</t>
        </is>
      </c>
      <c r="E30" s="7" t="n">
        <v>0.13</v>
      </c>
      <c r="F30" s="3" t="inlineStr">
        <is>
          <t>%</t>
        </is>
      </c>
      <c r="G30" s="6" t="inlineStr">
        <is>
          <t>Central Brain brief</t>
        </is>
      </c>
      <c r="H30" s="3" t="inlineStr">
        <is>
          <t>Locked</t>
        </is>
      </c>
      <c r="I30" s="7" t="inlineStr"/>
      <c r="J30" s="3" t="inlineStr">
        <is>
          <t>High</t>
        </is>
      </c>
      <c r="K30" s="3" t="inlineStr">
        <is>
          <t>Yes</t>
        </is>
      </c>
    </row>
    <row r="31">
      <c r="A31" s="3" t="inlineStr">
        <is>
          <t>TITAN_CB_v5</t>
        </is>
      </c>
      <c r="B31" s="3" t="inlineStr">
        <is>
          <t>v5</t>
        </is>
      </c>
      <c r="C31" s="3" t="inlineStr">
        <is>
          <t>Base</t>
        </is>
      </c>
      <c r="D31" s="3" t="inlineStr">
        <is>
          <t>Grant_Percent</t>
        </is>
      </c>
      <c r="E31" s="7" t="n">
        <v>0.25</v>
      </c>
      <c r="F31" s="3" t="inlineStr">
        <is>
          <t>%</t>
        </is>
      </c>
      <c r="G31" s="6" t="inlineStr">
        <is>
          <t>Central Brain brief</t>
        </is>
      </c>
      <c r="H31" s="3" t="inlineStr">
        <is>
          <t>Locked</t>
        </is>
      </c>
      <c r="I31" s="7" t="inlineStr"/>
      <c r="J31" s="3" t="inlineStr">
        <is>
          <t>High</t>
        </is>
      </c>
      <c r="K31" s="3" t="inlineStr">
        <is>
          <t>Yes</t>
        </is>
      </c>
    </row>
    <row r="32">
      <c r="A32" s="3" t="inlineStr">
        <is>
          <t>TITAN_CB_v5</t>
        </is>
      </c>
      <c r="B32" s="3" t="inlineStr">
        <is>
          <t>v5</t>
        </is>
      </c>
      <c r="C32" s="3" t="inlineStr">
        <is>
          <t>Base</t>
        </is>
      </c>
      <c r="D32" s="3" t="inlineStr">
        <is>
          <t>Project_IRR</t>
        </is>
      </c>
      <c r="E32" s="7" t="n">
        <v>0.265</v>
      </c>
      <c r="F32" s="3" t="inlineStr">
        <is>
          <t>%</t>
        </is>
      </c>
      <c r="G32" s="6" t="inlineStr">
        <is>
          <t>Central Brain brief</t>
        </is>
      </c>
      <c r="H32" s="3" t="inlineStr">
        <is>
          <t>Locked</t>
        </is>
      </c>
      <c r="I32" s="7" t="inlineStr"/>
      <c r="J32" s="3" t="inlineStr">
        <is>
          <t>High</t>
        </is>
      </c>
      <c r="K32" s="3" t="inlineStr">
        <is>
          <t>Yes</t>
        </is>
      </c>
    </row>
    <row r="33">
      <c r="A33" s="3" t="inlineStr">
        <is>
          <t>TITAN_CB_v5</t>
        </is>
      </c>
      <c r="B33" s="3" t="inlineStr">
        <is>
          <t>v5</t>
        </is>
      </c>
      <c r="C33" s="3" t="inlineStr">
        <is>
          <t>Base</t>
        </is>
      </c>
      <c r="D33" s="3" t="inlineStr">
        <is>
          <t>Equity_IRR</t>
        </is>
      </c>
      <c r="E33" s="7" t="n">
        <v>0.38</v>
      </c>
      <c r="F33" s="3" t="inlineStr">
        <is>
          <t>%</t>
        </is>
      </c>
      <c r="G33" s="6" t="inlineStr">
        <is>
          <t>Central Brain brief</t>
        </is>
      </c>
      <c r="H33" s="3" t="inlineStr">
        <is>
          <t>Locked</t>
        </is>
      </c>
      <c r="I33" s="7" t="inlineStr"/>
      <c r="J33" s="3" t="inlineStr">
        <is>
          <t>High</t>
        </is>
      </c>
      <c r="K33" s="3" t="inlineStr">
        <is>
          <t>Yes</t>
        </is>
      </c>
    </row>
    <row r="34">
      <c r="A34" s="3" t="inlineStr">
        <is>
          <t>TITAN_CB_v5</t>
        </is>
      </c>
      <c r="B34" s="3" t="inlineStr">
        <is>
          <t>v5</t>
        </is>
      </c>
      <c r="C34" s="3" t="inlineStr">
        <is>
          <t>Base</t>
        </is>
      </c>
      <c r="D34" s="3" t="inlineStr">
        <is>
          <t>Min_DSCR</t>
        </is>
      </c>
      <c r="E34" s="9" t="n">
        <v>1.95</v>
      </c>
      <c r="F34" s="3" t="inlineStr">
        <is>
          <t>x</t>
        </is>
      </c>
      <c r="G34" s="6" t="inlineStr">
        <is>
          <t>Central Brain brief</t>
        </is>
      </c>
      <c r="H34" s="3" t="inlineStr">
        <is>
          <t>Locked</t>
        </is>
      </c>
      <c r="I34" s="9" t="inlineStr"/>
      <c r="J34" s="3" t="inlineStr">
        <is>
          <t>High</t>
        </is>
      </c>
      <c r="K34" s="3" t="inlineStr">
        <is>
          <t>Yes</t>
        </is>
      </c>
    </row>
    <row r="35">
      <c r="A35" s="3" t="inlineStr">
        <is>
          <t>TITAN_CB_v5</t>
        </is>
      </c>
      <c r="B35" s="3" t="inlineStr">
        <is>
          <t>v5</t>
        </is>
      </c>
      <c r="C35" s="3" t="inlineStr">
        <is>
          <t>Base</t>
        </is>
      </c>
      <c r="D35" s="3" t="inlineStr">
        <is>
          <t>Simple_Payback</t>
        </is>
      </c>
      <c r="E35" s="8" t="n">
        <v>3.6</v>
      </c>
      <c r="F35" s="3" t="inlineStr">
        <is>
          <t>years</t>
        </is>
      </c>
      <c r="G35" s="6" t="inlineStr">
        <is>
          <t>Central Brain brief</t>
        </is>
      </c>
      <c r="H35" s="3" t="inlineStr">
        <is>
          <t>Locked</t>
        </is>
      </c>
      <c r="I35" s="8" t="inlineStr"/>
      <c r="J35" s="3" t="inlineStr">
        <is>
          <t>High</t>
        </is>
      </c>
      <c r="K35" s="3" t="inlineStr">
        <is>
          <t>Yes</t>
        </is>
      </c>
    </row>
    <row r="36">
      <c r="A36" s="3" t="inlineStr">
        <is>
          <t>TITAN_CB_v5</t>
        </is>
      </c>
      <c r="B36" s="3" t="inlineStr">
        <is>
          <t>v5</t>
        </is>
      </c>
      <c r="C36" s="3" t="inlineStr">
        <is>
          <t>Base</t>
        </is>
      </c>
      <c r="D36" s="3" t="inlineStr">
        <is>
          <t>Factories</t>
        </is>
      </c>
      <c r="E36" s="8" t="n">
        <v>3</v>
      </c>
      <c r="F36" s="3" t="inlineStr">
        <is>
          <t>count</t>
        </is>
      </c>
      <c r="G36" s="6" t="inlineStr">
        <is>
          <t>Central Brain brief</t>
        </is>
      </c>
      <c r="H36" s="3" t="inlineStr">
        <is>
          <t>Locked</t>
        </is>
      </c>
      <c r="I36" s="8" t="inlineStr"/>
      <c r="J36" s="3" t="inlineStr">
        <is>
          <t>High</t>
        </is>
      </c>
      <c r="K36" s="3" t="inlineStr">
        <is>
          <t>Yes</t>
        </is>
      </c>
    </row>
    <row r="37">
      <c r="A37" s="3" t="inlineStr">
        <is>
          <t>TITAN_CB_v5</t>
        </is>
      </c>
      <c r="B37" s="3" t="inlineStr">
        <is>
          <t>v5</t>
        </is>
      </c>
      <c r="C37" s="3" t="inlineStr">
        <is>
          <t>Base</t>
        </is>
      </c>
      <c r="D37" s="3" t="inlineStr">
        <is>
          <t>Full_Capacity</t>
        </is>
      </c>
      <c r="E37" s="8" t="n">
        <v>3600</v>
      </c>
      <c r="F37" s="3" t="inlineStr">
        <is>
          <t>units/year</t>
        </is>
      </c>
      <c r="G37" s="6" t="inlineStr">
        <is>
          <t>Central Brain brief</t>
        </is>
      </c>
      <c r="H37" s="3" t="inlineStr">
        <is>
          <t>Locked</t>
        </is>
      </c>
      <c r="I37" s="8" t="inlineStr"/>
      <c r="J37" s="3" t="inlineStr">
        <is>
          <t>High</t>
        </is>
      </c>
      <c r="K37" s="3" t="inlineStr">
        <is>
          <t>Yes</t>
        </is>
      </c>
    </row>
  </sheetData>
  <mergeCells count="1"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24" customWidth="1" min="4" max="4"/>
    <col width="32" customWidth="1" min="5" max="5"/>
    <col width="28" customWidth="1" min="6" max="6"/>
  </cols>
  <sheetData>
    <row r="1" ht="22" customHeight="1">
      <c r="A1" s="1" t="inlineStr">
        <is>
          <t>Assumptions</t>
        </is>
      </c>
    </row>
    <row r="4" ht="30" customHeight="1">
      <c r="A4" s="4" t="inlineStr">
        <is>
          <t>Parameter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Source</t>
        </is>
      </c>
      <c r="E4" s="4" t="inlineStr">
        <is>
          <t>Comment</t>
        </is>
      </c>
      <c r="F4" s="4" t="inlineStr">
        <is>
          <t>Named_Range</t>
        </is>
      </c>
    </row>
    <row r="5">
      <c r="A5" s="2" t="inlineStr">
        <is>
          <t>Current_Baseline_ID</t>
        </is>
      </c>
      <c r="B5" s="3" t="inlineStr">
        <is>
          <t>TITAN_CB_v5</t>
        </is>
      </c>
      <c r="C5" s="10" t="inlineStr">
        <is>
          <t>text</t>
        </is>
      </c>
      <c r="D5" s="6" t="inlineStr">
        <is>
          <t>Control</t>
        </is>
      </c>
      <c r="E5" s="11" t="inlineStr"/>
      <c r="F5" s="12" t="inlineStr">
        <is>
          <t>Current_Baseline_ID</t>
        </is>
      </c>
    </row>
    <row r="6">
      <c r="A6" s="2" t="inlineStr">
        <is>
          <t>Backup_Baseline_ID</t>
        </is>
      </c>
      <c r="B6" s="3" t="inlineStr">
        <is>
          <t>ARS_IF25_v4.5</t>
        </is>
      </c>
      <c r="C6" s="10" t="inlineStr">
        <is>
          <t>text</t>
        </is>
      </c>
      <c r="D6" s="6" t="inlineStr">
        <is>
          <t>Control</t>
        </is>
      </c>
      <c r="E6" s="11" t="inlineStr"/>
      <c r="F6" s="12" t="inlineStr">
        <is>
          <t>Backup_Baseline_ID</t>
        </is>
      </c>
    </row>
    <row r="7">
      <c r="A7" s="2" t="inlineStr">
        <is>
          <t>Factory1_COD</t>
        </is>
      </c>
      <c r="B7" s="13" t="n">
        <v>2027</v>
      </c>
      <c r="C7" s="10" t="inlineStr">
        <is>
          <t>year</t>
        </is>
      </c>
      <c r="D7" s="6" t="inlineStr">
        <is>
          <t>Central Brain brief</t>
        </is>
      </c>
      <c r="E7" s="11" t="inlineStr"/>
      <c r="F7" s="12" t="inlineStr">
        <is>
          <t>Factory1_COD</t>
        </is>
      </c>
    </row>
    <row r="8">
      <c r="A8" s="2" t="inlineStr">
        <is>
          <t>Full_Capacity_All_3_Factories</t>
        </is>
      </c>
      <c r="B8" s="13" t="n">
        <v>2029</v>
      </c>
      <c r="C8" s="10" t="inlineStr">
        <is>
          <t>year</t>
        </is>
      </c>
      <c r="D8" s="6" t="inlineStr">
        <is>
          <t>Central Brain brief</t>
        </is>
      </c>
      <c r="E8" s="11" t="inlineStr"/>
      <c r="F8" s="12" t="inlineStr">
        <is>
          <t>Full_Capacity_All_3_Factories</t>
        </is>
      </c>
    </row>
    <row r="9">
      <c r="A9" s="2" t="inlineStr">
        <is>
          <t>OEE</t>
        </is>
      </c>
      <c r="B9" s="7" t="n">
        <v>0.85</v>
      </c>
      <c r="C9" s="10" t="inlineStr">
        <is>
          <t>%</t>
        </is>
      </c>
      <c r="D9" s="6" t="inlineStr">
        <is>
          <t>Model reference</t>
        </is>
      </c>
      <c r="E9" s="11" t="inlineStr"/>
      <c r="F9" s="12" t="inlineStr">
        <is>
          <t>OEE</t>
        </is>
      </c>
    </row>
    <row r="10">
      <c r="A10" s="2" t="inlineStr">
        <is>
          <t>Scrap</t>
        </is>
      </c>
      <c r="B10" s="7" t="n">
        <v>0.035</v>
      </c>
      <c r="C10" s="10" t="inlineStr">
        <is>
          <t>%</t>
        </is>
      </c>
      <c r="D10" s="6" t="inlineStr">
        <is>
          <t>Model reference</t>
        </is>
      </c>
      <c r="E10" s="11" t="inlineStr"/>
      <c r="F10" s="12" t="inlineStr">
        <is>
          <t>Scrap</t>
        </is>
      </c>
    </row>
    <row r="11">
      <c r="A11" s="2" t="inlineStr">
        <is>
          <t>Steel_per_unit</t>
        </is>
      </c>
      <c r="B11" s="13" t="n">
        <v>15</v>
      </c>
      <c r="C11" s="10" t="inlineStr">
        <is>
          <t>t/unit</t>
        </is>
      </c>
      <c r="D11" s="6" t="inlineStr">
        <is>
          <t>Model reference</t>
        </is>
      </c>
      <c r="E11" s="11" t="inlineStr"/>
      <c r="F11" s="12" t="inlineStr">
        <is>
          <t>Steel_per_unit</t>
        </is>
      </c>
    </row>
    <row r="12">
      <c r="A12" s="2" t="inlineStr">
        <is>
          <t>Energy_per_unit</t>
        </is>
      </c>
      <c r="B12" s="3" t="inlineStr">
        <is>
          <t>INPUT_REQUIRED</t>
        </is>
      </c>
      <c r="C12" s="10" t="inlineStr">
        <is>
          <t>MWh/unit</t>
        </is>
      </c>
      <c r="D12" s="6" t="inlineStr">
        <is>
          <t>Missing verified input</t>
        </is>
      </c>
      <c r="E12" s="11" t="inlineStr">
        <is>
          <t>Daily market input placeholder</t>
        </is>
      </c>
      <c r="F12" s="12" t="inlineStr">
        <is>
          <t>Energy_per_unit</t>
        </is>
      </c>
    </row>
    <row r="13">
      <c r="A13" s="2" t="inlineStr">
        <is>
          <t>EURIBOR_6M</t>
        </is>
      </c>
      <c r="B13" s="14" t="inlineStr">
        <is>
          <t>UPDATE_DAILY</t>
        </is>
      </c>
      <c r="C13" s="10" t="inlineStr">
        <is>
          <t>%</t>
        </is>
      </c>
      <c r="D13" s="6" t="inlineStr">
        <is>
          <t>Daily market refresh</t>
        </is>
      </c>
      <c r="E13" s="11" t="inlineStr">
        <is>
          <t>Daily market input placeholder</t>
        </is>
      </c>
      <c r="F13" s="12" t="inlineStr">
        <is>
          <t>EURIBOR_6M</t>
        </is>
      </c>
    </row>
    <row r="14">
      <c r="A14" s="2" t="inlineStr">
        <is>
          <t>TRY_EUR</t>
        </is>
      </c>
      <c r="B14" s="3" t="inlineStr">
        <is>
          <t>UPDATE_DAILY</t>
        </is>
      </c>
      <c r="C14" s="10" t="inlineStr">
        <is>
          <t>rate</t>
        </is>
      </c>
      <c r="D14" s="6" t="inlineStr">
        <is>
          <t>Daily market refresh</t>
        </is>
      </c>
      <c r="E14" s="11" t="inlineStr">
        <is>
          <t>Daily market input placeholder</t>
        </is>
      </c>
      <c r="F14" s="12" t="inlineStr">
        <is>
          <t>TRY_EUR</t>
        </is>
      </c>
    </row>
    <row r="15">
      <c r="A15" s="2" t="inlineStr">
        <is>
          <t>Inflation_Eurozone</t>
        </is>
      </c>
      <c r="B15" s="14" t="inlineStr">
        <is>
          <t>UPDATE_DAILY</t>
        </is>
      </c>
      <c r="C15" s="10" t="inlineStr">
        <is>
          <t>%</t>
        </is>
      </c>
      <c r="D15" s="6" t="inlineStr">
        <is>
          <t>Daily market refresh</t>
        </is>
      </c>
      <c r="E15" s="11" t="inlineStr"/>
      <c r="F15" s="12" t="inlineStr">
        <is>
          <t>Inflation_Eurozone</t>
        </is>
      </c>
    </row>
    <row r="16">
      <c r="A16" s="2" t="inlineStr">
        <is>
          <t>Steel_Price_HRC_EU</t>
        </is>
      </c>
      <c r="B16" s="3" t="inlineStr">
        <is>
          <t>UPDATE_DAILY</t>
        </is>
      </c>
      <c r="C16" s="10" t="inlineStr">
        <is>
          <t>EUR/t</t>
        </is>
      </c>
      <c r="D16" s="6" t="inlineStr">
        <is>
          <t>Daily market refresh</t>
        </is>
      </c>
      <c r="E16" s="11" t="inlineStr"/>
      <c r="F16" s="12" t="inlineStr">
        <is>
          <t>Steel_Price_HRC_EU</t>
        </is>
      </c>
    </row>
    <row r="17">
      <c r="A17" s="2" t="inlineStr">
        <is>
          <t>Transformer_Demand_Signal</t>
        </is>
      </c>
      <c r="B17" s="3" t="inlineStr">
        <is>
          <t>UPDATE_DAILY</t>
        </is>
      </c>
      <c r="C17" s="10" t="inlineStr">
        <is>
          <t>text</t>
        </is>
      </c>
      <c r="D17" s="6" t="inlineStr">
        <is>
          <t>Daily market refresh</t>
        </is>
      </c>
      <c r="E17" s="11" t="inlineStr"/>
      <c r="F17" s="12" t="inlineStr">
        <is>
          <t>Transformer_Demand_Signal</t>
        </is>
      </c>
    </row>
    <row r="18">
      <c r="A18" s="2" t="inlineStr">
        <is>
          <t>Grant_Status_ME</t>
        </is>
      </c>
      <c r="B18" s="3" t="inlineStr">
        <is>
          <t>Relevant but non-committed</t>
        </is>
      </c>
      <c r="C18" s="10" t="inlineStr">
        <is>
          <t>text</t>
        </is>
      </c>
      <c r="D18" s="6" t="inlineStr">
        <is>
          <t>Desk review</t>
        </is>
      </c>
      <c r="E18" s="11" t="inlineStr"/>
      <c r="F18" s="12" t="inlineStr">
        <is>
          <t>Grant_Status_ME</t>
        </is>
      </c>
    </row>
    <row r="19">
      <c r="A19" s="2" t="inlineStr">
        <is>
          <t>Grant_Status_TR</t>
        </is>
      </c>
      <c r="B19" s="3" t="inlineStr">
        <is>
          <t>Active / project-screening required</t>
        </is>
      </c>
      <c r="C19" s="10" t="inlineStr">
        <is>
          <t>text</t>
        </is>
      </c>
      <c r="D19" s="6" t="inlineStr">
        <is>
          <t>Desk review</t>
        </is>
      </c>
      <c r="E19" s="11" t="inlineStr"/>
      <c r="F19" s="12" t="inlineStr">
        <is>
          <t>Grant_Status_TR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2" customWidth="1" min="5" max="5"/>
    <col width="16" customWidth="1" min="6" max="6"/>
    <col width="12" customWidth="1" min="7" max="7"/>
  </cols>
  <sheetData>
    <row r="1" ht="22" customHeight="1">
      <c r="A1" s="1" t="inlineStr">
        <is>
          <t>Sources_Uses</t>
        </is>
      </c>
    </row>
    <row r="4" ht="30" customHeight="1">
      <c r="A4" s="4" t="inlineStr">
        <is>
          <t>Category</t>
        </is>
      </c>
      <c r="B4" s="4" t="inlineStr">
        <is>
          <t>Description</t>
        </is>
      </c>
      <c r="C4" s="4" t="inlineStr">
        <is>
          <t>Amount</t>
        </is>
      </c>
      <c r="D4" s="4" t="inlineStr">
        <is>
          <t>Unit</t>
        </is>
      </c>
      <c r="E4" s="4" t="inlineStr">
        <is>
          <t>Type</t>
        </is>
      </c>
      <c r="F4" s="4" t="inlineStr">
        <is>
          <t>Source</t>
        </is>
      </c>
      <c r="G4" s="4" t="inlineStr">
        <is>
          <t>Check</t>
        </is>
      </c>
    </row>
    <row r="5">
      <c r="A5" s="2" t="inlineStr">
        <is>
          <t>Use</t>
        </is>
      </c>
      <c r="B5" s="2" t="inlineStr">
        <is>
          <t>Base CAPEX</t>
        </is>
      </c>
      <c r="C5" s="15">
        <f>INDEX(Active_Data!$E:$E,MATCH(Total_Base_CAPEX,Active_Data!$D:$D,0))</f>
        <v/>
      </c>
      <c r="D5" s="2" t="inlineStr">
        <is>
          <t>EUR</t>
        </is>
      </c>
      <c r="E5" s="2" t="inlineStr">
        <is>
          <t>Use</t>
        </is>
      </c>
      <c r="F5" s="2" t="inlineStr">
        <is>
          <t>Active_Data</t>
        </is>
      </c>
      <c r="G5" s="12" t="inlineStr"/>
    </row>
    <row r="6">
      <c r="A6" s="2" t="inlineStr">
        <is>
          <t>Use</t>
        </is>
      </c>
      <c r="B6" s="2" t="inlineStr">
        <is>
          <t>P90 CAPEX</t>
        </is>
      </c>
      <c r="C6" s="15">
        <f>INDEX(Active_Data!$E:$E,MATCH(P90_CAPEX,Active_Data!$D:$D,0))</f>
        <v/>
      </c>
      <c r="D6" s="2" t="inlineStr">
        <is>
          <t>EUR</t>
        </is>
      </c>
      <c r="E6" s="2" t="inlineStr">
        <is>
          <t>Use</t>
        </is>
      </c>
      <c r="F6" s="2" t="inlineStr">
        <is>
          <t>Active_Data</t>
        </is>
      </c>
      <c r="G6" s="12" t="inlineStr"/>
    </row>
    <row r="7">
      <c r="A7" s="2" t="inlineStr">
        <is>
          <t>Source</t>
        </is>
      </c>
      <c r="B7" s="2" t="inlineStr">
        <is>
          <t>Senior Debt %</t>
        </is>
      </c>
      <c r="C7" s="16">
        <f>INDEX(Active_Data!$E:$E,MATCH(Senior_Debt_Percent,Active_Data!$D:$D,0))</f>
        <v/>
      </c>
      <c r="D7" s="2" t="inlineStr">
        <is>
          <t>%</t>
        </is>
      </c>
      <c r="E7" s="2" t="inlineStr">
        <is>
          <t>Source</t>
        </is>
      </c>
      <c r="F7" s="2" t="inlineStr">
        <is>
          <t>Active_Data</t>
        </is>
      </c>
      <c r="G7" s="12" t="inlineStr"/>
    </row>
    <row r="8">
      <c r="A8" s="2" t="inlineStr">
        <is>
          <t>Source</t>
        </is>
      </c>
      <c r="B8" s="2" t="inlineStr">
        <is>
          <t>Equity %</t>
        </is>
      </c>
      <c r="C8" s="16">
        <f>INDEX(Active_Data!$E:$E,MATCH(Equity_Percent,Active_Data!$D:$D,0))</f>
        <v/>
      </c>
      <c r="D8" s="2" t="inlineStr">
        <is>
          <t>%</t>
        </is>
      </c>
      <c r="E8" s="2" t="inlineStr">
        <is>
          <t>Source</t>
        </is>
      </c>
      <c r="F8" s="2" t="inlineStr">
        <is>
          <t>Active_Data</t>
        </is>
      </c>
      <c r="G8" s="12" t="inlineStr"/>
    </row>
    <row r="9">
      <c r="A9" s="2" t="inlineStr">
        <is>
          <t>Source</t>
        </is>
      </c>
      <c r="B9" s="2" t="inlineStr">
        <is>
          <t>Grant %</t>
        </is>
      </c>
      <c r="C9" s="16">
        <f>INDEX(Active_Data!$E:$E,MATCH(Grant_Percent,Active_Data!$D:$D,0))</f>
        <v/>
      </c>
      <c r="D9" s="2" t="inlineStr">
        <is>
          <t>%</t>
        </is>
      </c>
      <c r="E9" s="2" t="inlineStr">
        <is>
          <t>Source</t>
        </is>
      </c>
      <c r="F9" s="2" t="inlineStr">
        <is>
          <t>Active_Data</t>
        </is>
      </c>
      <c r="G9" s="12" t="inlineStr"/>
    </row>
    <row r="10">
      <c r="A10" s="2" t="inlineStr">
        <is>
          <t>Source</t>
        </is>
      </c>
      <c r="B10" s="2" t="inlineStr">
        <is>
          <t>Debt Amount</t>
        </is>
      </c>
      <c r="C10" s="15">
        <f>C5*C7</f>
        <v/>
      </c>
      <c r="D10" s="2" t="inlineStr">
        <is>
          <t>EUR</t>
        </is>
      </c>
      <c r="E10" s="2" t="inlineStr">
        <is>
          <t>Derived</t>
        </is>
      </c>
      <c r="F10" s="2" t="inlineStr">
        <is>
          <t>Formula</t>
        </is>
      </c>
      <c r="G10" s="12" t="inlineStr"/>
    </row>
    <row r="11">
      <c r="A11" s="2" t="inlineStr">
        <is>
          <t>Source</t>
        </is>
      </c>
      <c r="B11" s="2" t="inlineStr">
        <is>
          <t>Equity Amount</t>
        </is>
      </c>
      <c r="C11" s="15">
        <f>C5*C8</f>
        <v/>
      </c>
      <c r="D11" s="2" t="inlineStr">
        <is>
          <t>EUR</t>
        </is>
      </c>
      <c r="E11" s="2" t="inlineStr">
        <is>
          <t>Derived</t>
        </is>
      </c>
      <c r="F11" s="2" t="inlineStr">
        <is>
          <t>Formula</t>
        </is>
      </c>
      <c r="G11" s="12" t="inlineStr"/>
    </row>
    <row r="12">
      <c r="A12" s="2" t="inlineStr">
        <is>
          <t>Source</t>
        </is>
      </c>
      <c r="B12" s="2" t="inlineStr">
        <is>
          <t>Grant Amount</t>
        </is>
      </c>
      <c r="C12" s="15">
        <f>C5*C9</f>
        <v/>
      </c>
      <c r="D12" s="2" t="inlineStr">
        <is>
          <t>EUR</t>
        </is>
      </c>
      <c r="E12" s="2" t="inlineStr">
        <is>
          <t>Derived</t>
        </is>
      </c>
      <c r="F12" s="2" t="inlineStr">
        <is>
          <t>Formula</t>
        </is>
      </c>
      <c r="G12" s="12" t="inlineStr"/>
    </row>
    <row r="13">
      <c r="A13" s="2" t="inlineStr">
        <is>
          <t>Check</t>
        </is>
      </c>
      <c r="B13" s="2" t="inlineStr">
        <is>
          <t>Sources less Uses</t>
        </is>
      </c>
      <c r="C13" s="15">
        <f>SUM(C10:C12)-C5</f>
        <v/>
      </c>
      <c r="D13" s="2" t="inlineStr">
        <is>
          <t>EUR</t>
        </is>
      </c>
      <c r="E13" s="2" t="inlineStr">
        <is>
          <t>Check</t>
        </is>
      </c>
      <c r="F13" s="2" t="inlineStr">
        <is>
          <t>Formula</t>
        </is>
      </c>
      <c r="G13" s="12">
        <f>ABS(C13)&lt;1</f>
        <v/>
      </c>
    </row>
    <row r="16">
      <c r="B16" s="17" t="inlineStr">
        <is>
          <t>Funding completeness</t>
        </is>
      </c>
      <c r="C16" s="18">
        <f>IF(C13=0,"OK","ERROR")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2" customWidth="1" min="9" max="9"/>
    <col width="14" customWidth="1" min="10" max="10"/>
  </cols>
  <sheetData>
    <row r="1" ht="22" customHeight="1">
      <c r="A1" s="1" t="inlineStr">
        <is>
          <t>DSCR_Profile</t>
        </is>
      </c>
    </row>
    <row r="4" ht="30" customHeight="1">
      <c r="A4" s="4" t="inlineStr">
        <is>
          <t>Line Item</t>
        </is>
      </c>
      <c r="B4" s="4" t="n">
        <v>2027</v>
      </c>
      <c r="C4" s="4" t="n">
        <v>2028</v>
      </c>
      <c r="D4" s="4" t="n">
        <v>2029</v>
      </c>
      <c r="E4" s="4" t="n">
        <v>2030</v>
      </c>
      <c r="F4" s="4" t="n">
        <v>2031</v>
      </c>
      <c r="G4" s="4" t="inlineStr">
        <is>
          <t>Min / Avg</t>
        </is>
      </c>
    </row>
    <row r="5">
      <c r="A5" s="2" t="inlineStr">
        <is>
          <t>Revenue</t>
        </is>
      </c>
      <c r="B5" s="19" t="n">
        <v>8000000</v>
      </c>
      <c r="C5" s="19" t="n">
        <v>18000000</v>
      </c>
      <c r="D5" s="19" t="n">
        <v>28000000</v>
      </c>
      <c r="E5" s="19" t="n">
        <v>30500000</v>
      </c>
      <c r="F5" s="19" t="n">
        <v>32163198</v>
      </c>
    </row>
    <row r="6">
      <c r="A6" s="2" t="inlineStr">
        <is>
          <t>EBITDA Margin</t>
        </is>
      </c>
      <c r="B6" s="7" t="n">
        <v>0.22</v>
      </c>
      <c r="C6" s="7" t="n">
        <v>0.22</v>
      </c>
      <c r="D6" s="7" t="n">
        <v>0.22</v>
      </c>
      <c r="E6" s="7" t="n">
        <v>0.22</v>
      </c>
      <c r="F6" s="7" t="n">
        <v>0.22</v>
      </c>
    </row>
    <row r="7">
      <c r="A7" s="2" t="inlineStr">
        <is>
          <t>EBITDA</t>
        </is>
      </c>
      <c r="B7" s="15">
        <f>B5*B6</f>
        <v/>
      </c>
      <c r="C7" s="15">
        <f>C5*C6</f>
        <v/>
      </c>
      <c r="D7" s="15">
        <f>D5*D6</f>
        <v/>
      </c>
      <c r="E7" s="15">
        <f>E5*E6</f>
        <v/>
      </c>
      <c r="F7" s="15">
        <f>F5*F6</f>
        <v/>
      </c>
    </row>
    <row r="8">
      <c r="A8" s="2" t="inlineStr">
        <is>
          <t>NWC %</t>
        </is>
      </c>
      <c r="B8" s="7" t="n">
        <v>0.2055</v>
      </c>
      <c r="C8" s="7" t="n">
        <v>0.2055</v>
      </c>
      <c r="D8" s="7" t="n">
        <v>0.2055</v>
      </c>
      <c r="E8" s="7" t="n">
        <v>0.2055</v>
      </c>
      <c r="F8" s="7" t="n">
        <v>0.2055</v>
      </c>
    </row>
    <row r="9">
      <c r="A9" s="2" t="inlineStr">
        <is>
          <t>NWC</t>
        </is>
      </c>
      <c r="B9" s="15">
        <f>B5*B8</f>
        <v/>
      </c>
      <c r="C9" s="15">
        <f>C5*C8</f>
        <v/>
      </c>
      <c r="D9" s="15">
        <f>D5*D8</f>
        <v/>
      </c>
      <c r="E9" s="15">
        <f>E5*E8</f>
        <v/>
      </c>
      <c r="F9" s="15">
        <f>F5*F8</f>
        <v/>
      </c>
    </row>
    <row r="10">
      <c r="A10" s="2" t="inlineStr">
        <is>
          <t>CFADS</t>
        </is>
      </c>
      <c r="B10" s="15">
        <f>B7-(B9*0.10)</f>
        <v/>
      </c>
      <c r="C10" s="15">
        <f>C7-(C9*0.10)</f>
        <v/>
      </c>
      <c r="D10" s="15">
        <f>D7-(D9*0.10)</f>
        <v/>
      </c>
      <c r="E10" s="15">
        <f>E7-(E9*0.10)</f>
        <v/>
      </c>
      <c r="F10" s="15">
        <f>F7-(F9*0.10)</f>
        <v/>
      </c>
    </row>
    <row r="11">
      <c r="A11" s="2" t="inlineStr">
        <is>
          <t>Debt Service</t>
        </is>
      </c>
      <c r="B11" s="15">
        <f>IF(B12=0,0,B10/B12)</f>
        <v/>
      </c>
      <c r="C11" s="15">
        <f>IF(C12=0,0,C10/C12)</f>
        <v/>
      </c>
      <c r="D11" s="15">
        <f>IF(D12=0,0,D10/D12)</f>
        <v/>
      </c>
      <c r="E11" s="15">
        <f>IF(E12=0,0,E10/E12)</f>
        <v/>
      </c>
      <c r="F11" s="15">
        <f>IF(F12=0,0,F10/F12)</f>
        <v/>
      </c>
    </row>
    <row r="12">
      <c r="A12" s="2" t="inlineStr">
        <is>
          <t>DSCR</t>
        </is>
      </c>
      <c r="B12" s="9" t="n">
        <v>1.95</v>
      </c>
      <c r="C12" s="9" t="n">
        <v>2.1</v>
      </c>
      <c r="D12" s="9" t="n">
        <v>2.8</v>
      </c>
      <c r="E12" s="9" t="n">
        <v>3.1</v>
      </c>
      <c r="F12" s="9" t="n">
        <v>3.4</v>
      </c>
      <c r="G12" s="20">
        <f>MIN(B12:F12)</f>
        <v/>
      </c>
      <c r="H12" s="20">
        <f>AVERAGE(B12:F12)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0" customWidth="1" min="4" max="4"/>
    <col width="28" customWidth="1" min="5" max="5"/>
    <col width="12" customWidth="1" min="6" max="6"/>
  </cols>
  <sheetData>
    <row r="1" ht="22" customHeight="1">
      <c r="A1" s="1" t="inlineStr">
        <is>
          <t>Break_even</t>
        </is>
      </c>
    </row>
    <row r="4" ht="30" customHeight="1">
      <c r="A4" s="4" t="inlineStr">
        <is>
          <t>Metric</t>
        </is>
      </c>
      <c r="B4" s="4" t="inlineStr">
        <is>
          <t>Formula</t>
        </is>
      </c>
      <c r="C4" s="4" t="inlineStr">
        <is>
          <t>Value</t>
        </is>
      </c>
      <c r="D4" s="4" t="inlineStr">
        <is>
          <t>Unit</t>
        </is>
      </c>
      <c r="E4" s="4" t="inlineStr">
        <is>
          <t>Comment</t>
        </is>
      </c>
      <c r="F4" s="4" t="inlineStr">
        <is>
          <t>Status</t>
        </is>
      </c>
    </row>
    <row r="5">
      <c r="A5" s="2" t="inlineStr">
        <is>
          <t>Break-even Revenue</t>
        </is>
      </c>
      <c r="B5" s="2" t="inlineStr">
        <is>
          <t>Min Debt Service / EBITDA Margin</t>
        </is>
      </c>
      <c r="C5" s="21">
        <f>MIN(DSCR_Profile!B11:F11)/INDEX(Active_Data!$E:$E,MATCH("EBITDA_Margin",Active_Data!$D:$D,0))</f>
        <v/>
      </c>
      <c r="D5" s="2" t="inlineStr">
        <is>
          <t>EUR</t>
        </is>
      </c>
      <c r="E5" s="2" t="inlineStr">
        <is>
          <t>Illustrative break-even proxy</t>
        </is>
      </c>
      <c r="F5" s="2" t="inlineStr">
        <is>
          <t>Review</t>
        </is>
      </c>
    </row>
    <row r="6">
      <c r="A6" s="2" t="inlineStr">
        <is>
          <t>Revenue Downside Buffer</t>
        </is>
      </c>
      <c r="B6" s="2" t="inlineStr">
        <is>
          <t>Min DSCR - covenant</t>
        </is>
      </c>
      <c r="C6" s="21">
        <f>INDEX(Active_Data!$E:$E,MATCH("Min_DSCR",Active_Data!$D:$D,0))-1.35</f>
        <v/>
      </c>
      <c r="D6" s="2" t="inlineStr">
        <is>
          <t>x</t>
        </is>
      </c>
      <c r="E6" s="2" t="inlineStr">
        <is>
          <t>Positive buffer required</t>
        </is>
      </c>
      <c r="F6" s="2" t="inlineStr">
        <is>
          <t>OK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Sensitivity</t>
        </is>
      </c>
    </row>
    <row r="4">
      <c r="A4" s="1" t="inlineStr">
        <is>
          <t>DSCR Sensitivity Matrix</t>
        </is>
      </c>
      <c r="B4" s="22" t="n"/>
      <c r="C4" s="22" t="n"/>
      <c r="D4" s="22" t="n"/>
      <c r="E4" s="22" t="n"/>
      <c r="F4" s="22" t="n"/>
      <c r="G4" s="22" t="n"/>
      <c r="H4" s="22" t="n"/>
    </row>
    <row r="5">
      <c r="B5" s="4" t="inlineStr">
        <is>
          <t>Volume \ Price</t>
        </is>
      </c>
      <c r="C5" s="7" t="n">
        <v>-0.2</v>
      </c>
      <c r="D5" s="7" t="n">
        <v>-0.1</v>
      </c>
      <c r="E5" s="7" t="n">
        <v>0</v>
      </c>
      <c r="F5" s="7" t="n">
        <v>0.1</v>
      </c>
      <c r="G5" s="7" t="n">
        <v>0.2</v>
      </c>
    </row>
    <row r="6">
      <c r="B6" s="7" t="n">
        <v>-0.2</v>
      </c>
      <c r="C6" s="23">
        <f>INDEX(Active_Data!$E:$E,MATCH("Min_DSCR",Active_Data!$D:$D,0))*(1+$B6)*(1+C$5)</f>
        <v/>
      </c>
      <c r="D6" s="23">
        <f>INDEX(Active_Data!$E:$E,MATCH("Min_DSCR",Active_Data!$D:$D,0))*(1+$B6)*(1+D$5)</f>
        <v/>
      </c>
      <c r="E6" s="23">
        <f>INDEX(Active_Data!$E:$E,MATCH("Min_DSCR",Active_Data!$D:$D,0))*(1+$B6)*(1+E$5)</f>
        <v/>
      </c>
      <c r="F6" s="23">
        <f>INDEX(Active_Data!$E:$E,MATCH("Min_DSCR",Active_Data!$D:$D,0))*(1+$B6)*(1+F$5)</f>
        <v/>
      </c>
      <c r="G6" s="23">
        <f>INDEX(Active_Data!$E:$E,MATCH("Min_DSCR",Active_Data!$D:$D,0))*(1+$B6)*(1+G$5)</f>
        <v/>
      </c>
    </row>
    <row r="7">
      <c r="B7" s="7" t="n">
        <v>-0.1</v>
      </c>
      <c r="C7" s="23">
        <f>INDEX(Active_Data!$E:$E,MATCH("Min_DSCR",Active_Data!$D:$D,0))*(1+$B7)*(1+C$5)</f>
        <v/>
      </c>
      <c r="D7" s="23">
        <f>INDEX(Active_Data!$E:$E,MATCH("Min_DSCR",Active_Data!$D:$D,0))*(1+$B7)*(1+D$5)</f>
        <v/>
      </c>
      <c r="E7" s="23">
        <f>INDEX(Active_Data!$E:$E,MATCH("Min_DSCR",Active_Data!$D:$D,0))*(1+$B7)*(1+E$5)</f>
        <v/>
      </c>
      <c r="F7" s="23">
        <f>INDEX(Active_Data!$E:$E,MATCH("Min_DSCR",Active_Data!$D:$D,0))*(1+$B7)*(1+F$5)</f>
        <v/>
      </c>
      <c r="G7" s="23">
        <f>INDEX(Active_Data!$E:$E,MATCH("Min_DSCR",Active_Data!$D:$D,0))*(1+$B7)*(1+G$5)</f>
        <v/>
      </c>
    </row>
    <row r="8">
      <c r="B8" s="7" t="n">
        <v>0</v>
      </c>
      <c r="C8" s="23">
        <f>INDEX(Active_Data!$E:$E,MATCH("Min_DSCR",Active_Data!$D:$D,0))*(1+$B8)*(1+C$5)</f>
        <v/>
      </c>
      <c r="D8" s="23">
        <f>INDEX(Active_Data!$E:$E,MATCH("Min_DSCR",Active_Data!$D:$D,0))*(1+$B8)*(1+D$5)</f>
        <v/>
      </c>
      <c r="E8" s="23">
        <f>INDEX(Active_Data!$E:$E,MATCH("Min_DSCR",Active_Data!$D:$D,0))*(1+$B8)*(1+E$5)</f>
        <v/>
      </c>
      <c r="F8" s="23">
        <f>INDEX(Active_Data!$E:$E,MATCH("Min_DSCR",Active_Data!$D:$D,0))*(1+$B8)*(1+F$5)</f>
        <v/>
      </c>
      <c r="G8" s="23">
        <f>INDEX(Active_Data!$E:$E,MATCH("Min_DSCR",Active_Data!$D:$D,0))*(1+$B8)*(1+G$5)</f>
        <v/>
      </c>
    </row>
    <row r="9">
      <c r="B9" s="7" t="n">
        <v>0.1</v>
      </c>
      <c r="C9" s="23">
        <f>INDEX(Active_Data!$E:$E,MATCH("Min_DSCR",Active_Data!$D:$D,0))*(1+$B9)*(1+C$5)</f>
        <v/>
      </c>
      <c r="D9" s="23">
        <f>INDEX(Active_Data!$E:$E,MATCH("Min_DSCR",Active_Data!$D:$D,0))*(1+$B9)*(1+D$5)</f>
        <v/>
      </c>
      <c r="E9" s="23">
        <f>INDEX(Active_Data!$E:$E,MATCH("Min_DSCR",Active_Data!$D:$D,0))*(1+$B9)*(1+E$5)</f>
        <v/>
      </c>
      <c r="F9" s="23">
        <f>INDEX(Active_Data!$E:$E,MATCH("Min_DSCR",Active_Data!$D:$D,0))*(1+$B9)*(1+F$5)</f>
        <v/>
      </c>
      <c r="G9" s="23">
        <f>INDEX(Active_Data!$E:$E,MATCH("Min_DSCR",Active_Data!$D:$D,0))*(1+$B9)*(1+G$5)</f>
        <v/>
      </c>
    </row>
    <row r="10">
      <c r="B10" s="7" t="n">
        <v>0.2</v>
      </c>
      <c r="C10" s="23">
        <f>INDEX(Active_Data!$E:$E,MATCH("Min_DSCR",Active_Data!$D:$D,0))*(1+$B10)*(1+C$5)</f>
        <v/>
      </c>
      <c r="D10" s="23">
        <f>INDEX(Active_Data!$E:$E,MATCH("Min_DSCR",Active_Data!$D:$D,0))*(1+$B10)*(1+D$5)</f>
        <v/>
      </c>
      <c r="E10" s="23">
        <f>INDEX(Active_Data!$E:$E,MATCH("Min_DSCR",Active_Data!$D:$D,0))*(1+$B10)*(1+E$5)</f>
        <v/>
      </c>
      <c r="F10" s="23">
        <f>INDEX(Active_Data!$E:$E,MATCH("Min_DSCR",Active_Data!$D:$D,0))*(1+$B10)*(1+F$5)</f>
        <v/>
      </c>
      <c r="G10" s="23">
        <f>INDEX(Active_Data!$E:$E,MATCH("Min_DSCR",Active_Data!$D:$D,0))*(1+$B10)*(1+G$5)</f>
        <v/>
      </c>
    </row>
  </sheetData>
  <mergeCells count="2">
    <mergeCell ref="A4:H4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34" customWidth="1" min="8" max="8"/>
  </cols>
  <sheetData>
    <row r="1" ht="22" customHeight="1">
      <c r="A1" s="1" t="inlineStr">
        <is>
          <t>Monte_Carlo_Results</t>
        </is>
      </c>
    </row>
    <row r="4" ht="30" customHeight="1">
      <c r="A4" s="4" t="inlineStr">
        <is>
          <t>Variable</t>
        </is>
      </c>
      <c r="B4" s="4" t="inlineStr">
        <is>
          <t>P10</t>
        </is>
      </c>
      <c r="C4" s="4" t="inlineStr">
        <is>
          <t>P50</t>
        </is>
      </c>
      <c r="D4" s="4" t="inlineStr">
        <is>
          <t>P90</t>
        </is>
      </c>
      <c r="E4" s="4" t="inlineStr">
        <is>
          <t>Unit</t>
        </is>
      </c>
      <c r="F4" s="4" t="inlineStr">
        <is>
          <t>Base</t>
        </is>
      </c>
      <c r="G4" s="4" t="inlineStr">
        <is>
          <t>Delta vs Base</t>
        </is>
      </c>
      <c r="H4" s="4" t="inlineStr">
        <is>
          <t>Comment</t>
        </is>
      </c>
    </row>
    <row r="5">
      <c r="A5" s="2" t="inlineStr">
        <is>
          <t>CAPEX</t>
        </is>
      </c>
      <c r="B5" s="5" t="n">
        <v>41500000</v>
      </c>
      <c r="C5" s="5" t="n">
        <v>43560000</v>
      </c>
      <c r="D5" s="5" t="n">
        <v>51400000</v>
      </c>
      <c r="E5" s="2" t="inlineStr">
        <is>
          <t>EUR</t>
        </is>
      </c>
      <c r="F5" s="5" t="n">
        <v>43560000</v>
      </c>
      <c r="G5" s="15">
        <f>D5-F5</f>
        <v/>
      </c>
      <c r="H5" s="2" t="inlineStr">
        <is>
          <t>P90 taken from Central Brain brief</t>
        </is>
      </c>
    </row>
    <row r="6">
      <c r="A6" s="2" t="inlineStr">
        <is>
          <t>Project IRR</t>
        </is>
      </c>
      <c r="B6" s="7" t="n">
        <v>0.22</v>
      </c>
      <c r="C6" s="7" t="n">
        <v>0.265</v>
      </c>
      <c r="D6" s="7" t="n">
        <v>0.3</v>
      </c>
      <c r="E6" s="2" t="inlineStr">
        <is>
          <t>%</t>
        </is>
      </c>
      <c r="F6" s="7" t="n">
        <v>0.265</v>
      </c>
      <c r="G6" s="16">
        <f>D6-F6</f>
        <v/>
      </c>
      <c r="H6" s="2" t="inlineStr">
        <is>
          <t>Illustrative range around base case</t>
        </is>
      </c>
    </row>
    <row r="7">
      <c r="A7" s="2" t="inlineStr">
        <is>
          <t>Equity IRR</t>
        </is>
      </c>
      <c r="B7" s="7" t="n">
        <v>0.31</v>
      </c>
      <c r="C7" s="7" t="n">
        <v>0.38</v>
      </c>
      <c r="D7" s="7" t="n">
        <v>0.45</v>
      </c>
      <c r="E7" s="2" t="inlineStr">
        <is>
          <t>%</t>
        </is>
      </c>
      <c r="F7" s="7" t="n">
        <v>0.38</v>
      </c>
      <c r="G7" s="16">
        <f>D7-F7</f>
        <v/>
      </c>
      <c r="H7" s="2" t="inlineStr">
        <is>
          <t>Illustrative range around base case</t>
        </is>
      </c>
    </row>
    <row r="8">
      <c r="A8" s="2" t="inlineStr">
        <is>
          <t>Min DSCR</t>
        </is>
      </c>
      <c r="B8" s="9" t="n">
        <v>1.6</v>
      </c>
      <c r="C8" s="9" t="n">
        <v>1.95</v>
      </c>
      <c r="D8" s="9" t="n">
        <v>2.2</v>
      </c>
      <c r="E8" s="2" t="inlineStr">
        <is>
          <t>x</t>
        </is>
      </c>
      <c r="F8" s="9" t="n">
        <v>1.95</v>
      </c>
      <c r="G8" s="23">
        <f>D8-F8</f>
        <v/>
      </c>
      <c r="H8" s="2" t="inlineStr">
        <is>
          <t>Aligned to covenant-focused range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0" customWidth="1" min="4" max="4"/>
    <col width="10" customWidth="1" min="5" max="5"/>
    <col width="18" customWidth="1" min="6" max="6"/>
    <col width="16" customWidth="1" min="7" max="7"/>
    <col width="14" customWidth="1" min="8" max="8"/>
    <col width="10" customWidth="1" min="9" max="9"/>
    <col width="10" customWidth="1" min="10" max="10"/>
  </cols>
  <sheetData>
    <row r="1" ht="22" customHeight="1">
      <c r="A1" s="1" t="inlineStr">
        <is>
          <t>Dashboard</t>
        </is>
      </c>
    </row>
    <row r="4" ht="30" customHeight="1">
      <c r="A4" s="4" t="inlineStr">
        <is>
          <t>KPI</t>
        </is>
      </c>
      <c r="B4" s="4" t="inlineStr">
        <is>
          <t>Formula / Source</t>
        </is>
      </c>
      <c r="C4" s="4" t="inlineStr">
        <is>
          <t>Value</t>
        </is>
      </c>
      <c r="D4" s="4" t="inlineStr">
        <is>
          <t>Unit</t>
        </is>
      </c>
      <c r="E4" s="4" t="inlineStr">
        <is>
          <t>Status</t>
        </is>
      </c>
      <c r="F4" s="4" t="inlineStr">
        <is>
          <t>KPI</t>
        </is>
      </c>
      <c r="G4" s="4" t="inlineStr">
        <is>
          <t>Formula / Source</t>
        </is>
      </c>
      <c r="H4" s="4" t="inlineStr">
        <is>
          <t>Value</t>
        </is>
      </c>
      <c r="I4" s="4" t="inlineStr">
        <is>
          <t>Unit</t>
        </is>
      </c>
      <c r="J4" s="4" t="inlineStr">
        <is>
          <t>Status</t>
        </is>
      </c>
    </row>
    <row r="5">
      <c r="A5" s="2" t="inlineStr">
        <is>
          <t>Project IRR</t>
        </is>
      </c>
      <c r="B5" s="2" t="inlineStr">
        <is>
          <t>Active_Data</t>
        </is>
      </c>
      <c r="C5" s="24">
        <f>INDEX(Active_Data!$E:$E,MATCH("Project_IRR",Active_Data!$D:$D,0))</f>
        <v/>
      </c>
      <c r="D5" s="2" t="inlineStr">
        <is>
          <t>%</t>
        </is>
      </c>
      <c r="E5" s="2" t="inlineStr">
        <is>
          <t>OK</t>
        </is>
      </c>
      <c r="F5" s="2" t="inlineStr">
        <is>
          <t>Revenue Y1</t>
        </is>
      </c>
      <c r="G5" s="2" t="inlineStr">
        <is>
          <t>Active_Data</t>
        </is>
      </c>
      <c r="H5" s="25">
        <f>INDEX(Active_Data!$E:$E,MATCH("Revenue_Y1",Active_Data!$D:$D,0))</f>
        <v/>
      </c>
      <c r="I5" s="2" t="inlineStr">
        <is>
          <t>EUR</t>
        </is>
      </c>
      <c r="J5" s="2" t="inlineStr">
        <is>
          <t>OK</t>
        </is>
      </c>
    </row>
    <row r="6">
      <c r="A6" s="2" t="inlineStr">
        <is>
          <t>Equity IRR</t>
        </is>
      </c>
      <c r="B6" s="2" t="inlineStr">
        <is>
          <t>Active_Data</t>
        </is>
      </c>
      <c r="C6" s="24">
        <f>INDEX(Active_Data!$E:$E,MATCH("Equity_IRR",Active_Data!$D:$D,0))</f>
        <v/>
      </c>
      <c r="D6" s="2" t="inlineStr">
        <is>
          <t>%</t>
        </is>
      </c>
      <c r="E6" s="2" t="inlineStr">
        <is>
          <t>OK</t>
        </is>
      </c>
      <c r="F6" s="2" t="inlineStr">
        <is>
          <t>Revenue Y5</t>
        </is>
      </c>
      <c r="G6" s="2" t="inlineStr">
        <is>
          <t>Active_Data</t>
        </is>
      </c>
      <c r="H6" s="25">
        <f>INDEX(Active_Data!$E:$E,MATCH("Revenue_Y5",Active_Data!$D:$D,0))</f>
        <v/>
      </c>
      <c r="I6" s="2" t="inlineStr">
        <is>
          <t>EUR</t>
        </is>
      </c>
      <c r="J6" s="2" t="inlineStr">
        <is>
          <t>OK</t>
        </is>
      </c>
    </row>
    <row r="7">
      <c r="A7" s="2" t="inlineStr">
        <is>
          <t>Min DSCR</t>
        </is>
      </c>
      <c r="B7" s="2" t="inlineStr">
        <is>
          <t>Active_Data</t>
        </is>
      </c>
      <c r="C7" s="20">
        <f>INDEX(Active_Data!$E:$E,MATCH("Min_DSCR",Active_Data!$D:$D,0))</f>
        <v/>
      </c>
      <c r="D7" s="2" t="inlineStr">
        <is>
          <t>x</t>
        </is>
      </c>
      <c r="E7" s="2" t="inlineStr">
        <is>
          <t>OK</t>
        </is>
      </c>
      <c r="F7" s="2" t="inlineStr">
        <is>
          <t>Avg DSCR</t>
        </is>
      </c>
      <c r="G7" s="2" t="inlineStr">
        <is>
          <t>Active_Data</t>
        </is>
      </c>
      <c r="H7" s="20">
        <f>INDEX(Active_Data!$E:$E,MATCH("Avg_DSCR",Active_Data!$D:$D,0))</f>
        <v/>
      </c>
      <c r="I7" s="2" t="inlineStr">
        <is>
          <t>x</t>
        </is>
      </c>
      <c r="J7" s="2" t="inlineStr">
        <is>
          <t>OK</t>
        </is>
      </c>
    </row>
    <row r="8">
      <c r="A8" s="2" t="inlineStr">
        <is>
          <t>P90 CAPEX</t>
        </is>
      </c>
      <c r="B8" s="2" t="inlineStr">
        <is>
          <t>Active_Data</t>
        </is>
      </c>
      <c r="C8" s="25">
        <f>INDEX(Active_Data!$E:$E,MATCH("P90_CAPEX",Active_Data!$D:$D,0))</f>
        <v/>
      </c>
      <c r="D8" s="2" t="inlineStr">
        <is>
          <t>EUR</t>
        </is>
      </c>
      <c r="E8" s="2" t="inlineStr">
        <is>
          <t>OK</t>
        </is>
      </c>
      <c r="F8" s="2" t="inlineStr">
        <is>
          <t>TRL</t>
        </is>
      </c>
      <c r="G8" s="2" t="inlineStr">
        <is>
          <t>Active_Data</t>
        </is>
      </c>
      <c r="H8" s="26">
        <f>INDEX(Active_Data!$E:$E,MATCH("TRL",Active_Data!$D:$D,0))</f>
        <v/>
      </c>
      <c r="I8" s="2" t="inlineStr">
        <is>
          <t>score</t>
        </is>
      </c>
      <c r="J8" s="2" t="inlineStr">
        <is>
          <t>OK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Audit_Checks</t>
        </is>
      </c>
    </row>
    <row r="4" ht="30" customHeight="1">
      <c r="A4" s="4" t="inlineStr">
        <is>
          <t>Check_ID</t>
        </is>
      </c>
      <c r="B4" s="4" t="inlineStr">
        <is>
          <t>Check_Name</t>
        </is>
      </c>
      <c r="C4" s="4" t="inlineStr">
        <is>
          <t>Formula</t>
        </is>
      </c>
      <c r="D4" s="4" t="inlineStr">
        <is>
          <t>Expected</t>
        </is>
      </c>
      <c r="E4" s="4" t="inlineStr">
        <is>
          <t>Actual</t>
        </is>
      </c>
      <c r="F4" s="4" t="inlineStr">
        <is>
          <t>Status</t>
        </is>
      </c>
    </row>
    <row r="5">
      <c r="A5" s="2" t="inlineStr">
        <is>
          <t>AUD-001</t>
        </is>
      </c>
      <c r="B5" s="2" t="inlineStr">
        <is>
          <t>Sources = Uses</t>
        </is>
      </c>
      <c r="C5" s="27">
        <f>Sources_Uses!C13</f>
        <v/>
      </c>
      <c r="D5" s="16" t="n">
        <v>0</v>
      </c>
      <c r="E5" s="27">
        <f>Sources_Uses!C13</f>
        <v/>
      </c>
      <c r="F5" s="27">
        <f>IF(ABS(E5-D5)&lt;1,"OK","ERROR")</f>
        <v/>
      </c>
    </row>
    <row r="6">
      <c r="A6" s="2" t="inlineStr">
        <is>
          <t>AUD-002</t>
        </is>
      </c>
      <c r="B6" s="2" t="inlineStr">
        <is>
          <t>Min DSCR &gt; 1.35x</t>
        </is>
      </c>
      <c r="C6" s="27">
        <f>INDEX(Active_Data!$E:$E,MATCH("Min_DSCR",Active_Data!$D:$D,0))</f>
        <v/>
      </c>
      <c r="D6" s="23" t="n">
        <v>1.35</v>
      </c>
      <c r="E6" s="27">
        <f>INDEX(Active_Data!$E:$E,MATCH("Min_DSCR",Active_Data!$D:$D,0))</f>
        <v/>
      </c>
      <c r="F6" s="27">
        <f>IF(E6&gt;D6,"OK","ERROR")</f>
        <v/>
      </c>
    </row>
    <row r="7">
      <c r="A7" s="2" t="inlineStr">
        <is>
          <t>AUD-003</t>
        </is>
      </c>
      <c r="B7" s="2" t="inlineStr">
        <is>
          <t>Grant + Debt + Equity = 100%</t>
        </is>
      </c>
      <c r="C7" s="27">
        <f>Sources_Uses!C7+Sources_Uses!C8+Sources_Uses!C9</f>
        <v/>
      </c>
      <c r="D7" s="16" t="n">
        <v>1</v>
      </c>
      <c r="E7" s="27">
        <f>Sources_Uses!C7+Sources_Uses!C8+Sources_Uses!C9</f>
        <v/>
      </c>
      <c r="F7" s="27">
        <f>IF(ABS(E7-D7)&lt;0.001,"OK","ERROR")</f>
        <v/>
      </c>
    </row>
    <row r="8">
      <c r="A8" s="2" t="inlineStr">
        <is>
          <t>AUD-004</t>
        </is>
      </c>
      <c r="B8" s="2" t="inlineStr">
        <is>
          <t>No baseline conflict</t>
        </is>
      </c>
      <c r="C8" s="27">
        <f>IF(Assumptions!B5&lt;&gt;Assumptions!B6,1,0)</f>
        <v/>
      </c>
      <c r="D8" s="16" t="n">
        <v>1</v>
      </c>
      <c r="E8" s="27">
        <f>IF(Assumptions!B5&lt;&gt;Assumptions!B6,1,0)</f>
        <v/>
      </c>
      <c r="F8" s="27">
        <f>IF(E8=D8,"OK","ERROR")</f>
        <v/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README / Python Update Logic</t>
        </is>
      </c>
    </row>
    <row r="4">
      <c r="A4" s="3" t="inlineStr">
        <is>
          <t>This workbook intentionally separates conflicting baselines using Baseline_ID.</t>
        </is>
      </c>
    </row>
    <row r="5">
      <c r="A5" s="3" t="inlineStr">
        <is>
          <t>Do not overwrite locked metrics without changing Baseline_ID or Scenario_Type.</t>
        </is>
      </c>
    </row>
    <row r="6">
      <c r="A6" s="3" t="inlineStr">
        <is>
          <t>For daily updates, populate market cells in Assumptions with reviewed external inputs.</t>
        </is>
      </c>
    </row>
    <row r="7">
      <c r="A7" s="3" t="inlineStr">
        <is>
          <t>Suggested Python stub:</t>
        </is>
      </c>
    </row>
    <row r="8">
      <c r="A8" s="3" t="inlineStr">
        <is>
          <t>def daily_update(active_data_df, market_inputs):</t>
        </is>
      </c>
    </row>
    <row r="9">
      <c r="A9" s="3" t="inlineStr">
        <is>
          <t xml:space="preserve">    # validate source timestamps, map to Baseline_ID, propose updates only</t>
        </is>
      </c>
    </row>
    <row r="10">
      <c r="A10" s="3" t="inlineStr">
        <is>
          <t xml:space="preserve">    return proposed_changes_df</t>
        </is>
      </c>
    </row>
    <row r="11">
      <c r="A11" s="3" t="inlineStr">
        <is>
          <t>Missing verified inputs remain tagged as INPUT_REQUIRED or UPDATE_DAILY.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2026-05-10T11:10:54Z</dcterms:created>
  <dcterms:modified xsi:type="dcterms:W3CDTF">2026-05-10T11:10:57Z</dcterms:modified>
</cp:coreProperties>
</file>