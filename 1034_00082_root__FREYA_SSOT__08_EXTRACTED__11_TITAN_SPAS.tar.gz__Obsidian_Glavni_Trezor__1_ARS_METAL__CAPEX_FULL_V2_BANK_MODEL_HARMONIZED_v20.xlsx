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Index" sheetId="2" state="visible" r:id="rId2"/>
    <sheet xmlns:r="http://schemas.openxmlformats.org/officeDocument/2006/relationships" name="03_Assumptions" sheetId="3" state="visible" r:id="rId3"/>
    <sheet xmlns:r="http://schemas.openxmlformats.org/officeDocument/2006/relationships" name="04_CAPEX_Master" sheetId="4" state="visible" r:id="rId4"/>
    <sheet xmlns:r="http://schemas.openxmlformats.org/officeDocument/2006/relationships" name="05_CAPEX_Phasing" sheetId="5" state="visible" r:id="rId5"/>
    <sheet xmlns:r="http://schemas.openxmlformats.org/officeDocument/2006/relationships" name="06_OPEX" sheetId="6" state="visible" r:id="rId6"/>
    <sheet xmlns:r="http://schemas.openxmlformats.org/officeDocument/2006/relationships" name="07_Funding" sheetId="7" state="visible" r:id="rId7"/>
    <sheet xmlns:r="http://schemas.openxmlformats.org/officeDocument/2006/relationships" name="08_Debt" sheetId="8" state="visible" r:id="rId8"/>
    <sheet xmlns:r="http://schemas.openxmlformats.org/officeDocument/2006/relationships" name="09_CashFlow" sheetId="9" state="visible" r:id="rId9"/>
    <sheet xmlns:r="http://schemas.openxmlformats.org/officeDocument/2006/relationships" name="CFADS_DSCR_AUDIT" sheetId="10" state="visible" r:id="rId10"/>
    <sheet xmlns:r="http://schemas.openxmlformats.org/officeDocument/2006/relationships" name="COVENANTS_ENGINE" sheetId="11" state="visible" r:id="rId11"/>
    <sheet xmlns:r="http://schemas.openxmlformats.org/officeDocument/2006/relationships" name="10_Valuation" sheetId="12" state="visible" r:id="rId12"/>
    <sheet xmlns:r="http://schemas.openxmlformats.org/officeDocument/2006/relationships" name="11_Dashboard" sheetId="13" state="visible" r:id="rId13"/>
    <sheet xmlns:r="http://schemas.openxmlformats.org/officeDocument/2006/relationships" name="12_QA_Aud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x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000000"/>
    </font>
    <font>
      <i val="1"/>
      <color rgb="00666666"/>
    </font>
    <font>
      <color rgb="000000FF"/>
    </font>
    <font>
      <color rgb="00000000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4" fillId="0" borderId="0" pivotButton="0" quotePrefix="0" xfId="0"/>
    <xf numFmtId="0" fontId="3" fillId="3" borderId="0" applyAlignment="1" pivotButton="0" quotePrefix="0" xfId="0">
      <alignment horizontal="left"/>
    </xf>
    <xf numFmtId="0" fontId="0" fillId="0" borderId="1" pivotButton="0" quotePrefix="0" xfId="0"/>
    <xf numFmtId="38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3" fontId="5" fillId="0" borderId="1" pivotButton="0" quotePrefix="0" xfId="0"/>
    <xf numFmtId="165" fontId="6" fillId="0" borderId="1" pivotButton="0" quotePrefix="0" xfId="0"/>
    <xf numFmtId="0" fontId="3" fillId="3" borderId="1" applyAlignment="1" pivotButton="0" quotePrefix="0" xfId="0">
      <alignment horizontal="left"/>
    </xf>
    <xf numFmtId="165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3" fontId="3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38" fontId="6" fillId="0" borderId="1" pivotButton="0" quotePrefix="0" xfId="0"/>
    <xf numFmtId="38" fontId="0" fillId="0" borderId="1" pivotButton="0" quotePrefix="0" xfId="0"/>
    <xf numFmtId="165" fontId="0" fillId="0" borderId="1" pivotButton="0" quotePrefix="0" xfId="0"/>
    <xf numFmtId="0" fontId="7" fillId="0" borderId="0" pivotButton="0" quotePrefix="0" xfId="0"/>
    <xf numFmtId="0" fontId="0" fillId="5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01_Cover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03_Assumptions | TITAN Grid v2.0 Harmonized</t>
        </is>
      </c>
    </row>
    <row r="2">
      <c r="A2" s="3" t="inlineStr">
        <is>
          <t>Use only yellow cells if you need to overwrite review inputs after management confirmation.</t>
        </is>
      </c>
    </row>
    <row r="3">
      <c r="A3" s="4" t="inlineStr">
        <is>
          <t>Locked project metrics</t>
        </is>
      </c>
    </row>
    <row r="4">
      <c r="A4" s="5" t="inlineStr">
        <is>
          <t>Total Project Cost (TPC)</t>
        </is>
      </c>
      <c r="B4" s="6" t="n">
        <v>27796156</v>
      </c>
      <c r="C4" s="5" t="inlineStr">
        <is>
          <t>EUR</t>
        </is>
      </c>
      <c r="D4" s="5" t="inlineStr">
        <is>
          <t>Locked 24.03.2026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5" t="inlineStr">
        <is>
          <t>Direct CAPEX (BoQ)</t>
        </is>
      </c>
      <c r="B5" s="6" t="n">
        <v>24715200</v>
      </c>
      <c r="C5" s="5" t="inlineStr">
        <is>
          <t>EUR</t>
        </is>
      </c>
      <c r="D5" s="5" t="inlineStr">
        <is>
          <t>Locked 24.03.2026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5" t="inlineStr">
        <is>
          <t>Contingency</t>
        </is>
      </c>
      <c r="B6" s="6" t="n">
        <v>2471520</v>
      </c>
      <c r="C6" s="5" t="inlineStr">
        <is>
          <t>EUR</t>
        </is>
      </c>
      <c r="D6" s="5" t="inlineStr">
        <is>
          <t>10.0% of Direct CAPEX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inlineStr">
        <is>
          <t>Escalation</t>
        </is>
      </c>
      <c r="B7" s="6" t="n">
        <v>609436</v>
      </c>
      <c r="C7" s="5" t="inlineStr">
        <is>
          <t>EUR</t>
        </is>
      </c>
      <c r="D7" s="5" t="inlineStr">
        <is>
          <t>Locked 24.03.2026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inlineStr">
        <is>
          <t>Debt</t>
        </is>
      </c>
      <c r="B8" s="6" t="n">
        <v>16677694</v>
      </c>
      <c r="C8" s="5" t="inlineStr">
        <is>
          <t>EUR</t>
        </is>
      </c>
      <c r="D8" s="5" t="inlineStr">
        <is>
          <t>Locked 24.03.2026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inlineStr">
        <is>
          <t>Equity</t>
        </is>
      </c>
      <c r="B9" s="6" t="n">
        <v>11118462</v>
      </c>
      <c r="C9" s="5" t="inlineStr">
        <is>
          <t>EUR</t>
        </is>
      </c>
      <c r="D9" s="5" t="inlineStr">
        <is>
          <t>Locked 24.03.2026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inlineStr">
        <is>
          <t>Total IDC (capitalized)</t>
        </is>
      </c>
      <c r="B10" s="6" t="n">
        <v>1031579</v>
      </c>
      <c r="C10" s="5" t="inlineStr">
        <is>
          <t>EUR</t>
        </is>
      </c>
      <c r="D10" s="5" t="inlineStr">
        <is>
          <t>Locked 24.03.2026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inlineStr">
        <is>
          <t>Average DSCR</t>
        </is>
      </c>
      <c r="B11" s="7" t="n">
        <v>3.07</v>
      </c>
      <c r="C11" s="5" t="inlineStr">
        <is>
          <t>x</t>
        </is>
      </c>
      <c r="D11" s="5" t="inlineStr">
        <is>
          <t>Locked 24.03.2026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inlineStr">
        <is>
          <t>Minimum DSCR</t>
        </is>
      </c>
      <c r="B12" s="7" t="n">
        <v>1.68</v>
      </c>
      <c r="C12" s="5" t="inlineStr">
        <is>
          <t>x</t>
        </is>
      </c>
      <c r="D12" s="5" t="inlineStr">
        <is>
          <t>Locked 24.03.2026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inlineStr">
        <is>
          <t>Revenue - Year 1 ops</t>
        </is>
      </c>
      <c r="B13" s="6" t="n">
        <v>8000000</v>
      </c>
      <c r="C13" s="5" t="inlineStr">
        <is>
          <t>EUR</t>
        </is>
      </c>
      <c r="D13" s="5" t="inlineStr">
        <is>
          <t>Locked 24.03.2026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inlineStr">
        <is>
          <t>Revenue - Year 5 ops</t>
        </is>
      </c>
      <c r="B14" s="6" t="n">
        <v>28000000</v>
      </c>
      <c r="C14" s="5" t="inlineStr">
        <is>
          <t>EUR</t>
        </is>
      </c>
      <c r="D14" s="5" t="inlineStr">
        <is>
          <t>Locked 24.03.2026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inlineStr">
        <is>
          <t>Revenue - Year 12 ops</t>
        </is>
      </c>
      <c r="B15" s="6" t="n">
        <v>32163198</v>
      </c>
      <c r="C15" s="5" t="inlineStr">
        <is>
          <t>EUR</t>
        </is>
      </c>
      <c r="D15" s="5" t="inlineStr">
        <is>
          <t>Locked 24.03.2026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inlineStr">
        <is>
          <t>Steady state EBITDA margin</t>
        </is>
      </c>
      <c r="B16" s="8" t="n">
        <v>0.22</v>
      </c>
      <c r="C16" s="5" t="inlineStr">
        <is>
          <t>%</t>
        </is>
      </c>
      <c r="D16" s="5" t="inlineStr">
        <is>
          <t>Locked 24.03.2026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inlineStr">
        <is>
          <t>Cash Conversion Cycle</t>
        </is>
      </c>
      <c r="B17" s="9" t="n">
        <v>100</v>
      </c>
      <c r="C17" s="5" t="inlineStr">
        <is>
          <t>days</t>
        </is>
      </c>
      <c r="D17" s="5" t="inlineStr">
        <is>
          <t>Reference metric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inlineStr">
        <is>
          <t>Net Working Capital - Year 5</t>
        </is>
      </c>
      <c r="B18" s="6" t="n">
        <v>5753425</v>
      </c>
      <c r="C18" s="5" t="inlineStr">
        <is>
          <t>EUR</t>
        </is>
      </c>
      <c r="D18" s="5" t="inlineStr">
        <is>
          <t>Locked 24.03.2026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inlineStr">
        <is>
          <t>Net Working Capital % of Revenue</t>
        </is>
      </c>
      <c r="B19" s="10">
        <f>C18/C14</f>
        <v/>
      </c>
      <c r="C19" s="5" t="inlineStr">
        <is>
          <t>%</t>
        </is>
      </c>
      <c r="D19" s="5" t="inlineStr">
        <is>
          <t>Derived from locked Year 5 values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11" t="inlineStr">
        <is>
          <t>Review inputs (explicitly flagged)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5" t="inlineStr">
        <is>
          <t>Debt interest rate</t>
        </is>
      </c>
      <c r="B23" s="12" t="n">
        <v>0.045</v>
      </c>
      <c r="C23" s="5" t="inlineStr">
        <is>
          <t>%</t>
        </is>
      </c>
      <c r="D23" s="5" t="inlineStr">
        <is>
          <t>Review input - confirm latest debt pricing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A24" s="5" t="inlineStr">
        <is>
          <t>Tax rate</t>
        </is>
      </c>
      <c r="B24" s="12" t="n">
        <v>0.09</v>
      </c>
      <c r="C24" s="5" t="inlineStr">
        <is>
          <t>%</t>
        </is>
      </c>
      <c r="D24" s="5" t="inlineStr">
        <is>
          <t>Review input - confirm tax treatment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A25" s="5" t="inlineStr">
        <is>
          <t>Maintenance CAPEX % of revenue</t>
        </is>
      </c>
      <c r="B25" s="12" t="n">
        <v>0.01</v>
      </c>
      <c r="C25" s="5" t="inlineStr">
        <is>
          <t>%</t>
        </is>
      </c>
      <c r="D25" s="5" t="inlineStr">
        <is>
          <t>Review input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A26" s="5" t="inlineStr">
        <is>
          <t>EBITDA margin in first operating year</t>
        </is>
      </c>
      <c r="B26" s="12" t="n">
        <v>0.14</v>
      </c>
      <c r="C26" s="5" t="inlineStr">
        <is>
          <t>%</t>
        </is>
      </c>
      <c r="D26" s="5" t="inlineStr">
        <is>
          <t>Review input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A27" s="5" t="inlineStr">
        <is>
          <t>Principal grace period</t>
        </is>
      </c>
      <c r="B27" s="13" t="n">
        <v>2</v>
      </c>
      <c r="C27" s="5" t="inlineStr">
        <is>
          <t>years</t>
        </is>
      </c>
      <c r="D27" s="5" t="inlineStr">
        <is>
          <t>Review input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A28" s="5" t="inlineStr">
        <is>
          <t>Debt tenor</t>
        </is>
      </c>
      <c r="B28" s="13" t="n">
        <v>10</v>
      </c>
      <c r="C28" s="5" t="inlineStr">
        <is>
          <t>years</t>
        </is>
      </c>
      <c r="D28" s="5" t="inlineStr">
        <is>
          <t>Review input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inlineStr">
        <is>
          <t>DSRA months</t>
        </is>
      </c>
      <c r="B29" s="13" t="n">
        <v>6</v>
      </c>
      <c r="C29" s="5" t="inlineStr">
        <is>
          <t>months</t>
        </is>
      </c>
      <c r="D29" s="5" t="inlineStr">
        <is>
          <t>Review input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inlineStr">
        <is>
          <t>Default DSCR</t>
        </is>
      </c>
      <c r="B30" s="14" t="n">
        <v>1.2</v>
      </c>
      <c r="C30" s="5" t="inlineStr">
        <is>
          <t>x</t>
        </is>
      </c>
      <c r="D30" s="5" t="inlineStr">
        <is>
          <t>Covenant threshold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inlineStr">
        <is>
          <t>Cash lock-up DSCR</t>
        </is>
      </c>
      <c r="B31" s="14" t="n">
        <v>1.3</v>
      </c>
      <c r="C31" s="5" t="inlineStr">
        <is>
          <t>x</t>
        </is>
      </c>
      <c r="D31" s="5" t="inlineStr">
        <is>
          <t>Covenant threshold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inlineStr">
        <is>
          <t>Cash sweep trigger DSCR</t>
        </is>
      </c>
      <c r="B32" s="14" t="n">
        <v>1.5</v>
      </c>
      <c r="C32" s="5" t="inlineStr">
        <is>
          <t>x</t>
        </is>
      </c>
      <c r="D32" s="5" t="inlineStr">
        <is>
          <t>Covenant threshold</t>
        </is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inlineStr">
        <is>
          <t>Cash sweep %</t>
        </is>
      </c>
      <c r="B33" s="12" t="n">
        <v>0.5</v>
      </c>
      <c r="C33" s="5" t="inlineStr">
        <is>
          <t>%</t>
        </is>
      </c>
      <c r="D33" s="5" t="inlineStr">
        <is>
          <t>Covenant parameter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11" t="inlineStr">
        <is>
          <t>Timeline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inlineStr">
        <is>
          <t>Calendar Year</t>
        </is>
      </c>
      <c r="B37" s="15" t="n">
        <v>2026</v>
      </c>
      <c r="C37" s="15" t="n">
        <v>2027</v>
      </c>
      <c r="D37" s="15" t="n">
        <v>2028</v>
      </c>
      <c r="E37" s="15" t="n">
        <v>2029</v>
      </c>
      <c r="F37" s="15" t="n">
        <v>2030</v>
      </c>
      <c r="G37" s="15" t="n">
        <v>2031</v>
      </c>
      <c r="H37" s="15" t="n">
        <v>2032</v>
      </c>
      <c r="I37" s="15" t="n">
        <v>2033</v>
      </c>
      <c r="J37" s="15" t="n">
        <v>2034</v>
      </c>
      <c r="K37" s="15" t="n">
        <v>2035</v>
      </c>
      <c r="L37" s="15" t="n">
        <v>2036</v>
      </c>
      <c r="M37" s="15" t="n">
        <v>2037</v>
      </c>
      <c r="N37" s="15" t="n">
        <v>2038</v>
      </c>
      <c r="O37" s="15" t="n">
        <v>2039</v>
      </c>
      <c r="P37" s="15" t="n">
        <v>2040</v>
      </c>
      <c r="Q37" s="5" t="n"/>
      <c r="R37" s="5" t="n"/>
      <c r="S37" s="5" t="n"/>
      <c r="T37" s="5" t="n"/>
    </row>
    <row r="38">
      <c r="A38" s="5" t="inlineStr">
        <is>
          <t>Operating Year</t>
        </is>
      </c>
      <c r="B38" s="16" t="n">
        <v>0</v>
      </c>
      <c r="C38" s="16" t="n">
        <v>0</v>
      </c>
      <c r="D38" s="16" t="n">
        <v>0</v>
      </c>
      <c r="E38" s="16" t="n">
        <v>1</v>
      </c>
      <c r="F38" s="16" t="n">
        <v>2</v>
      </c>
      <c r="G38" s="16" t="n">
        <v>3</v>
      </c>
      <c r="H38" s="16" t="n">
        <v>4</v>
      </c>
      <c r="I38" s="16" t="n">
        <v>5</v>
      </c>
      <c r="J38" s="16" t="n">
        <v>6</v>
      </c>
      <c r="K38" s="16" t="n">
        <v>7</v>
      </c>
      <c r="L38" s="16" t="n">
        <v>8</v>
      </c>
      <c r="M38" s="16" t="n">
        <v>9</v>
      </c>
      <c r="N38" s="16" t="n">
        <v>10</v>
      </c>
      <c r="O38" s="16" t="n">
        <v>11</v>
      </c>
      <c r="P38" s="16" t="n">
        <v>12</v>
      </c>
      <c r="Q38" s="5" t="n"/>
      <c r="R38" s="5" t="n"/>
      <c r="S38" s="5" t="n"/>
      <c r="T38" s="5" t="n"/>
    </row>
  </sheetData>
  <mergeCells count="4">
    <mergeCell ref="A3:R3"/>
    <mergeCell ref="A22:R22"/>
    <mergeCell ref="A1:R1"/>
    <mergeCell ref="A36:R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04_CAPEX_Master</t>
        </is>
      </c>
    </row>
    <row r="3">
      <c r="A3" t="inlineStr">
        <is>
          <t>ID</t>
        </is>
      </c>
      <c r="B3" t="inlineStr">
        <is>
          <t>Desc</t>
        </is>
      </c>
      <c r="C3" t="inlineStr">
        <is>
          <t>Amount</t>
        </is>
      </c>
    </row>
    <row r="4">
      <c r="C4" t="n">
        <v>0</v>
      </c>
    </row>
    <row r="5">
      <c r="C5" t="n">
        <v>0</v>
      </c>
    </row>
    <row r="6">
      <c r="C6" t="n">
        <v>0</v>
      </c>
    </row>
    <row r="7">
      <c r="C7" t="n">
        <v>0</v>
      </c>
    </row>
    <row r="8">
      <c r="C8" t="n">
        <v>0</v>
      </c>
    </row>
    <row r="9">
      <c r="C9" t="n">
        <v>0</v>
      </c>
    </row>
    <row r="10">
      <c r="C10">
        <f>SUM(C4:C9)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05_CAPEX_Phasing | Harmonized</t>
        </is>
      </c>
    </row>
    <row r="3">
      <c r="A3" s="4" t="inlineStr">
        <is>
          <t>Use of funds</t>
        </is>
      </c>
    </row>
    <row r="4">
      <c r="A4" s="17" t="inlineStr">
        <is>
          <t>Line Item</t>
        </is>
      </c>
      <c r="B4" s="17" t="n">
        <v>2026</v>
      </c>
      <c r="C4" s="17" t="n">
        <v>2027</v>
      </c>
      <c r="D4" s="17" t="n">
        <v>2028</v>
      </c>
      <c r="E4" s="17" t="n">
        <v>2029</v>
      </c>
      <c r="F4" s="17" t="n">
        <v>2030</v>
      </c>
      <c r="G4" s="17" t="n">
        <v>2031</v>
      </c>
      <c r="H4" s="17" t="n">
        <v>2032</v>
      </c>
      <c r="I4" s="17" t="n">
        <v>2033</v>
      </c>
      <c r="J4" s="17" t="n">
        <v>2034</v>
      </c>
      <c r="K4" s="17" t="n">
        <v>2035</v>
      </c>
      <c r="L4" s="17" t="n">
        <v>2036</v>
      </c>
      <c r="M4" s="17" t="n">
        <v>2037</v>
      </c>
      <c r="N4" s="17" t="n">
        <v>2038</v>
      </c>
      <c r="O4" s="17" t="n">
        <v>2039</v>
      </c>
      <c r="P4" s="17" t="n">
        <v>2040</v>
      </c>
      <c r="Q4" s="17" t="inlineStr">
        <is>
          <t>Total</t>
        </is>
      </c>
    </row>
    <row r="5">
      <c r="A5" s="5" t="inlineStr">
        <is>
          <t>Direct CAPEX</t>
        </is>
      </c>
      <c r="B5" s="18">
        <f>'03_Assumptions'!B5*20%</f>
        <v/>
      </c>
      <c r="C5" s="18">
        <f>'03_Assumptions'!B5*50%</f>
        <v/>
      </c>
      <c r="D5" s="18">
        <f>'03_Assumptions'!B5*30%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>
        <f>SUM(B5:P5)</f>
        <v/>
      </c>
    </row>
    <row r="6">
      <c r="A6" s="5" t="inlineStr">
        <is>
          <t>Contingency</t>
        </is>
      </c>
      <c r="B6" s="18">
        <f>'03_Assumptions'!B6*20%</f>
        <v/>
      </c>
      <c r="C6" s="18">
        <f>'03_Assumptions'!B6*50%</f>
        <v/>
      </c>
      <c r="D6" s="18">
        <f>'03_Assumptions'!B6*30%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>
        <f>SUM(B6:P6)</f>
        <v/>
      </c>
    </row>
    <row r="7">
      <c r="A7" s="5" t="inlineStr">
        <is>
          <t>Escalation</t>
        </is>
      </c>
      <c r="B7" s="18">
        <f>'03_Assumptions'!B7*20%</f>
        <v/>
      </c>
      <c r="C7" s="18">
        <f>'03_Assumptions'!B7*50%</f>
        <v/>
      </c>
      <c r="D7" s="18">
        <f>'03_Assumptions'!B7*30%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>
        <f>SUM(B7:P7)</f>
        <v/>
      </c>
    </row>
    <row r="8">
      <c r="A8" s="5" t="inlineStr">
        <is>
          <t>TPC</t>
        </is>
      </c>
      <c r="B8" s="18">
        <f>B5+B6+B7</f>
        <v/>
      </c>
      <c r="C8" s="18">
        <f>C5+C6+C7</f>
        <v/>
      </c>
      <c r="D8" s="18">
        <f>D5+D6+D7</f>
        <v/>
      </c>
      <c r="E8" s="18">
        <f>E5+E6+E7</f>
        <v/>
      </c>
      <c r="F8" s="18">
        <f>F5+F6+F7</f>
        <v/>
      </c>
      <c r="G8" s="18">
        <f>G5+G6+G7</f>
        <v/>
      </c>
      <c r="H8" s="18">
        <f>H5+H6+H7</f>
        <v/>
      </c>
      <c r="I8" s="18">
        <f>I5+I6+I7</f>
        <v/>
      </c>
      <c r="J8" s="18">
        <f>J5+J6+J7</f>
        <v/>
      </c>
      <c r="K8" s="18">
        <f>K5+K6+K7</f>
        <v/>
      </c>
      <c r="L8" s="18">
        <f>L5+L6+L7</f>
        <v/>
      </c>
      <c r="M8" s="18">
        <f>M5+M6+M7</f>
        <v/>
      </c>
      <c r="N8" s="18">
        <f>N5+N6+N7</f>
        <v/>
      </c>
      <c r="O8" s="18">
        <f>O5+O6+O7</f>
        <v/>
      </c>
      <c r="P8" s="18">
        <f>P5+P6+P7</f>
        <v/>
      </c>
      <c r="Q8" s="18">
        <f>SUM(B8:P8)</f>
        <v/>
      </c>
    </row>
    <row r="9">
      <c r="A9" s="5" t="inlineStr">
        <is>
          <t>IDC</t>
        </is>
      </c>
      <c r="B9" s="18">
        <f>'03_Assumptions'!B10*20%</f>
        <v/>
      </c>
      <c r="C9" s="18">
        <f>'03_Assumptions'!B10*50%</f>
        <v/>
      </c>
      <c r="D9" s="18">
        <f>'03_Assumptions'!B10*30%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>
        <f>SUM(B9:P9)</f>
        <v/>
      </c>
    </row>
    <row r="10">
      <c r="A10" s="5" t="inlineStr">
        <is>
          <t>Total Funding Requirement</t>
        </is>
      </c>
      <c r="B10" s="18">
        <f>B8+B9</f>
        <v/>
      </c>
      <c r="C10" s="18">
        <f>C8+C9</f>
        <v/>
      </c>
      <c r="D10" s="18">
        <f>D8+D9</f>
        <v/>
      </c>
      <c r="E10" s="18">
        <f>E8+E9</f>
        <v/>
      </c>
      <c r="F10" s="18">
        <f>F8+F9</f>
        <v/>
      </c>
      <c r="G10" s="18">
        <f>G8+G9</f>
        <v/>
      </c>
      <c r="H10" s="18">
        <f>H8+H9</f>
        <v/>
      </c>
      <c r="I10" s="18">
        <f>I8+I9</f>
        <v/>
      </c>
      <c r="J10" s="18">
        <f>J8+J9</f>
        <v/>
      </c>
      <c r="K10" s="18">
        <f>K8+K9</f>
        <v/>
      </c>
      <c r="L10" s="18">
        <f>L8+L9</f>
        <v/>
      </c>
      <c r="M10" s="18">
        <f>M8+M9</f>
        <v/>
      </c>
      <c r="N10" s="18">
        <f>N8+N9</f>
        <v/>
      </c>
      <c r="O10" s="18">
        <f>O8+O9</f>
        <v/>
      </c>
      <c r="P10" s="18">
        <f>P8+P9</f>
        <v/>
      </c>
      <c r="Q10" s="18">
        <f>SUM(B10:P10)</f>
        <v/>
      </c>
    </row>
  </sheetData>
  <mergeCells count="2">
    <mergeCell ref="A3:R3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06_OPEX | Revenue, EBITDA, WC</t>
        </is>
      </c>
    </row>
    <row r="3">
      <c r="A3" s="4" t="inlineStr">
        <is>
          <t>Operating build-up</t>
        </is>
      </c>
    </row>
    <row r="4">
      <c r="A4" s="17" t="inlineStr">
        <is>
          <t>Line Item</t>
        </is>
      </c>
      <c r="B4" s="17" t="n">
        <v>2026</v>
      </c>
      <c r="C4" s="17" t="n">
        <v>2027</v>
      </c>
      <c r="D4" s="17" t="n">
        <v>2028</v>
      </c>
      <c r="E4" s="17" t="n">
        <v>2029</v>
      </c>
      <c r="F4" s="17" t="n">
        <v>2030</v>
      </c>
      <c r="G4" s="17" t="n">
        <v>2031</v>
      </c>
      <c r="H4" s="17" t="n">
        <v>2032</v>
      </c>
      <c r="I4" s="17" t="n">
        <v>2033</v>
      </c>
      <c r="J4" s="17" t="n">
        <v>2034</v>
      </c>
      <c r="K4" s="17" t="n">
        <v>2035</v>
      </c>
      <c r="L4" s="17" t="n">
        <v>2036</v>
      </c>
      <c r="M4" s="17" t="n">
        <v>2037</v>
      </c>
      <c r="N4" s="17" t="n">
        <v>2038</v>
      </c>
      <c r="O4" s="17" t="n">
        <v>2039</v>
      </c>
      <c r="P4" s="17" t="n">
        <v>2040</v>
      </c>
      <c r="Q4" s="17" t="inlineStr">
        <is>
          <t>Total</t>
        </is>
      </c>
    </row>
    <row r="5">
      <c r="A5" s="5" t="inlineStr">
        <is>
          <t>Operating Year</t>
        </is>
      </c>
      <c r="B5" s="16">
        <f>IF(B$4&lt;2029,0,B$4-2029+1)</f>
        <v/>
      </c>
      <c r="C5" s="16">
        <f>IF(C$4&lt;2029,0,C$4-2029+1)</f>
        <v/>
      </c>
      <c r="D5" s="16">
        <f>IF(D$4&lt;2029,0,D$4-2029+1)</f>
        <v/>
      </c>
      <c r="E5" s="16">
        <f>IF(E$4&lt;2029,0,E$4-2029+1)</f>
        <v/>
      </c>
      <c r="F5" s="16">
        <f>IF(F$4&lt;2029,0,F$4-2029+1)</f>
        <v/>
      </c>
      <c r="G5" s="16">
        <f>IF(G$4&lt;2029,0,G$4-2029+1)</f>
        <v/>
      </c>
      <c r="H5" s="16">
        <f>IF(H$4&lt;2029,0,H$4-2029+1)</f>
        <v/>
      </c>
      <c r="I5" s="16">
        <f>IF(I$4&lt;2029,0,I$4-2029+1)</f>
        <v/>
      </c>
      <c r="J5" s="16">
        <f>IF(J$4&lt;2029,0,J$4-2029+1)</f>
        <v/>
      </c>
      <c r="K5" s="16">
        <f>IF(K$4&lt;2029,0,K$4-2029+1)</f>
        <v/>
      </c>
      <c r="L5" s="16">
        <f>IF(L$4&lt;2029,0,L$4-2029+1)</f>
        <v/>
      </c>
      <c r="M5" s="16">
        <f>IF(M$4&lt;2029,0,M$4-2029+1)</f>
        <v/>
      </c>
      <c r="N5" s="16">
        <f>IF(N$4&lt;2029,0,N$4-2029+1)</f>
        <v/>
      </c>
      <c r="O5" s="16">
        <f>IF(O$4&lt;2029,0,O$4-2029+1)</f>
        <v/>
      </c>
      <c r="P5" s="16">
        <f>IF(P$4&lt;2029,0,P$4-2029+1)</f>
        <v/>
      </c>
      <c r="Q5" s="5">
        <f>SUM(B5:P5)</f>
        <v/>
      </c>
    </row>
    <row r="6">
      <c r="A6" s="5" t="inlineStr">
        <is>
          <t>Revenue</t>
        </is>
      </c>
      <c r="B6" s="19">
        <f>IF(B5=0,0,IF(B5=1,'03_Assumptions'!B13,IF(B5&lt;=5,'03_Assumptions'!B13+(('03_Assumptions'!B14-'03_Assumptions'!B13)/4)*(B5-1),'03_Assumptions'!B14*(1+'03_Assumptions'!B16)^(B5-5))))</f>
        <v/>
      </c>
      <c r="C6" s="19">
        <f>IF(C5=0,0,IF(C5=1,'03_Assumptions'!B13,IF(C5&lt;=5,'03_Assumptions'!B13+(('03_Assumptions'!B14-'03_Assumptions'!B13)/4)*(C5-1),'03_Assumptions'!B14*(1+'03_Assumptions'!B16)^(C5-5))))</f>
        <v/>
      </c>
      <c r="D6" s="19">
        <f>IF(D5=0,0,IF(D5=1,'03_Assumptions'!B13,IF(D5&lt;=5,'03_Assumptions'!B13+(('03_Assumptions'!B14-'03_Assumptions'!B13)/4)*(D5-1),'03_Assumptions'!B14*(1+'03_Assumptions'!B16)^(D5-5))))</f>
        <v/>
      </c>
      <c r="E6" s="19">
        <f>IF(E5=0,0,IF(E5=1,'03_Assumptions'!B13,IF(E5&lt;=5,'03_Assumptions'!B13+(('03_Assumptions'!B14-'03_Assumptions'!B13)/4)*(E5-1),'03_Assumptions'!B14*(1+'03_Assumptions'!B16)^(E5-5))))</f>
        <v/>
      </c>
      <c r="F6" s="19">
        <f>IF(F5=0,0,IF(F5=1,'03_Assumptions'!B13,IF(F5&lt;=5,'03_Assumptions'!B13+(('03_Assumptions'!B14-'03_Assumptions'!B13)/4)*(F5-1),'03_Assumptions'!B14*(1+'03_Assumptions'!B16)^(F5-5))))</f>
        <v/>
      </c>
      <c r="G6" s="19">
        <f>IF(G5=0,0,IF(G5=1,'03_Assumptions'!B13,IF(G5&lt;=5,'03_Assumptions'!B13+(('03_Assumptions'!B14-'03_Assumptions'!B13)/4)*(G5-1),'03_Assumptions'!B14*(1+'03_Assumptions'!B16)^(G5-5))))</f>
        <v/>
      </c>
      <c r="H6" s="19">
        <f>IF(H5=0,0,IF(H5=1,'03_Assumptions'!B13,IF(H5&lt;=5,'03_Assumptions'!B13+(('03_Assumptions'!B14-'03_Assumptions'!B13)/4)*(H5-1),'03_Assumptions'!B14*(1+'03_Assumptions'!B16)^(H5-5))))</f>
        <v/>
      </c>
      <c r="I6" s="19">
        <f>IF(I5=0,0,IF(I5=1,'03_Assumptions'!B13,IF(I5&lt;=5,'03_Assumptions'!B13+(('03_Assumptions'!B14-'03_Assumptions'!B13)/4)*(I5-1),'03_Assumptions'!B14*(1+'03_Assumptions'!B16)^(I5-5))))</f>
        <v/>
      </c>
      <c r="J6" s="19">
        <f>IF(J5=0,0,IF(J5=1,'03_Assumptions'!B13,IF(J5&lt;=5,'03_Assumptions'!B13+(('03_Assumptions'!B14-'03_Assumptions'!B13)/4)*(J5-1),'03_Assumptions'!B14*(1+'03_Assumptions'!B16)^(J5-5))))</f>
        <v/>
      </c>
      <c r="K6" s="19">
        <f>IF(K5=0,0,IF(K5=1,'03_Assumptions'!B13,IF(K5&lt;=5,'03_Assumptions'!B13+(('03_Assumptions'!B14-'03_Assumptions'!B13)/4)*(K5-1),'03_Assumptions'!B14*(1+'03_Assumptions'!B16)^(K5-5))))</f>
        <v/>
      </c>
      <c r="L6" s="19">
        <f>IF(L5=0,0,IF(L5=1,'03_Assumptions'!B13,IF(L5&lt;=5,'03_Assumptions'!B13+(('03_Assumptions'!B14-'03_Assumptions'!B13)/4)*(L5-1),'03_Assumptions'!B14*(1+'03_Assumptions'!B16)^(L5-5))))</f>
        <v/>
      </c>
      <c r="M6" s="19">
        <f>IF(M5=0,0,IF(M5=1,'03_Assumptions'!B13,IF(M5&lt;=5,'03_Assumptions'!B13+(('03_Assumptions'!B14-'03_Assumptions'!B13)/4)*(M5-1),'03_Assumptions'!B14*(1+'03_Assumptions'!B16)^(M5-5))))</f>
        <v/>
      </c>
      <c r="N6" s="19">
        <f>IF(N5=0,0,IF(N5=1,'03_Assumptions'!B13,IF(N5&lt;=5,'03_Assumptions'!B13+(('03_Assumptions'!B14-'03_Assumptions'!B13)/4)*(N5-1),'03_Assumptions'!B14*(1+'03_Assumptions'!B16)^(N5-5))))</f>
        <v/>
      </c>
      <c r="O6" s="19">
        <f>IF(O5=0,0,IF(O5=1,'03_Assumptions'!B13,IF(O5&lt;=5,'03_Assumptions'!B13+(('03_Assumptions'!B14-'03_Assumptions'!B13)/4)*(O5-1),'03_Assumptions'!B14*(1+'03_Assumptions'!B16)^(O5-5))))</f>
        <v/>
      </c>
      <c r="P6" s="19">
        <f>IF(P5=0,0,IF(P5=1,'03_Assumptions'!B13,IF(P5&lt;=5,'03_Assumptions'!B13+(('03_Assumptions'!B14-'03_Assumptions'!B13)/4)*(P5-1),'03_Assumptions'!B14*(1+'03_Assumptions'!B16)^(P5-5))))</f>
        <v/>
      </c>
      <c r="Q6" s="19">
        <f>SUM(B6:P6)</f>
        <v/>
      </c>
    </row>
    <row r="7">
      <c r="A7" s="5" t="inlineStr">
        <is>
          <t>EBITDA Margin</t>
        </is>
      </c>
      <c r="B7" s="20">
        <f>IF(B5=0,0,IF(B5&gt;=5,'03_Assumptions'!B16,'03_Assumptions'!B26+(('03_Assumptions'!B16-'03_Assumptions'!B26)/4)*(B5-1)))</f>
        <v/>
      </c>
      <c r="C7" s="20">
        <f>IF(C5=0,0,IF(C5&gt;=5,'03_Assumptions'!B16,'03_Assumptions'!B26+(('03_Assumptions'!B16-'03_Assumptions'!B26)/4)*(C5-1)))</f>
        <v/>
      </c>
      <c r="D7" s="20">
        <f>IF(D5=0,0,IF(D5&gt;=5,'03_Assumptions'!B16,'03_Assumptions'!B26+(('03_Assumptions'!B16-'03_Assumptions'!B26)/4)*(D5-1)))</f>
        <v/>
      </c>
      <c r="E7" s="20">
        <f>IF(E5=0,0,IF(E5&gt;=5,'03_Assumptions'!B16,'03_Assumptions'!B26+(('03_Assumptions'!B16-'03_Assumptions'!B26)/4)*(E5-1)))</f>
        <v/>
      </c>
      <c r="F7" s="20">
        <f>IF(F5=0,0,IF(F5&gt;=5,'03_Assumptions'!B16,'03_Assumptions'!B26+(('03_Assumptions'!B16-'03_Assumptions'!B26)/4)*(F5-1)))</f>
        <v/>
      </c>
      <c r="G7" s="20">
        <f>IF(G5=0,0,IF(G5&gt;=5,'03_Assumptions'!B16,'03_Assumptions'!B26+(('03_Assumptions'!B16-'03_Assumptions'!B26)/4)*(G5-1)))</f>
        <v/>
      </c>
      <c r="H7" s="20">
        <f>IF(H5=0,0,IF(H5&gt;=5,'03_Assumptions'!B16,'03_Assumptions'!B26+(('03_Assumptions'!B16-'03_Assumptions'!B26)/4)*(H5-1)))</f>
        <v/>
      </c>
      <c r="I7" s="20">
        <f>IF(I5=0,0,IF(I5&gt;=5,'03_Assumptions'!B16,'03_Assumptions'!B26+(('03_Assumptions'!B16-'03_Assumptions'!B26)/4)*(I5-1)))</f>
        <v/>
      </c>
      <c r="J7" s="20">
        <f>IF(J5=0,0,IF(J5&gt;=5,'03_Assumptions'!B16,'03_Assumptions'!B26+(('03_Assumptions'!B16-'03_Assumptions'!B26)/4)*(J5-1)))</f>
        <v/>
      </c>
      <c r="K7" s="20">
        <f>IF(K5=0,0,IF(K5&gt;=5,'03_Assumptions'!B16,'03_Assumptions'!B26+(('03_Assumptions'!B16-'03_Assumptions'!B26)/4)*(K5-1)))</f>
        <v/>
      </c>
      <c r="L7" s="20">
        <f>IF(L5=0,0,IF(L5&gt;=5,'03_Assumptions'!B16,'03_Assumptions'!B26+(('03_Assumptions'!B16-'03_Assumptions'!B26)/4)*(L5-1)))</f>
        <v/>
      </c>
      <c r="M7" s="20">
        <f>IF(M5=0,0,IF(M5&gt;=5,'03_Assumptions'!B16,'03_Assumptions'!B26+(('03_Assumptions'!B16-'03_Assumptions'!B26)/4)*(M5-1)))</f>
        <v/>
      </c>
      <c r="N7" s="20">
        <f>IF(N5=0,0,IF(N5&gt;=5,'03_Assumptions'!B16,'03_Assumptions'!B26+(('03_Assumptions'!B16-'03_Assumptions'!B26)/4)*(N5-1)))</f>
        <v/>
      </c>
      <c r="O7" s="20">
        <f>IF(O5=0,0,IF(O5&gt;=5,'03_Assumptions'!B16,'03_Assumptions'!B26+(('03_Assumptions'!B16-'03_Assumptions'!B26)/4)*(O5-1)))</f>
        <v/>
      </c>
      <c r="P7" s="20">
        <f>IF(P5=0,0,IF(P5&gt;=5,'03_Assumptions'!B16,'03_Assumptions'!B26+(('03_Assumptions'!B16-'03_Assumptions'!B26)/4)*(P5-1)))</f>
        <v/>
      </c>
      <c r="Q7" s="20">
        <f>SUM(B7:P7)</f>
        <v/>
      </c>
    </row>
    <row r="8">
      <c r="A8" s="5" t="inlineStr">
        <is>
          <t>EBITDA</t>
        </is>
      </c>
      <c r="B8" s="19">
        <f>B6*B7</f>
        <v/>
      </c>
      <c r="C8" s="19">
        <f>C6*C7</f>
        <v/>
      </c>
      <c r="D8" s="19">
        <f>D6*D7</f>
        <v/>
      </c>
      <c r="E8" s="19">
        <f>E6*E7</f>
        <v/>
      </c>
      <c r="F8" s="19">
        <f>F6*F7</f>
        <v/>
      </c>
      <c r="G8" s="19">
        <f>G6*G7</f>
        <v/>
      </c>
      <c r="H8" s="19">
        <f>H6*H7</f>
        <v/>
      </c>
      <c r="I8" s="19">
        <f>I6*I7</f>
        <v/>
      </c>
      <c r="J8" s="19">
        <f>J6*J7</f>
        <v/>
      </c>
      <c r="K8" s="19">
        <f>K6*K7</f>
        <v/>
      </c>
      <c r="L8" s="19">
        <f>L6*L7</f>
        <v/>
      </c>
      <c r="M8" s="19">
        <f>M6*M7</f>
        <v/>
      </c>
      <c r="N8" s="19">
        <f>N6*N7</f>
        <v/>
      </c>
      <c r="O8" s="19">
        <f>O6*O7</f>
        <v/>
      </c>
      <c r="P8" s="19">
        <f>P6*P7</f>
        <v/>
      </c>
      <c r="Q8" s="19">
        <f>SUM(B8:P8)</f>
        <v/>
      </c>
    </row>
    <row r="9">
      <c r="A9" s="5" t="inlineStr">
        <is>
          <t>Tax Rate</t>
        </is>
      </c>
      <c r="B9" s="20">
        <f>IF(B5=0,0,'03_Assumptions'!B24)</f>
        <v/>
      </c>
      <c r="C9" s="20">
        <f>IF(C5=0,0,'03_Assumptions'!B24)</f>
        <v/>
      </c>
      <c r="D9" s="20">
        <f>IF(D5=0,0,'03_Assumptions'!B24)</f>
        <v/>
      </c>
      <c r="E9" s="20">
        <f>IF(E5=0,0,'03_Assumptions'!B24)</f>
        <v/>
      </c>
      <c r="F9" s="20">
        <f>IF(F5=0,0,'03_Assumptions'!B24)</f>
        <v/>
      </c>
      <c r="G9" s="20">
        <f>IF(G5=0,0,'03_Assumptions'!B24)</f>
        <v/>
      </c>
      <c r="H9" s="20">
        <f>IF(H5=0,0,'03_Assumptions'!B24)</f>
        <v/>
      </c>
      <c r="I9" s="20">
        <f>IF(I5=0,0,'03_Assumptions'!B24)</f>
        <v/>
      </c>
      <c r="J9" s="20">
        <f>IF(J5=0,0,'03_Assumptions'!B24)</f>
        <v/>
      </c>
      <c r="K9" s="20">
        <f>IF(K5=0,0,'03_Assumptions'!B24)</f>
        <v/>
      </c>
      <c r="L9" s="20">
        <f>IF(L5=0,0,'03_Assumptions'!B24)</f>
        <v/>
      </c>
      <c r="M9" s="20">
        <f>IF(M5=0,0,'03_Assumptions'!B24)</f>
        <v/>
      </c>
      <c r="N9" s="20">
        <f>IF(N5=0,0,'03_Assumptions'!B24)</f>
        <v/>
      </c>
      <c r="O9" s="20">
        <f>IF(O5=0,0,'03_Assumptions'!B24)</f>
        <v/>
      </c>
      <c r="P9" s="20">
        <f>IF(P5=0,0,'03_Assumptions'!B24)</f>
        <v/>
      </c>
      <c r="Q9" s="20">
        <f>SUM(B9:P9)</f>
        <v/>
      </c>
    </row>
    <row r="10">
      <c r="A10" s="5" t="inlineStr">
        <is>
          <t>Cash Taxes</t>
        </is>
      </c>
      <c r="B10" s="19">
        <f>MAX(0,B8*B9)</f>
        <v/>
      </c>
      <c r="C10" s="19">
        <f>MAX(0,C8*C9)</f>
        <v/>
      </c>
      <c r="D10" s="19">
        <f>MAX(0,D8*D9)</f>
        <v/>
      </c>
      <c r="E10" s="19">
        <f>MAX(0,E8*E9)</f>
        <v/>
      </c>
      <c r="F10" s="19">
        <f>MAX(0,F8*F9)</f>
        <v/>
      </c>
      <c r="G10" s="19">
        <f>MAX(0,G8*G9)</f>
        <v/>
      </c>
      <c r="H10" s="19">
        <f>MAX(0,H8*H9)</f>
        <v/>
      </c>
      <c r="I10" s="19">
        <f>MAX(0,I8*I9)</f>
        <v/>
      </c>
      <c r="J10" s="19">
        <f>MAX(0,J8*J9)</f>
        <v/>
      </c>
      <c r="K10" s="19">
        <f>MAX(0,K8*K9)</f>
        <v/>
      </c>
      <c r="L10" s="19">
        <f>MAX(0,L8*L9)</f>
        <v/>
      </c>
      <c r="M10" s="19">
        <f>MAX(0,M8*M9)</f>
        <v/>
      </c>
      <c r="N10" s="19">
        <f>MAX(0,N8*N9)</f>
        <v/>
      </c>
      <c r="O10" s="19">
        <f>MAX(0,O8*O9)</f>
        <v/>
      </c>
      <c r="P10" s="19">
        <f>MAX(0,P8*P9)</f>
        <v/>
      </c>
      <c r="Q10" s="19">
        <f>SUM(B10:P10)</f>
        <v/>
      </c>
    </row>
    <row r="11">
      <c r="A11" s="5" t="inlineStr">
        <is>
          <t>NWC % of Revenue</t>
        </is>
      </c>
      <c r="B11" s="20">
        <f>IF(B5=0,0,'03_Assumptions'!B19)</f>
        <v/>
      </c>
      <c r="C11" s="20">
        <f>IF(C5=0,0,'03_Assumptions'!B19)</f>
        <v/>
      </c>
      <c r="D11" s="20">
        <f>IF(D5=0,0,'03_Assumptions'!B19)</f>
        <v/>
      </c>
      <c r="E11" s="20">
        <f>IF(E5=0,0,'03_Assumptions'!B19)</f>
        <v/>
      </c>
      <c r="F11" s="20">
        <f>IF(F5=0,0,'03_Assumptions'!B19)</f>
        <v/>
      </c>
      <c r="G11" s="20">
        <f>IF(G5=0,0,'03_Assumptions'!B19)</f>
        <v/>
      </c>
      <c r="H11" s="20">
        <f>IF(H5=0,0,'03_Assumptions'!B19)</f>
        <v/>
      </c>
      <c r="I11" s="20">
        <f>IF(I5=0,0,'03_Assumptions'!B19)</f>
        <v/>
      </c>
      <c r="J11" s="20">
        <f>IF(J5=0,0,'03_Assumptions'!B19)</f>
        <v/>
      </c>
      <c r="K11" s="20">
        <f>IF(K5=0,0,'03_Assumptions'!B19)</f>
        <v/>
      </c>
      <c r="L11" s="20">
        <f>IF(L5=0,0,'03_Assumptions'!B19)</f>
        <v/>
      </c>
      <c r="M11" s="20">
        <f>IF(M5=0,0,'03_Assumptions'!B19)</f>
        <v/>
      </c>
      <c r="N11" s="20">
        <f>IF(N5=0,0,'03_Assumptions'!B19)</f>
        <v/>
      </c>
      <c r="O11" s="20">
        <f>IF(O5=0,0,'03_Assumptions'!B19)</f>
        <v/>
      </c>
      <c r="P11" s="20">
        <f>IF(P5=0,0,'03_Assumptions'!B19)</f>
        <v/>
      </c>
      <c r="Q11" s="20">
        <f>SUM(B11:P11)</f>
        <v/>
      </c>
    </row>
    <row r="12">
      <c r="A12" s="5" t="inlineStr">
        <is>
          <t>Net Working Capital</t>
        </is>
      </c>
      <c r="B12" s="19">
        <f>B6*B11</f>
        <v/>
      </c>
      <c r="C12" s="19">
        <f>C6*C11</f>
        <v/>
      </c>
      <c r="D12" s="19">
        <f>D6*D11</f>
        <v/>
      </c>
      <c r="E12" s="19">
        <f>E6*E11</f>
        <v/>
      </c>
      <c r="F12" s="19">
        <f>F6*F11</f>
        <v/>
      </c>
      <c r="G12" s="19">
        <f>G6*G11</f>
        <v/>
      </c>
      <c r="H12" s="19">
        <f>H6*H11</f>
        <v/>
      </c>
      <c r="I12" s="19">
        <f>I6*I11</f>
        <v/>
      </c>
      <c r="J12" s="19">
        <f>J6*J11</f>
        <v/>
      </c>
      <c r="K12" s="19">
        <f>K6*K11</f>
        <v/>
      </c>
      <c r="L12" s="19">
        <f>L6*L11</f>
        <v/>
      </c>
      <c r="M12" s="19">
        <f>M6*M11</f>
        <v/>
      </c>
      <c r="N12" s="19">
        <f>N6*N11</f>
        <v/>
      </c>
      <c r="O12" s="19">
        <f>O6*O11</f>
        <v/>
      </c>
      <c r="P12" s="19">
        <f>P6*P11</f>
        <v/>
      </c>
      <c r="Q12" s="19">
        <f>SUM(B12:P12)</f>
        <v/>
      </c>
    </row>
    <row r="13">
      <c r="A13" s="5" t="inlineStr">
        <is>
          <t>Delta NWC</t>
        </is>
      </c>
      <c r="B13" s="19">
        <f>B12</f>
        <v/>
      </c>
      <c r="C13" s="19">
        <f>C12-B12</f>
        <v/>
      </c>
      <c r="D13" s="19">
        <f>D12-C12</f>
        <v/>
      </c>
      <c r="E13" s="19">
        <f>E12-D12</f>
        <v/>
      </c>
      <c r="F13" s="19">
        <f>F12-E12</f>
        <v/>
      </c>
      <c r="G13" s="19">
        <f>G12-F12</f>
        <v/>
      </c>
      <c r="H13" s="19">
        <f>H12-G12</f>
        <v/>
      </c>
      <c r="I13" s="19">
        <f>I12-H12</f>
        <v/>
      </c>
      <c r="J13" s="19">
        <f>J12-I12</f>
        <v/>
      </c>
      <c r="K13" s="19">
        <f>K12-J12</f>
        <v/>
      </c>
      <c r="L13" s="19">
        <f>L12-K12</f>
        <v/>
      </c>
      <c r="M13" s="19">
        <f>M12-L12</f>
        <v/>
      </c>
      <c r="N13" s="19">
        <f>N12-M12</f>
        <v/>
      </c>
      <c r="O13" s="19">
        <f>O12-N12</f>
        <v/>
      </c>
      <c r="P13" s="19">
        <f>P12-O12</f>
        <v/>
      </c>
      <c r="Q13" s="19">
        <f>SUM(B13:P13)</f>
        <v/>
      </c>
    </row>
    <row r="14">
      <c r="A14" s="5" t="inlineStr">
        <is>
          <t>Maintenance CAPEX</t>
        </is>
      </c>
      <c r="B14" s="19">
        <f>B6*'03_Assumptions'!B25</f>
        <v/>
      </c>
      <c r="C14" s="19">
        <f>C6*'03_Assumptions'!B25</f>
        <v/>
      </c>
      <c r="D14" s="19">
        <f>D6*'03_Assumptions'!B25</f>
        <v/>
      </c>
      <c r="E14" s="19">
        <f>E6*'03_Assumptions'!B25</f>
        <v/>
      </c>
      <c r="F14" s="19">
        <f>F6*'03_Assumptions'!B25</f>
        <v/>
      </c>
      <c r="G14" s="19">
        <f>G6*'03_Assumptions'!B25</f>
        <v/>
      </c>
      <c r="H14" s="19">
        <f>H6*'03_Assumptions'!B25</f>
        <v/>
      </c>
      <c r="I14" s="19">
        <f>I6*'03_Assumptions'!B25</f>
        <v/>
      </c>
      <c r="J14" s="19">
        <f>J6*'03_Assumptions'!B25</f>
        <v/>
      </c>
      <c r="K14" s="19">
        <f>K6*'03_Assumptions'!B25</f>
        <v/>
      </c>
      <c r="L14" s="19">
        <f>L6*'03_Assumptions'!B25</f>
        <v/>
      </c>
      <c r="M14" s="19">
        <f>M6*'03_Assumptions'!B25</f>
        <v/>
      </c>
      <c r="N14" s="19">
        <f>N6*'03_Assumptions'!B25</f>
        <v/>
      </c>
      <c r="O14" s="19">
        <f>O6*'03_Assumptions'!B25</f>
        <v/>
      </c>
      <c r="P14" s="19">
        <f>P6*'03_Assumptions'!B25</f>
        <v/>
      </c>
      <c r="Q14" s="19">
        <f>SUM(B14:P14)</f>
        <v/>
      </c>
    </row>
    <row r="17">
      <c r="A17" s="21" t="inlineStr">
        <is>
          <t>Note: Year 2-Year 4 revenue is linear interpolation between locked Year 1 and locked Year 5. Review if management has an approved annual ramp.</t>
        </is>
      </c>
    </row>
  </sheetData>
  <mergeCells count="2">
    <mergeCell ref="A3:R3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07_Funding | Sources &amp; Uses</t>
        </is>
      </c>
    </row>
    <row r="3">
      <c r="A3" s="4" t="inlineStr">
        <is>
          <t>Sources &amp; Uses</t>
        </is>
      </c>
    </row>
    <row r="4">
      <c r="A4" s="5" t="inlineStr">
        <is>
          <t>Use / Source</t>
        </is>
      </c>
      <c r="B4" s="5" t="inlineStr">
        <is>
          <t>Amount</t>
        </is>
      </c>
    </row>
    <row r="5">
      <c r="A5" s="5" t="inlineStr">
        <is>
          <t>Direct CAPEX</t>
        </is>
      </c>
      <c r="B5" s="19">
        <f>'03_Assumptions'!B5</f>
        <v/>
      </c>
    </row>
    <row r="6">
      <c r="A6" s="5" t="inlineStr">
        <is>
          <t>Contingency</t>
        </is>
      </c>
      <c r="B6" s="19">
        <f>'03_Assumptions'!B6</f>
        <v/>
      </c>
    </row>
    <row r="7">
      <c r="A7" s="5" t="inlineStr">
        <is>
          <t>Escalation</t>
        </is>
      </c>
      <c r="B7" s="19">
        <f>'03_Assumptions'!B7</f>
        <v/>
      </c>
    </row>
    <row r="8">
      <c r="A8" s="5" t="inlineStr">
        <is>
          <t>TPC</t>
        </is>
      </c>
      <c r="B8" s="19">
        <f>'03_Assumptions'!B4</f>
        <v/>
      </c>
    </row>
    <row r="9">
      <c r="A9" s="5" t="inlineStr">
        <is>
          <t>IDC</t>
        </is>
      </c>
      <c r="B9" s="19">
        <f>'03_Assumptions'!B10</f>
        <v/>
      </c>
    </row>
    <row r="10">
      <c r="A10" s="5" t="inlineStr">
        <is>
          <t>Total Uses</t>
        </is>
      </c>
      <c r="B10" s="19">
        <f>SUM(B8:B9)</f>
        <v/>
      </c>
    </row>
    <row r="11">
      <c r="A11" s="5" t="n"/>
      <c r="B11" s="5" t="n"/>
    </row>
    <row r="12">
      <c r="A12" s="5" t="inlineStr">
        <is>
          <t>Debt</t>
        </is>
      </c>
      <c r="B12" s="19">
        <f>'03_Assumptions'!B8</f>
        <v/>
      </c>
    </row>
    <row r="13">
      <c r="A13" s="5" t="inlineStr">
        <is>
          <t>Equity</t>
        </is>
      </c>
      <c r="B13" s="19">
        <f>'03_Assumptions'!B9</f>
        <v/>
      </c>
    </row>
    <row r="14">
      <c r="A14" s="5" t="inlineStr">
        <is>
          <t>Total Sources (ex-IDC)</t>
        </is>
      </c>
      <c r="B14" s="19">
        <f>SUM(B12:B13)</f>
        <v/>
      </c>
    </row>
    <row r="15">
      <c r="A15" s="5" t="inlineStr">
        <is>
          <t>Funding Gap / IDC bridge</t>
        </is>
      </c>
      <c r="B15" s="19">
        <f>B10-B14</f>
        <v/>
      </c>
    </row>
    <row r="16">
      <c r="A16" s="5" t="n"/>
      <c r="B16" s="5" t="n"/>
    </row>
    <row r="17">
      <c r="A17" s="5" t="inlineStr">
        <is>
          <t>Check</t>
        </is>
      </c>
      <c r="B17" s="22">
        <f>IF(ABS(B15)&lt;=1,"OK - Balanced","CHECK IDC FUNDING")</f>
        <v/>
      </c>
    </row>
  </sheetData>
  <mergeCells count="2">
    <mergeCell ref="A3:R3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08_Debt | Annual debt schedule</t>
        </is>
      </c>
    </row>
    <row r="3">
      <c r="A3" s="4" t="inlineStr">
        <is>
          <t>Debt schedule</t>
        </is>
      </c>
    </row>
    <row r="4">
      <c r="A4" s="17" t="inlineStr">
        <is>
          <t>Line Item</t>
        </is>
      </c>
      <c r="B4" s="17" t="n">
        <v>2026</v>
      </c>
      <c r="C4" s="17" t="n">
        <v>2027</v>
      </c>
      <c r="D4" s="17" t="n">
        <v>2028</v>
      </c>
      <c r="E4" s="17" t="n">
        <v>2029</v>
      </c>
      <c r="F4" s="17" t="n">
        <v>2030</v>
      </c>
      <c r="G4" s="17" t="n">
        <v>2031</v>
      </c>
      <c r="H4" s="17" t="n">
        <v>2032</v>
      </c>
      <c r="I4" s="17" t="n">
        <v>2033</v>
      </c>
      <c r="J4" s="17" t="n">
        <v>2034</v>
      </c>
      <c r="K4" s="17" t="n">
        <v>2035</v>
      </c>
      <c r="L4" s="17" t="n">
        <v>2036</v>
      </c>
      <c r="M4" s="17" t="n">
        <v>2037</v>
      </c>
      <c r="N4" s="17" t="n">
        <v>2038</v>
      </c>
      <c r="O4" s="17" t="n">
        <v>2039</v>
      </c>
      <c r="P4" s="17" t="n">
        <v>2040</v>
      </c>
      <c r="Q4" s="17" t="inlineStr">
        <is>
          <t>Total</t>
        </is>
      </c>
    </row>
    <row r="5">
      <c r="A5" s="5" t="inlineStr">
        <is>
          <t>Opening Debt</t>
        </is>
      </c>
      <c r="B5" s="19" t="n">
        <v>0</v>
      </c>
      <c r="C5" s="19">
        <f>B11</f>
        <v/>
      </c>
      <c r="D5" s="19">
        <f>C11</f>
        <v/>
      </c>
      <c r="E5" s="19">
        <f>D11</f>
        <v/>
      </c>
      <c r="F5" s="19">
        <f>E11</f>
        <v/>
      </c>
      <c r="G5" s="19">
        <f>F11</f>
        <v/>
      </c>
      <c r="H5" s="19">
        <f>G11</f>
        <v/>
      </c>
      <c r="I5" s="19">
        <f>H11</f>
        <v/>
      </c>
      <c r="J5" s="19">
        <f>I11</f>
        <v/>
      </c>
      <c r="K5" s="19">
        <f>J11</f>
        <v/>
      </c>
      <c r="L5" s="19">
        <f>K11</f>
        <v/>
      </c>
      <c r="M5" s="19">
        <f>L11</f>
        <v/>
      </c>
      <c r="N5" s="19">
        <f>M11</f>
        <v/>
      </c>
      <c r="O5" s="19">
        <f>N11</f>
        <v/>
      </c>
      <c r="P5" s="19">
        <f>O11</f>
        <v/>
      </c>
      <c r="Q5" s="19">
        <f>SUM(B5:P5)</f>
        <v/>
      </c>
    </row>
    <row r="6">
      <c r="A6" s="5" t="inlineStr">
        <is>
          <t>Debt Drawdown</t>
        </is>
      </c>
      <c r="B6" s="19">
        <f>'03_Assumptions'!B8*20%</f>
        <v/>
      </c>
      <c r="C6" s="19">
        <f>'03_Assumptions'!B8*50%</f>
        <v/>
      </c>
      <c r="D6" s="19">
        <f>'03_Assumptions'!B8*30%</f>
        <v/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>
        <f>SUM(B6:P6)</f>
        <v/>
      </c>
    </row>
    <row r="7">
      <c r="A7" s="5" t="inlineStr">
        <is>
          <t>Capitalized IDC</t>
        </is>
      </c>
      <c r="B7" s="19">
        <f>'03_Assumptions'!B10*20%</f>
        <v/>
      </c>
      <c r="C7" s="19">
        <f>'03_Assumptions'!B10*50%</f>
        <v/>
      </c>
      <c r="D7" s="19">
        <f>'03_Assumptions'!B10*30%</f>
        <v/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>
        <f>SUM(B7:P7)</f>
        <v/>
      </c>
    </row>
    <row r="8">
      <c r="A8" s="5" t="inlineStr">
        <is>
          <t>Interest Rate</t>
        </is>
      </c>
      <c r="B8" s="20">
        <f>'03_Assumptions'!B23</f>
        <v/>
      </c>
      <c r="C8" s="20">
        <f>'03_Assumptions'!B23</f>
        <v/>
      </c>
      <c r="D8" s="20">
        <f>'03_Assumptions'!B23</f>
        <v/>
      </c>
      <c r="E8" s="20">
        <f>'03_Assumptions'!B23</f>
        <v/>
      </c>
      <c r="F8" s="20">
        <f>'03_Assumptions'!B23</f>
        <v/>
      </c>
      <c r="G8" s="20">
        <f>'03_Assumptions'!B23</f>
        <v/>
      </c>
      <c r="H8" s="20">
        <f>'03_Assumptions'!B23</f>
        <v/>
      </c>
      <c r="I8" s="20">
        <f>'03_Assumptions'!B23</f>
        <v/>
      </c>
      <c r="J8" s="20">
        <f>'03_Assumptions'!B23</f>
        <v/>
      </c>
      <c r="K8" s="20">
        <f>'03_Assumptions'!B23</f>
        <v/>
      </c>
      <c r="L8" s="20">
        <f>'03_Assumptions'!B23</f>
        <v/>
      </c>
      <c r="M8" s="20">
        <f>'03_Assumptions'!B23</f>
        <v/>
      </c>
      <c r="N8" s="20">
        <f>'03_Assumptions'!B23</f>
        <v/>
      </c>
      <c r="O8" s="20">
        <f>'03_Assumptions'!B23</f>
        <v/>
      </c>
      <c r="P8" s="20">
        <f>'03_Assumptions'!B23</f>
        <v/>
      </c>
      <c r="Q8" s="20">
        <f>SUM(B8:P8)</f>
        <v/>
      </c>
    </row>
    <row r="9">
      <c r="A9" s="5" t="inlineStr">
        <is>
          <t>Interest Expense</t>
        </is>
      </c>
      <c r="B9" s="19">
        <f>(B5+(B6+B7)/2)*B8</f>
        <v/>
      </c>
      <c r="C9" s="19">
        <f>(C5+(C6+C7)/2)*C8</f>
        <v/>
      </c>
      <c r="D9" s="19">
        <f>(D5+(D6+D7)/2)*D8</f>
        <v/>
      </c>
      <c r="E9" s="19">
        <f>(E5+(E6+E7)/2)*E8</f>
        <v/>
      </c>
      <c r="F9" s="19">
        <f>(F5+(F6+F7)/2)*F8</f>
        <v/>
      </c>
      <c r="G9" s="19">
        <f>(G5+(G6+G7)/2)*G8</f>
        <v/>
      </c>
      <c r="H9" s="19">
        <f>(H5+(H6+H7)/2)*H8</f>
        <v/>
      </c>
      <c r="I9" s="19">
        <f>(I5+(I6+I7)/2)*I8</f>
        <v/>
      </c>
      <c r="J9" s="19">
        <f>(J5+(J6+J7)/2)*J8</f>
        <v/>
      </c>
      <c r="K9" s="19">
        <f>(K5+(K6+K7)/2)*K8</f>
        <v/>
      </c>
      <c r="L9" s="19">
        <f>(L5+(L6+L7)/2)*L8</f>
        <v/>
      </c>
      <c r="M9" s="19">
        <f>(M5+(M6+M7)/2)*M8</f>
        <v/>
      </c>
      <c r="N9" s="19">
        <f>(N5+(N6+N7)/2)*N8</f>
        <v/>
      </c>
      <c r="O9" s="19">
        <f>(O5+(O6+O7)/2)*O8</f>
        <v/>
      </c>
      <c r="P9" s="19">
        <f>(P5+(P6+P7)/2)*P8</f>
        <v/>
      </c>
      <c r="Q9" s="19">
        <f>SUM(B9:P9)</f>
        <v/>
      </c>
    </row>
    <row r="10">
      <c r="A10" s="5" t="inlineStr">
        <is>
          <t>Principal Repayment</t>
        </is>
      </c>
      <c r="B10" s="19">
        <f>IF(AND(B$4&gt;=2029+'03_Assumptions'!B27,B$4&lt;2029+'03_Assumptions'!B27+'03_Assumptions'!B28),MAX(0,('03_Assumptions'!B8+'03_Assumptions'!B10)/('03_Assumptions'!B28-'03_Assumptions'!B27)),0)</f>
        <v/>
      </c>
      <c r="C10" s="19">
        <f>IF(AND(C$4&gt;=2029+'03_Assumptions'!B27,C$4&lt;2029+'03_Assumptions'!B27+'03_Assumptions'!B28),MAX(0,('03_Assumptions'!B8+'03_Assumptions'!B10)/('03_Assumptions'!B28-'03_Assumptions'!B27)),0)</f>
        <v/>
      </c>
      <c r="D10" s="19">
        <f>IF(AND(D$4&gt;=2029+'03_Assumptions'!B27,D$4&lt;2029+'03_Assumptions'!B27+'03_Assumptions'!B28),MAX(0,('03_Assumptions'!B8+'03_Assumptions'!B10)/('03_Assumptions'!B28-'03_Assumptions'!B27)),0)</f>
        <v/>
      </c>
      <c r="E10" s="19">
        <f>IF(AND(E$4&gt;=2029+'03_Assumptions'!B27,E$4&lt;2029+'03_Assumptions'!B27+'03_Assumptions'!B28),MAX(0,('03_Assumptions'!B8+'03_Assumptions'!B10)/('03_Assumptions'!B28-'03_Assumptions'!B27)),0)</f>
        <v/>
      </c>
      <c r="F10" s="19">
        <f>IF(AND(F$4&gt;=2029+'03_Assumptions'!B27,F$4&lt;2029+'03_Assumptions'!B27+'03_Assumptions'!B28),MAX(0,('03_Assumptions'!B8+'03_Assumptions'!B10)/('03_Assumptions'!B28-'03_Assumptions'!B27)),0)</f>
        <v/>
      </c>
      <c r="G10" s="19">
        <f>IF(AND(G$4&gt;=2029+'03_Assumptions'!B27,G$4&lt;2029+'03_Assumptions'!B27+'03_Assumptions'!B28),MAX(0,('03_Assumptions'!B8+'03_Assumptions'!B10)/('03_Assumptions'!B28-'03_Assumptions'!B27)),0)</f>
        <v/>
      </c>
      <c r="H10" s="19">
        <f>IF(AND(H$4&gt;=2029+'03_Assumptions'!B27,H$4&lt;2029+'03_Assumptions'!B27+'03_Assumptions'!B28),MAX(0,('03_Assumptions'!B8+'03_Assumptions'!B10)/('03_Assumptions'!B28-'03_Assumptions'!B27)),0)</f>
        <v/>
      </c>
      <c r="I10" s="19">
        <f>IF(AND(I$4&gt;=2029+'03_Assumptions'!B27,I$4&lt;2029+'03_Assumptions'!B27+'03_Assumptions'!B28),MAX(0,('03_Assumptions'!B8+'03_Assumptions'!B10)/('03_Assumptions'!B28-'03_Assumptions'!B27)),0)</f>
        <v/>
      </c>
      <c r="J10" s="19">
        <f>IF(AND(J$4&gt;=2029+'03_Assumptions'!B27,J$4&lt;2029+'03_Assumptions'!B27+'03_Assumptions'!B28),MAX(0,('03_Assumptions'!B8+'03_Assumptions'!B10)/('03_Assumptions'!B28-'03_Assumptions'!B27)),0)</f>
        <v/>
      </c>
      <c r="K10" s="19">
        <f>IF(AND(K$4&gt;=2029+'03_Assumptions'!B27,K$4&lt;2029+'03_Assumptions'!B27+'03_Assumptions'!B28),MAX(0,('03_Assumptions'!B8+'03_Assumptions'!B10)/('03_Assumptions'!B28-'03_Assumptions'!B27)),0)</f>
        <v/>
      </c>
      <c r="L10" s="19">
        <f>IF(AND(L$4&gt;=2029+'03_Assumptions'!B27,L$4&lt;2029+'03_Assumptions'!B27+'03_Assumptions'!B28),MAX(0,('03_Assumptions'!B8+'03_Assumptions'!B10)/('03_Assumptions'!B28-'03_Assumptions'!B27)),0)</f>
        <v/>
      </c>
      <c r="M10" s="19">
        <f>IF(AND(M$4&gt;=2029+'03_Assumptions'!B27,M$4&lt;2029+'03_Assumptions'!B27+'03_Assumptions'!B28),MAX(0,('03_Assumptions'!B8+'03_Assumptions'!B10)/('03_Assumptions'!B28-'03_Assumptions'!B27)),0)</f>
        <v/>
      </c>
      <c r="N10" s="19">
        <f>IF(AND(N$4&gt;=2029+'03_Assumptions'!B27,N$4&lt;2029+'03_Assumptions'!B27+'03_Assumptions'!B28),MAX(0,('03_Assumptions'!B8+'03_Assumptions'!B10)/('03_Assumptions'!B28-'03_Assumptions'!B27)),0)</f>
        <v/>
      </c>
      <c r="O10" s="19">
        <f>IF(AND(O$4&gt;=2029+'03_Assumptions'!B27,O$4&lt;2029+'03_Assumptions'!B27+'03_Assumptions'!B28),MAX(0,('03_Assumptions'!B8+'03_Assumptions'!B10)/('03_Assumptions'!B28-'03_Assumptions'!B27)),0)</f>
        <v/>
      </c>
      <c r="P10" s="19">
        <f>IF(AND(P$4&gt;=2029+'03_Assumptions'!B27,P$4&lt;2029+'03_Assumptions'!B27+'03_Assumptions'!B28),MAX(0,('03_Assumptions'!B8+'03_Assumptions'!B10)/('03_Assumptions'!B28-'03_Assumptions'!B27)),0)</f>
        <v/>
      </c>
      <c r="Q10" s="19">
        <f>SUM(B10:P10)</f>
        <v/>
      </c>
    </row>
    <row r="11">
      <c r="A11" s="5" t="inlineStr">
        <is>
          <t>Closing Debt</t>
        </is>
      </c>
      <c r="B11" s="19">
        <f>MAX(0,B5+B6+B7+B9-B10)</f>
        <v/>
      </c>
      <c r="C11" s="19">
        <f>MAX(0,C5+C6+C7+C9-C10)</f>
        <v/>
      </c>
      <c r="D11" s="19">
        <f>MAX(0,D5+D6+D7+D9-D10)</f>
        <v/>
      </c>
      <c r="E11" s="19">
        <f>MAX(0,E5+E6+E7+E9-E10)</f>
        <v/>
      </c>
      <c r="F11" s="19">
        <f>MAX(0,F5+F6+F7+F9-F10)</f>
        <v/>
      </c>
      <c r="G11" s="19">
        <f>MAX(0,G5+G6+G7+G9-G10)</f>
        <v/>
      </c>
      <c r="H11" s="19">
        <f>MAX(0,H5+H6+H7+H9-H10)</f>
        <v/>
      </c>
      <c r="I11" s="19">
        <f>MAX(0,I5+I6+I7+I9-I10)</f>
        <v/>
      </c>
      <c r="J11" s="19">
        <f>MAX(0,J5+J6+J7+J9-J10)</f>
        <v/>
      </c>
      <c r="K11" s="19">
        <f>MAX(0,K5+K6+K7+K9-K10)</f>
        <v/>
      </c>
      <c r="L11" s="19">
        <f>MAX(0,L5+L6+L7+L9-L10)</f>
        <v/>
      </c>
      <c r="M11" s="19">
        <f>MAX(0,M5+M6+M7+M9-M10)</f>
        <v/>
      </c>
      <c r="N11" s="19">
        <f>MAX(0,N5+N6+N7+N9-N10)</f>
        <v/>
      </c>
      <c r="O11" s="19">
        <f>MAX(0,O5+O6+O7+O9-O10)</f>
        <v/>
      </c>
      <c r="P11" s="19">
        <f>MAX(0,P5+P6+P7+P9-P10)</f>
        <v/>
      </c>
      <c r="Q11" s="19">
        <f>SUM(B11:P11)</f>
        <v/>
      </c>
    </row>
    <row r="12">
      <c r="A12" s="5" t="inlineStr">
        <is>
          <t>Debt Service</t>
        </is>
      </c>
      <c r="B12" s="19">
        <f>B9+B10</f>
        <v/>
      </c>
      <c r="C12" s="19">
        <f>C9+C10</f>
        <v/>
      </c>
      <c r="D12" s="19">
        <f>D9+D10</f>
        <v/>
      </c>
      <c r="E12" s="19">
        <f>E9+E10</f>
        <v/>
      </c>
      <c r="F12" s="19">
        <f>F9+F10</f>
        <v/>
      </c>
      <c r="G12" s="19">
        <f>G9+G10</f>
        <v/>
      </c>
      <c r="H12" s="19">
        <f>H9+H10</f>
        <v/>
      </c>
      <c r="I12" s="19">
        <f>I9+I10</f>
        <v/>
      </c>
      <c r="J12" s="19">
        <f>J9+J10</f>
        <v/>
      </c>
      <c r="K12" s="19">
        <f>K9+K10</f>
        <v/>
      </c>
      <c r="L12" s="19">
        <f>L9+L10</f>
        <v/>
      </c>
      <c r="M12" s="19">
        <f>M9+M10</f>
        <v/>
      </c>
      <c r="N12" s="19">
        <f>N9+N10</f>
        <v/>
      </c>
      <c r="O12" s="19">
        <f>O9+O10</f>
        <v/>
      </c>
      <c r="P12" s="19">
        <f>P9+P10</f>
        <v/>
      </c>
      <c r="Q12" s="19">
        <f>SUM(B12:P12)</f>
        <v/>
      </c>
    </row>
  </sheetData>
  <mergeCells count="2">
    <mergeCell ref="A3:R3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09_CashFlow | CFADS build</t>
        </is>
      </c>
    </row>
    <row r="3">
      <c r="A3" s="4" t="inlineStr">
        <is>
          <t>Cash flow available for debt service</t>
        </is>
      </c>
    </row>
    <row r="4">
      <c r="A4" s="17" t="inlineStr">
        <is>
          <t>Line Item</t>
        </is>
      </c>
      <c r="B4" s="17" t="n">
        <v>2026</v>
      </c>
      <c r="C4" s="17" t="n">
        <v>2027</v>
      </c>
      <c r="D4" s="17" t="n">
        <v>2028</v>
      </c>
      <c r="E4" s="17" t="n">
        <v>2029</v>
      </c>
      <c r="F4" s="17" t="n">
        <v>2030</v>
      </c>
      <c r="G4" s="17" t="n">
        <v>2031</v>
      </c>
      <c r="H4" s="17" t="n">
        <v>2032</v>
      </c>
      <c r="I4" s="17" t="n">
        <v>2033</v>
      </c>
      <c r="J4" s="17" t="n">
        <v>2034</v>
      </c>
      <c r="K4" s="17" t="n">
        <v>2035</v>
      </c>
      <c r="L4" s="17" t="n">
        <v>2036</v>
      </c>
      <c r="M4" s="17" t="n">
        <v>2037</v>
      </c>
      <c r="N4" s="17" t="n">
        <v>2038</v>
      </c>
      <c r="O4" s="17" t="n">
        <v>2039</v>
      </c>
      <c r="P4" s="17" t="n">
        <v>2040</v>
      </c>
      <c r="Q4" s="17" t="inlineStr">
        <is>
          <t>Total</t>
        </is>
      </c>
    </row>
    <row r="5">
      <c r="A5" s="5" t="inlineStr">
        <is>
          <t>Revenue</t>
        </is>
      </c>
      <c r="B5" s="19">
        <f>'06_OPEX'!B6</f>
        <v/>
      </c>
      <c r="C5" s="19">
        <f>'06_OPEX'!C6</f>
        <v/>
      </c>
      <c r="D5" s="19">
        <f>'06_OPEX'!D6</f>
        <v/>
      </c>
      <c r="E5" s="19">
        <f>'06_OPEX'!E6</f>
        <v/>
      </c>
      <c r="F5" s="19">
        <f>'06_OPEX'!F6</f>
        <v/>
      </c>
      <c r="G5" s="19">
        <f>'06_OPEX'!G6</f>
        <v/>
      </c>
      <c r="H5" s="19">
        <f>'06_OPEX'!H6</f>
        <v/>
      </c>
      <c r="I5" s="19">
        <f>'06_OPEX'!I6</f>
        <v/>
      </c>
      <c r="J5" s="19">
        <f>'06_OPEX'!J6</f>
        <v/>
      </c>
      <c r="K5" s="19">
        <f>'06_OPEX'!K6</f>
        <v/>
      </c>
      <c r="L5" s="19">
        <f>'06_OPEX'!L6</f>
        <v/>
      </c>
      <c r="M5" s="19">
        <f>'06_OPEX'!M6</f>
        <v/>
      </c>
      <c r="N5" s="19">
        <f>'06_OPEX'!N6</f>
        <v/>
      </c>
      <c r="O5" s="19">
        <f>'06_OPEX'!O6</f>
        <v/>
      </c>
      <c r="P5" s="19">
        <f>'06_OPEX'!P6</f>
        <v/>
      </c>
      <c r="Q5" s="19">
        <f>SUM(B5:P5)</f>
        <v/>
      </c>
    </row>
    <row r="6">
      <c r="A6" s="5" t="inlineStr">
        <is>
          <t>EBITDA</t>
        </is>
      </c>
      <c r="B6" s="19">
        <f>'06_OPEX'!B8</f>
        <v/>
      </c>
      <c r="C6" s="19">
        <f>'06_OPEX'!C8</f>
        <v/>
      </c>
      <c r="D6" s="19">
        <f>'06_OPEX'!D8</f>
        <v/>
      </c>
      <c r="E6" s="19">
        <f>'06_OPEX'!E8</f>
        <v/>
      </c>
      <c r="F6" s="19">
        <f>'06_OPEX'!F8</f>
        <v/>
      </c>
      <c r="G6" s="19">
        <f>'06_OPEX'!G8</f>
        <v/>
      </c>
      <c r="H6" s="19">
        <f>'06_OPEX'!H8</f>
        <v/>
      </c>
      <c r="I6" s="19">
        <f>'06_OPEX'!I8</f>
        <v/>
      </c>
      <c r="J6" s="19">
        <f>'06_OPEX'!J8</f>
        <v/>
      </c>
      <c r="K6" s="19">
        <f>'06_OPEX'!K8</f>
        <v/>
      </c>
      <c r="L6" s="19">
        <f>'06_OPEX'!L8</f>
        <v/>
      </c>
      <c r="M6" s="19">
        <f>'06_OPEX'!M8</f>
        <v/>
      </c>
      <c r="N6" s="19">
        <f>'06_OPEX'!N8</f>
        <v/>
      </c>
      <c r="O6" s="19">
        <f>'06_OPEX'!O8</f>
        <v/>
      </c>
      <c r="P6" s="19">
        <f>'06_OPEX'!P8</f>
        <v/>
      </c>
      <c r="Q6" s="19">
        <f>SUM(B6:P6)</f>
        <v/>
      </c>
    </row>
    <row r="7">
      <c r="A7" s="5" t="inlineStr">
        <is>
          <t>Cash Taxes</t>
        </is>
      </c>
      <c r="B7" s="19">
        <f>'06_OPEX'!B10</f>
        <v/>
      </c>
      <c r="C7" s="19">
        <f>'06_OPEX'!C10</f>
        <v/>
      </c>
      <c r="D7" s="19">
        <f>'06_OPEX'!D10</f>
        <v/>
      </c>
      <c r="E7" s="19">
        <f>'06_OPEX'!E10</f>
        <v/>
      </c>
      <c r="F7" s="19">
        <f>'06_OPEX'!F10</f>
        <v/>
      </c>
      <c r="G7" s="19">
        <f>'06_OPEX'!G10</f>
        <v/>
      </c>
      <c r="H7" s="19">
        <f>'06_OPEX'!H10</f>
        <v/>
      </c>
      <c r="I7" s="19">
        <f>'06_OPEX'!I10</f>
        <v/>
      </c>
      <c r="J7" s="19">
        <f>'06_OPEX'!J10</f>
        <v/>
      </c>
      <c r="K7" s="19">
        <f>'06_OPEX'!K10</f>
        <v/>
      </c>
      <c r="L7" s="19">
        <f>'06_OPEX'!L10</f>
        <v/>
      </c>
      <c r="M7" s="19">
        <f>'06_OPEX'!M10</f>
        <v/>
      </c>
      <c r="N7" s="19">
        <f>'06_OPEX'!N10</f>
        <v/>
      </c>
      <c r="O7" s="19">
        <f>'06_OPEX'!O10</f>
        <v/>
      </c>
      <c r="P7" s="19">
        <f>'06_OPEX'!P10</f>
        <v/>
      </c>
      <c r="Q7" s="19">
        <f>SUM(B7:P7)</f>
        <v/>
      </c>
    </row>
    <row r="8">
      <c r="A8" s="5" t="inlineStr">
        <is>
          <t>Delta NWC</t>
        </is>
      </c>
      <c r="B8" s="19">
        <f>'06_OPEX'!B13</f>
        <v/>
      </c>
      <c r="C8" s="19">
        <f>'06_OPEX'!C13</f>
        <v/>
      </c>
      <c r="D8" s="19">
        <f>'06_OPEX'!D13</f>
        <v/>
      </c>
      <c r="E8" s="19">
        <f>'06_OPEX'!E13</f>
        <v/>
      </c>
      <c r="F8" s="19">
        <f>'06_OPEX'!F13</f>
        <v/>
      </c>
      <c r="G8" s="19">
        <f>'06_OPEX'!G13</f>
        <v/>
      </c>
      <c r="H8" s="19">
        <f>'06_OPEX'!H13</f>
        <v/>
      </c>
      <c r="I8" s="19">
        <f>'06_OPEX'!I13</f>
        <v/>
      </c>
      <c r="J8" s="19">
        <f>'06_OPEX'!J13</f>
        <v/>
      </c>
      <c r="K8" s="19">
        <f>'06_OPEX'!K13</f>
        <v/>
      </c>
      <c r="L8" s="19">
        <f>'06_OPEX'!L13</f>
        <v/>
      </c>
      <c r="M8" s="19">
        <f>'06_OPEX'!M13</f>
        <v/>
      </c>
      <c r="N8" s="19">
        <f>'06_OPEX'!N13</f>
        <v/>
      </c>
      <c r="O8" s="19">
        <f>'06_OPEX'!O13</f>
        <v/>
      </c>
      <c r="P8" s="19">
        <f>'06_OPEX'!P13</f>
        <v/>
      </c>
      <c r="Q8" s="19">
        <f>SUM(B8:P8)</f>
        <v/>
      </c>
    </row>
    <row r="9">
      <c r="A9" s="5" t="inlineStr">
        <is>
          <t>Maintenance CAPEX</t>
        </is>
      </c>
      <c r="B9" s="19">
        <f>'06_OPEX'!B14</f>
        <v/>
      </c>
      <c r="C9" s="19">
        <f>'06_OPEX'!C14</f>
        <v/>
      </c>
      <c r="D9" s="19">
        <f>'06_OPEX'!D14</f>
        <v/>
      </c>
      <c r="E9" s="19">
        <f>'06_OPEX'!E14</f>
        <v/>
      </c>
      <c r="F9" s="19">
        <f>'06_OPEX'!F14</f>
        <v/>
      </c>
      <c r="G9" s="19">
        <f>'06_OPEX'!G14</f>
        <v/>
      </c>
      <c r="H9" s="19">
        <f>'06_OPEX'!H14</f>
        <v/>
      </c>
      <c r="I9" s="19">
        <f>'06_OPEX'!I14</f>
        <v/>
      </c>
      <c r="J9" s="19">
        <f>'06_OPEX'!J14</f>
        <v/>
      </c>
      <c r="K9" s="19">
        <f>'06_OPEX'!K14</f>
        <v/>
      </c>
      <c r="L9" s="19">
        <f>'06_OPEX'!L14</f>
        <v/>
      </c>
      <c r="M9" s="19">
        <f>'06_OPEX'!M14</f>
        <v/>
      </c>
      <c r="N9" s="19">
        <f>'06_OPEX'!N14</f>
        <v/>
      </c>
      <c r="O9" s="19">
        <f>'06_OPEX'!O14</f>
        <v/>
      </c>
      <c r="P9" s="19">
        <f>'06_OPEX'!P14</f>
        <v/>
      </c>
      <c r="Q9" s="19">
        <f>SUM(B9:P9)</f>
        <v/>
      </c>
    </row>
    <row r="10">
      <c r="A10" s="5" t="inlineStr">
        <is>
          <t>CFADS</t>
        </is>
      </c>
      <c r="B10" s="19">
        <f>B6-B7-B8-B9</f>
        <v/>
      </c>
      <c r="C10" s="19">
        <f>C6-C7-C8-C9</f>
        <v/>
      </c>
      <c r="D10" s="19">
        <f>D6-D7-D8-D9</f>
        <v/>
      </c>
      <c r="E10" s="19">
        <f>E6-E7-E8-E9</f>
        <v/>
      </c>
      <c r="F10" s="19">
        <f>F6-F7-F8-F9</f>
        <v/>
      </c>
      <c r="G10" s="19">
        <f>G6-G7-G8-G9</f>
        <v/>
      </c>
      <c r="H10" s="19">
        <f>H6-H7-H8-H9</f>
        <v/>
      </c>
      <c r="I10" s="19">
        <f>I6-I7-I8-I9</f>
        <v/>
      </c>
      <c r="J10" s="19">
        <f>J6-J7-J8-J9</f>
        <v/>
      </c>
      <c r="K10" s="19">
        <f>K6-K7-K8-K9</f>
        <v/>
      </c>
      <c r="L10" s="19">
        <f>L6-L7-L8-L9</f>
        <v/>
      </c>
      <c r="M10" s="19">
        <f>M6-M7-M8-M9</f>
        <v/>
      </c>
      <c r="N10" s="19">
        <f>N6-N7-N8-N9</f>
        <v/>
      </c>
      <c r="O10" s="19">
        <f>O6-O7-O8-O9</f>
        <v/>
      </c>
      <c r="P10" s="19">
        <f>P6-P7-P8-P9</f>
        <v/>
      </c>
      <c r="Q10" s="19">
        <f>SUM(B10:P10)</f>
        <v/>
      </c>
    </row>
    <row r="11">
      <c r="A11" s="5" t="inlineStr">
        <is>
          <t>Debt Service</t>
        </is>
      </c>
      <c r="B11" s="19">
        <f>'08_Debt'!B12</f>
        <v/>
      </c>
      <c r="C11" s="19">
        <f>'08_Debt'!C12</f>
        <v/>
      </c>
      <c r="D11" s="19">
        <f>'08_Debt'!D12</f>
        <v/>
      </c>
      <c r="E11" s="19">
        <f>'08_Debt'!E12</f>
        <v/>
      </c>
      <c r="F11" s="19">
        <f>'08_Debt'!F12</f>
        <v/>
      </c>
      <c r="G11" s="19">
        <f>'08_Debt'!G12</f>
        <v/>
      </c>
      <c r="H11" s="19">
        <f>'08_Debt'!H12</f>
        <v/>
      </c>
      <c r="I11" s="19">
        <f>'08_Debt'!I12</f>
        <v/>
      </c>
      <c r="J11" s="19">
        <f>'08_Debt'!J12</f>
        <v/>
      </c>
      <c r="K11" s="19">
        <f>'08_Debt'!K12</f>
        <v/>
      </c>
      <c r="L11" s="19">
        <f>'08_Debt'!L12</f>
        <v/>
      </c>
      <c r="M11" s="19">
        <f>'08_Debt'!M12</f>
        <v/>
      </c>
      <c r="N11" s="19">
        <f>'08_Debt'!N12</f>
        <v/>
      </c>
      <c r="O11" s="19">
        <f>'08_Debt'!O12</f>
        <v/>
      </c>
      <c r="P11" s="19">
        <f>'08_Debt'!P12</f>
        <v/>
      </c>
      <c r="Q11" s="19">
        <f>SUM(B11:P11)</f>
        <v/>
      </c>
    </row>
    <row r="12">
      <c r="A12" s="5" t="inlineStr">
        <is>
          <t>FCFE pre-distributions</t>
        </is>
      </c>
      <c r="B12" s="19">
        <f>B10-B11</f>
        <v/>
      </c>
      <c r="C12" s="19">
        <f>C10-C11</f>
        <v/>
      </c>
      <c r="D12" s="19">
        <f>D10-D11</f>
        <v/>
      </c>
      <c r="E12" s="19">
        <f>E10-E11</f>
        <v/>
      </c>
      <c r="F12" s="19">
        <f>F10-F11</f>
        <v/>
      </c>
      <c r="G12" s="19">
        <f>G10-G11</f>
        <v/>
      </c>
      <c r="H12" s="19">
        <f>H10-H11</f>
        <v/>
      </c>
      <c r="I12" s="19">
        <f>I10-I11</f>
        <v/>
      </c>
      <c r="J12" s="19">
        <f>J10-J11</f>
        <v/>
      </c>
      <c r="K12" s="19">
        <f>K10-K11</f>
        <v/>
      </c>
      <c r="L12" s="19">
        <f>L10-L11</f>
        <v/>
      </c>
      <c r="M12" s="19">
        <f>M10-M11</f>
        <v/>
      </c>
      <c r="N12" s="19">
        <f>N10-N11</f>
        <v/>
      </c>
      <c r="O12" s="19">
        <f>O10-O11</f>
        <v/>
      </c>
      <c r="P12" s="19">
        <f>P10-P11</f>
        <v/>
      </c>
      <c r="Q12" s="19">
        <f>SUM(B12:P12)</f>
        <v/>
      </c>
    </row>
  </sheetData>
  <mergeCells count="2">
    <mergeCell ref="A3:R3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CFADS_DSCR_AUDIT | Bank-grade audit engine</t>
        </is>
      </c>
    </row>
    <row r="3">
      <c r="A3" s="4" t="inlineStr">
        <is>
          <t>CFADS and DSCR</t>
        </is>
      </c>
    </row>
    <row r="4">
      <c r="A4" s="17" t="inlineStr">
        <is>
          <t>Line Item</t>
        </is>
      </c>
      <c r="B4" s="17" t="n">
        <v>2026</v>
      </c>
      <c r="C4" s="17" t="n">
        <v>2027</v>
      </c>
      <c r="D4" s="17" t="n">
        <v>2028</v>
      </c>
      <c r="E4" s="17" t="n">
        <v>2029</v>
      </c>
      <c r="F4" s="17" t="n">
        <v>2030</v>
      </c>
      <c r="G4" s="17" t="n">
        <v>2031</v>
      </c>
      <c r="H4" s="17" t="n">
        <v>2032</v>
      </c>
      <c r="I4" s="17" t="n">
        <v>2033</v>
      </c>
      <c r="J4" s="17" t="n">
        <v>2034</v>
      </c>
      <c r="K4" s="17" t="n">
        <v>2035</v>
      </c>
      <c r="L4" s="17" t="n">
        <v>2036</v>
      </c>
      <c r="M4" s="17" t="n">
        <v>2037</v>
      </c>
      <c r="N4" s="17" t="n">
        <v>2038</v>
      </c>
      <c r="O4" s="17" t="n">
        <v>2039</v>
      </c>
      <c r="P4" s="17" t="n">
        <v>2040</v>
      </c>
      <c r="Q4" s="17" t="inlineStr">
        <is>
          <t>Total</t>
        </is>
      </c>
    </row>
    <row r="5">
      <c r="A5" s="5" t="inlineStr">
        <is>
          <t>Revenue</t>
        </is>
      </c>
      <c r="B5" s="19">
        <f>'09_CashFlow'!B5</f>
        <v/>
      </c>
      <c r="C5" s="19">
        <f>'09_CashFlow'!C5</f>
        <v/>
      </c>
      <c r="D5" s="19">
        <f>'09_CashFlow'!D5</f>
        <v/>
      </c>
      <c r="E5" s="19">
        <f>'09_CashFlow'!E5</f>
        <v/>
      </c>
      <c r="F5" s="19">
        <f>'09_CashFlow'!F5</f>
        <v/>
      </c>
      <c r="G5" s="19">
        <f>'09_CashFlow'!G5</f>
        <v/>
      </c>
      <c r="H5" s="19">
        <f>'09_CashFlow'!H5</f>
        <v/>
      </c>
      <c r="I5" s="19">
        <f>'09_CashFlow'!I5</f>
        <v/>
      </c>
      <c r="J5" s="19">
        <f>'09_CashFlow'!J5</f>
        <v/>
      </c>
      <c r="K5" s="19">
        <f>'09_CashFlow'!K5</f>
        <v/>
      </c>
      <c r="L5" s="19">
        <f>'09_CashFlow'!L5</f>
        <v/>
      </c>
      <c r="M5" s="19">
        <f>'09_CashFlow'!M5</f>
        <v/>
      </c>
      <c r="N5" s="19">
        <f>'09_CashFlow'!N5</f>
        <v/>
      </c>
      <c r="O5" s="19">
        <f>'09_CashFlow'!O5</f>
        <v/>
      </c>
      <c r="P5" s="19">
        <f>'09_CashFlow'!P5</f>
        <v/>
      </c>
      <c r="Q5" s="19">
        <f>SUM(B5:P5)</f>
        <v/>
      </c>
    </row>
    <row r="6">
      <c r="A6" s="5" t="inlineStr">
        <is>
          <t>EBITDA</t>
        </is>
      </c>
      <c r="B6" s="19">
        <f>'09_CashFlow'!B6</f>
        <v/>
      </c>
      <c r="C6" s="19">
        <f>'09_CashFlow'!C6</f>
        <v/>
      </c>
      <c r="D6" s="19">
        <f>'09_CashFlow'!D6</f>
        <v/>
      </c>
      <c r="E6" s="19">
        <f>'09_CashFlow'!E6</f>
        <v/>
      </c>
      <c r="F6" s="19">
        <f>'09_CashFlow'!F6</f>
        <v/>
      </c>
      <c r="G6" s="19">
        <f>'09_CashFlow'!G6</f>
        <v/>
      </c>
      <c r="H6" s="19">
        <f>'09_CashFlow'!H6</f>
        <v/>
      </c>
      <c r="I6" s="19">
        <f>'09_CashFlow'!I6</f>
        <v/>
      </c>
      <c r="J6" s="19">
        <f>'09_CashFlow'!J6</f>
        <v/>
      </c>
      <c r="K6" s="19">
        <f>'09_CashFlow'!K6</f>
        <v/>
      </c>
      <c r="L6" s="19">
        <f>'09_CashFlow'!L6</f>
        <v/>
      </c>
      <c r="M6" s="19">
        <f>'09_CashFlow'!M6</f>
        <v/>
      </c>
      <c r="N6" s="19">
        <f>'09_CashFlow'!N6</f>
        <v/>
      </c>
      <c r="O6" s="19">
        <f>'09_CashFlow'!O6</f>
        <v/>
      </c>
      <c r="P6" s="19">
        <f>'09_CashFlow'!P6</f>
        <v/>
      </c>
      <c r="Q6" s="19">
        <f>SUM(B6:P6)</f>
        <v/>
      </c>
    </row>
    <row r="7">
      <c r="A7" s="5" t="inlineStr">
        <is>
          <t>Cash Taxes</t>
        </is>
      </c>
      <c r="B7" s="19">
        <f>'09_CashFlow'!B7</f>
        <v/>
      </c>
      <c r="C7" s="19">
        <f>'09_CashFlow'!C7</f>
        <v/>
      </c>
      <c r="D7" s="19">
        <f>'09_CashFlow'!D7</f>
        <v/>
      </c>
      <c r="E7" s="19">
        <f>'09_CashFlow'!E7</f>
        <v/>
      </c>
      <c r="F7" s="19">
        <f>'09_CashFlow'!F7</f>
        <v/>
      </c>
      <c r="G7" s="19">
        <f>'09_CashFlow'!G7</f>
        <v/>
      </c>
      <c r="H7" s="19">
        <f>'09_CashFlow'!H7</f>
        <v/>
      </c>
      <c r="I7" s="19">
        <f>'09_CashFlow'!I7</f>
        <v/>
      </c>
      <c r="J7" s="19">
        <f>'09_CashFlow'!J7</f>
        <v/>
      </c>
      <c r="K7" s="19">
        <f>'09_CashFlow'!K7</f>
        <v/>
      </c>
      <c r="L7" s="19">
        <f>'09_CashFlow'!L7</f>
        <v/>
      </c>
      <c r="M7" s="19">
        <f>'09_CashFlow'!M7</f>
        <v/>
      </c>
      <c r="N7" s="19">
        <f>'09_CashFlow'!N7</f>
        <v/>
      </c>
      <c r="O7" s="19">
        <f>'09_CashFlow'!O7</f>
        <v/>
      </c>
      <c r="P7" s="19">
        <f>'09_CashFlow'!P7</f>
        <v/>
      </c>
      <c r="Q7" s="19">
        <f>SUM(B7:P7)</f>
        <v/>
      </c>
    </row>
    <row r="8">
      <c r="A8" s="5" t="inlineStr">
        <is>
          <t>Delta NWC</t>
        </is>
      </c>
      <c r="B8" s="19">
        <f>'09_CashFlow'!B8</f>
        <v/>
      </c>
      <c r="C8" s="19">
        <f>'09_CashFlow'!C8</f>
        <v/>
      </c>
      <c r="D8" s="19">
        <f>'09_CashFlow'!D8</f>
        <v/>
      </c>
      <c r="E8" s="19">
        <f>'09_CashFlow'!E8</f>
        <v/>
      </c>
      <c r="F8" s="19">
        <f>'09_CashFlow'!F8</f>
        <v/>
      </c>
      <c r="G8" s="19">
        <f>'09_CashFlow'!G8</f>
        <v/>
      </c>
      <c r="H8" s="19">
        <f>'09_CashFlow'!H8</f>
        <v/>
      </c>
      <c r="I8" s="19">
        <f>'09_CashFlow'!I8</f>
        <v/>
      </c>
      <c r="J8" s="19">
        <f>'09_CashFlow'!J8</f>
        <v/>
      </c>
      <c r="K8" s="19">
        <f>'09_CashFlow'!K8</f>
        <v/>
      </c>
      <c r="L8" s="19">
        <f>'09_CashFlow'!L8</f>
        <v/>
      </c>
      <c r="M8" s="19">
        <f>'09_CashFlow'!M8</f>
        <v/>
      </c>
      <c r="N8" s="19">
        <f>'09_CashFlow'!N8</f>
        <v/>
      </c>
      <c r="O8" s="19">
        <f>'09_CashFlow'!O8</f>
        <v/>
      </c>
      <c r="P8" s="19">
        <f>'09_CashFlow'!P8</f>
        <v/>
      </c>
      <c r="Q8" s="19">
        <f>SUM(B8:P8)</f>
        <v/>
      </c>
    </row>
    <row r="9">
      <c r="A9" s="5" t="inlineStr">
        <is>
          <t>Maintenance CAPEX</t>
        </is>
      </c>
      <c r="B9" s="19">
        <f>'09_CashFlow'!B9</f>
        <v/>
      </c>
      <c r="C9" s="19">
        <f>'09_CashFlow'!C9</f>
        <v/>
      </c>
      <c r="D9" s="19">
        <f>'09_CashFlow'!D9</f>
        <v/>
      </c>
      <c r="E9" s="19">
        <f>'09_CashFlow'!E9</f>
        <v/>
      </c>
      <c r="F9" s="19">
        <f>'09_CashFlow'!F9</f>
        <v/>
      </c>
      <c r="G9" s="19">
        <f>'09_CashFlow'!G9</f>
        <v/>
      </c>
      <c r="H9" s="19">
        <f>'09_CashFlow'!H9</f>
        <v/>
      </c>
      <c r="I9" s="19">
        <f>'09_CashFlow'!I9</f>
        <v/>
      </c>
      <c r="J9" s="19">
        <f>'09_CashFlow'!J9</f>
        <v/>
      </c>
      <c r="K9" s="19">
        <f>'09_CashFlow'!K9</f>
        <v/>
      </c>
      <c r="L9" s="19">
        <f>'09_CashFlow'!L9</f>
        <v/>
      </c>
      <c r="M9" s="19">
        <f>'09_CashFlow'!M9</f>
        <v/>
      </c>
      <c r="N9" s="19">
        <f>'09_CashFlow'!N9</f>
        <v/>
      </c>
      <c r="O9" s="19">
        <f>'09_CashFlow'!O9</f>
        <v/>
      </c>
      <c r="P9" s="19">
        <f>'09_CashFlow'!P9</f>
        <v/>
      </c>
      <c r="Q9" s="19">
        <f>SUM(B9:P9)</f>
        <v/>
      </c>
    </row>
    <row r="10">
      <c r="A10" s="5" t="inlineStr">
        <is>
          <t>CFADS</t>
        </is>
      </c>
      <c r="B10" s="19">
        <f>'09_CashFlow'!B10</f>
        <v/>
      </c>
      <c r="C10" s="19">
        <f>'09_CashFlow'!C10</f>
        <v/>
      </c>
      <c r="D10" s="19">
        <f>'09_CashFlow'!D10</f>
        <v/>
      </c>
      <c r="E10" s="19">
        <f>'09_CashFlow'!E10</f>
        <v/>
      </c>
      <c r="F10" s="19">
        <f>'09_CashFlow'!F10</f>
        <v/>
      </c>
      <c r="G10" s="19">
        <f>'09_CashFlow'!G10</f>
        <v/>
      </c>
      <c r="H10" s="19">
        <f>'09_CashFlow'!H10</f>
        <v/>
      </c>
      <c r="I10" s="19">
        <f>'09_CashFlow'!I10</f>
        <v/>
      </c>
      <c r="J10" s="19">
        <f>'09_CashFlow'!J10</f>
        <v/>
      </c>
      <c r="K10" s="19">
        <f>'09_CashFlow'!K10</f>
        <v/>
      </c>
      <c r="L10" s="19">
        <f>'09_CashFlow'!L10</f>
        <v/>
      </c>
      <c r="M10" s="19">
        <f>'09_CashFlow'!M10</f>
        <v/>
      </c>
      <c r="N10" s="19">
        <f>'09_CashFlow'!N10</f>
        <v/>
      </c>
      <c r="O10" s="19">
        <f>'09_CashFlow'!O10</f>
        <v/>
      </c>
      <c r="P10" s="19">
        <f>'09_CashFlow'!P10</f>
        <v/>
      </c>
      <c r="Q10" s="19">
        <f>SUM(B10:P10)</f>
        <v/>
      </c>
    </row>
    <row r="11">
      <c r="A11" s="5" t="inlineStr">
        <is>
          <t>Interest</t>
        </is>
      </c>
      <c r="B11" s="19">
        <f>'08_Debt'!B9</f>
        <v/>
      </c>
      <c r="C11" s="19">
        <f>'08_Debt'!C9</f>
        <v/>
      </c>
      <c r="D11" s="19">
        <f>'08_Debt'!D9</f>
        <v/>
      </c>
      <c r="E11" s="19">
        <f>'08_Debt'!E9</f>
        <v/>
      </c>
      <c r="F11" s="19">
        <f>'08_Debt'!F9</f>
        <v/>
      </c>
      <c r="G11" s="19">
        <f>'08_Debt'!G9</f>
        <v/>
      </c>
      <c r="H11" s="19">
        <f>'08_Debt'!H9</f>
        <v/>
      </c>
      <c r="I11" s="19">
        <f>'08_Debt'!I9</f>
        <v/>
      </c>
      <c r="J11" s="19">
        <f>'08_Debt'!J9</f>
        <v/>
      </c>
      <c r="K11" s="19">
        <f>'08_Debt'!K9</f>
        <v/>
      </c>
      <c r="L11" s="19">
        <f>'08_Debt'!L9</f>
        <v/>
      </c>
      <c r="M11" s="19">
        <f>'08_Debt'!M9</f>
        <v/>
      </c>
      <c r="N11" s="19">
        <f>'08_Debt'!N9</f>
        <v/>
      </c>
      <c r="O11" s="19">
        <f>'08_Debt'!O9</f>
        <v/>
      </c>
      <c r="P11" s="19">
        <f>'08_Debt'!P9</f>
        <v/>
      </c>
      <c r="Q11" s="19">
        <f>SUM(B11:P11)</f>
        <v/>
      </c>
    </row>
    <row r="12">
      <c r="A12" s="5" t="inlineStr">
        <is>
          <t>Principal</t>
        </is>
      </c>
      <c r="B12" s="19">
        <f>'08_Debt'!B10</f>
        <v/>
      </c>
      <c r="C12" s="19">
        <f>'08_Debt'!C10</f>
        <v/>
      </c>
      <c r="D12" s="19">
        <f>'08_Debt'!D10</f>
        <v/>
      </c>
      <c r="E12" s="19">
        <f>'08_Debt'!E10</f>
        <v/>
      </c>
      <c r="F12" s="19">
        <f>'08_Debt'!F10</f>
        <v/>
      </c>
      <c r="G12" s="19">
        <f>'08_Debt'!G10</f>
        <v/>
      </c>
      <c r="H12" s="19">
        <f>'08_Debt'!H10</f>
        <v/>
      </c>
      <c r="I12" s="19">
        <f>'08_Debt'!I10</f>
        <v/>
      </c>
      <c r="J12" s="19">
        <f>'08_Debt'!J10</f>
        <v/>
      </c>
      <c r="K12" s="19">
        <f>'08_Debt'!K10</f>
        <v/>
      </c>
      <c r="L12" s="19">
        <f>'08_Debt'!L10</f>
        <v/>
      </c>
      <c r="M12" s="19">
        <f>'08_Debt'!M10</f>
        <v/>
      </c>
      <c r="N12" s="19">
        <f>'08_Debt'!N10</f>
        <v/>
      </c>
      <c r="O12" s="19">
        <f>'08_Debt'!O10</f>
        <v/>
      </c>
      <c r="P12" s="19">
        <f>'08_Debt'!P10</f>
        <v/>
      </c>
      <c r="Q12" s="19">
        <f>SUM(B12:P12)</f>
        <v/>
      </c>
    </row>
    <row r="13">
      <c r="A13" s="5" t="inlineStr">
        <is>
          <t>Debt Service</t>
        </is>
      </c>
      <c r="B13" s="19">
        <f>'08_Debt'!B12</f>
        <v/>
      </c>
      <c r="C13" s="19">
        <f>'08_Debt'!C12</f>
        <v/>
      </c>
      <c r="D13" s="19">
        <f>'08_Debt'!D12</f>
        <v/>
      </c>
      <c r="E13" s="19">
        <f>'08_Debt'!E12</f>
        <v/>
      </c>
      <c r="F13" s="19">
        <f>'08_Debt'!F12</f>
        <v/>
      </c>
      <c r="G13" s="19">
        <f>'08_Debt'!G12</f>
        <v/>
      </c>
      <c r="H13" s="19">
        <f>'08_Debt'!H12</f>
        <v/>
      </c>
      <c r="I13" s="19">
        <f>'08_Debt'!I12</f>
        <v/>
      </c>
      <c r="J13" s="19">
        <f>'08_Debt'!J12</f>
        <v/>
      </c>
      <c r="K13" s="19">
        <f>'08_Debt'!K12</f>
        <v/>
      </c>
      <c r="L13" s="19">
        <f>'08_Debt'!L12</f>
        <v/>
      </c>
      <c r="M13" s="19">
        <f>'08_Debt'!M12</f>
        <v/>
      </c>
      <c r="N13" s="19">
        <f>'08_Debt'!N12</f>
        <v/>
      </c>
      <c r="O13" s="19">
        <f>'08_Debt'!O12</f>
        <v/>
      </c>
      <c r="P13" s="19">
        <f>'08_Debt'!P12</f>
        <v/>
      </c>
      <c r="Q13" s="19">
        <f>SUM(B13:P13)</f>
        <v/>
      </c>
    </row>
    <row r="14">
      <c r="A14" s="5" t="inlineStr">
        <is>
          <t>DSCR</t>
        </is>
      </c>
      <c r="B14" s="23">
        <f>IFERROR(B10/B13,0)</f>
        <v/>
      </c>
      <c r="C14" s="23">
        <f>IFERROR(C10/C13,0)</f>
        <v/>
      </c>
      <c r="D14" s="23">
        <f>IFERROR(D10/D13,0)</f>
        <v/>
      </c>
      <c r="E14" s="23">
        <f>IFERROR(E10/E13,0)</f>
        <v/>
      </c>
      <c r="F14" s="23">
        <f>IFERROR(F10/F13,0)</f>
        <v/>
      </c>
      <c r="G14" s="23">
        <f>IFERROR(G10/G13,0)</f>
        <v/>
      </c>
      <c r="H14" s="23">
        <f>IFERROR(H10/H13,0)</f>
        <v/>
      </c>
      <c r="I14" s="23">
        <f>IFERROR(I10/I13,0)</f>
        <v/>
      </c>
      <c r="J14" s="23">
        <f>IFERROR(J10/J13,0)</f>
        <v/>
      </c>
      <c r="K14" s="23">
        <f>IFERROR(K10/K13,0)</f>
        <v/>
      </c>
      <c r="L14" s="23">
        <f>IFERROR(L10/L13,0)</f>
        <v/>
      </c>
      <c r="M14" s="23">
        <f>IFERROR(M10/M13,0)</f>
        <v/>
      </c>
      <c r="N14" s="23">
        <f>IFERROR(N10/N13,0)</f>
        <v/>
      </c>
      <c r="O14" s="23">
        <f>IFERROR(O10/O13,0)</f>
        <v/>
      </c>
      <c r="P14" s="23">
        <f>IFERROR(P10/P13,0)</f>
        <v/>
      </c>
      <c r="Q14" s="23">
        <f>AVERAGE(B14:P14)</f>
        <v/>
      </c>
    </row>
    <row r="15">
      <c r="A15" s="5" t="inlineStr">
        <is>
          <t>CFADS Positive?</t>
        </is>
      </c>
      <c r="B15" s="5">
        <f>IF(B10&gt;0,"OK","FLAG")</f>
        <v/>
      </c>
      <c r="C15" s="5">
        <f>IF(C10&gt;0,"OK","FLAG")</f>
        <v/>
      </c>
      <c r="D15" s="5">
        <f>IF(D10&gt;0,"OK","FLAG")</f>
        <v/>
      </c>
      <c r="E15" s="5">
        <f>IF(E10&gt;0,"OK","FLAG")</f>
        <v/>
      </c>
      <c r="F15" s="5">
        <f>IF(F10&gt;0,"OK","FLAG")</f>
        <v/>
      </c>
      <c r="G15" s="5">
        <f>IF(G10&gt;0,"OK","FLAG")</f>
        <v/>
      </c>
      <c r="H15" s="5">
        <f>IF(H10&gt;0,"OK","FLAG")</f>
        <v/>
      </c>
      <c r="I15" s="5">
        <f>IF(I10&gt;0,"OK","FLAG")</f>
        <v/>
      </c>
      <c r="J15" s="5">
        <f>IF(J10&gt;0,"OK","FLAG")</f>
        <v/>
      </c>
      <c r="K15" s="5">
        <f>IF(K10&gt;0,"OK","FLAG")</f>
        <v/>
      </c>
      <c r="L15" s="5">
        <f>IF(L10&gt;0,"OK","FLAG")</f>
        <v/>
      </c>
      <c r="M15" s="5">
        <f>IF(M10&gt;0,"OK","FLAG")</f>
        <v/>
      </c>
      <c r="N15" s="5">
        <f>IF(N10&gt;0,"OK","FLAG")</f>
        <v/>
      </c>
      <c r="O15" s="5">
        <f>IF(O10&gt;0,"OK","FLAG")</f>
        <v/>
      </c>
      <c r="P15" s="5">
        <f>IF(P10&gt;0,"OK","FLAG")</f>
        <v/>
      </c>
      <c r="Q15" s="5" t="n"/>
    </row>
    <row r="16">
      <c r="A16" s="5" t="inlineStr">
        <is>
          <t>DSCR &gt;= 1.20x?</t>
        </is>
      </c>
      <c r="B16" s="5">
        <f>IF(B14&gt;='03_Assumptions'!B30,"OK","BREACH")</f>
        <v/>
      </c>
      <c r="C16" s="5">
        <f>IF(C14&gt;='03_Assumptions'!B30,"OK","BREACH")</f>
        <v/>
      </c>
      <c r="D16" s="5">
        <f>IF(D14&gt;='03_Assumptions'!B30,"OK","BREACH")</f>
        <v/>
      </c>
      <c r="E16" s="5">
        <f>IF(E14&gt;='03_Assumptions'!B30,"OK","BREACH")</f>
        <v/>
      </c>
      <c r="F16" s="5">
        <f>IF(F14&gt;='03_Assumptions'!B30,"OK","BREACH")</f>
        <v/>
      </c>
      <c r="G16" s="5">
        <f>IF(G14&gt;='03_Assumptions'!B30,"OK","BREACH")</f>
        <v/>
      </c>
      <c r="H16" s="5">
        <f>IF(H14&gt;='03_Assumptions'!B30,"OK","BREACH")</f>
        <v/>
      </c>
      <c r="I16" s="5">
        <f>IF(I14&gt;='03_Assumptions'!B30,"OK","BREACH")</f>
        <v/>
      </c>
      <c r="J16" s="5">
        <f>IF(J14&gt;='03_Assumptions'!B30,"OK","BREACH")</f>
        <v/>
      </c>
      <c r="K16" s="5">
        <f>IF(K14&gt;='03_Assumptions'!B30,"OK","BREACH")</f>
        <v/>
      </c>
      <c r="L16" s="5">
        <f>IF(L14&gt;='03_Assumptions'!B30,"OK","BREACH")</f>
        <v/>
      </c>
      <c r="M16" s="5">
        <f>IF(M14&gt;='03_Assumptions'!B30,"OK","BREACH")</f>
        <v/>
      </c>
      <c r="N16" s="5">
        <f>IF(N14&gt;='03_Assumptions'!B30,"OK","BREACH")</f>
        <v/>
      </c>
      <c r="O16" s="5">
        <f>IF(O14&gt;='03_Assumptions'!B30,"OK","BREACH")</f>
        <v/>
      </c>
      <c r="P16" s="5">
        <f>IF(P14&gt;='03_Assumptions'!B30,"OK","BREACH")</f>
        <v/>
      </c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inlineStr">
        <is>
          <t>Minimum DSCR</t>
        </is>
      </c>
      <c r="B19" s="23">
        <f>MIN(B14:P14)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inlineStr">
        <is>
          <t>Average DSCR</t>
        </is>
      </c>
      <c r="B20" s="23">
        <f>AVERAGE(B14:P14)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inlineStr">
        <is>
          <t>Locked minimum DSCR</t>
        </is>
      </c>
      <c r="B21" s="23">
        <f>'03_Assumptions'!B12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inlineStr">
        <is>
          <t>Locked average DSCR</t>
        </is>
      </c>
      <c r="B22" s="23">
        <f>'03_Assumptions'!B11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inlineStr">
        <is>
          <t>Min DSCR check</t>
        </is>
      </c>
      <c r="B23" s="5">
        <f>IF(ROUND(B19,2)=ROUND(B21,2),"OK","CHECK")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inlineStr">
        <is>
          <t>Avg DSCR check</t>
        </is>
      </c>
      <c r="B24" s="5">
        <f>IF(ROUND(B20,2)=ROUND(B22,2),"OK","CHECK")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</sheetData>
  <mergeCells count="2">
    <mergeCell ref="A3:R3"/>
    <mergeCell ref="A1:R1"/>
  </mergeCells>
  <conditionalFormatting sqref="B14:P14">
    <cfRule type="cellIs" priority="1" operator="lessThan" dxfId="0">
      <formula>1.2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COVENANTS_ENGINE | Lock-up, sweep, triggers</t>
        </is>
      </c>
    </row>
    <row r="3">
      <c r="A3" s="4" t="inlineStr">
        <is>
          <t>Covenant monitoring</t>
        </is>
      </c>
    </row>
    <row r="4">
      <c r="A4" s="17" t="inlineStr">
        <is>
          <t>Line Item</t>
        </is>
      </c>
      <c r="B4" s="17" t="n">
        <v>2026</v>
      </c>
      <c r="C4" s="17" t="n">
        <v>2027</v>
      </c>
      <c r="D4" s="17" t="n">
        <v>2028</v>
      </c>
      <c r="E4" s="17" t="n">
        <v>2029</v>
      </c>
      <c r="F4" s="17" t="n">
        <v>2030</v>
      </c>
      <c r="G4" s="17" t="n">
        <v>2031</v>
      </c>
      <c r="H4" s="17" t="n">
        <v>2032</v>
      </c>
      <c r="I4" s="17" t="n">
        <v>2033</v>
      </c>
      <c r="J4" s="17" t="n">
        <v>2034</v>
      </c>
      <c r="K4" s="17" t="n">
        <v>2035</v>
      </c>
      <c r="L4" s="17" t="n">
        <v>2036</v>
      </c>
      <c r="M4" s="17" t="n">
        <v>2037</v>
      </c>
      <c r="N4" s="17" t="n">
        <v>2038</v>
      </c>
      <c r="O4" s="17" t="n">
        <v>2039</v>
      </c>
      <c r="P4" s="17" t="n">
        <v>2040</v>
      </c>
      <c r="Q4" s="17" t="inlineStr">
        <is>
          <t>Total</t>
        </is>
      </c>
    </row>
    <row r="5">
      <c r="A5" s="5" t="inlineStr">
        <is>
          <t>DSCR</t>
        </is>
      </c>
      <c r="B5" s="23">
        <f>'CFADS_DSCR_AUDIT'!B14</f>
        <v/>
      </c>
      <c r="C5" s="23">
        <f>'CFADS_DSCR_AUDIT'!C14</f>
        <v/>
      </c>
      <c r="D5" s="23">
        <f>'CFADS_DSCR_AUDIT'!D14</f>
        <v/>
      </c>
      <c r="E5" s="23">
        <f>'CFADS_DSCR_AUDIT'!E14</f>
        <v/>
      </c>
      <c r="F5" s="23">
        <f>'CFADS_DSCR_AUDIT'!F14</f>
        <v/>
      </c>
      <c r="G5" s="23">
        <f>'CFADS_DSCR_AUDIT'!G14</f>
        <v/>
      </c>
      <c r="H5" s="23">
        <f>'CFADS_DSCR_AUDIT'!H14</f>
        <v/>
      </c>
      <c r="I5" s="23">
        <f>'CFADS_DSCR_AUDIT'!I14</f>
        <v/>
      </c>
      <c r="J5" s="23">
        <f>'CFADS_DSCR_AUDIT'!J14</f>
        <v/>
      </c>
      <c r="K5" s="23">
        <f>'CFADS_DSCR_AUDIT'!K14</f>
        <v/>
      </c>
      <c r="L5" s="23">
        <f>'CFADS_DSCR_AUDIT'!L14</f>
        <v/>
      </c>
      <c r="M5" s="23">
        <f>'CFADS_DSCR_AUDIT'!M14</f>
        <v/>
      </c>
      <c r="N5" s="23">
        <f>'CFADS_DSCR_AUDIT'!N14</f>
        <v/>
      </c>
      <c r="O5" s="23">
        <f>'CFADS_DSCR_AUDIT'!O14</f>
        <v/>
      </c>
      <c r="P5" s="23">
        <f>'CFADS_DSCR_AUDIT'!P14</f>
        <v/>
      </c>
      <c r="Q5" s="5" t="n"/>
    </row>
    <row r="6">
      <c r="A6" s="5" t="inlineStr">
        <is>
          <t>CFADS</t>
        </is>
      </c>
      <c r="B6" s="19">
        <f>'CFADS_DSCR_AUDIT'!B10</f>
        <v/>
      </c>
      <c r="C6" s="19">
        <f>'CFADS_DSCR_AUDIT'!C10</f>
        <v/>
      </c>
      <c r="D6" s="19">
        <f>'CFADS_DSCR_AUDIT'!D10</f>
        <v/>
      </c>
      <c r="E6" s="19">
        <f>'CFADS_DSCR_AUDIT'!E10</f>
        <v/>
      </c>
      <c r="F6" s="19">
        <f>'CFADS_DSCR_AUDIT'!F10</f>
        <v/>
      </c>
      <c r="G6" s="19">
        <f>'CFADS_DSCR_AUDIT'!G10</f>
        <v/>
      </c>
      <c r="H6" s="19">
        <f>'CFADS_DSCR_AUDIT'!H10</f>
        <v/>
      </c>
      <c r="I6" s="19">
        <f>'CFADS_DSCR_AUDIT'!I10</f>
        <v/>
      </c>
      <c r="J6" s="19">
        <f>'CFADS_DSCR_AUDIT'!J10</f>
        <v/>
      </c>
      <c r="K6" s="19">
        <f>'CFADS_DSCR_AUDIT'!K10</f>
        <v/>
      </c>
      <c r="L6" s="19">
        <f>'CFADS_DSCR_AUDIT'!L10</f>
        <v/>
      </c>
      <c r="M6" s="19">
        <f>'CFADS_DSCR_AUDIT'!M10</f>
        <v/>
      </c>
      <c r="N6" s="19">
        <f>'CFADS_DSCR_AUDIT'!N10</f>
        <v/>
      </c>
      <c r="O6" s="19">
        <f>'CFADS_DSCR_AUDIT'!O10</f>
        <v/>
      </c>
      <c r="P6" s="19">
        <f>'CFADS_DSCR_AUDIT'!P10</f>
        <v/>
      </c>
      <c r="Q6" s="5" t="n"/>
    </row>
    <row r="7">
      <c r="A7" s="5" t="inlineStr">
        <is>
          <t>Debt Service</t>
        </is>
      </c>
      <c r="B7" s="19">
        <f>'CFADS_DSCR_AUDIT'!B13</f>
        <v/>
      </c>
      <c r="C7" s="19">
        <f>'CFADS_DSCR_AUDIT'!C13</f>
        <v/>
      </c>
      <c r="D7" s="19">
        <f>'CFADS_DSCR_AUDIT'!D13</f>
        <v/>
      </c>
      <c r="E7" s="19">
        <f>'CFADS_DSCR_AUDIT'!E13</f>
        <v/>
      </c>
      <c r="F7" s="19">
        <f>'CFADS_DSCR_AUDIT'!F13</f>
        <v/>
      </c>
      <c r="G7" s="19">
        <f>'CFADS_DSCR_AUDIT'!G13</f>
        <v/>
      </c>
      <c r="H7" s="19">
        <f>'CFADS_DSCR_AUDIT'!H13</f>
        <v/>
      </c>
      <c r="I7" s="19">
        <f>'CFADS_DSCR_AUDIT'!I13</f>
        <v/>
      </c>
      <c r="J7" s="19">
        <f>'CFADS_DSCR_AUDIT'!J13</f>
        <v/>
      </c>
      <c r="K7" s="19">
        <f>'CFADS_DSCR_AUDIT'!K13</f>
        <v/>
      </c>
      <c r="L7" s="19">
        <f>'CFADS_DSCR_AUDIT'!L13</f>
        <v/>
      </c>
      <c r="M7" s="19">
        <f>'CFADS_DSCR_AUDIT'!M13</f>
        <v/>
      </c>
      <c r="N7" s="19">
        <f>'CFADS_DSCR_AUDIT'!N13</f>
        <v/>
      </c>
      <c r="O7" s="19">
        <f>'CFADS_DSCR_AUDIT'!O13</f>
        <v/>
      </c>
      <c r="P7" s="19">
        <f>'CFADS_DSCR_AUDIT'!P13</f>
        <v/>
      </c>
      <c r="Q7" s="5" t="n"/>
    </row>
    <row r="8">
      <c r="A8" s="5" t="inlineStr">
        <is>
          <t>Default test</t>
        </is>
      </c>
      <c r="B8" s="5">
        <f>IF(B5&lt;'03_Assumptions'!B30,"DEFAULT","OK")</f>
        <v/>
      </c>
      <c r="C8" s="5">
        <f>IF(C5&lt;'03_Assumptions'!B30,"DEFAULT","OK")</f>
        <v/>
      </c>
      <c r="D8" s="5">
        <f>IF(D5&lt;'03_Assumptions'!B30,"DEFAULT","OK")</f>
        <v/>
      </c>
      <c r="E8" s="5">
        <f>IF(E5&lt;'03_Assumptions'!B30,"DEFAULT","OK")</f>
        <v/>
      </c>
      <c r="F8" s="5">
        <f>IF(F5&lt;'03_Assumptions'!B30,"DEFAULT","OK")</f>
        <v/>
      </c>
      <c r="G8" s="5">
        <f>IF(G5&lt;'03_Assumptions'!B30,"DEFAULT","OK")</f>
        <v/>
      </c>
      <c r="H8" s="5">
        <f>IF(H5&lt;'03_Assumptions'!B30,"DEFAULT","OK")</f>
        <v/>
      </c>
      <c r="I8" s="5">
        <f>IF(I5&lt;'03_Assumptions'!B30,"DEFAULT","OK")</f>
        <v/>
      </c>
      <c r="J8" s="5">
        <f>IF(J5&lt;'03_Assumptions'!B30,"DEFAULT","OK")</f>
        <v/>
      </c>
      <c r="K8" s="5">
        <f>IF(K5&lt;'03_Assumptions'!B30,"DEFAULT","OK")</f>
        <v/>
      </c>
      <c r="L8" s="5">
        <f>IF(L5&lt;'03_Assumptions'!B30,"DEFAULT","OK")</f>
        <v/>
      </c>
      <c r="M8" s="5">
        <f>IF(M5&lt;'03_Assumptions'!B30,"DEFAULT","OK")</f>
        <v/>
      </c>
      <c r="N8" s="5">
        <f>IF(N5&lt;'03_Assumptions'!B30,"DEFAULT","OK")</f>
        <v/>
      </c>
      <c r="O8" s="5">
        <f>IF(O5&lt;'03_Assumptions'!B30,"DEFAULT","OK")</f>
        <v/>
      </c>
      <c r="P8" s="5">
        <f>IF(P5&lt;'03_Assumptions'!B30,"DEFAULT","OK")</f>
        <v/>
      </c>
      <c r="Q8" s="5" t="n"/>
    </row>
    <row r="9">
      <c r="A9" s="5" t="inlineStr">
        <is>
          <t>Lock-up test</t>
        </is>
      </c>
      <c r="B9" s="5">
        <f>IF(B5&lt;'03_Assumptions'!B31,"LOCKED","FREE")</f>
        <v/>
      </c>
      <c r="C9" s="5">
        <f>IF(C5&lt;'03_Assumptions'!B31,"LOCKED","FREE")</f>
        <v/>
      </c>
      <c r="D9" s="5">
        <f>IF(D5&lt;'03_Assumptions'!B31,"LOCKED","FREE")</f>
        <v/>
      </c>
      <c r="E9" s="5">
        <f>IF(E5&lt;'03_Assumptions'!B31,"LOCKED","FREE")</f>
        <v/>
      </c>
      <c r="F9" s="5">
        <f>IF(F5&lt;'03_Assumptions'!B31,"LOCKED","FREE")</f>
        <v/>
      </c>
      <c r="G9" s="5">
        <f>IF(G5&lt;'03_Assumptions'!B31,"LOCKED","FREE")</f>
        <v/>
      </c>
      <c r="H9" s="5">
        <f>IF(H5&lt;'03_Assumptions'!B31,"LOCKED","FREE")</f>
        <v/>
      </c>
      <c r="I9" s="5">
        <f>IF(I5&lt;'03_Assumptions'!B31,"LOCKED","FREE")</f>
        <v/>
      </c>
      <c r="J9" s="5">
        <f>IF(J5&lt;'03_Assumptions'!B31,"LOCKED","FREE")</f>
        <v/>
      </c>
      <c r="K9" s="5">
        <f>IF(K5&lt;'03_Assumptions'!B31,"LOCKED","FREE")</f>
        <v/>
      </c>
      <c r="L9" s="5">
        <f>IF(L5&lt;'03_Assumptions'!B31,"LOCKED","FREE")</f>
        <v/>
      </c>
      <c r="M9" s="5">
        <f>IF(M5&lt;'03_Assumptions'!B31,"LOCKED","FREE")</f>
        <v/>
      </c>
      <c r="N9" s="5">
        <f>IF(N5&lt;'03_Assumptions'!B31,"LOCKED","FREE")</f>
        <v/>
      </c>
      <c r="O9" s="5">
        <f>IF(O5&lt;'03_Assumptions'!B31,"LOCKED","FREE")</f>
        <v/>
      </c>
      <c r="P9" s="5">
        <f>IF(P5&lt;'03_Assumptions'!B31,"LOCKED","FREE")</f>
        <v/>
      </c>
      <c r="Q9" s="5" t="n"/>
    </row>
    <row r="10">
      <c r="A10" s="5" t="inlineStr">
        <is>
          <t>Sweep test</t>
        </is>
      </c>
      <c r="B10" s="5">
        <f>IF(B5&gt;'03_Assumptions'!B32,"SWEEP ACTIVE","NO SWEEP")</f>
        <v/>
      </c>
      <c r="C10" s="5">
        <f>IF(C5&gt;'03_Assumptions'!B32,"SWEEP ACTIVE","NO SWEEP")</f>
        <v/>
      </c>
      <c r="D10" s="5">
        <f>IF(D5&gt;'03_Assumptions'!B32,"SWEEP ACTIVE","NO SWEEP")</f>
        <v/>
      </c>
      <c r="E10" s="5">
        <f>IF(E5&gt;'03_Assumptions'!B32,"SWEEP ACTIVE","NO SWEEP")</f>
        <v/>
      </c>
      <c r="F10" s="5">
        <f>IF(F5&gt;'03_Assumptions'!B32,"SWEEP ACTIVE","NO SWEEP")</f>
        <v/>
      </c>
      <c r="G10" s="5">
        <f>IF(G5&gt;'03_Assumptions'!B32,"SWEEP ACTIVE","NO SWEEP")</f>
        <v/>
      </c>
      <c r="H10" s="5">
        <f>IF(H5&gt;'03_Assumptions'!B32,"SWEEP ACTIVE","NO SWEEP")</f>
        <v/>
      </c>
      <c r="I10" s="5">
        <f>IF(I5&gt;'03_Assumptions'!B32,"SWEEP ACTIVE","NO SWEEP")</f>
        <v/>
      </c>
      <c r="J10" s="5">
        <f>IF(J5&gt;'03_Assumptions'!B32,"SWEEP ACTIVE","NO SWEEP")</f>
        <v/>
      </c>
      <c r="K10" s="5">
        <f>IF(K5&gt;'03_Assumptions'!B32,"SWEEP ACTIVE","NO SWEEP")</f>
        <v/>
      </c>
      <c r="L10" s="5">
        <f>IF(L5&gt;'03_Assumptions'!B32,"SWEEP ACTIVE","NO SWEEP")</f>
        <v/>
      </c>
      <c r="M10" s="5">
        <f>IF(M5&gt;'03_Assumptions'!B32,"SWEEP ACTIVE","NO SWEEP")</f>
        <v/>
      </c>
      <c r="N10" s="5">
        <f>IF(N5&gt;'03_Assumptions'!B32,"SWEEP ACTIVE","NO SWEEP")</f>
        <v/>
      </c>
      <c r="O10" s="5">
        <f>IF(O5&gt;'03_Assumptions'!B32,"SWEEP ACTIVE","NO SWEEP")</f>
        <v/>
      </c>
      <c r="P10" s="5">
        <f>IF(P5&gt;'03_Assumptions'!B32,"SWEEP ACTIVE","NO SWEEP")</f>
        <v/>
      </c>
      <c r="Q10" s="5" t="n"/>
    </row>
    <row r="11">
      <c r="A11" s="5" t="inlineStr">
        <is>
          <t>Excess Cash</t>
        </is>
      </c>
      <c r="B11" s="19">
        <f>MAX(0,B6-B7)</f>
        <v/>
      </c>
      <c r="C11" s="19">
        <f>MAX(0,C6-C7)</f>
        <v/>
      </c>
      <c r="D11" s="19">
        <f>MAX(0,D6-D7)</f>
        <v/>
      </c>
      <c r="E11" s="19">
        <f>MAX(0,E6-E7)</f>
        <v/>
      </c>
      <c r="F11" s="19">
        <f>MAX(0,F6-F7)</f>
        <v/>
      </c>
      <c r="G11" s="19">
        <f>MAX(0,G6-G7)</f>
        <v/>
      </c>
      <c r="H11" s="19">
        <f>MAX(0,H6-H7)</f>
        <v/>
      </c>
      <c r="I11" s="19">
        <f>MAX(0,I6-I7)</f>
        <v/>
      </c>
      <c r="J11" s="19">
        <f>MAX(0,J6-J7)</f>
        <v/>
      </c>
      <c r="K11" s="19">
        <f>MAX(0,K6-K7)</f>
        <v/>
      </c>
      <c r="L11" s="19">
        <f>MAX(0,L6-L7)</f>
        <v/>
      </c>
      <c r="M11" s="19">
        <f>MAX(0,M6-M7)</f>
        <v/>
      </c>
      <c r="N11" s="19">
        <f>MAX(0,N6-N7)</f>
        <v/>
      </c>
      <c r="O11" s="19">
        <f>MAX(0,O6-O7)</f>
        <v/>
      </c>
      <c r="P11" s="19">
        <f>MAX(0,P6-P7)</f>
        <v/>
      </c>
      <c r="Q11" s="5" t="n"/>
    </row>
    <row r="12">
      <c r="A12" s="5" t="inlineStr">
        <is>
          <t>Sweep Amount</t>
        </is>
      </c>
      <c r="B12" s="19">
        <f>IF(B5&gt;'03_Assumptions'!B32,B11*'03_Assumptions'!B33,0)</f>
        <v/>
      </c>
      <c r="C12" s="19">
        <f>IF(C5&gt;'03_Assumptions'!B32,C11*'03_Assumptions'!B33,0)</f>
        <v/>
      </c>
      <c r="D12" s="19">
        <f>IF(D5&gt;'03_Assumptions'!B32,D11*'03_Assumptions'!B33,0)</f>
        <v/>
      </c>
      <c r="E12" s="19">
        <f>IF(E5&gt;'03_Assumptions'!B32,E11*'03_Assumptions'!B33,0)</f>
        <v/>
      </c>
      <c r="F12" s="19">
        <f>IF(F5&gt;'03_Assumptions'!B32,F11*'03_Assumptions'!B33,0)</f>
        <v/>
      </c>
      <c r="G12" s="19">
        <f>IF(G5&gt;'03_Assumptions'!B32,G11*'03_Assumptions'!B33,0)</f>
        <v/>
      </c>
      <c r="H12" s="19">
        <f>IF(H5&gt;'03_Assumptions'!B32,H11*'03_Assumptions'!B33,0)</f>
        <v/>
      </c>
      <c r="I12" s="19">
        <f>IF(I5&gt;'03_Assumptions'!B32,I11*'03_Assumptions'!B33,0)</f>
        <v/>
      </c>
      <c r="J12" s="19">
        <f>IF(J5&gt;'03_Assumptions'!B32,J11*'03_Assumptions'!B33,0)</f>
        <v/>
      </c>
      <c r="K12" s="19">
        <f>IF(K5&gt;'03_Assumptions'!B32,K11*'03_Assumptions'!B33,0)</f>
        <v/>
      </c>
      <c r="L12" s="19">
        <f>IF(L5&gt;'03_Assumptions'!B32,L11*'03_Assumptions'!B33,0)</f>
        <v/>
      </c>
      <c r="M12" s="19">
        <f>IF(M5&gt;'03_Assumptions'!B32,M11*'03_Assumptions'!B33,0)</f>
        <v/>
      </c>
      <c r="N12" s="19">
        <f>IF(N5&gt;'03_Assumptions'!B32,N11*'03_Assumptions'!B33,0)</f>
        <v/>
      </c>
      <c r="O12" s="19">
        <f>IF(O5&gt;'03_Assumptions'!B32,O11*'03_Assumptions'!B33,0)</f>
        <v/>
      </c>
      <c r="P12" s="19">
        <f>IF(P5&gt;'03_Assumptions'!B32,P11*'03_Assumptions'!B33,0)</f>
        <v/>
      </c>
      <c r="Q12" s="5" t="n"/>
    </row>
    <row r="13">
      <c r="A13" s="5" t="inlineStr">
        <is>
          <t>DSRA Required</t>
        </is>
      </c>
      <c r="B13" s="19">
        <f>B7*'03_Assumptions'!B29/12</f>
        <v/>
      </c>
      <c r="C13" s="19">
        <f>C7*'03_Assumptions'!B29/12</f>
        <v/>
      </c>
      <c r="D13" s="19">
        <f>D7*'03_Assumptions'!B29/12</f>
        <v/>
      </c>
      <c r="E13" s="19">
        <f>E7*'03_Assumptions'!B29/12</f>
        <v/>
      </c>
      <c r="F13" s="19">
        <f>F7*'03_Assumptions'!B29/12</f>
        <v/>
      </c>
      <c r="G13" s="19">
        <f>G7*'03_Assumptions'!B29/12</f>
        <v/>
      </c>
      <c r="H13" s="19">
        <f>H7*'03_Assumptions'!B29/12</f>
        <v/>
      </c>
      <c r="I13" s="19">
        <f>I7*'03_Assumptions'!B29/12</f>
        <v/>
      </c>
      <c r="J13" s="19">
        <f>J7*'03_Assumptions'!B29/12</f>
        <v/>
      </c>
      <c r="K13" s="19">
        <f>K7*'03_Assumptions'!B29/12</f>
        <v/>
      </c>
      <c r="L13" s="19">
        <f>L7*'03_Assumptions'!B29/12</f>
        <v/>
      </c>
      <c r="M13" s="19">
        <f>M7*'03_Assumptions'!B29/12</f>
        <v/>
      </c>
      <c r="N13" s="19">
        <f>N7*'03_Assumptions'!B29/12</f>
        <v/>
      </c>
      <c r="O13" s="19">
        <f>O7*'03_Assumptions'!B29/12</f>
        <v/>
      </c>
      <c r="P13" s="19">
        <f>P7*'03_Assumptions'!B29/12</f>
        <v/>
      </c>
      <c r="Q13" s="5" t="n"/>
    </row>
    <row r="14">
      <c r="A14" s="5" t="inlineStr">
        <is>
          <t>Distribution Allowed</t>
        </is>
      </c>
      <c r="B14" s="5">
        <f>IF(AND(B5&gt;='03_Assumptions'!B31,B8="OK"),"YES","NO")</f>
        <v/>
      </c>
      <c r="C14" s="5">
        <f>IF(AND(C5&gt;='03_Assumptions'!B31,C8="OK"),"YES","NO")</f>
        <v/>
      </c>
      <c r="D14" s="5">
        <f>IF(AND(D5&gt;='03_Assumptions'!B31,D8="OK"),"YES","NO")</f>
        <v/>
      </c>
      <c r="E14" s="5">
        <f>IF(AND(E5&gt;='03_Assumptions'!B31,E8="OK"),"YES","NO")</f>
        <v/>
      </c>
      <c r="F14" s="5">
        <f>IF(AND(F5&gt;='03_Assumptions'!B31,F8="OK"),"YES","NO")</f>
        <v/>
      </c>
      <c r="G14" s="5">
        <f>IF(AND(G5&gt;='03_Assumptions'!B31,G8="OK"),"YES","NO")</f>
        <v/>
      </c>
      <c r="H14" s="5">
        <f>IF(AND(H5&gt;='03_Assumptions'!B31,H8="OK"),"YES","NO")</f>
        <v/>
      </c>
      <c r="I14" s="5">
        <f>IF(AND(I5&gt;='03_Assumptions'!B31,I8="OK"),"YES","NO")</f>
        <v/>
      </c>
      <c r="J14" s="5">
        <f>IF(AND(J5&gt;='03_Assumptions'!B31,J8="OK"),"YES","NO")</f>
        <v/>
      </c>
      <c r="K14" s="5">
        <f>IF(AND(K5&gt;='03_Assumptions'!B31,K8="OK"),"YES","NO")</f>
        <v/>
      </c>
      <c r="L14" s="5">
        <f>IF(AND(L5&gt;='03_Assumptions'!B31,L8="OK"),"YES","NO")</f>
        <v/>
      </c>
      <c r="M14" s="5">
        <f>IF(AND(M5&gt;='03_Assumptions'!B31,M8="OK"),"YES","NO")</f>
        <v/>
      </c>
      <c r="N14" s="5">
        <f>IF(AND(N5&gt;='03_Assumptions'!B31,N8="OK"),"YES","NO")</f>
        <v/>
      </c>
      <c r="O14" s="5">
        <f>IF(AND(O5&gt;='03_Assumptions'!B31,O8="OK"),"YES","NO")</f>
        <v/>
      </c>
      <c r="P14" s="5">
        <f>IF(AND(P5&gt;='03_Assumptions'!B31,P8="OK"),"YES","NO")</f>
        <v/>
      </c>
      <c r="Q14" s="5" t="n"/>
    </row>
    <row r="15">
      <c r="A15" s="5" t="inlineStr">
        <is>
          <t>Status</t>
        </is>
      </c>
      <c r="B15" s="5">
        <f>IF(B8="DEFAULT","RED",IF(B9="LOCKED","YELLOW",IF(B10="SWEEP ACTIVE","GREEN+SWEEP","GREEN")))</f>
        <v/>
      </c>
      <c r="C15" s="5">
        <f>IF(C8="DEFAULT","RED",IF(C9="LOCKED","YELLOW",IF(C10="SWEEP ACTIVE","GREEN+SWEEP","GREEN")))</f>
        <v/>
      </c>
      <c r="D15" s="5">
        <f>IF(D8="DEFAULT","RED",IF(D9="LOCKED","YELLOW",IF(D10="SWEEP ACTIVE","GREEN+SWEEP","GREEN")))</f>
        <v/>
      </c>
      <c r="E15" s="5">
        <f>IF(E8="DEFAULT","RED",IF(E9="LOCKED","YELLOW",IF(E10="SWEEP ACTIVE","GREEN+SWEEP","GREEN")))</f>
        <v/>
      </c>
      <c r="F15" s="5">
        <f>IF(F8="DEFAULT","RED",IF(F9="LOCKED","YELLOW",IF(F10="SWEEP ACTIVE","GREEN+SWEEP","GREEN")))</f>
        <v/>
      </c>
      <c r="G15" s="5">
        <f>IF(G8="DEFAULT","RED",IF(G9="LOCKED","YELLOW",IF(G10="SWEEP ACTIVE","GREEN+SWEEP","GREEN")))</f>
        <v/>
      </c>
      <c r="H15" s="5">
        <f>IF(H8="DEFAULT","RED",IF(H9="LOCKED","YELLOW",IF(H10="SWEEP ACTIVE","GREEN+SWEEP","GREEN")))</f>
        <v/>
      </c>
      <c r="I15" s="5">
        <f>IF(I8="DEFAULT","RED",IF(I9="LOCKED","YELLOW",IF(I10="SWEEP ACTIVE","GREEN+SWEEP","GREEN")))</f>
        <v/>
      </c>
      <c r="J15" s="5">
        <f>IF(J8="DEFAULT","RED",IF(J9="LOCKED","YELLOW",IF(J10="SWEEP ACTIVE","GREEN+SWEEP","GREEN")))</f>
        <v/>
      </c>
      <c r="K15" s="5">
        <f>IF(K8="DEFAULT","RED",IF(K9="LOCKED","YELLOW",IF(K10="SWEEP ACTIVE","GREEN+SWEEP","GREEN")))</f>
        <v/>
      </c>
      <c r="L15" s="5">
        <f>IF(L8="DEFAULT","RED",IF(L9="LOCKED","YELLOW",IF(L10="SWEEP ACTIVE","GREEN+SWEEP","GREEN")))</f>
        <v/>
      </c>
      <c r="M15" s="5">
        <f>IF(M8="DEFAULT","RED",IF(M9="LOCKED","YELLOW",IF(M10="SWEEP ACTIVE","GREEN+SWEEP","GREEN")))</f>
        <v/>
      </c>
      <c r="N15" s="5">
        <f>IF(N8="DEFAULT","RED",IF(N9="LOCKED","YELLOW",IF(N10="SWEEP ACTIVE","GREEN+SWEEP","GREEN")))</f>
        <v/>
      </c>
      <c r="O15" s="5">
        <f>IF(O8="DEFAULT","RED",IF(O9="LOCKED","YELLOW",IF(O10="SWEEP ACTIVE","GREEN+SWEEP","GREEN")))</f>
        <v/>
      </c>
      <c r="P15" s="5">
        <f>IF(P8="DEFAULT","RED",IF(P9="LOCKED","YELLOW",IF(P10="SWEEP ACTIVE","GREEN+SWEEP","GREEN")))</f>
        <v/>
      </c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inlineStr">
        <is>
          <t>Any default?</t>
        </is>
      </c>
      <c r="B18" s="5">
        <f>IF(COUNTIF(B8:P8,"DEFAULT")=0,"NO","YES")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inlineStr">
        <is>
          <t>Any lock-up?</t>
        </is>
      </c>
      <c r="B19" s="5">
        <f>IF(COUNTIF(B9:P9,"LOCKED")=0,"NO","YES")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inlineStr">
        <is>
          <t>Any sweep?</t>
        </is>
      </c>
      <c r="B20" s="5">
        <f>IF(COUNTIF(B10:P10,"SWEEP ACTIVE")=0,"NO","YES")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</sheetData>
  <mergeCells count="2">
    <mergeCell ref="A3:R3"/>
    <mergeCell ref="A1:R1"/>
  </mergeCells>
  <conditionalFormatting sqref="B5:P5">
    <cfRule type="cellIs" priority="1" operator="lessThan" dxfId="0">
      <formula>1.2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10_Valuation | Returns</t>
        </is>
      </c>
    </row>
    <row r="3">
      <c r="A3" s="4" t="inlineStr">
        <is>
          <t>Project and equity returns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s="5" t="inlineStr">
        <is>
          <t>Project IRR</t>
        </is>
      </c>
      <c r="B5" s="20">
        <f>IRR('09_CashFlow'!B10:P10)</f>
        <v/>
      </c>
    </row>
    <row r="6">
      <c r="A6" s="5" t="inlineStr">
        <is>
          <t>Equity IRR</t>
        </is>
      </c>
      <c r="B6" s="20">
        <f>IRR({'-20%*'03_Assumptions'!B9,'-50%*'03_Assumptions'!B9,'-30%*'03_Assumptions'!B9,0,0,0,0,0,0,0,0,0,0,0,0}+0)</f>
        <v/>
      </c>
    </row>
    <row r="7">
      <c r="A7" s="5" t="inlineStr">
        <is>
          <t>Average DSCR</t>
        </is>
      </c>
      <c r="B7" s="23">
        <f>'CFADS_DSCR_AUDIT'!B20</f>
        <v/>
      </c>
    </row>
    <row r="8">
      <c r="A8" s="5" t="inlineStr">
        <is>
          <t>Minimum DSCR</t>
        </is>
      </c>
      <c r="B8" s="23">
        <f>'CFADS_DSCR_AUDIT'!B19</f>
        <v/>
      </c>
    </row>
  </sheetData>
  <mergeCells count="2">
    <mergeCell ref="A3:R3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11_Dashboard | TITAN Grid</t>
        </is>
      </c>
    </row>
    <row r="3">
      <c r="A3" s="4" t="inlineStr">
        <is>
          <t>Key metrics</t>
        </is>
      </c>
    </row>
    <row r="4">
      <c r="A4" s="5" t="inlineStr">
        <is>
          <t>TPC</t>
        </is>
      </c>
      <c r="B4" s="19">
        <f>'03_Assumptions'!B4</f>
        <v/>
      </c>
    </row>
    <row r="5">
      <c r="A5" s="5" t="inlineStr">
        <is>
          <t>Direct CAPEX</t>
        </is>
      </c>
      <c r="B5" s="19">
        <f>'03_Assumptions'!B5</f>
        <v/>
      </c>
    </row>
    <row r="6">
      <c r="A6" s="5" t="inlineStr">
        <is>
          <t>Debt</t>
        </is>
      </c>
      <c r="B6" s="19">
        <f>'03_Assumptions'!B8</f>
        <v/>
      </c>
    </row>
    <row r="7">
      <c r="A7" s="5" t="inlineStr">
        <is>
          <t>Equity</t>
        </is>
      </c>
      <c r="B7" s="19">
        <f>'03_Assumptions'!B9</f>
        <v/>
      </c>
    </row>
    <row r="8">
      <c r="A8" s="5" t="inlineStr">
        <is>
          <t>IDC</t>
        </is>
      </c>
      <c r="B8" s="19">
        <f>'03_Assumptions'!B10</f>
        <v/>
      </c>
    </row>
    <row r="9">
      <c r="A9" s="5" t="inlineStr">
        <is>
          <t>Average DSCR</t>
        </is>
      </c>
      <c r="B9" s="23">
        <f>'CFADS_DSCR_AUDIT'!B20</f>
        <v/>
      </c>
    </row>
    <row r="10">
      <c r="A10" s="5" t="inlineStr">
        <is>
          <t>Minimum DSCR</t>
        </is>
      </c>
      <c r="B10" s="23">
        <f>'CFADS_DSCR_AUDIT'!B19</f>
        <v/>
      </c>
    </row>
    <row r="11">
      <c r="A11" s="5" t="inlineStr">
        <is>
          <t>Revenue Year 1</t>
        </is>
      </c>
      <c r="B11" s="19">
        <f>'03_Assumptions'!B13</f>
        <v/>
      </c>
    </row>
    <row r="12">
      <c r="A12" s="5" t="inlineStr">
        <is>
          <t>Revenue Year 5</t>
        </is>
      </c>
      <c r="B12" s="19">
        <f>'03_Assumptions'!B14</f>
        <v/>
      </c>
    </row>
    <row r="13">
      <c r="A13" s="5" t="inlineStr">
        <is>
          <t>Revenue Year 12</t>
        </is>
      </c>
      <c r="B13" s="19">
        <f>'03_Assumptions'!B15</f>
        <v/>
      </c>
    </row>
  </sheetData>
  <mergeCells count="2">
    <mergeCell ref="A3:R3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12_QA_Audit | Automated checks</t>
        </is>
      </c>
    </row>
    <row r="3">
      <c r="A3" s="4" t="inlineStr">
        <is>
          <t>Core QA</t>
        </is>
      </c>
    </row>
    <row r="4">
      <c r="A4" s="5" t="inlineStr">
        <is>
          <t>Check</t>
        </is>
      </c>
      <c r="B4" s="5" t="inlineStr">
        <is>
          <t>Status</t>
        </is>
      </c>
    </row>
    <row r="5">
      <c r="A5" s="5" t="inlineStr">
        <is>
          <t>TPC = Direct CAPEX + Contingency + Escalation</t>
        </is>
      </c>
      <c r="B5" s="5">
        <f>IF(ABS('03_Assumptions'!B4-('03_Assumptions'!B5+'03_Assumptions'!B6+'03_Assumptions'!B7))&lt;=1,"OK","FAIL")</f>
        <v/>
      </c>
    </row>
    <row r="6">
      <c r="A6" s="5" t="inlineStr">
        <is>
          <t>Sources = Uses incl. IDC</t>
        </is>
      </c>
      <c r="B6" s="5">
        <f>IF(ABS('07_Funding'!B10-('03_Assumptions'!B8+'03_Assumptions'!B9))&lt;=1,"OK","CHECK IDC")</f>
        <v/>
      </c>
    </row>
    <row r="7">
      <c r="A7" s="5" t="inlineStr">
        <is>
          <t>Minimum DSCR &gt;= 1.20x</t>
        </is>
      </c>
      <c r="B7" s="5">
        <f>IF('CFADS_DSCR_AUDIT'!B19&gt;=1.2,"OK","FAIL")</f>
        <v/>
      </c>
    </row>
    <row r="8">
      <c r="A8" s="5" t="inlineStr">
        <is>
          <t>Debt amortizes to zero by end of tenor</t>
        </is>
      </c>
      <c r="B8" s="5">
        <f>IF(INDEX('08_Debt'!B11:P11,1,COLUMNS('08_Debt'!B11:P11))&lt;=1,"OK","FAIL")</f>
        <v/>
      </c>
    </row>
    <row r="9">
      <c r="A9" s="5" t="inlineStr">
        <is>
          <t>No covenant default in base case</t>
        </is>
      </c>
      <c r="B9" s="5">
        <f>IF('COVENANTS_ENGINE'!B18="NO","OK","FAIL")</f>
        <v/>
      </c>
    </row>
    <row r="10">
      <c r="A10" s="5" t="inlineStr">
        <is>
          <t>Locked min DSCR matched</t>
        </is>
      </c>
      <c r="B10" s="5">
        <f>'CFADS_DSCR_AUDIT'!B23</f>
        <v/>
      </c>
    </row>
    <row r="11">
      <c r="A11" s="5" t="inlineStr">
        <is>
          <t>Locked avg DSCR matched</t>
        </is>
      </c>
      <c r="B11" s="5">
        <f>'CFADS_DSCR_AUDIT'!B24</f>
        <v/>
      </c>
    </row>
  </sheetData>
  <mergeCells count="2">
    <mergeCell ref="A3:R3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2026-03-23T12:37:26Z</dcterms:created>
  <dcterms:modified xmlns:dcterms="http://purl.org/dc/terms/" xmlns:xsi="http://www.w3.org/2001/XMLSchema-instance" xsi:type="dcterms:W3CDTF">2026-03-24T23:03:39Z</dcterms:modified>
</cp:coreProperties>
</file>