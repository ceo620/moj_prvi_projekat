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Chapter_Summary" sheetId="2" state="visible" r:id="rId2"/>
    <sheet xmlns:r="http://schemas.openxmlformats.org/officeDocument/2006/relationships" name="Document_List" sheetId="3" state="visible" r:id="rId3"/>
    <sheet xmlns:r="http://schemas.openxmlformats.org/officeDocument/2006/relationships" name="Task_Register" sheetId="4" state="visible" r:id="rId4"/>
    <sheet xmlns:r="http://schemas.openxmlformats.org/officeDocument/2006/relationships" name="Financial_Map" sheetId="5" state="visible" r:id="rId5"/>
    <sheet xmlns:r="http://schemas.openxmlformats.org/officeDocument/2006/relationships" name="Strategy_OKR" sheetId="6" state="visible" r:id="rId6"/>
    <sheet xmlns:r="http://schemas.openxmlformats.org/officeDocument/2006/relationships" name="Issue_Log" sheetId="7" state="visible" r:id="rId7"/>
    <sheet xmlns:r="http://schemas.openxmlformats.org/officeDocument/2006/relationships" name="Evidence_Tracker" sheetId="8" state="visible" r:id="rId8"/>
    <sheet xmlns:r="http://schemas.openxmlformats.org/officeDocument/2006/relationships" name="Controls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</font>
    <font>
      <b val="1"/>
    </font>
    <font>
      <b val="1"/>
      <color rgb="00FFFFFF"/>
    </font>
    <font>
      <color rgb="000000FF"/>
    </font>
    <font>
      <color rgb="00000000"/>
    </font>
    <font>
      <color rgb="00008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2F3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 wrapText="1"/>
    </xf>
    <xf numFmtId="9" fontId="0" fillId="0" borderId="1" applyAlignment="1" pivotButton="0" quotePrefix="0" xfId="0">
      <alignment horizontal="left"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E4" authorId="0" shapeId="0">
      <text>
        <t>Every issue in this sheet points to an exact trigger text or clause that should be corrected or evidenced.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4" authorId="0" shapeId="0">
      <text>
        <t>Expected result is 0. Non-zero means sources and uses in chapter 1.2 are out of balance.</t>
      </text>
    </comment>
  </commentList>
</comments>
</file>

<file path=xl/tables/table1.xml><?xml version="1.0" encoding="utf-8"?>
<table xmlns="http://schemas.openxmlformats.org/spreadsheetml/2006/main" id="1" name="Chapter_Summary" displayName="Chapter_Summary" ref="A3:I14" headerRowCount="1">
  <autoFilter ref="A3:I14"/>
  <tableColumns count="9">
    <tableColumn id="1" name="Chapter"/>
    <tableColumn id="2" name="Title"/>
    <tableColumn id="3" name="Documents"/>
    <tableColumn id="4" name="Tasks"/>
    <tableColumn id="5" name="Financial Rows"/>
    <tableColumn id="6" name="Strategy Rows"/>
    <tableColumn id="7" name="Critical Issues"/>
    <tableColumn id="8" name="Status"/>
    <tableColumn id="9" name="Audit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cument_List" displayName="Document_List" ref="A3:I95" headerRowCount="1">
  <autoFilter ref="A3:I95"/>
  <tableColumns count="9">
    <tableColumn id="1" name="Chapter"/>
    <tableColumn id="2" name="Document"/>
    <tableColumn id="3" name="Purpose"/>
    <tableColumn id="4" name="Owner"/>
    <tableColumn id="5" name="Priority"/>
    <tableColumn id="6" name="Status"/>
    <tableColumn id="7" name="Due_Date"/>
    <tableColumn id="8" name="Forensic_Note"/>
    <tableColumn id="9" name="Source_S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sk_Register" displayName="Task_Register" ref="A3:X60" headerRowCount="1">
  <autoFilter ref="A3:X60"/>
  <tableColumns count="24">
    <tableColumn id="1" name="Lifecycle_Activity"/>
    <tableColumn id="2" name="Phase"/>
    <tableColumn id="3" name="Step_ID"/>
    <tableColumn id="4" name="Step_Name"/>
    <tableColumn id="5" name="Detailed_Description"/>
    <tableColumn id="6" name="Responsible_Function"/>
    <tableColumn id="7" name="Dependency"/>
    <tableColumn id="8" name="Required_Evidence"/>
    <tableColumn id="9" name="Document_Type"/>
    <tableColumn id="10" name="Budget_EUR"/>
    <tableColumn id="11" name="Financial_Classification"/>
    <tableColumn id="12" name="Risk_Score_1_5"/>
    <tableColumn id="13" name="Risk_Level"/>
    <tableColumn id="14" name="RAG_Status"/>
    <tableColumn id="15" name="Hard_Gate"/>
    <tableColumn id="16" name="Status"/>
    <tableColumn id="17" name="Institution"/>
    <tableColumn id="18" name="Contact_Person"/>
    <tableColumn id="19" name="Case_Number"/>
    <tableColumn id="20" name="Start_Date"/>
    <tableColumn id="21" name="Statutory_Deadline"/>
    <tableColumn id="22" name="Last_Update"/>
    <tableColumn id="23" name="Next_Action"/>
    <tableColumn id="2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inancial_Map" displayName="Financial_Map" ref="A3:I86" headerRowCount="1">
  <autoFilter ref="A3:I86"/>
  <tableColumns count="9">
    <tableColumn id="1" name="Chapter"/>
    <tableColumn id="2" name="Category"/>
    <tableColumn id="3" name="Subcategory"/>
    <tableColumn id="4" name="Type"/>
    <tableColumn id="5" name="Amount_or_Value"/>
    <tableColumn id="6" name="Status"/>
    <tableColumn id="7" name="Funding_Source"/>
    <tableColumn id="8" name="Comment"/>
    <tableColumn id="9" name="Source_S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rategy_OKR" displayName="Strategy_OKR" ref="A3:H71" headerRowCount="1">
  <autoFilter ref="A3:H71"/>
  <tableColumns count="8">
    <tableColumn id="1" name="Chapter"/>
    <tableColumn id="2" name="Strategic_Goal"/>
    <tableColumn id="3" name="Key_Result"/>
    <tableColumn id="4" name="Owner"/>
    <tableColumn id="5" name="Timeline"/>
    <tableColumn id="6" name="Status_%"/>
    <tableColumn id="7" name="Forensic_Note"/>
    <tableColumn id="8" name="Source_Se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Issue_Log" displayName="Issue_Log" ref="A3:J22" headerRowCount="1">
  <autoFilter ref="A3:J22"/>
  <tableColumns count="10">
    <tableColumn id="1" name="Issue_Area"/>
    <tableColumn id="2" name="Source_Chapter_or_CrossRef"/>
    <tableColumn id="3" name="Issue_Title"/>
    <tableColumn id="4" name="Severity"/>
    <tableColumn id="5" name="Exact_Trigger_Text_or_Clause"/>
    <tableColumn id="6" name="Why_Flagged"/>
    <tableColumn id="7" name="Impact_Area"/>
    <tableColumn id="8" name="Owner"/>
    <tableColumn id="9" name="Resolution_Status"/>
    <tableColumn id="10" name="Required_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vidence_Tracker" displayName="Evidence_Tracker" ref="A3:H15" headerRowCount="1">
  <autoFilter ref="A3:H15"/>
  <tableColumns count="8">
    <tableColumn id="1" name="Chapter"/>
    <tableColumn id="2" name="Claim_or_Number"/>
    <tableColumn id="3" name="Evidence_Type_Required"/>
    <tableColumn id="4" name="Priority"/>
    <tableColumn id="5" name="Current_Status"/>
    <tableColumn id="6" name="Minimum_Backup_Needed"/>
    <tableColumn id="7" name="Owner"/>
    <tableColumn id="8" name="Comm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ntrols_Check" displayName="Controls_Check" ref="A3:H7" headerRowCount="1">
  <autoFilter ref="A3:H7"/>
  <tableColumns count="8">
    <tableColumn id="1" name="Check"/>
    <tableColumn id="2" name="Formula_Cell_Input"/>
    <tableColumn id="3" name="Result"/>
    <tableColumn id="4" name="Interpretation"/>
    <tableColumn id="5" name="None"/>
    <tableColumn id="6" name="None"/>
    <tableColumn id="7" name="None"/>
    <tableColumn id="8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ARS Business Plan Harmonization &amp; Forensic Review</t>
        </is>
      </c>
    </row>
    <row r="2" ht="38" customHeight="1">
      <c r="A2" s="2" t="inlineStr">
        <is>
          <t>Compiled from chapters 1.1 to 3.3. Purpose: harmonize outputs into Document List, Task Register, Financial Map, OKR Strategy, and a forensic issue log.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Workbook purpose</t>
        </is>
      </c>
      <c r="B4" s="5" t="inlineStr">
        <is>
          <t>Convert narrative into execution and control architecture; flag unsupported claims, contradictions and evidence gaps.</t>
        </is>
      </c>
      <c r="C4" s="3" t="n"/>
      <c r="D4" s="3" t="n"/>
      <c r="E4" s="3" t="n"/>
      <c r="F4" s="3" t="n"/>
      <c r="G4" s="3" t="n"/>
      <c r="H4" s="3" t="n"/>
    </row>
    <row r="5">
      <c r="A5" s="4" t="inlineStr">
        <is>
          <t>Review stance</t>
        </is>
      </c>
      <c r="B5" s="5" t="inlineStr">
        <is>
          <t>Forensic / zero-tolerance / evidence-first.</t>
        </is>
      </c>
      <c r="C5" s="3" t="n"/>
      <c r="D5" s="3" t="n"/>
      <c r="E5" s="3" t="n"/>
      <c r="F5" s="3" t="n"/>
      <c r="G5" s="3" t="n"/>
      <c r="H5" s="3" t="n"/>
    </row>
    <row r="6">
      <c r="A6" s="4" t="inlineStr">
        <is>
          <t>Scope covered</t>
        </is>
      </c>
      <c r="B6" s="5" t="inlineStr">
        <is>
          <t>Sections 1.1 to 3.3 of the current business plan draft.</t>
        </is>
      </c>
      <c r="C6" s="3" t="n"/>
      <c r="D6" s="3" t="n"/>
      <c r="E6" s="3" t="n"/>
      <c r="F6" s="3" t="n"/>
      <c r="G6" s="3" t="n"/>
      <c r="H6" s="3" t="n"/>
    </row>
    <row r="7">
      <c r="A7" s="4" t="inlineStr">
        <is>
          <t>Primary outputs</t>
        </is>
      </c>
      <c r="B7" s="5" t="inlineStr">
        <is>
          <t>Document_List, Task_Register, Financial_Map, Strategy_OKR, Issue_Log, Evidence_Tracker, Chapter_Summary.</t>
        </is>
      </c>
      <c r="C7" s="3" t="n"/>
      <c r="D7" s="3" t="n"/>
      <c r="E7" s="3" t="n"/>
      <c r="F7" s="3" t="n"/>
      <c r="G7" s="3" t="n"/>
      <c r="H7" s="3" t="n"/>
    </row>
    <row r="8">
      <c r="A8" s="4" t="inlineStr">
        <is>
          <t>Important caveat</t>
        </is>
      </c>
      <c r="B8" s="5" t="inlineStr">
        <is>
          <t>This workbook harmonizes the text provided in chat. It does not independently verify external facts unless separately sourced.</t>
        </is>
      </c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6" t="inlineStr">
        <is>
          <t>KPI</t>
        </is>
      </c>
      <c r="B11" s="6" t="inlineStr">
        <is>
          <t>Formula / Value</t>
        </is>
      </c>
      <c r="C11" s="6" t="inlineStr">
        <is>
          <t>Comment</t>
        </is>
      </c>
      <c r="D11" s="3" t="n"/>
      <c r="E11" s="3" t="n"/>
      <c r="F11" s="3" t="n"/>
      <c r="G11" s="3" t="n"/>
      <c r="H11" s="3" t="n"/>
    </row>
    <row r="12">
      <c r="A12" s="5" t="inlineStr">
        <is>
          <t>Chapters covered</t>
        </is>
      </c>
      <c r="B12" s="5">
        <f>COUNTA(Chapter_Summary!A2:A200)</f>
        <v/>
      </c>
      <c r="C12" s="5" t="inlineStr">
        <is>
          <t>Should equal analyzed sections</t>
        </is>
      </c>
      <c r="D12" s="3" t="n"/>
      <c r="E12" s="3" t="n"/>
      <c r="F12" s="3" t="n"/>
      <c r="G12" s="3" t="n"/>
      <c r="H12" s="3" t="n"/>
    </row>
    <row r="13">
      <c r="A13" s="5" t="inlineStr">
        <is>
          <t>Documents extracted</t>
        </is>
      </c>
      <c r="B13" s="5">
        <f>COUNTA(Document_List!A4:A1000)</f>
        <v/>
      </c>
      <c r="C13" s="5" t="inlineStr">
        <is>
          <t>Document rows</t>
        </is>
      </c>
      <c r="D13" s="3" t="n"/>
      <c r="E13" s="3" t="n"/>
      <c r="F13" s="3" t="n"/>
      <c r="G13" s="3" t="n"/>
      <c r="H13" s="3" t="n"/>
    </row>
    <row r="14">
      <c r="A14" s="5" t="inlineStr">
        <is>
          <t>Tasks extracted</t>
        </is>
      </c>
      <c r="B14" s="5">
        <f>COUNTA(Task_Register!C4:C5000)</f>
        <v/>
      </c>
      <c r="C14" s="5" t="inlineStr">
        <is>
          <t>Task rows</t>
        </is>
      </c>
      <c r="D14" s="3" t="n"/>
      <c r="E14" s="3" t="n"/>
      <c r="F14" s="3" t="n"/>
      <c r="G14" s="3" t="n"/>
      <c r="H14" s="3" t="n"/>
    </row>
    <row r="15">
      <c r="A15" s="5" t="inlineStr">
        <is>
          <t>Financial map rows</t>
        </is>
      </c>
      <c r="B15" s="5">
        <f>COUNTA(Financial_Map!A4:A5000)</f>
        <v/>
      </c>
      <c r="C15" s="5" t="inlineStr">
        <is>
          <t>Finance rows</t>
        </is>
      </c>
      <c r="D15" s="3" t="n"/>
      <c r="E15" s="3" t="n"/>
      <c r="F15" s="3" t="n"/>
      <c r="G15" s="3" t="n"/>
      <c r="H15" s="3" t="n"/>
    </row>
    <row r="16">
      <c r="A16" s="5" t="inlineStr">
        <is>
          <t>Strategy / OKR rows</t>
        </is>
      </c>
      <c r="B16" s="5">
        <f>COUNTA(Strategy_OKR!A4:A5000)</f>
        <v/>
      </c>
      <c r="C16" s="5" t="inlineStr">
        <is>
          <t>Strategy rows</t>
        </is>
      </c>
      <c r="D16" s="3" t="n"/>
      <c r="E16" s="3" t="n"/>
      <c r="F16" s="3" t="n"/>
      <c r="G16" s="3" t="n"/>
      <c r="H16" s="3" t="n"/>
    </row>
    <row r="17">
      <c r="A17" s="5" t="inlineStr">
        <is>
          <t>Forensic issues flagged</t>
        </is>
      </c>
      <c r="B17" s="5">
        <f>COUNTA(Issue_Log!A4:A1000)</f>
        <v/>
      </c>
      <c r="C17" s="5" t="inlineStr">
        <is>
          <t>Issue count</t>
        </is>
      </c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6" t="inlineStr">
        <is>
          <t>Color / Style</t>
        </is>
      </c>
      <c r="B20" s="6" t="inlineStr">
        <is>
          <t>Meaning</t>
        </is>
      </c>
      <c r="C20" s="6" t="inlineStr">
        <is>
          <t>Application</t>
        </is>
      </c>
      <c r="D20" s="3" t="n"/>
      <c r="E20" s="3" t="n"/>
      <c r="F20" s="3" t="n"/>
      <c r="G20" s="3" t="n"/>
      <c r="H20" s="3" t="n"/>
    </row>
    <row r="21">
      <c r="A21" s="7" t="inlineStr">
        <is>
          <t>Blue text</t>
        </is>
      </c>
      <c r="B21" s="5" t="inlineStr">
        <is>
          <t>Hardcoded input</t>
        </is>
      </c>
      <c r="C21" s="5" t="inlineStr">
        <is>
          <t>Editable assumptions</t>
        </is>
      </c>
      <c r="D21" s="3" t="n"/>
      <c r="E21" s="3" t="n"/>
      <c r="F21" s="3" t="n"/>
      <c r="G21" s="3" t="n"/>
      <c r="H21" s="3" t="n"/>
    </row>
    <row r="22">
      <c r="A22" s="8" t="inlineStr">
        <is>
          <t>Black text</t>
        </is>
      </c>
      <c r="B22" s="5" t="inlineStr">
        <is>
          <t>Formula / derived</t>
        </is>
      </c>
      <c r="C22" s="5" t="inlineStr">
        <is>
          <t>Calculated outputs</t>
        </is>
      </c>
      <c r="D22" s="3" t="n"/>
      <c r="E22" s="3" t="n"/>
      <c r="F22" s="3" t="n"/>
      <c r="G22" s="3" t="n"/>
      <c r="H22" s="3" t="n"/>
    </row>
    <row r="23">
      <c r="A23" s="9" t="inlineStr">
        <is>
          <t>Green text</t>
        </is>
      </c>
      <c r="B23" s="5" t="inlineStr">
        <is>
          <t>Internal linked / imported</t>
        </is>
      </c>
      <c r="C23" s="5" t="inlineStr">
        <is>
          <t>Pulled from another sheet</t>
        </is>
      </c>
      <c r="D23" s="3" t="n"/>
      <c r="E23" s="3" t="n"/>
      <c r="F23" s="3" t="n"/>
      <c r="G23" s="3" t="n"/>
      <c r="H23" s="3" t="n"/>
    </row>
    <row r="24">
      <c r="A24" s="10" t="inlineStr">
        <is>
          <t>Light red fill</t>
        </is>
      </c>
      <c r="B24" s="5" t="inlineStr">
        <is>
          <t>Critical forensic issue / immediate action</t>
        </is>
      </c>
      <c r="C24" s="5" t="inlineStr">
        <is>
          <t>High severity</t>
        </is>
      </c>
      <c r="D24" s="3" t="n"/>
      <c r="E24" s="3" t="n"/>
      <c r="F24" s="3" t="n"/>
      <c r="G24" s="3" t="n"/>
      <c r="H24" s="3" t="n"/>
    </row>
    <row r="25">
      <c r="A25" s="11" t="inlineStr">
        <is>
          <t>Amber fill</t>
        </is>
      </c>
      <c r="B25" s="5" t="inlineStr">
        <is>
          <t>Review / caution</t>
        </is>
      </c>
      <c r="C25" s="5" t="inlineStr">
        <is>
          <t>Needs validation before external use</t>
        </is>
      </c>
      <c r="D25" s="3" t="n"/>
      <c r="E25" s="3" t="n"/>
      <c r="F25" s="3" t="n"/>
      <c r="G25" s="3" t="n"/>
      <c r="H25" s="3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1" customWidth="1" min="3" max="3"/>
    <col width="10" customWidth="1" min="4" max="4"/>
    <col width="16" customWidth="1" min="5" max="5"/>
    <col width="15" customWidth="1" min="6" max="6"/>
    <col width="17" customWidth="1" min="7" max="7"/>
    <col width="10" customWidth="1" min="8" max="8"/>
    <col width="42" customWidth="1" min="9" max="9"/>
  </cols>
  <sheetData>
    <row r="1" ht="24" customHeight="1">
      <c r="A1" s="1" t="inlineStr">
        <is>
          <t>Chapter Summary</t>
        </is>
      </c>
    </row>
    <row r="2" ht="38" customHeight="1">
      <c r="A2" s="2" t="inlineStr">
        <is>
          <t>One-line harmonized view per chapter</t>
        </is>
      </c>
    </row>
    <row r="3">
      <c r="A3" s="6" t="inlineStr">
        <is>
          <t>Chapter</t>
        </is>
      </c>
      <c r="B3" s="6" t="inlineStr">
        <is>
          <t>Title</t>
        </is>
      </c>
      <c r="C3" s="6" t="inlineStr">
        <is>
          <t>Documents</t>
        </is>
      </c>
      <c r="D3" s="6" t="inlineStr">
        <is>
          <t>Tasks</t>
        </is>
      </c>
      <c r="E3" s="6" t="inlineStr">
        <is>
          <t>Financial Rows</t>
        </is>
      </c>
      <c r="F3" s="6" t="inlineStr">
        <is>
          <t>Strategy Rows</t>
        </is>
      </c>
      <c r="G3" s="6" t="inlineStr">
        <is>
          <t>Critical Issues</t>
        </is>
      </c>
      <c r="H3" s="6" t="inlineStr">
        <is>
          <t>Status</t>
        </is>
      </c>
      <c r="I3" s="6" t="inlineStr">
        <is>
          <t>Audit Note</t>
        </is>
      </c>
    </row>
    <row r="4">
      <c r="A4" s="5" t="inlineStr">
        <is>
          <t>1.1</t>
        </is>
      </c>
      <c r="B4" s="5" t="inlineStr">
        <is>
          <t>Project Overview and Strategic Objectives</t>
        </is>
      </c>
      <c r="C4" s="5" t="n">
        <v>8</v>
      </c>
      <c r="D4" s="5" t="n">
        <v>5</v>
      </c>
      <c r="E4" s="5" t="n">
        <v>10</v>
      </c>
      <c r="F4" s="5" t="n">
        <v>6</v>
      </c>
      <c r="G4" s="5" t="n">
        <v>1</v>
      </c>
      <c r="H4" s="5" t="inlineStr">
        <is>
          <t>Reviewed</t>
        </is>
      </c>
      <c r="I4" s="5" t="inlineStr">
        <is>
          <t>Narrative harmonized; external evidence still required for flagged claims.</t>
        </is>
      </c>
    </row>
    <row r="5">
      <c r="A5" s="5" t="inlineStr">
        <is>
          <t>1.2</t>
        </is>
      </c>
      <c r="B5" s="5" t="inlineStr">
        <is>
          <t>Investment Summary and Funding Requirements</t>
        </is>
      </c>
      <c r="C5" s="5" t="n">
        <v>8</v>
      </c>
      <c r="D5" s="5" t="n">
        <v>5</v>
      </c>
      <c r="E5" s="5" t="n">
        <v>7</v>
      </c>
      <c r="F5" s="5" t="n">
        <v>6</v>
      </c>
      <c r="G5" s="5" t="n">
        <v>2</v>
      </c>
      <c r="H5" s="5" t="inlineStr">
        <is>
          <t>Reviewed</t>
        </is>
      </c>
      <c r="I5" s="5" t="inlineStr">
        <is>
          <t>Narrative harmonized; external evidence still required for flagged claims.</t>
        </is>
      </c>
    </row>
    <row r="6">
      <c r="A6" s="5" t="inlineStr">
        <is>
          <t>1.3</t>
        </is>
      </c>
      <c r="B6" s="5" t="inlineStr">
        <is>
          <t>Market Opportunity and Competitive Positioning</t>
        </is>
      </c>
      <c r="C6" s="5" t="n">
        <v>9</v>
      </c>
      <c r="D6" s="5" t="n">
        <v>5</v>
      </c>
      <c r="E6" s="5" t="n">
        <v>8</v>
      </c>
      <c r="F6" s="5" t="n">
        <v>6</v>
      </c>
      <c r="G6" s="5" t="n">
        <v>3</v>
      </c>
      <c r="H6" s="5" t="inlineStr">
        <is>
          <t>Reviewed</t>
        </is>
      </c>
      <c r="I6" s="5" t="inlineStr">
        <is>
          <t>Narrative harmonized; external evidence still required for flagged claims.</t>
        </is>
      </c>
    </row>
    <row r="7">
      <c r="A7" s="5" t="inlineStr">
        <is>
          <t>1.4</t>
        </is>
      </c>
      <c r="B7" s="5" t="inlineStr">
        <is>
          <t>Financial Highlights and Return Profile (2026-2029)</t>
        </is>
      </c>
      <c r="C7" s="5" t="n">
        <v>8</v>
      </c>
      <c r="D7" s="5" t="n">
        <v>5</v>
      </c>
      <c r="E7" s="5" t="n">
        <v>12</v>
      </c>
      <c r="F7" s="5" t="n">
        <v>6</v>
      </c>
      <c r="G7" s="5" t="n">
        <v>2</v>
      </c>
      <c r="H7" s="5" t="inlineStr">
        <is>
          <t>Reviewed</t>
        </is>
      </c>
      <c r="I7" s="5" t="inlineStr">
        <is>
          <t>Narrative harmonized; external evidence still required for flagged claims.</t>
        </is>
      </c>
    </row>
    <row r="8">
      <c r="A8" s="5" t="inlineStr">
        <is>
          <t>1.5</t>
        </is>
      </c>
      <c r="B8" s="5" t="inlineStr">
        <is>
          <t>National and EU Strategic Value</t>
        </is>
      </c>
      <c r="C8" s="5" t="n">
        <v>8</v>
      </c>
      <c r="D8" s="5" t="n">
        <v>5</v>
      </c>
      <c r="E8" s="5" t="n">
        <v>6</v>
      </c>
      <c r="F8" s="5" t="n">
        <v>7</v>
      </c>
      <c r="G8" s="5" t="n">
        <v>1</v>
      </c>
      <c r="H8" s="5" t="inlineStr">
        <is>
          <t>Reviewed</t>
        </is>
      </c>
      <c r="I8" s="5" t="inlineStr">
        <is>
          <t>Narrative harmonized; external evidence still required for flagged claims.</t>
        </is>
      </c>
    </row>
    <row r="9">
      <c r="A9" s="5" t="inlineStr">
        <is>
          <t>2.1</t>
        </is>
      </c>
      <c r="B9" s="5" t="inlineStr">
        <is>
          <t>National Industrial Relevance</t>
        </is>
      </c>
      <c r="C9" s="5" t="n">
        <v>8</v>
      </c>
      <c r="D9" s="5" t="n">
        <v>5</v>
      </c>
      <c r="E9" s="5" t="n">
        <v>6</v>
      </c>
      <c r="F9" s="5" t="n">
        <v>6</v>
      </c>
      <c r="G9" s="5" t="n">
        <v>2</v>
      </c>
      <c r="H9" s="5" t="inlineStr">
        <is>
          <t>Reviewed</t>
        </is>
      </c>
      <c r="I9" s="5" t="inlineStr">
        <is>
          <t>Narrative harmonized; external evidence still required for flagged claims.</t>
        </is>
      </c>
    </row>
    <row r="10">
      <c r="A10" s="5" t="inlineStr">
        <is>
          <t>2.2</t>
        </is>
      </c>
      <c r="B10" s="5" t="inlineStr">
        <is>
          <t>Alignment with Energy Infrastructure Needs</t>
        </is>
      </c>
      <c r="C10" s="5" t="n">
        <v>8</v>
      </c>
      <c r="D10" s="5" t="n">
        <v>5</v>
      </c>
      <c r="E10" s="5" t="n">
        <v>8</v>
      </c>
      <c r="F10" s="5" t="n">
        <v>6</v>
      </c>
      <c r="G10" s="5" t="n">
        <v>2</v>
      </c>
      <c r="H10" s="5" t="inlineStr">
        <is>
          <t>Reviewed</t>
        </is>
      </c>
      <c r="I10" s="5" t="inlineStr">
        <is>
          <t>Narrative harmonized; external evidence still required for flagged claims.</t>
        </is>
      </c>
    </row>
    <row r="11">
      <c r="A11" s="5" t="inlineStr">
        <is>
          <t>2.3</t>
        </is>
      </c>
      <c r="B11" s="5" t="inlineStr">
        <is>
          <t>Export and Industrial Capacity Impact</t>
        </is>
      </c>
      <c r="C11" s="5" t="n">
        <v>8</v>
      </c>
      <c r="D11" s="5" t="n">
        <v>5</v>
      </c>
      <c r="E11" s="5" t="n">
        <v>7</v>
      </c>
      <c r="F11" s="5" t="n">
        <v>6</v>
      </c>
      <c r="G11" s="5" t="n">
        <v>1</v>
      </c>
      <c r="H11" s="5" t="inlineStr">
        <is>
          <t>Reviewed</t>
        </is>
      </c>
      <c r="I11" s="5" t="inlineStr">
        <is>
          <t>Narrative harmonized; external evidence still required for flagged claims.</t>
        </is>
      </c>
    </row>
    <row r="12">
      <c r="A12" s="5" t="inlineStr">
        <is>
          <t>3.1</t>
        </is>
      </c>
      <c r="B12" s="5" t="inlineStr">
        <is>
          <t>Legal Structure and Registration</t>
        </is>
      </c>
      <c r="C12" s="5" t="n">
        <v>9</v>
      </c>
      <c r="D12" s="5" t="n">
        <v>5</v>
      </c>
      <c r="E12" s="5" t="n">
        <v>6</v>
      </c>
      <c r="F12" s="5" t="n">
        <v>6</v>
      </c>
      <c r="G12" s="5" t="n">
        <v>1</v>
      </c>
      <c r="H12" s="5" t="inlineStr">
        <is>
          <t>Reviewed</t>
        </is>
      </c>
      <c r="I12" s="5" t="inlineStr">
        <is>
          <t>Narrative harmonized; external evidence still required for flagged claims.</t>
        </is>
      </c>
    </row>
    <row r="13">
      <c r="A13" s="5" t="inlineStr">
        <is>
          <t>3.2</t>
        </is>
      </c>
      <c r="B13" s="5" t="inlineStr">
        <is>
          <t>Ownership and Governance Model</t>
        </is>
      </c>
      <c r="C13" s="5" t="n">
        <v>9</v>
      </c>
      <c r="D13" s="5" t="n">
        <v>5</v>
      </c>
      <c r="E13" s="5" t="n">
        <v>6</v>
      </c>
      <c r="F13" s="5" t="n">
        <v>6</v>
      </c>
      <c r="G13" s="5" t="n">
        <v>0</v>
      </c>
      <c r="H13" s="5" t="inlineStr">
        <is>
          <t>Reviewed</t>
        </is>
      </c>
      <c r="I13" s="5" t="inlineStr">
        <is>
          <t>Narrative harmonized; external evidence still required for flagged claims.</t>
        </is>
      </c>
    </row>
    <row r="14">
      <c r="A14" s="5" t="inlineStr">
        <is>
          <t>3.3</t>
        </is>
      </c>
      <c r="B14" s="5" t="inlineStr">
        <is>
          <t>Management and CFO Control Framework</t>
        </is>
      </c>
      <c r="C14" s="5" t="n">
        <v>9</v>
      </c>
      <c r="D14" s="5" t="n">
        <v>7</v>
      </c>
      <c r="E14" s="5" t="n">
        <v>7</v>
      </c>
      <c r="F14" s="5" t="n">
        <v>7</v>
      </c>
      <c r="G14" s="5" t="n">
        <v>0</v>
      </c>
      <c r="H14" s="5" t="inlineStr">
        <is>
          <t>Reviewed</t>
        </is>
      </c>
      <c r="I14" s="5" t="inlineStr">
        <is>
          <t>Narrative harmonized; external evidence still required for flagged claims.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0" customWidth="1" min="3" max="3"/>
    <col width="26" customWidth="1" min="4" max="4"/>
    <col width="10" customWidth="1" min="5" max="5"/>
    <col width="10" customWidth="1" min="6" max="6"/>
    <col width="10" customWidth="1" min="7" max="7"/>
    <col width="42" customWidth="1" min="8" max="8"/>
    <col width="16" customWidth="1" min="9" max="9"/>
  </cols>
  <sheetData>
    <row r="1" ht="24" customHeight="1">
      <c r="A1" s="1" t="inlineStr">
        <is>
          <t>Document List</t>
        </is>
      </c>
    </row>
    <row r="2" ht="38" customHeight="1">
      <c r="A2" s="2" t="inlineStr">
        <is>
          <t>Master list of documents implied by chapters 1.1-3.3</t>
        </is>
      </c>
    </row>
    <row r="3">
      <c r="A3" s="6" t="inlineStr">
        <is>
          <t>Chapter</t>
        </is>
      </c>
      <c r="B3" s="6" t="inlineStr">
        <is>
          <t>Document</t>
        </is>
      </c>
      <c r="C3" s="6" t="inlineStr">
        <is>
          <t>Purpose</t>
        </is>
      </c>
      <c r="D3" s="6" t="inlineStr">
        <is>
          <t>Owner</t>
        </is>
      </c>
      <c r="E3" s="6" t="inlineStr">
        <is>
          <t>Priority</t>
        </is>
      </c>
      <c r="F3" s="6" t="inlineStr">
        <is>
          <t>Status</t>
        </is>
      </c>
      <c r="G3" s="6" t="inlineStr">
        <is>
          <t>Due_Date</t>
        </is>
      </c>
      <c r="H3" s="6" t="inlineStr">
        <is>
          <t>Forensic_Note</t>
        </is>
      </c>
      <c r="I3" s="6" t="inlineStr">
        <is>
          <t>Source_Section</t>
        </is>
      </c>
    </row>
    <row r="4">
      <c r="A4" s="5" t="inlineStr">
        <is>
          <t>1.1</t>
        </is>
      </c>
      <c r="B4" s="5" t="inlineStr">
        <is>
          <t>Project Overview</t>
        </is>
      </c>
      <c r="C4" s="5" t="inlineStr">
        <is>
          <t>Opis projekta investitorima</t>
        </is>
      </c>
      <c r="D4" s="5" t="inlineStr">
        <is>
          <t>Management</t>
        </is>
      </c>
      <c r="E4" s="10" t="inlineStr">
        <is>
          <t>High</t>
        </is>
      </c>
      <c r="F4" s="5" t="inlineStr">
        <is>
          <t>Open</t>
        </is>
      </c>
      <c r="G4" s="5" t="inlineStr"/>
      <c r="H4" s="5" t="inlineStr">
        <is>
          <t>Core project narrative and industrial scope</t>
        </is>
      </c>
      <c r="I4" s="5" t="inlineStr">
        <is>
          <t>1.1</t>
        </is>
      </c>
    </row>
    <row r="5">
      <c r="A5" s="5" t="inlineStr">
        <is>
          <t>1.1</t>
        </is>
      </c>
      <c r="B5" s="5" t="inlineStr">
        <is>
          <t>Strategic Objectives Plan</t>
        </is>
      </c>
      <c r="C5" s="5" t="inlineStr">
        <is>
          <t>Definisanje ciljeva i KPI</t>
        </is>
      </c>
      <c r="D5" s="5" t="inlineStr">
        <is>
          <t>Management</t>
        </is>
      </c>
      <c r="E5" s="10" t="inlineStr">
        <is>
          <t>High</t>
        </is>
      </c>
      <c r="F5" s="5" t="inlineStr">
        <is>
          <t>Open</t>
        </is>
      </c>
      <c r="G5" s="5" t="inlineStr"/>
      <c r="H5" s="5" t="inlineStr">
        <is>
          <t>Capacity, DSCR, ROI, export, ISO goals</t>
        </is>
      </c>
      <c r="I5" s="5" t="inlineStr">
        <is>
          <t>1.1</t>
        </is>
      </c>
    </row>
    <row r="6">
      <c r="A6" s="5" t="inlineStr">
        <is>
          <t>1.1</t>
        </is>
      </c>
      <c r="B6" s="5" t="inlineStr">
        <is>
          <t>Location &amp; Logistics Analysis</t>
        </is>
      </c>
      <c r="C6" s="5" t="inlineStr">
        <is>
          <t>Analiza prednosti lokacije</t>
        </is>
      </c>
      <c r="D6" s="5" t="inlineStr">
        <is>
          <t>Project Development Team</t>
        </is>
      </c>
      <c r="E6" s="11" t="inlineStr">
        <is>
          <t>Medium</t>
        </is>
      </c>
      <c r="F6" s="5" t="inlineStr">
        <is>
          <t>Open</t>
        </is>
      </c>
      <c r="G6" s="5" t="inlineStr"/>
      <c r="H6" s="5" t="inlineStr">
        <is>
          <t>Tuzi / Podgorica / Bar multimodal logic</t>
        </is>
      </c>
      <c r="I6" s="5" t="inlineStr">
        <is>
          <t>1.1</t>
        </is>
      </c>
    </row>
    <row r="7">
      <c r="A7" s="5" t="inlineStr">
        <is>
          <t>1.1</t>
        </is>
      </c>
      <c r="B7" s="5" t="inlineStr">
        <is>
          <t>Production Capacity Plan</t>
        </is>
      </c>
      <c r="C7" s="5" t="inlineStr">
        <is>
          <t>Plan ramp-up proizvodnje</t>
        </is>
      </c>
      <c r="D7" s="5" t="inlineStr">
        <is>
          <t>Technical Director</t>
        </is>
      </c>
      <c r="E7" s="10" t="inlineStr">
        <is>
          <t>High</t>
        </is>
      </c>
      <c r="F7" s="5" t="inlineStr">
        <is>
          <t>Open</t>
        </is>
      </c>
      <c r="G7" s="5" t="inlineStr"/>
      <c r="H7" s="5" t="inlineStr">
        <is>
          <t>10,000 t/year target ramp-up</t>
        </is>
      </c>
      <c r="I7" s="5" t="inlineStr">
        <is>
          <t>1.1</t>
        </is>
      </c>
    </row>
    <row r="8">
      <c r="A8" s="5" t="inlineStr">
        <is>
          <t>1.1</t>
        </is>
      </c>
      <c r="B8" s="5" t="inlineStr">
        <is>
          <t>Energy Strategy (Solar 1 MWp)</t>
        </is>
      </c>
      <c r="C8" s="5" t="inlineStr">
        <is>
          <t>Smanjenje troškova energije</t>
        </is>
      </c>
      <c r="D8" s="5" t="inlineStr">
        <is>
          <t>Engineering</t>
        </is>
      </c>
      <c r="E8" s="10" t="inlineStr">
        <is>
          <t>High</t>
        </is>
      </c>
      <c r="F8" s="5" t="inlineStr">
        <is>
          <t>Open</t>
        </is>
      </c>
      <c r="G8" s="5" t="inlineStr"/>
      <c r="H8" s="5" t="inlineStr">
        <is>
          <t>Solar integration and energy resilience</t>
        </is>
      </c>
      <c r="I8" s="5" t="inlineStr">
        <is>
          <t>1.1</t>
        </is>
      </c>
    </row>
    <row r="9">
      <c r="A9" s="5" t="inlineStr">
        <is>
          <t>1.1</t>
        </is>
      </c>
      <c r="B9" s="5" t="inlineStr">
        <is>
          <t>Financial KPI Framework</t>
        </is>
      </c>
      <c r="C9" s="5" t="inlineStr">
        <is>
          <t>DSCR, ROI i finansijski ciljevi</t>
        </is>
      </c>
      <c r="D9" s="5" t="inlineStr">
        <is>
          <t>CFO</t>
        </is>
      </c>
      <c r="E9" s="10" t="inlineStr">
        <is>
          <t>High</t>
        </is>
      </c>
      <c r="F9" s="5" t="inlineStr">
        <is>
          <t>Open</t>
        </is>
      </c>
      <c r="G9" s="5" t="inlineStr"/>
      <c r="H9" s="5" t="inlineStr">
        <is>
          <t>Minimum covenant logic</t>
        </is>
      </c>
      <c r="I9" s="5" t="inlineStr">
        <is>
          <t>1.1</t>
        </is>
      </c>
    </row>
    <row r="10">
      <c r="A10" s="5" t="inlineStr">
        <is>
          <t>1.1</t>
        </is>
      </c>
      <c r="B10" s="5" t="inlineStr">
        <is>
          <t>Export Market Strategy</t>
        </is>
      </c>
      <c r="C10" s="5" t="inlineStr">
        <is>
          <t>DACH tržišna strategija</t>
        </is>
      </c>
      <c r="D10" s="5" t="inlineStr">
        <is>
          <t>Sales Director</t>
        </is>
      </c>
      <c r="E10" s="10" t="inlineStr">
        <is>
          <t>High</t>
        </is>
      </c>
      <c r="F10" s="5" t="inlineStr">
        <is>
          <t>Open</t>
        </is>
      </c>
      <c r="G10" s="5" t="inlineStr"/>
      <c r="H10" s="5" t="inlineStr">
        <is>
          <t>OEM and target market focus</t>
        </is>
      </c>
      <c r="I10" s="5" t="inlineStr">
        <is>
          <t>1.1</t>
        </is>
      </c>
    </row>
    <row r="11">
      <c r="A11" s="5" t="inlineStr">
        <is>
          <t>1.1</t>
        </is>
      </c>
      <c r="B11" s="5" t="inlineStr">
        <is>
          <t>Certification Plan</t>
        </is>
      </c>
      <c r="C11" s="5" t="inlineStr">
        <is>
          <t>ISO / EN compliance path</t>
        </is>
      </c>
      <c r="D11" s="5" t="inlineStr">
        <is>
          <t>Quality Manager</t>
        </is>
      </c>
      <c r="E11" s="10" t="inlineStr">
        <is>
          <t>High</t>
        </is>
      </c>
      <c r="F11" s="5" t="inlineStr">
        <is>
          <t>Open</t>
        </is>
      </c>
      <c r="G11" s="5" t="inlineStr"/>
      <c r="H11" s="5" t="inlineStr">
        <is>
          <t>ISO 9001/14001/45001 roadmap</t>
        </is>
      </c>
      <c r="I11" s="5" t="inlineStr">
        <is>
          <t>1.1</t>
        </is>
      </c>
    </row>
    <row r="12">
      <c r="A12" s="5" t="inlineStr">
        <is>
          <t>1.2</t>
        </is>
      </c>
      <c r="B12" s="5" t="inlineStr">
        <is>
          <t>Investment Structure Plan</t>
        </is>
      </c>
      <c r="C12" s="5" t="inlineStr">
        <is>
          <t>Prikaz izvora finansiranja</t>
        </is>
      </c>
      <c r="D12" s="5" t="inlineStr">
        <is>
          <t>CFO</t>
        </is>
      </c>
      <c r="E12" s="10" t="inlineStr">
        <is>
          <t>High</t>
        </is>
      </c>
      <c r="F12" s="5" t="inlineStr">
        <is>
          <t>Open</t>
        </is>
      </c>
      <c r="G12" s="5" t="inlineStr"/>
      <c r="H12" s="5" t="inlineStr">
        <is>
          <t>Equity/debt/grant/subordinated mix</t>
        </is>
      </c>
      <c r="I12" s="5" t="inlineStr">
        <is>
          <t>1.2</t>
        </is>
      </c>
    </row>
    <row r="13">
      <c r="A13" s="5" t="inlineStr">
        <is>
          <t>1.2</t>
        </is>
      </c>
      <c r="B13" s="5" t="inlineStr">
        <is>
          <t>Sources &amp; Uses of Funds</t>
        </is>
      </c>
      <c r="C13" s="5" t="inlineStr">
        <is>
          <t>Raspodjela kapitala</t>
        </is>
      </c>
      <c r="D13" s="5" t="inlineStr">
        <is>
          <t>CFO</t>
        </is>
      </c>
      <c r="E13" s="10" t="inlineStr">
        <is>
          <t>High</t>
        </is>
      </c>
      <c r="F13" s="5" t="inlineStr">
        <is>
          <t>Open</t>
        </is>
      </c>
      <c r="G13" s="5" t="inlineStr"/>
      <c r="H13" s="5" t="inlineStr">
        <is>
          <t>10.33M balanced uses</t>
        </is>
      </c>
      <c r="I13" s="5" t="inlineStr">
        <is>
          <t>1.2</t>
        </is>
      </c>
    </row>
    <row r="14">
      <c r="A14" s="5" t="inlineStr">
        <is>
          <t>1.2</t>
        </is>
      </c>
      <c r="B14" s="5" t="inlineStr">
        <is>
          <t>CAPEX Allocation Plan</t>
        </is>
      </c>
      <c r="C14" s="5" t="inlineStr">
        <is>
          <t>Detalji investicije</t>
        </is>
      </c>
      <c r="D14" s="5" t="inlineStr">
        <is>
          <t>CFO + Technical</t>
        </is>
      </c>
      <c r="E14" s="10" t="inlineStr">
        <is>
          <t>High</t>
        </is>
      </c>
      <c r="F14" s="5" t="inlineStr">
        <is>
          <t>Open</t>
        </is>
      </c>
      <c r="G14" s="5" t="inlineStr"/>
      <c r="H14" s="5" t="inlineStr">
        <is>
          <t>8.0M capex detail</t>
        </is>
      </c>
      <c r="I14" s="5" t="inlineStr">
        <is>
          <t>1.2</t>
        </is>
      </c>
    </row>
    <row r="15">
      <c r="A15" s="5" t="inlineStr">
        <is>
          <t>1.2</t>
        </is>
      </c>
      <c r="B15" s="5" t="inlineStr">
        <is>
          <t>Working Capital Strategy</t>
        </is>
      </c>
      <c r="C15" s="5" t="inlineStr">
        <is>
          <t>Plan likvidnosti</t>
        </is>
      </c>
      <c r="D15" s="5" t="inlineStr">
        <is>
          <t>CFO</t>
        </is>
      </c>
      <c r="E15" s="10" t="inlineStr">
        <is>
          <t>High</t>
        </is>
      </c>
      <c r="F15" s="5" t="inlineStr">
        <is>
          <t>Open</t>
        </is>
      </c>
      <c r="G15" s="5" t="inlineStr"/>
      <c r="H15" s="5" t="inlineStr">
        <is>
          <t>2.0M WC logic</t>
        </is>
      </c>
      <c r="I15" s="5" t="inlineStr">
        <is>
          <t>1.2</t>
        </is>
      </c>
    </row>
    <row r="16">
      <c r="A16" s="5" t="inlineStr">
        <is>
          <t>1.2</t>
        </is>
      </c>
      <c r="B16" s="5" t="inlineStr">
        <is>
          <t>Grant Application Dossier</t>
        </is>
      </c>
      <c r="C16" s="5" t="inlineStr">
        <is>
          <t>Aplikacija za EU fondove</t>
        </is>
      </c>
      <c r="D16" s="5" t="inlineStr">
        <is>
          <t>CFO / Consultant</t>
        </is>
      </c>
      <c r="E16" s="10" t="inlineStr">
        <is>
          <t>High</t>
        </is>
      </c>
      <c r="F16" s="5" t="inlineStr">
        <is>
          <t>Open</t>
        </is>
      </c>
      <c r="G16" s="5" t="inlineStr"/>
      <c r="H16" s="5" t="inlineStr">
        <is>
          <t>IPA III / WBIF / RGF narrative</t>
        </is>
      </c>
      <c r="I16" s="5" t="inlineStr">
        <is>
          <t>1.2</t>
        </is>
      </c>
    </row>
    <row r="17">
      <c r="A17" s="5" t="inlineStr">
        <is>
          <t>1.2</t>
        </is>
      </c>
      <c r="B17" s="5" t="inlineStr">
        <is>
          <t>Bank Financing Package</t>
        </is>
      </c>
      <c r="C17" s="5" t="inlineStr">
        <is>
          <t>Dokumentacija za banke</t>
        </is>
      </c>
      <c r="D17" s="5" t="inlineStr">
        <is>
          <t>CFO</t>
        </is>
      </c>
      <c r="E17" s="10" t="inlineStr">
        <is>
          <t>High</t>
        </is>
      </c>
      <c r="F17" s="5" t="inlineStr">
        <is>
          <t>Open</t>
        </is>
      </c>
      <c r="G17" s="5" t="inlineStr"/>
      <c r="H17" s="5" t="inlineStr">
        <is>
          <t>Debt approval process</t>
        </is>
      </c>
      <c r="I17" s="5" t="inlineStr">
        <is>
          <t>1.2</t>
        </is>
      </c>
    </row>
    <row r="18">
      <c r="A18" s="5" t="inlineStr">
        <is>
          <t>1.2</t>
        </is>
      </c>
      <c r="B18" s="5" t="inlineStr">
        <is>
          <t>Financial Sustainability Model</t>
        </is>
      </c>
      <c r="C18" s="5" t="inlineStr">
        <is>
          <t>DSCR and ROI analysis</t>
        </is>
      </c>
      <c r="D18" s="5" t="inlineStr">
        <is>
          <t>CFO</t>
        </is>
      </c>
      <c r="E18" s="10" t="inlineStr">
        <is>
          <t>High</t>
        </is>
      </c>
      <c r="F18" s="5" t="inlineStr">
        <is>
          <t>Open</t>
        </is>
      </c>
      <c r="G18" s="5" t="inlineStr"/>
      <c r="H18" s="5" t="inlineStr">
        <is>
          <t>Base/no-grant resilience</t>
        </is>
      </c>
      <c r="I18" s="5" t="inlineStr">
        <is>
          <t>1.2</t>
        </is>
      </c>
    </row>
    <row r="19">
      <c r="A19" s="5" t="inlineStr">
        <is>
          <t>1.2</t>
        </is>
      </c>
      <c r="B19" s="5" t="inlineStr">
        <is>
          <t>Contingency Plan</t>
        </is>
      </c>
      <c r="C19" s="5" t="inlineStr">
        <is>
          <t>Plan rezervi i rizika</t>
        </is>
      </c>
      <c r="D19" s="5" t="inlineStr">
        <is>
          <t>CFO</t>
        </is>
      </c>
      <c r="E19" s="11" t="inlineStr">
        <is>
          <t>Medium</t>
        </is>
      </c>
      <c r="F19" s="5" t="inlineStr">
        <is>
          <t>Open</t>
        </is>
      </c>
      <c r="G19" s="5" t="inlineStr"/>
      <c r="H19" s="5" t="inlineStr">
        <is>
          <t>0.33M reserve usage</t>
        </is>
      </c>
      <c r="I19" s="5" t="inlineStr">
        <is>
          <t>1.2</t>
        </is>
      </c>
    </row>
    <row r="20">
      <c r="A20" s="5" t="inlineStr">
        <is>
          <t>1.3</t>
        </is>
      </c>
      <c r="B20" s="5" t="inlineStr">
        <is>
          <t>Market Opportunity Analysis</t>
        </is>
      </c>
      <c r="C20" s="5" t="inlineStr">
        <is>
          <t>Analiza EU potražnje</t>
        </is>
      </c>
      <c r="D20" s="5" t="inlineStr">
        <is>
          <t>Sales / Strategy</t>
        </is>
      </c>
      <c r="E20" s="10" t="inlineStr">
        <is>
          <t>High</t>
        </is>
      </c>
      <c r="F20" s="5" t="inlineStr">
        <is>
          <t>Open</t>
        </is>
      </c>
      <c r="G20" s="5" t="inlineStr"/>
      <c r="H20" s="5" t="inlineStr">
        <is>
          <t>Demand gap and transformer market</t>
        </is>
      </c>
      <c r="I20" s="5" t="inlineStr">
        <is>
          <t>1.3</t>
        </is>
      </c>
    </row>
    <row r="21">
      <c r="A21" s="5" t="inlineStr">
        <is>
          <t>1.3</t>
        </is>
      </c>
      <c r="B21" s="5" t="inlineStr">
        <is>
          <t>Competitive Landscape Study</t>
        </is>
      </c>
      <c r="C21" s="5" t="inlineStr">
        <is>
          <t>Analiza konkurencije</t>
        </is>
      </c>
      <c r="D21" s="5" t="inlineStr">
        <is>
          <t>Strategy Team</t>
        </is>
      </c>
      <c r="E21" s="10" t="inlineStr">
        <is>
          <t>High</t>
        </is>
      </c>
      <c r="F21" s="5" t="inlineStr">
        <is>
          <t>Open</t>
        </is>
      </c>
      <c r="G21" s="5" t="inlineStr"/>
      <c r="H21" s="5" t="inlineStr">
        <is>
          <t>EU vs Asia comparison</t>
        </is>
      </c>
      <c r="I21" s="5" t="inlineStr">
        <is>
          <t>1.3</t>
        </is>
      </c>
    </row>
    <row r="22">
      <c r="A22" s="5" t="inlineStr">
        <is>
          <t>1.3</t>
        </is>
      </c>
      <c r="B22" s="5" t="inlineStr">
        <is>
          <t>Near-shoring Advantage Report</t>
        </is>
      </c>
      <c r="C22" s="5" t="inlineStr">
        <is>
          <t>Prednosti lokacije</t>
        </is>
      </c>
      <c r="D22" s="5" t="inlineStr">
        <is>
          <t>Development Team</t>
        </is>
      </c>
      <c r="E22" s="11" t="inlineStr">
        <is>
          <t>Medium</t>
        </is>
      </c>
      <c r="F22" s="5" t="inlineStr">
        <is>
          <t>Open</t>
        </is>
      </c>
      <c r="G22" s="5" t="inlineStr"/>
      <c r="H22" s="5" t="inlineStr">
        <is>
          <t>Transit, carbon, lead time benefits</t>
        </is>
      </c>
      <c r="I22" s="5" t="inlineStr">
        <is>
          <t>1.3</t>
        </is>
      </c>
    </row>
    <row r="23">
      <c r="A23" s="5" t="inlineStr">
        <is>
          <t>1.3</t>
        </is>
      </c>
      <c r="B23" s="5" t="inlineStr">
        <is>
          <t>Value Proposition Document</t>
        </is>
      </c>
      <c r="C23" s="5" t="inlineStr">
        <is>
          <t>Definicija tržišne vrijednosti</t>
        </is>
      </c>
      <c r="D23" s="5" t="inlineStr">
        <is>
          <t>Management</t>
        </is>
      </c>
      <c r="E23" s="10" t="inlineStr">
        <is>
          <t>High</t>
        </is>
      </c>
      <c r="F23" s="5" t="inlineStr">
        <is>
          <t>Open</t>
        </is>
      </c>
      <c r="G23" s="5" t="inlineStr"/>
      <c r="H23" s="5" t="inlineStr">
        <is>
          <t>Reliability + speed + traceability</t>
        </is>
      </c>
      <c r="I23" s="5" t="inlineStr">
        <is>
          <t>1.3</t>
        </is>
      </c>
    </row>
    <row r="24">
      <c r="A24" s="5" t="inlineStr">
        <is>
          <t>1.3</t>
        </is>
      </c>
      <c r="B24" s="5" t="inlineStr">
        <is>
          <t>Raw Material Risk Policy</t>
        </is>
      </c>
      <c r="C24" s="5" t="inlineStr">
        <is>
          <t>Upravljanje cijenom čelika</t>
        </is>
      </c>
      <c r="D24" s="5" t="inlineStr">
        <is>
          <t>CFO / Procurement</t>
        </is>
      </c>
      <c r="E24" s="10" t="inlineStr">
        <is>
          <t>High</t>
        </is>
      </c>
      <c r="F24" s="5" t="inlineStr">
        <is>
          <t>Open</t>
        </is>
      </c>
      <c r="G24" s="5" t="inlineStr"/>
      <c r="H24" s="5" t="inlineStr">
        <is>
          <t>Index-linked pricing</t>
        </is>
      </c>
      <c r="I24" s="5" t="inlineStr">
        <is>
          <t>1.3</t>
        </is>
      </c>
    </row>
    <row r="25">
      <c r="A25" s="5" t="inlineStr">
        <is>
          <t>1.3</t>
        </is>
      </c>
      <c r="B25" s="5" t="inlineStr">
        <is>
          <t>OEM Partnership Strategy</t>
        </is>
      </c>
      <c r="C25" s="5" t="inlineStr">
        <is>
          <t>Plan partnerstava</t>
        </is>
      </c>
      <c r="D25" s="5" t="inlineStr">
        <is>
          <t>Sales Director</t>
        </is>
      </c>
      <c r="E25" s="10" t="inlineStr">
        <is>
          <t>High</t>
        </is>
      </c>
      <c r="F25" s="5" t="inlineStr">
        <is>
          <t>Open</t>
        </is>
      </c>
      <c r="G25" s="5" t="inlineStr"/>
      <c r="H25" s="5" t="inlineStr">
        <is>
          <t>Preferred supplier route</t>
        </is>
      </c>
      <c r="I25" s="5" t="inlineStr">
        <is>
          <t>1.3</t>
        </is>
      </c>
    </row>
    <row r="26">
      <c r="A26" s="5" t="inlineStr">
        <is>
          <t>1.3</t>
        </is>
      </c>
      <c r="B26" s="5" t="inlineStr">
        <is>
          <t>Go-to-Market Strategy</t>
        </is>
      </c>
      <c r="C26" s="5" t="inlineStr">
        <is>
          <t>Strategija prodaje</t>
        </is>
      </c>
      <c r="D26" s="5" t="inlineStr">
        <is>
          <t>Sales Director</t>
        </is>
      </c>
      <c r="E26" s="10" t="inlineStr">
        <is>
          <t>High</t>
        </is>
      </c>
      <c r="F26" s="5" t="inlineStr">
        <is>
          <t>Open</t>
        </is>
      </c>
      <c r="G26" s="5" t="inlineStr"/>
      <c r="H26" s="5" t="inlineStr">
        <is>
          <t>OEM + DSO/TSO tender path</t>
        </is>
      </c>
      <c r="I26" s="5" t="inlineStr">
        <is>
          <t>1.3</t>
        </is>
      </c>
    </row>
    <row r="27">
      <c r="A27" s="5" t="inlineStr">
        <is>
          <t>1.3</t>
        </is>
      </c>
      <c r="B27" s="5" t="inlineStr">
        <is>
          <t>Tender Qualification Strategy</t>
        </is>
      </c>
      <c r="C27" s="5" t="inlineStr">
        <is>
          <t>ISO / EN 1090 barriers</t>
        </is>
      </c>
      <c r="D27" s="5" t="inlineStr">
        <is>
          <t>Quality Manager</t>
        </is>
      </c>
      <c r="E27" s="10" t="inlineStr">
        <is>
          <t>High</t>
        </is>
      </c>
      <c r="F27" s="5" t="inlineStr">
        <is>
          <t>Open</t>
        </is>
      </c>
      <c r="G27" s="5" t="inlineStr"/>
      <c r="H27" s="5" t="inlineStr">
        <is>
          <t>Qualification gate</t>
        </is>
      </c>
      <c r="I27" s="5" t="inlineStr">
        <is>
          <t>1.3</t>
        </is>
      </c>
    </row>
    <row r="28">
      <c r="A28" s="5" t="inlineStr">
        <is>
          <t>1.3</t>
        </is>
      </c>
      <c r="B28" s="5" t="inlineStr">
        <is>
          <t>Pricing Strategy Model</t>
        </is>
      </c>
      <c r="C28" s="5" t="inlineStr">
        <is>
          <t>Index-linked pricing model</t>
        </is>
      </c>
      <c r="D28" s="5" t="inlineStr">
        <is>
          <t>CFO / Sales</t>
        </is>
      </c>
      <c r="E28" s="10" t="inlineStr">
        <is>
          <t>High</t>
        </is>
      </c>
      <c r="F28" s="5" t="inlineStr">
        <is>
          <t>Open</t>
        </is>
      </c>
      <c r="G28" s="5" t="inlineStr"/>
      <c r="H28" s="5" t="inlineStr">
        <is>
          <t>Margin protection</t>
        </is>
      </c>
      <c r="I28" s="5" t="inlineStr">
        <is>
          <t>1.3</t>
        </is>
      </c>
    </row>
    <row r="29">
      <c r="A29" s="5" t="inlineStr">
        <is>
          <t>1.4</t>
        </is>
      </c>
      <c r="B29" s="5" t="inlineStr">
        <is>
          <t>Financial Projection Model</t>
        </is>
      </c>
      <c r="C29" s="5" t="inlineStr">
        <is>
          <t>2026-2029 projections</t>
        </is>
      </c>
      <c r="D29" s="5" t="inlineStr">
        <is>
          <t>CFO</t>
        </is>
      </c>
      <c r="E29" s="10" t="inlineStr">
        <is>
          <t>High</t>
        </is>
      </c>
      <c r="F29" s="5" t="inlineStr">
        <is>
          <t>Open</t>
        </is>
      </c>
      <c r="G29" s="5" t="inlineStr"/>
      <c r="H29" s="5" t="inlineStr">
        <is>
          <t>Revenue, EBITDA, DSCR path</t>
        </is>
      </c>
      <c r="I29" s="5" t="inlineStr">
        <is>
          <t>1.4</t>
        </is>
      </c>
    </row>
    <row r="30">
      <c r="A30" s="5" t="inlineStr">
        <is>
          <t>1.4</t>
        </is>
      </c>
      <c r="B30" s="5" t="inlineStr">
        <is>
          <t>Revenue Forecast Plan</t>
        </is>
      </c>
      <c r="C30" s="5" t="inlineStr">
        <is>
          <t>Sales and utilization forecast</t>
        </is>
      </c>
      <c r="D30" s="5" t="inlineStr">
        <is>
          <t>CFO / Sales</t>
        </is>
      </c>
      <c r="E30" s="10" t="inlineStr">
        <is>
          <t>High</t>
        </is>
      </c>
      <c r="F30" s="5" t="inlineStr">
        <is>
          <t>Open</t>
        </is>
      </c>
      <c r="G30" s="5" t="inlineStr"/>
      <c r="H30" s="5" t="inlineStr">
        <is>
          <t>Utilization ramp</t>
        </is>
      </c>
      <c r="I30" s="5" t="inlineStr">
        <is>
          <t>1.4</t>
        </is>
      </c>
    </row>
    <row r="31">
      <c r="A31" s="5" t="inlineStr">
        <is>
          <t>1.4</t>
        </is>
      </c>
      <c r="B31" s="5" t="inlineStr">
        <is>
          <t>EBITDA Analysis</t>
        </is>
      </c>
      <c r="C31" s="5" t="inlineStr">
        <is>
          <t>Profitability bridge</t>
        </is>
      </c>
      <c r="D31" s="5" t="inlineStr">
        <is>
          <t>CFO</t>
        </is>
      </c>
      <c r="E31" s="10" t="inlineStr">
        <is>
          <t>High</t>
        </is>
      </c>
      <c r="F31" s="5" t="inlineStr">
        <is>
          <t>Open</t>
        </is>
      </c>
      <c r="G31" s="5" t="inlineStr"/>
      <c r="H31" s="5" t="inlineStr">
        <is>
          <t>12% to 26%</t>
        </is>
      </c>
      <c r="I31" s="5" t="inlineStr">
        <is>
          <t>1.4</t>
        </is>
      </c>
    </row>
    <row r="32">
      <c r="A32" s="5" t="inlineStr">
        <is>
          <t>1.4</t>
        </is>
      </c>
      <c r="B32" s="5" t="inlineStr">
        <is>
          <t>Debt Service Plan</t>
        </is>
      </c>
      <c r="C32" s="5" t="inlineStr">
        <is>
          <t>Grace period and amortization plan</t>
        </is>
      </c>
      <c r="D32" s="5" t="inlineStr">
        <is>
          <t>CFO</t>
        </is>
      </c>
      <c r="E32" s="10" t="inlineStr">
        <is>
          <t>High</t>
        </is>
      </c>
      <c r="F32" s="5" t="inlineStr">
        <is>
          <t>Open</t>
        </is>
      </c>
      <c r="G32" s="5" t="inlineStr"/>
      <c r="H32" s="5" t="inlineStr">
        <is>
          <t>Interest-only ramp</t>
        </is>
      </c>
      <c r="I32" s="5" t="inlineStr">
        <is>
          <t>1.4</t>
        </is>
      </c>
    </row>
    <row r="33">
      <c r="A33" s="5" t="inlineStr">
        <is>
          <t>1.4</t>
        </is>
      </c>
      <c r="B33" s="5" t="inlineStr">
        <is>
          <t>NPV &amp; Payback Analysis</t>
        </is>
      </c>
      <c r="C33" s="5" t="inlineStr">
        <is>
          <t>Return profile</t>
        </is>
      </c>
      <c r="D33" s="5" t="inlineStr">
        <is>
          <t>CFO</t>
        </is>
      </c>
      <c r="E33" s="10" t="inlineStr">
        <is>
          <t>High</t>
        </is>
      </c>
      <c r="F33" s="5" t="inlineStr">
        <is>
          <t>Open</t>
        </is>
      </c>
      <c r="G33" s="5" t="inlineStr"/>
      <c r="H33" s="5" t="inlineStr">
        <is>
          <t>5-year payback claim</t>
        </is>
      </c>
      <c r="I33" s="5" t="inlineStr">
        <is>
          <t>1.4</t>
        </is>
      </c>
    </row>
    <row r="34">
      <c r="A34" s="5" t="inlineStr">
        <is>
          <t>1.4</t>
        </is>
      </c>
      <c r="B34" s="5" t="inlineStr">
        <is>
          <t>Sensitivity Analysis</t>
        </is>
      </c>
      <c r="C34" s="5" t="inlineStr">
        <is>
          <t>Downside resilience</t>
        </is>
      </c>
      <c r="D34" s="5" t="inlineStr">
        <is>
          <t>CFO</t>
        </is>
      </c>
      <c r="E34" s="10" t="inlineStr">
        <is>
          <t>High</t>
        </is>
      </c>
      <c r="F34" s="5" t="inlineStr">
        <is>
          <t>Open</t>
        </is>
      </c>
      <c r="G34" s="5" t="inlineStr"/>
      <c r="H34" s="5" t="inlineStr">
        <is>
          <t>Price and steel shocks</t>
        </is>
      </c>
      <c r="I34" s="5" t="inlineStr">
        <is>
          <t>1.4</t>
        </is>
      </c>
    </row>
    <row r="35">
      <c r="A35" s="5" t="inlineStr">
        <is>
          <t>1.4</t>
        </is>
      </c>
      <c r="B35" s="5" t="inlineStr">
        <is>
          <t>Capacity Ramp-Up Plan</t>
        </is>
      </c>
      <c r="C35" s="5" t="inlineStr">
        <is>
          <t>Operational throughput plan</t>
        </is>
      </c>
      <c r="D35" s="5" t="inlineStr">
        <is>
          <t>Operations</t>
        </is>
      </c>
      <c r="E35" s="11" t="inlineStr">
        <is>
          <t>Medium</t>
        </is>
      </c>
      <c r="F35" s="5" t="inlineStr">
        <is>
          <t>Open</t>
        </is>
      </c>
      <c r="G35" s="5" t="inlineStr"/>
      <c r="H35" s="5" t="inlineStr">
        <is>
          <t>40% to 95%</t>
        </is>
      </c>
      <c r="I35" s="5" t="inlineStr">
        <is>
          <t>1.4</t>
        </is>
      </c>
    </row>
    <row r="36">
      <c r="A36" s="5" t="inlineStr">
        <is>
          <t>1.4</t>
        </is>
      </c>
      <c r="B36" s="5" t="inlineStr">
        <is>
          <t>Energy Savings Analysis</t>
        </is>
      </c>
      <c r="C36" s="5" t="inlineStr">
        <is>
          <t>Solar effect on opex</t>
        </is>
      </c>
      <c r="D36" s="5" t="inlineStr">
        <is>
          <t>Engineering</t>
        </is>
      </c>
      <c r="E36" s="11" t="inlineStr">
        <is>
          <t>Medium</t>
        </is>
      </c>
      <c r="F36" s="5" t="inlineStr">
        <is>
          <t>Open</t>
        </is>
      </c>
      <c r="G36" s="5" t="inlineStr"/>
      <c r="H36" s="5" t="inlineStr">
        <is>
          <t>20-30% energy savings</t>
        </is>
      </c>
      <c r="I36" s="5" t="inlineStr">
        <is>
          <t>1.4</t>
        </is>
      </c>
    </row>
    <row r="37">
      <c r="A37" s="5" t="inlineStr">
        <is>
          <t>1.5</t>
        </is>
      </c>
      <c r="B37" s="5" t="inlineStr">
        <is>
          <t>National Strategic Alignment Report</t>
        </is>
      </c>
      <c r="C37" s="5" t="inlineStr">
        <is>
          <t>Usklađenost sa državnim ciljevima</t>
        </is>
      </c>
      <c r="D37" s="5" t="inlineStr">
        <is>
          <t>Management</t>
        </is>
      </c>
      <c r="E37" s="10" t="inlineStr">
        <is>
          <t>High</t>
        </is>
      </c>
      <c r="F37" s="5" t="inlineStr">
        <is>
          <t>Open</t>
        </is>
      </c>
      <c r="G37" s="5" t="inlineStr"/>
      <c r="H37" s="5" t="inlineStr">
        <is>
          <t>Industrial and regional relevance</t>
        </is>
      </c>
      <c r="I37" s="5" t="inlineStr">
        <is>
          <t>1.5</t>
        </is>
      </c>
    </row>
    <row r="38">
      <c r="A38" s="5" t="inlineStr">
        <is>
          <t>1.5</t>
        </is>
      </c>
      <c r="B38" s="5" t="inlineStr">
        <is>
          <t>EU Policy Alignment Matrix</t>
        </is>
      </c>
      <c r="C38" s="5" t="inlineStr">
        <is>
          <t>Green Deal / Chapter 20 / Taxonomy map</t>
        </is>
      </c>
      <c r="D38" s="5" t="inlineStr">
        <is>
          <t>CFO / Consultant</t>
        </is>
      </c>
      <c r="E38" s="10" t="inlineStr">
        <is>
          <t>High</t>
        </is>
      </c>
      <c r="F38" s="5" t="inlineStr">
        <is>
          <t>Open</t>
        </is>
      </c>
      <c r="G38" s="5" t="inlineStr"/>
      <c r="H38" s="5" t="inlineStr">
        <is>
          <t>Grant and policy narrative</t>
        </is>
      </c>
      <c r="I38" s="5" t="inlineStr">
        <is>
          <t>1.5</t>
        </is>
      </c>
    </row>
    <row r="39">
      <c r="A39" s="5" t="inlineStr">
        <is>
          <t>1.5</t>
        </is>
      </c>
      <c r="B39" s="5" t="inlineStr">
        <is>
          <t>ESG Strategy Plan</t>
        </is>
      </c>
      <c r="C39" s="5" t="inlineStr">
        <is>
          <t>Održivost i dekarbonizacija</t>
        </is>
      </c>
      <c r="D39" s="5" t="inlineStr">
        <is>
          <t>ESG Team</t>
        </is>
      </c>
      <c r="E39" s="10" t="inlineStr">
        <is>
          <t>High</t>
        </is>
      </c>
      <c r="F39" s="5" t="inlineStr">
        <is>
          <t>Open</t>
        </is>
      </c>
      <c r="G39" s="5" t="inlineStr"/>
      <c r="H39" s="5" t="inlineStr">
        <is>
          <t>Solar and green manufacturing</t>
        </is>
      </c>
      <c r="I39" s="5" t="inlineStr">
        <is>
          <t>1.5</t>
        </is>
      </c>
    </row>
    <row r="40">
      <c r="A40" s="5" t="inlineStr">
        <is>
          <t>1.5</t>
        </is>
      </c>
      <c r="B40" s="5" t="inlineStr">
        <is>
          <t>Economic Impact Study</t>
        </is>
      </c>
      <c r="C40" s="5" t="inlineStr">
        <is>
          <t>Multiplikator efekti</t>
        </is>
      </c>
      <c r="D40" s="5" t="inlineStr">
        <is>
          <t>CFO / Economist</t>
        </is>
      </c>
      <c r="E40" s="11" t="inlineStr">
        <is>
          <t>Medium</t>
        </is>
      </c>
      <c r="F40" s="5" t="inlineStr">
        <is>
          <t>Open</t>
        </is>
      </c>
      <c r="G40" s="5" t="inlineStr"/>
      <c r="H40" s="5" t="inlineStr">
        <is>
          <t>Jobs and suppliers</t>
        </is>
      </c>
      <c r="I40" s="5" t="inlineStr">
        <is>
          <t>1.5</t>
        </is>
      </c>
    </row>
    <row r="41">
      <c r="A41" s="5" t="inlineStr">
        <is>
          <t>1.5</t>
        </is>
      </c>
      <c r="B41" s="5" t="inlineStr">
        <is>
          <t>Supply Chain Localization Plan</t>
        </is>
      </c>
      <c r="C41" s="5" t="inlineStr">
        <is>
          <t>Lokalni dobavljači</t>
        </is>
      </c>
      <c r="D41" s="5" t="inlineStr">
        <is>
          <t>Procurement</t>
        </is>
      </c>
      <c r="E41" s="11" t="inlineStr">
        <is>
          <t>Medium</t>
        </is>
      </c>
      <c r="F41" s="5" t="inlineStr">
        <is>
          <t>Open</t>
        </is>
      </c>
      <c r="G41" s="5" t="inlineStr"/>
      <c r="H41" s="5" t="inlineStr">
        <is>
          <t>30-40 supplier target</t>
        </is>
      </c>
      <c r="I41" s="5" t="inlineStr">
        <is>
          <t>1.5</t>
        </is>
      </c>
    </row>
    <row r="42">
      <c r="A42" s="5" t="inlineStr">
        <is>
          <t>1.5</t>
        </is>
      </c>
      <c r="B42" s="5" t="inlineStr">
        <is>
          <t>Workforce Development Plan</t>
        </is>
      </c>
      <c r="C42" s="5" t="inlineStr">
        <is>
          <t>Obuka kadra</t>
        </is>
      </c>
      <c r="D42" s="5" t="inlineStr">
        <is>
          <t>HR Manager</t>
        </is>
      </c>
      <c r="E42" s="11" t="inlineStr">
        <is>
          <t>Medium</t>
        </is>
      </c>
      <c r="F42" s="5" t="inlineStr">
        <is>
          <t>Open</t>
        </is>
      </c>
      <c r="G42" s="5" t="inlineStr"/>
      <c r="H42" s="5" t="inlineStr">
        <is>
          <t>Skills ecosystem</t>
        </is>
      </c>
      <c r="I42" s="5" t="inlineStr">
        <is>
          <t>1.5</t>
        </is>
      </c>
    </row>
    <row r="43">
      <c r="A43" s="5" t="inlineStr">
        <is>
          <t>1.5</t>
        </is>
      </c>
      <c r="B43" s="5" t="inlineStr">
        <is>
          <t>Regional Development Impact</t>
        </is>
      </c>
      <c r="C43" s="5" t="inlineStr">
        <is>
          <t>Doprinos regionu</t>
        </is>
      </c>
      <c r="D43" s="5" t="inlineStr">
        <is>
          <t>Management</t>
        </is>
      </c>
      <c r="E43" s="11" t="inlineStr">
        <is>
          <t>Medium</t>
        </is>
      </c>
      <c r="F43" s="5" t="inlineStr">
        <is>
          <t>Open</t>
        </is>
      </c>
      <c r="G43" s="5" t="inlineStr"/>
      <c r="H43" s="5" t="inlineStr">
        <is>
          <t>Tuzi / Podgorica / wider CG</t>
        </is>
      </c>
      <c r="I43" s="5" t="inlineStr">
        <is>
          <t>1.5</t>
        </is>
      </c>
    </row>
    <row r="44">
      <c r="A44" s="5" t="inlineStr">
        <is>
          <t>1.5</t>
        </is>
      </c>
      <c r="B44" s="5" t="inlineStr">
        <is>
          <t>Grant Justification Document</t>
        </is>
      </c>
      <c r="C44" s="5" t="inlineStr">
        <is>
          <t>Argumentacija za fondove</t>
        </is>
      </c>
      <c r="D44" s="5" t="inlineStr">
        <is>
          <t>CFO</t>
        </is>
      </c>
      <c r="E44" s="10" t="inlineStr">
        <is>
          <t>High</t>
        </is>
      </c>
      <c r="F44" s="5" t="inlineStr">
        <is>
          <t>Open</t>
        </is>
      </c>
      <c r="G44" s="5" t="inlineStr"/>
      <c r="H44" s="5" t="inlineStr">
        <is>
          <t>National + EU policy fit</t>
        </is>
      </c>
      <c r="I44" s="5" t="inlineStr">
        <is>
          <t>1.5</t>
        </is>
      </c>
    </row>
    <row r="45">
      <c r="A45" s="5" t="inlineStr">
        <is>
          <t>2.1</t>
        </is>
      </c>
      <c r="B45" s="5" t="inlineStr">
        <is>
          <t>National Industrial Impact Report</t>
        </is>
      </c>
      <c r="C45" s="5" t="inlineStr">
        <is>
          <t>Doprinos industriji CG</t>
        </is>
      </c>
      <c r="D45" s="5" t="inlineStr">
        <is>
          <t>Management</t>
        </is>
      </c>
      <c r="E45" s="10" t="inlineStr">
        <is>
          <t>High</t>
        </is>
      </c>
      <c r="F45" s="5" t="inlineStr">
        <is>
          <t>Open</t>
        </is>
      </c>
      <c r="G45" s="5" t="inlineStr"/>
      <c r="H45" s="5" t="inlineStr">
        <is>
          <t>Structural diversification narrative</t>
        </is>
      </c>
      <c r="I45" s="5" t="inlineStr">
        <is>
          <t>2.1</t>
        </is>
      </c>
    </row>
    <row r="46">
      <c r="A46" s="5" t="inlineStr">
        <is>
          <t>2.1</t>
        </is>
      </c>
      <c r="B46" s="5" t="inlineStr">
        <is>
          <t>Import Substitution Analysis</t>
        </is>
      </c>
      <c r="C46" s="5" t="inlineStr">
        <is>
          <t>Smanjenje uvoza</t>
        </is>
      </c>
      <c r="D46" s="5" t="inlineStr">
        <is>
          <t>CFO / Economist</t>
        </is>
      </c>
      <c r="E46" s="11" t="inlineStr">
        <is>
          <t>Medium</t>
        </is>
      </c>
      <c r="F46" s="5" t="inlineStr">
        <is>
          <t>Open</t>
        </is>
      </c>
      <c r="G46" s="5" t="inlineStr"/>
      <c r="H46" s="5" t="inlineStr">
        <is>
          <t>Value-added industrial logic</t>
        </is>
      </c>
      <c r="I46" s="5" t="inlineStr">
        <is>
          <t>2.1</t>
        </is>
      </c>
    </row>
    <row r="47">
      <c r="A47" s="5" t="inlineStr">
        <is>
          <t>2.1</t>
        </is>
      </c>
      <c r="B47" s="5" t="inlineStr">
        <is>
          <t>Technology Transfer Plan</t>
        </is>
      </c>
      <c r="C47" s="5" t="inlineStr">
        <is>
          <t>Industry 4.0 implementacija</t>
        </is>
      </c>
      <c r="D47" s="5" t="inlineStr">
        <is>
          <t>Technical Director</t>
        </is>
      </c>
      <c r="E47" s="11" t="inlineStr">
        <is>
          <t>Medium</t>
        </is>
      </c>
      <c r="F47" s="5" t="inlineStr">
        <is>
          <t>Open</t>
        </is>
      </c>
      <c r="G47" s="5" t="inlineStr"/>
      <c r="H47" s="5" t="inlineStr">
        <is>
          <t>OEM / spillover path</t>
        </is>
      </c>
      <c r="I47" s="5" t="inlineStr">
        <is>
          <t>2.1</t>
        </is>
      </c>
    </row>
    <row r="48">
      <c r="A48" s="5" t="inlineStr">
        <is>
          <t>2.1</t>
        </is>
      </c>
      <c r="B48" s="5" t="inlineStr">
        <is>
          <t>Human Capital Strategy</t>
        </is>
      </c>
      <c r="C48" s="5" t="inlineStr">
        <is>
          <t>Razvoj radne snage</t>
        </is>
      </c>
      <c r="D48" s="5" t="inlineStr">
        <is>
          <t>HR Manager</t>
        </is>
      </c>
      <c r="E48" s="10" t="inlineStr">
        <is>
          <t>High</t>
        </is>
      </c>
      <c r="F48" s="5" t="inlineStr">
        <is>
          <t>Open</t>
        </is>
      </c>
      <c r="G48" s="5" t="inlineStr"/>
      <c r="H48" s="5" t="inlineStr">
        <is>
          <t>Training and retention</t>
        </is>
      </c>
      <c r="I48" s="5" t="inlineStr">
        <is>
          <t>2.1</t>
        </is>
      </c>
    </row>
    <row r="49">
      <c r="A49" s="5" t="inlineStr">
        <is>
          <t>2.1</t>
        </is>
      </c>
      <c r="B49" s="5" t="inlineStr">
        <is>
          <t>Local Supply Chain Plan</t>
        </is>
      </c>
      <c r="C49" s="5" t="inlineStr">
        <is>
          <t>Lokalni dobavljači</t>
        </is>
      </c>
      <c r="D49" s="5" t="inlineStr">
        <is>
          <t>Procurement</t>
        </is>
      </c>
      <c r="E49" s="11" t="inlineStr">
        <is>
          <t>Medium</t>
        </is>
      </c>
      <c r="F49" s="5" t="inlineStr">
        <is>
          <t>Open</t>
        </is>
      </c>
      <c r="G49" s="5" t="inlineStr"/>
      <c r="H49" s="5" t="inlineStr">
        <is>
          <t>Domestic industrial linkages</t>
        </is>
      </c>
      <c r="I49" s="5" t="inlineStr">
        <is>
          <t>2.1</t>
        </is>
      </c>
    </row>
    <row r="50">
      <c r="A50" s="5" t="inlineStr">
        <is>
          <t>2.1</t>
        </is>
      </c>
      <c r="B50" s="5" t="inlineStr">
        <is>
          <t>Economic Multiplier Study</t>
        </is>
      </c>
      <c r="C50" s="5" t="inlineStr">
        <is>
          <t>Efekti na ekonomiju</t>
        </is>
      </c>
      <c r="D50" s="5" t="inlineStr">
        <is>
          <t>CFO</t>
        </is>
      </c>
      <c r="E50" s="11" t="inlineStr">
        <is>
          <t>Medium</t>
        </is>
      </c>
      <c r="F50" s="5" t="inlineStr">
        <is>
          <t>Open</t>
        </is>
      </c>
      <c r="G50" s="5" t="inlineStr"/>
      <c r="H50" s="5" t="inlineStr">
        <is>
          <t>1.5x-2.0x multiplier claim</t>
        </is>
      </c>
      <c r="I50" s="5" t="inlineStr">
        <is>
          <t>2.1</t>
        </is>
      </c>
    </row>
    <row r="51">
      <c r="A51" s="5" t="inlineStr">
        <is>
          <t>2.1</t>
        </is>
      </c>
      <c r="B51" s="5" t="inlineStr">
        <is>
          <t>Fiscal Contribution Analysis</t>
        </is>
      </c>
      <c r="C51" s="5" t="inlineStr">
        <is>
          <t>Doprinos budžetu</t>
        </is>
      </c>
      <c r="D51" s="5" t="inlineStr">
        <is>
          <t>CFO</t>
        </is>
      </c>
      <c r="E51" s="10" t="inlineStr">
        <is>
          <t>High</t>
        </is>
      </c>
      <c r="F51" s="5" t="inlineStr">
        <is>
          <t>Open</t>
        </is>
      </c>
      <c r="G51" s="5" t="inlineStr"/>
      <c r="H51" s="5" t="inlineStr">
        <is>
          <t>Tax and payroll benefits</t>
        </is>
      </c>
      <c r="I51" s="5" t="inlineStr">
        <is>
          <t>2.1</t>
        </is>
      </c>
    </row>
    <row r="52">
      <c r="A52" s="5" t="inlineStr">
        <is>
          <t>2.1</t>
        </is>
      </c>
      <c r="B52" s="5" t="inlineStr">
        <is>
          <t>Institutional Alignment Document</t>
        </is>
      </c>
      <c r="C52" s="5" t="inlineStr">
        <is>
          <t>Industrial Policy 2024-2028 fit</t>
        </is>
      </c>
      <c r="D52" s="5" t="inlineStr">
        <is>
          <t>Management</t>
        </is>
      </c>
      <c r="E52" s="10" t="inlineStr">
        <is>
          <t>High</t>
        </is>
      </c>
      <c r="F52" s="5" t="inlineStr">
        <is>
          <t>Open</t>
        </is>
      </c>
      <c r="G52" s="5" t="inlineStr"/>
      <c r="H52" s="5" t="inlineStr">
        <is>
          <t>State support logic</t>
        </is>
      </c>
      <c r="I52" s="5" t="inlineStr">
        <is>
          <t>2.1</t>
        </is>
      </c>
    </row>
    <row r="53">
      <c r="A53" s="5" t="inlineStr">
        <is>
          <t>2.2</t>
        </is>
      </c>
      <c r="B53" s="5" t="inlineStr">
        <is>
          <t>Energy Infrastructure Alignment Report</t>
        </is>
      </c>
      <c r="C53" s="5" t="inlineStr">
        <is>
          <t>Usklađenost sa energetskim potrebama</t>
        </is>
      </c>
      <c r="D53" s="5" t="inlineStr">
        <is>
          <t>Management</t>
        </is>
      </c>
      <c r="E53" s="10" t="inlineStr">
        <is>
          <t>High</t>
        </is>
      </c>
      <c r="F53" s="5" t="inlineStr">
        <is>
          <t>Open</t>
        </is>
      </c>
      <c r="G53" s="5" t="inlineStr"/>
      <c r="H53" s="5" t="inlineStr">
        <is>
          <t>Grid bottleneck narrative</t>
        </is>
      </c>
      <c r="I53" s="5" t="inlineStr">
        <is>
          <t>2.2</t>
        </is>
      </c>
    </row>
    <row r="54">
      <c r="A54" s="5" t="inlineStr">
        <is>
          <t>2.2</t>
        </is>
      </c>
      <c r="B54" s="5" t="inlineStr">
        <is>
          <t>Smart Grid Compatibility Study</t>
        </is>
      </c>
      <c r="C54" s="5" t="inlineStr">
        <is>
          <t>Tehnička kompatibilnost</t>
        </is>
      </c>
      <c r="D54" s="5" t="inlineStr">
        <is>
          <t>Technical Director</t>
        </is>
      </c>
      <c r="E54" s="10" t="inlineStr">
        <is>
          <t>High</t>
        </is>
      </c>
      <c r="F54" s="5" t="inlineStr">
        <is>
          <t>Open</t>
        </is>
      </c>
      <c r="G54" s="5" t="inlineStr"/>
      <c r="H54" s="5" t="inlineStr">
        <is>
          <t>Digital / bidirectional flow</t>
        </is>
      </c>
      <c r="I54" s="5" t="inlineStr">
        <is>
          <t>2.2</t>
        </is>
      </c>
    </row>
    <row r="55">
      <c r="A55" s="5" t="inlineStr">
        <is>
          <t>2.2</t>
        </is>
      </c>
      <c r="B55" s="5" t="inlineStr">
        <is>
          <t>Technical Specification Document</t>
        </is>
      </c>
      <c r="C55" s="5" t="inlineStr">
        <is>
          <t>Standardi i performanse</t>
        </is>
      </c>
      <c r="D55" s="5" t="inlineStr">
        <is>
          <t>Engineering</t>
        </is>
      </c>
      <c r="E55" s="10" t="inlineStr">
        <is>
          <t>High</t>
        </is>
      </c>
      <c r="F55" s="5" t="inlineStr">
        <is>
          <t>Open</t>
        </is>
      </c>
      <c r="G55" s="5" t="inlineStr"/>
      <c r="H55" s="5" t="inlineStr">
        <is>
          <t>420 kV, C5-M, EC8 etc</t>
        </is>
      </c>
      <c r="I55" s="5" t="inlineStr">
        <is>
          <t>2.2</t>
        </is>
      </c>
    </row>
    <row r="56">
      <c r="A56" s="5" t="inlineStr">
        <is>
          <t>2.2</t>
        </is>
      </c>
      <c r="B56" s="5" t="inlineStr">
        <is>
          <t>Market Demand Forecast</t>
        </is>
      </c>
      <c r="C56" s="5" t="inlineStr">
        <is>
          <t>Potražnja transformatora</t>
        </is>
      </c>
      <c r="D56" s="5" t="inlineStr">
        <is>
          <t>Sales / Strategy</t>
        </is>
      </c>
      <c r="E56" s="11" t="inlineStr">
        <is>
          <t>Medium</t>
        </is>
      </c>
      <c r="F56" s="5" t="inlineStr">
        <is>
          <t>Open</t>
        </is>
      </c>
      <c r="G56" s="5" t="inlineStr"/>
      <c r="H56" s="5" t="inlineStr">
        <is>
          <t>Grid investment pull</t>
        </is>
      </c>
      <c r="I56" s="5" t="inlineStr">
        <is>
          <t>2.2</t>
        </is>
      </c>
    </row>
    <row r="57">
      <c r="A57" s="5" t="inlineStr">
        <is>
          <t>2.2</t>
        </is>
      </c>
      <c r="B57" s="5" t="inlineStr">
        <is>
          <t>Infrastructure Justification</t>
        </is>
      </c>
      <c r="C57" s="5" t="inlineStr">
        <is>
          <t>Argumentacija investicije</t>
        </is>
      </c>
      <c r="D57" s="5" t="inlineStr">
        <is>
          <t>CFO</t>
        </is>
      </c>
      <c r="E57" s="10" t="inlineStr">
        <is>
          <t>High</t>
        </is>
      </c>
      <c r="F57" s="5" t="inlineStr">
        <is>
          <t>Open</t>
        </is>
      </c>
      <c r="G57" s="5" t="inlineStr"/>
      <c r="H57" s="5" t="inlineStr">
        <is>
          <t>Low-risk demand platform</t>
        </is>
      </c>
      <c r="I57" s="5" t="inlineStr">
        <is>
          <t>2.2</t>
        </is>
      </c>
    </row>
    <row r="58">
      <c r="A58" s="5" t="inlineStr">
        <is>
          <t>2.2</t>
        </is>
      </c>
      <c r="B58" s="5" t="inlineStr">
        <is>
          <t>Regulatory Framework Analysis</t>
        </is>
      </c>
      <c r="C58" s="5" t="inlineStr">
        <is>
          <t>TSO/DSO regulativa</t>
        </is>
      </c>
      <c r="D58" s="5" t="inlineStr">
        <is>
          <t>CFO / Consultant</t>
        </is>
      </c>
      <c r="E58" s="11" t="inlineStr">
        <is>
          <t>Medium</t>
        </is>
      </c>
      <c r="F58" s="5" t="inlineStr">
        <is>
          <t>Open</t>
        </is>
      </c>
      <c r="G58" s="5" t="inlineStr"/>
      <c r="H58" s="5" t="inlineStr">
        <is>
          <t>Regulated investment pull</t>
        </is>
      </c>
      <c r="I58" s="5" t="inlineStr">
        <is>
          <t>2.2</t>
        </is>
      </c>
    </row>
    <row r="59">
      <c r="A59" s="5" t="inlineStr">
        <is>
          <t>2.2</t>
        </is>
      </c>
      <c r="B59" s="5" t="inlineStr">
        <is>
          <t>Contra-Cyclical Assessment</t>
        </is>
      </c>
      <c r="C59" s="5" t="inlineStr">
        <is>
          <t>Otpornost industrije</t>
        </is>
      </c>
      <c r="D59" s="5" t="inlineStr">
        <is>
          <t>CFO</t>
        </is>
      </c>
      <c r="E59" s="11" t="inlineStr">
        <is>
          <t>Medium</t>
        </is>
      </c>
      <c r="F59" s="5" t="inlineStr">
        <is>
          <t>Open</t>
        </is>
      </c>
      <c r="G59" s="5" t="inlineStr"/>
      <c r="H59" s="5" t="inlineStr">
        <is>
          <t>Demand resilience in downturn</t>
        </is>
      </c>
      <c r="I59" s="5" t="inlineStr">
        <is>
          <t>2.2</t>
        </is>
      </c>
    </row>
    <row r="60">
      <c r="A60" s="5" t="inlineStr">
        <is>
          <t>2.2</t>
        </is>
      </c>
      <c r="B60" s="5" t="inlineStr">
        <is>
          <t>Grant Eligibility Report</t>
        </is>
      </c>
      <c r="C60" s="5" t="inlineStr">
        <is>
          <t>Kvalifikacija za fondove</t>
        </is>
      </c>
      <c r="D60" s="5" t="inlineStr">
        <is>
          <t>CFO</t>
        </is>
      </c>
      <c r="E60" s="10" t="inlineStr">
        <is>
          <t>High</t>
        </is>
      </c>
      <c r="F60" s="5" t="inlineStr">
        <is>
          <t>Open</t>
        </is>
      </c>
      <c r="G60" s="5" t="inlineStr"/>
      <c r="H60" s="5" t="inlineStr">
        <is>
          <t>Energy transition alignment</t>
        </is>
      </c>
      <c r="I60" s="5" t="inlineStr">
        <is>
          <t>2.2</t>
        </is>
      </c>
    </row>
    <row r="61">
      <c r="A61" s="5" t="inlineStr">
        <is>
          <t>2.3</t>
        </is>
      </c>
      <c r="B61" s="5" t="inlineStr">
        <is>
          <t>Export Strategy Plan</t>
        </is>
      </c>
      <c r="C61" s="5" t="inlineStr">
        <is>
          <t>Strategija izvoza</t>
        </is>
      </c>
      <c r="D61" s="5" t="inlineStr">
        <is>
          <t>Sales Director</t>
        </is>
      </c>
      <c r="E61" s="10" t="inlineStr">
        <is>
          <t>High</t>
        </is>
      </c>
      <c r="F61" s="5" t="inlineStr">
        <is>
          <t>Open</t>
        </is>
      </c>
      <c r="G61" s="5" t="inlineStr"/>
      <c r="H61" s="5" t="inlineStr">
        <is>
          <t>80% EU-focused exports</t>
        </is>
      </c>
      <c r="I61" s="5" t="inlineStr">
        <is>
          <t>2.3</t>
        </is>
      </c>
    </row>
    <row r="62">
      <c r="A62" s="5" t="inlineStr">
        <is>
          <t>2.3</t>
        </is>
      </c>
      <c r="B62" s="5" t="inlineStr">
        <is>
          <t>Logistics Analysis EU</t>
        </is>
      </c>
      <c r="C62" s="5" t="inlineStr">
        <is>
          <t>Logističke rute i troškovi</t>
        </is>
      </c>
      <c r="D62" s="5" t="inlineStr">
        <is>
          <t>Operations</t>
        </is>
      </c>
      <c r="E62" s="11" t="inlineStr">
        <is>
          <t>Medium</t>
        </is>
      </c>
      <c r="F62" s="5" t="inlineStr">
        <is>
          <t>Open</t>
        </is>
      </c>
      <c r="G62" s="5" t="inlineStr"/>
      <c r="H62" s="5" t="inlineStr">
        <is>
          <t>Transit and transport logic</t>
        </is>
      </c>
      <c r="I62" s="5" t="inlineStr">
        <is>
          <t>2.3</t>
        </is>
      </c>
    </row>
    <row r="63">
      <c r="A63" s="5" t="inlineStr">
        <is>
          <t>2.3</t>
        </is>
      </c>
      <c r="B63" s="5" t="inlineStr">
        <is>
          <t>OEM Partnership Framework</t>
        </is>
      </c>
      <c r="C63" s="5" t="inlineStr">
        <is>
          <t>Partnerstva sa OEM</t>
        </is>
      </c>
      <c r="D63" s="5" t="inlineStr">
        <is>
          <t>Management</t>
        </is>
      </c>
      <c r="E63" s="10" t="inlineStr">
        <is>
          <t>High</t>
        </is>
      </c>
      <c r="F63" s="5" t="inlineStr">
        <is>
          <t>Open</t>
        </is>
      </c>
      <c r="G63" s="5" t="inlineStr"/>
      <c r="H63" s="5" t="inlineStr">
        <is>
          <t>Backlog and quality integration</t>
        </is>
      </c>
      <c r="I63" s="5" t="inlineStr">
        <is>
          <t>2.3</t>
        </is>
      </c>
    </row>
    <row r="64">
      <c r="A64" s="5" t="inlineStr">
        <is>
          <t>2.3</t>
        </is>
      </c>
      <c r="B64" s="5" t="inlineStr">
        <is>
          <t>FX Risk Management Statement</t>
        </is>
      </c>
      <c r="C64" s="5" t="inlineStr">
        <is>
          <t>Valutna stabilnost</t>
        </is>
      </c>
      <c r="D64" s="5" t="inlineStr">
        <is>
          <t>CFO</t>
        </is>
      </c>
      <c r="E64" s="11" t="inlineStr">
        <is>
          <t>Medium</t>
        </is>
      </c>
      <c r="F64" s="5" t="inlineStr">
        <is>
          <t>Open</t>
        </is>
      </c>
      <c r="G64" s="5" t="inlineStr"/>
      <c r="H64" s="5" t="inlineStr">
        <is>
          <t>Natural EUR hedge</t>
        </is>
      </c>
      <c r="I64" s="5" t="inlineStr">
        <is>
          <t>2.3</t>
        </is>
      </c>
    </row>
    <row r="65">
      <c r="A65" s="5" t="inlineStr">
        <is>
          <t>2.3</t>
        </is>
      </c>
      <c r="B65" s="5" t="inlineStr">
        <is>
          <t>Global Value Chain Plan</t>
        </is>
      </c>
      <c r="C65" s="5" t="inlineStr">
        <is>
          <t>Integracija u lance</t>
        </is>
      </c>
      <c r="D65" s="5" t="inlineStr">
        <is>
          <t>Sales / Strategy</t>
        </is>
      </c>
      <c r="E65" s="10" t="inlineStr">
        <is>
          <t>High</t>
        </is>
      </c>
      <c r="F65" s="5" t="inlineStr">
        <is>
          <t>Open</t>
        </is>
      </c>
      <c r="G65" s="5" t="inlineStr"/>
      <c r="H65" s="5" t="inlineStr">
        <is>
          <t>OEM global standards</t>
        </is>
      </c>
      <c r="I65" s="5" t="inlineStr">
        <is>
          <t>2.3</t>
        </is>
      </c>
    </row>
    <row r="66">
      <c r="A66" s="5" t="inlineStr">
        <is>
          <t>2.3</t>
        </is>
      </c>
      <c r="B66" s="5" t="inlineStr">
        <is>
          <t>Industrial Spillover Study</t>
        </is>
      </c>
      <c r="C66" s="5" t="inlineStr">
        <is>
          <t>Efekti na industriju CG</t>
        </is>
      </c>
      <c r="D66" s="5" t="inlineStr">
        <is>
          <t>Management</t>
        </is>
      </c>
      <c r="E66" s="11" t="inlineStr">
        <is>
          <t>Medium</t>
        </is>
      </c>
      <c r="F66" s="5" t="inlineStr">
        <is>
          <t>Open</t>
        </is>
      </c>
      <c r="G66" s="5" t="inlineStr"/>
      <c r="H66" s="5" t="inlineStr">
        <is>
          <t>Reputational and skills spillover</t>
        </is>
      </c>
      <c r="I66" s="5" t="inlineStr">
        <is>
          <t>2.3</t>
        </is>
      </c>
    </row>
    <row r="67">
      <c r="A67" s="5" t="inlineStr">
        <is>
          <t>2.3</t>
        </is>
      </c>
      <c r="B67" s="5" t="inlineStr">
        <is>
          <t>Brand Strategy 'Made in Montenegro'</t>
        </is>
      </c>
      <c r="C67" s="5" t="inlineStr">
        <is>
          <t>Reputacioni efekat</t>
        </is>
      </c>
      <c r="D67" s="5" t="inlineStr">
        <is>
          <t>Marketing</t>
        </is>
      </c>
      <c r="E67" s="11" t="inlineStr">
        <is>
          <t>Medium</t>
        </is>
      </c>
      <c r="F67" s="5" t="inlineStr">
        <is>
          <t>Open</t>
        </is>
      </c>
      <c r="G67" s="5" t="inlineStr"/>
      <c r="H67" s="5" t="inlineStr">
        <is>
          <t>Industrial branding</t>
        </is>
      </c>
      <c r="I67" s="5" t="inlineStr">
        <is>
          <t>2.3</t>
        </is>
      </c>
    </row>
    <row r="68">
      <c r="A68" s="5" t="inlineStr">
        <is>
          <t>2.3</t>
        </is>
      </c>
      <c r="B68" s="5" t="inlineStr">
        <is>
          <t>Corporate Governance &amp; Legal Compliance Document</t>
        </is>
      </c>
      <c r="C68" s="5" t="inlineStr">
        <is>
          <t>Pravni okvir</t>
        </is>
      </c>
      <c r="D68" s="5" t="inlineStr">
        <is>
          <t>CFO / Legal</t>
        </is>
      </c>
      <c r="E68" s="10" t="inlineStr">
        <is>
          <t>High</t>
        </is>
      </c>
      <c r="F68" s="5" t="inlineStr">
        <is>
          <t>Open</t>
        </is>
      </c>
      <c r="G68" s="5" t="inlineStr"/>
      <c r="H68" s="5" t="inlineStr">
        <is>
          <t>DOO, law and IFRS framing</t>
        </is>
      </c>
      <c r="I68" s="5" t="inlineStr">
        <is>
          <t>2.3</t>
        </is>
      </c>
    </row>
    <row r="69">
      <c r="A69" s="5" t="inlineStr">
        <is>
          <t>3.1</t>
        </is>
      </c>
      <c r="B69" s="5" t="inlineStr">
        <is>
          <t>Corporate Governance Framework</t>
        </is>
      </c>
      <c r="C69" s="5" t="inlineStr">
        <is>
          <t>Upravljanje kompanijom</t>
        </is>
      </c>
      <c r="D69" s="5" t="inlineStr">
        <is>
          <t>CFO / Legal</t>
        </is>
      </c>
      <c r="E69" s="10" t="inlineStr">
        <is>
          <t>High</t>
        </is>
      </c>
      <c r="F69" s="5" t="inlineStr">
        <is>
          <t>Open</t>
        </is>
      </c>
      <c r="G69" s="5" t="inlineStr"/>
      <c r="H69" s="5" t="inlineStr">
        <is>
          <t>Governance baseline</t>
        </is>
      </c>
      <c r="I69" s="5" t="inlineStr">
        <is>
          <t>3.1</t>
        </is>
      </c>
    </row>
    <row r="70">
      <c r="A70" s="5" t="inlineStr">
        <is>
          <t>3.1</t>
        </is>
      </c>
      <c r="B70" s="5" t="inlineStr">
        <is>
          <t>IFRS Accounting Policy</t>
        </is>
      </c>
      <c r="C70" s="5" t="inlineStr">
        <is>
          <t>Finansijsko izvještavanje</t>
        </is>
      </c>
      <c r="D70" s="5" t="inlineStr">
        <is>
          <t>CFO</t>
        </is>
      </c>
      <c r="E70" s="10" t="inlineStr">
        <is>
          <t>High</t>
        </is>
      </c>
      <c r="F70" s="5" t="inlineStr">
        <is>
          <t>Open</t>
        </is>
      </c>
      <c r="G70" s="5" t="inlineStr"/>
      <c r="H70" s="5" t="inlineStr">
        <is>
          <t>Accounting and reporting</t>
        </is>
      </c>
      <c r="I70" s="5" t="inlineStr">
        <is>
          <t>3.1</t>
        </is>
      </c>
    </row>
    <row r="71">
      <c r="A71" s="5" t="inlineStr">
        <is>
          <t>3.1</t>
        </is>
      </c>
      <c r="B71" s="5" t="inlineStr">
        <is>
          <t>UBO Ownership Document</t>
        </is>
      </c>
      <c r="C71" s="5" t="inlineStr">
        <is>
          <t>Vlasnička transparentnost</t>
        </is>
      </c>
      <c r="D71" s="5" t="inlineStr">
        <is>
          <t>Legal</t>
        </is>
      </c>
      <c r="E71" s="10" t="inlineStr">
        <is>
          <t>High</t>
        </is>
      </c>
      <c r="F71" s="5" t="inlineStr">
        <is>
          <t>Open</t>
        </is>
      </c>
      <c r="G71" s="5" t="inlineStr"/>
      <c r="H71" s="5" t="inlineStr">
        <is>
          <t>UBO disclosure</t>
        </is>
      </c>
      <c r="I71" s="5" t="inlineStr">
        <is>
          <t>3.1</t>
        </is>
      </c>
    </row>
    <row r="72">
      <c r="A72" s="5" t="inlineStr">
        <is>
          <t>3.1</t>
        </is>
      </c>
      <c r="B72" s="5" t="inlineStr">
        <is>
          <t>AML Compliance Policy</t>
        </is>
      </c>
      <c r="C72" s="5" t="inlineStr">
        <is>
          <t>Regulatorna usklađenost</t>
        </is>
      </c>
      <c r="D72" s="5" t="inlineStr">
        <is>
          <t>Compliance Officer</t>
        </is>
      </c>
      <c r="E72" s="11" t="inlineStr">
        <is>
          <t>Medium</t>
        </is>
      </c>
      <c r="F72" s="5" t="inlineStr">
        <is>
          <t>Open</t>
        </is>
      </c>
      <c r="G72" s="5" t="inlineStr"/>
      <c r="H72" s="5" t="inlineStr">
        <is>
          <t>AML/CFT</t>
        </is>
      </c>
      <c r="I72" s="5" t="inlineStr">
        <is>
          <t>3.1</t>
        </is>
      </c>
    </row>
    <row r="73">
      <c r="A73" s="5" t="inlineStr">
        <is>
          <t>3.1</t>
        </is>
      </c>
      <c r="B73" s="5" t="inlineStr">
        <is>
          <t>Anti-Corruption Policy</t>
        </is>
      </c>
      <c r="C73" s="5" t="inlineStr">
        <is>
          <t>Reputaciona sigurnost</t>
        </is>
      </c>
      <c r="D73" s="5" t="inlineStr">
        <is>
          <t>Management</t>
        </is>
      </c>
      <c r="E73" s="10" t="inlineStr">
        <is>
          <t>High</t>
        </is>
      </c>
      <c r="F73" s="5" t="inlineStr">
        <is>
          <t>Open</t>
        </is>
      </c>
      <c r="G73" s="5" t="inlineStr"/>
      <c r="H73" s="5" t="inlineStr">
        <is>
          <t>Conflict / related-party controls</t>
        </is>
      </c>
      <c r="I73" s="5" t="inlineStr">
        <is>
          <t>3.1</t>
        </is>
      </c>
    </row>
    <row r="74">
      <c r="A74" s="5" t="inlineStr">
        <is>
          <t>3.1</t>
        </is>
      </c>
      <c r="B74" s="5" t="inlineStr">
        <is>
          <t>Shareholder Agreement</t>
        </is>
      </c>
      <c r="C74" s="5" t="inlineStr">
        <is>
          <t>Uređenje odnosa vlasnika</t>
        </is>
      </c>
      <c r="D74" s="5" t="inlineStr">
        <is>
          <t>Legal</t>
        </is>
      </c>
      <c r="E74" s="10" t="inlineStr">
        <is>
          <t>High</t>
        </is>
      </c>
      <c r="F74" s="5" t="inlineStr">
        <is>
          <t>Open</t>
        </is>
      </c>
      <c r="G74" s="5" t="inlineStr"/>
      <c r="H74" s="5" t="inlineStr">
        <is>
          <t>Rights and exits</t>
        </is>
      </c>
      <c r="I74" s="5" t="inlineStr">
        <is>
          <t>3.1</t>
        </is>
      </c>
    </row>
    <row r="75">
      <c r="A75" s="5" t="inlineStr">
        <is>
          <t>3.1</t>
        </is>
      </c>
      <c r="B75" s="5" t="inlineStr">
        <is>
          <t>Capital Structure Plan</t>
        </is>
      </c>
      <c r="C75" s="5" t="inlineStr">
        <is>
          <t>Privlačenje investitora</t>
        </is>
      </c>
      <c r="D75" s="5" t="inlineStr">
        <is>
          <t>CFO</t>
        </is>
      </c>
      <c r="E75" s="10" t="inlineStr">
        <is>
          <t>High</t>
        </is>
      </c>
      <c r="F75" s="5" t="inlineStr">
        <is>
          <t>Open</t>
        </is>
      </c>
      <c r="G75" s="5" t="inlineStr"/>
      <c r="H75" s="5" t="inlineStr">
        <is>
          <t>Flexible instruments</t>
        </is>
      </c>
      <c r="I75" s="5" t="inlineStr">
        <is>
          <t>3.1</t>
        </is>
      </c>
    </row>
    <row r="76">
      <c r="A76" s="5" t="inlineStr">
        <is>
          <t>3.1</t>
        </is>
      </c>
      <c r="B76" s="5" t="inlineStr">
        <is>
          <t>Exit Strategy Framework</t>
        </is>
      </c>
      <c r="C76" s="5" t="inlineStr">
        <is>
          <t>Buduća prodaja / transition</t>
        </is>
      </c>
      <c r="D76" s="5" t="inlineStr">
        <is>
          <t>CFO / Management</t>
        </is>
      </c>
      <c r="E76" s="11" t="inlineStr">
        <is>
          <t>Medium</t>
        </is>
      </c>
      <c r="F76" s="5" t="inlineStr">
        <is>
          <t>Open</t>
        </is>
      </c>
      <c r="G76" s="5" t="inlineStr"/>
      <c r="H76" s="5" t="inlineStr">
        <is>
          <t>7-10y optionality</t>
        </is>
      </c>
      <c r="I76" s="5" t="inlineStr">
        <is>
          <t>3.1</t>
        </is>
      </c>
    </row>
    <row r="77">
      <c r="A77" s="5" t="inlineStr">
        <is>
          <t>3.1</t>
        </is>
      </c>
      <c r="B77" s="5" t="inlineStr">
        <is>
          <t>Internal Control Manual</t>
        </is>
      </c>
      <c r="C77" s="5" t="inlineStr">
        <is>
          <t>Operativna kontrola</t>
        </is>
      </c>
      <c r="D77" s="5" t="inlineStr">
        <is>
          <t>CFO</t>
        </is>
      </c>
      <c r="E77" s="11" t="inlineStr">
        <is>
          <t>Medium</t>
        </is>
      </c>
      <c r="F77" s="5" t="inlineStr">
        <is>
          <t>Open</t>
        </is>
      </c>
      <c r="G77" s="5" t="inlineStr"/>
      <c r="H77" s="5" t="inlineStr">
        <is>
          <t>Control environment</t>
        </is>
      </c>
      <c r="I77" s="5" t="inlineStr">
        <is>
          <t>3.1</t>
        </is>
      </c>
    </row>
    <row r="78">
      <c r="A78" s="5" t="inlineStr">
        <is>
          <t>3.2</t>
        </is>
      </c>
      <c r="B78" s="5" t="inlineStr">
        <is>
          <t>Corporate Governance Charter</t>
        </is>
      </c>
      <c r="C78" s="5" t="inlineStr">
        <is>
          <t>Struktura upravljanja</t>
        </is>
      </c>
      <c r="D78" s="5" t="inlineStr">
        <is>
          <t>Management / Legal</t>
        </is>
      </c>
      <c r="E78" s="10" t="inlineStr">
        <is>
          <t>High</t>
        </is>
      </c>
      <c r="F78" s="5" t="inlineStr">
        <is>
          <t>Open</t>
        </is>
      </c>
      <c r="G78" s="5" t="inlineStr"/>
      <c r="H78" s="5" t="inlineStr">
        <is>
          <t>Two-tier governance</t>
        </is>
      </c>
      <c r="I78" s="5" t="inlineStr">
        <is>
          <t>3.2</t>
        </is>
      </c>
    </row>
    <row r="79">
      <c r="A79" s="5" t="inlineStr">
        <is>
          <t>3.2</t>
        </is>
      </c>
      <c r="B79" s="5" t="inlineStr">
        <is>
          <t>Board Structure Document</t>
        </is>
      </c>
      <c r="C79" s="5" t="inlineStr">
        <is>
          <t>Organizacija odbora</t>
        </is>
      </c>
      <c r="D79" s="5" t="inlineStr">
        <is>
          <t>Legal</t>
        </is>
      </c>
      <c r="E79" s="10" t="inlineStr">
        <is>
          <t>High</t>
        </is>
      </c>
      <c r="F79" s="5" t="inlineStr">
        <is>
          <t>Open</t>
        </is>
      </c>
      <c r="G79" s="5" t="inlineStr"/>
      <c r="H79" s="5" t="inlineStr">
        <is>
          <t>Board / committees</t>
        </is>
      </c>
      <c r="I79" s="5" t="inlineStr">
        <is>
          <t>3.2</t>
        </is>
      </c>
    </row>
    <row r="80">
      <c r="A80" s="5" t="inlineStr">
        <is>
          <t>3.2</t>
        </is>
      </c>
      <c r="B80" s="5" t="inlineStr">
        <is>
          <t>Shareholder Decision Framework</t>
        </is>
      </c>
      <c r="C80" s="5" t="inlineStr">
        <is>
          <t>Prava vlasnika</t>
        </is>
      </c>
      <c r="D80" s="5" t="inlineStr">
        <is>
          <t>Legal</t>
        </is>
      </c>
      <c r="E80" s="11" t="inlineStr">
        <is>
          <t>Medium</t>
        </is>
      </c>
      <c r="F80" s="5" t="inlineStr">
        <is>
          <t>Open</t>
        </is>
      </c>
      <c r="G80" s="5" t="inlineStr"/>
      <c r="H80" s="5" t="inlineStr">
        <is>
          <t>Reserved matters</t>
        </is>
      </c>
      <c r="I80" s="5" t="inlineStr">
        <is>
          <t>3.2</t>
        </is>
      </c>
    </row>
    <row r="81">
      <c r="A81" s="5" t="inlineStr">
        <is>
          <t>3.2</t>
        </is>
      </c>
      <c r="B81" s="5" t="inlineStr">
        <is>
          <t>Management Responsibility Matrix</t>
        </is>
      </c>
      <c r="C81" s="5" t="inlineStr">
        <is>
          <t>Uloge menadžmenta</t>
        </is>
      </c>
      <c r="D81" s="5" t="inlineStr">
        <is>
          <t>HR / Management</t>
        </is>
      </c>
      <c r="E81" s="11" t="inlineStr">
        <is>
          <t>Medium</t>
        </is>
      </c>
      <c r="F81" s="5" t="inlineStr">
        <is>
          <t>Open</t>
        </is>
      </c>
      <c r="G81" s="5" t="inlineStr"/>
      <c r="H81" s="5" t="inlineStr">
        <is>
          <t>Operational accountability</t>
        </is>
      </c>
      <c r="I81" s="5" t="inlineStr">
        <is>
          <t>3.2</t>
        </is>
      </c>
    </row>
    <row r="82">
      <c r="A82" s="5" t="inlineStr">
        <is>
          <t>3.2</t>
        </is>
      </c>
      <c r="B82" s="5" t="inlineStr">
        <is>
          <t>CFO Control Framework</t>
        </is>
      </c>
      <c r="C82" s="5" t="inlineStr">
        <is>
          <t>Finansijska kontrola</t>
        </is>
      </c>
      <c r="D82" s="5" t="inlineStr">
        <is>
          <t>CFO</t>
        </is>
      </c>
      <c r="E82" s="10" t="inlineStr">
        <is>
          <t>High</t>
        </is>
      </c>
      <c r="F82" s="5" t="inlineStr">
        <is>
          <t>Open</t>
        </is>
      </c>
      <c r="G82" s="5" t="inlineStr"/>
      <c r="H82" s="5" t="inlineStr">
        <is>
          <t>Budget veto</t>
        </is>
      </c>
      <c r="I82" s="5" t="inlineStr">
        <is>
          <t>3.2</t>
        </is>
      </c>
    </row>
    <row r="83">
      <c r="A83" s="5" t="inlineStr">
        <is>
          <t>3.2</t>
        </is>
      </c>
      <c r="B83" s="5" t="inlineStr">
        <is>
          <t>Investment Approval Policy</t>
        </is>
      </c>
      <c r="C83" s="5" t="inlineStr">
        <is>
          <t>Odobrenje CAPEX-a</t>
        </is>
      </c>
      <c r="D83" s="5" t="inlineStr">
        <is>
          <t>CFO / Board</t>
        </is>
      </c>
      <c r="E83" s="10" t="inlineStr">
        <is>
          <t>High</t>
        </is>
      </c>
      <c r="F83" s="5" t="inlineStr">
        <is>
          <t>Open</t>
        </is>
      </c>
      <c r="G83" s="5" t="inlineStr"/>
      <c r="H83" s="5" t="inlineStr">
        <is>
          <t>&gt;500k threshold</t>
        </is>
      </c>
      <c r="I83" s="5" t="inlineStr">
        <is>
          <t>3.2</t>
        </is>
      </c>
    </row>
    <row r="84">
      <c r="A84" s="5" t="inlineStr">
        <is>
          <t>3.2</t>
        </is>
      </c>
      <c r="B84" s="5" t="inlineStr">
        <is>
          <t>ESG Governance Framework</t>
        </is>
      </c>
      <c r="C84" s="5" t="inlineStr">
        <is>
          <t>ESG upravljanje</t>
        </is>
      </c>
      <c r="D84" s="5" t="inlineStr">
        <is>
          <t>ESG Committee</t>
        </is>
      </c>
      <c r="E84" s="10" t="inlineStr">
        <is>
          <t>High</t>
        </is>
      </c>
      <c r="F84" s="5" t="inlineStr">
        <is>
          <t>Open</t>
        </is>
      </c>
      <c r="G84" s="5" t="inlineStr"/>
      <c r="H84" s="5" t="inlineStr">
        <is>
          <t>Grant and sustainability oversight</t>
        </is>
      </c>
      <c r="I84" s="5" t="inlineStr">
        <is>
          <t>3.2</t>
        </is>
      </c>
    </row>
    <row r="85">
      <c r="A85" s="5" t="inlineStr">
        <is>
          <t>3.2</t>
        </is>
      </c>
      <c r="B85" s="5" t="inlineStr">
        <is>
          <t>Management Incentive Policy</t>
        </is>
      </c>
      <c r="C85" s="5" t="inlineStr">
        <is>
          <t>Bonus struktura</t>
        </is>
      </c>
      <c r="D85" s="5" t="inlineStr">
        <is>
          <t>HR / CFO</t>
        </is>
      </c>
      <c r="E85" s="11" t="inlineStr">
        <is>
          <t>Medium</t>
        </is>
      </c>
      <c r="F85" s="5" t="inlineStr">
        <is>
          <t>Open</t>
        </is>
      </c>
      <c r="G85" s="5" t="inlineStr"/>
      <c r="H85" s="5" t="inlineStr">
        <is>
          <t>Performance-linked rewards</t>
        </is>
      </c>
      <c r="I85" s="5" t="inlineStr">
        <is>
          <t>3.2</t>
        </is>
      </c>
    </row>
    <row r="86">
      <c r="A86" s="5" t="inlineStr">
        <is>
          <t>3.2</t>
        </is>
      </c>
      <c r="B86" s="5" t="inlineStr">
        <is>
          <t>Delegation of Authority Matrix</t>
        </is>
      </c>
      <c r="C86" s="5" t="inlineStr">
        <is>
          <t>Nivo odlučivanja</t>
        </is>
      </c>
      <c r="D86" s="5" t="inlineStr">
        <is>
          <t>CFO</t>
        </is>
      </c>
      <c r="E86" s="10" t="inlineStr">
        <is>
          <t>High</t>
        </is>
      </c>
      <c r="F86" s="5" t="inlineStr">
        <is>
          <t>Open</t>
        </is>
      </c>
      <c r="G86" s="5" t="inlineStr"/>
      <c r="H86" s="5" t="inlineStr">
        <is>
          <t>Decision rights map</t>
        </is>
      </c>
      <c r="I86" s="5" t="inlineStr">
        <is>
          <t>3.2</t>
        </is>
      </c>
    </row>
    <row r="87">
      <c r="A87" s="5" t="inlineStr">
        <is>
          <t>3.3</t>
        </is>
      </c>
      <c r="B87" s="5" t="inlineStr">
        <is>
          <t>CFO Control Framework Manual</t>
        </is>
      </c>
      <c r="C87" s="5" t="inlineStr">
        <is>
          <t>Finansijska kontrola</t>
        </is>
      </c>
      <c r="D87" s="5" t="inlineStr">
        <is>
          <t>CFO</t>
        </is>
      </c>
      <c r="E87" s="10" t="inlineStr">
        <is>
          <t>High</t>
        </is>
      </c>
      <c r="F87" s="5" t="inlineStr">
        <is>
          <t>Open</t>
        </is>
      </c>
      <c r="G87" s="5" t="inlineStr"/>
      <c r="H87" s="5" t="inlineStr">
        <is>
          <t>Guardian model</t>
        </is>
      </c>
      <c r="I87" s="5" t="inlineStr">
        <is>
          <t>3.3</t>
        </is>
      </c>
    </row>
    <row r="88">
      <c r="A88" s="5" t="inlineStr">
        <is>
          <t>3.3</t>
        </is>
      </c>
      <c r="B88" s="5" t="inlineStr">
        <is>
          <t>CAPEX Approval Policy</t>
        </is>
      </c>
      <c r="C88" s="5" t="inlineStr">
        <is>
          <t>Odobrenje investicija</t>
        </is>
      </c>
      <c r="D88" s="5" t="inlineStr">
        <is>
          <t>CFO / Board</t>
        </is>
      </c>
      <c r="E88" s="10" t="inlineStr">
        <is>
          <t>High</t>
        </is>
      </c>
      <c r="F88" s="5" t="inlineStr">
        <is>
          <t>Open</t>
        </is>
      </c>
      <c r="G88" s="5" t="inlineStr"/>
      <c r="H88" s="5" t="inlineStr">
        <is>
          <t>Milestone based</t>
        </is>
      </c>
      <c r="I88" s="5" t="inlineStr">
        <is>
          <t>3.3</t>
        </is>
      </c>
    </row>
    <row r="89">
      <c r="A89" s="5" t="inlineStr">
        <is>
          <t>3.3</t>
        </is>
      </c>
      <c r="B89" s="5" t="inlineStr">
        <is>
          <t>Rolling Cash Flow Methodology</t>
        </is>
      </c>
      <c r="C89" s="5" t="inlineStr">
        <is>
          <t>Likvidnost</t>
        </is>
      </c>
      <c r="D89" s="5" t="inlineStr">
        <is>
          <t>CFO</t>
        </is>
      </c>
      <c r="E89" s="10" t="inlineStr">
        <is>
          <t>High</t>
        </is>
      </c>
      <c r="F89" s="5" t="inlineStr">
        <is>
          <t>Open</t>
        </is>
      </c>
      <c r="G89" s="5" t="inlineStr"/>
      <c r="H89" s="5" t="inlineStr">
        <is>
          <t>13-week forecast</t>
        </is>
      </c>
      <c r="I89" s="5" t="inlineStr">
        <is>
          <t>3.3</t>
        </is>
      </c>
    </row>
    <row r="90">
      <c r="A90" s="5" t="inlineStr">
        <is>
          <t>3.3</t>
        </is>
      </c>
      <c r="B90" s="5" t="inlineStr">
        <is>
          <t>Working Capital Policy</t>
        </is>
      </c>
      <c r="C90" s="5" t="inlineStr">
        <is>
          <t>Upravljanje kapitalom</t>
        </is>
      </c>
      <c r="D90" s="5" t="inlineStr">
        <is>
          <t>CFO</t>
        </is>
      </c>
      <c r="E90" s="11" t="inlineStr">
        <is>
          <t>Medium</t>
        </is>
      </c>
      <c r="F90" s="5" t="inlineStr">
        <is>
          <t>Open</t>
        </is>
      </c>
      <c r="G90" s="5" t="inlineStr"/>
      <c r="H90" s="5" t="inlineStr">
        <is>
          <t>CCC control</t>
        </is>
      </c>
      <c r="I90" s="5" t="inlineStr">
        <is>
          <t>3.3</t>
        </is>
      </c>
    </row>
    <row r="91">
      <c r="A91" s="5" t="inlineStr">
        <is>
          <t>3.3</t>
        </is>
      </c>
      <c r="B91" s="5" t="inlineStr">
        <is>
          <t>Financial Covenants Monitoring</t>
        </is>
      </c>
      <c r="C91" s="5" t="inlineStr">
        <is>
          <t>Praćenje bankarskih uslova</t>
        </is>
      </c>
      <c r="D91" s="5" t="inlineStr">
        <is>
          <t>CFO</t>
        </is>
      </c>
      <c r="E91" s="10" t="inlineStr">
        <is>
          <t>High</t>
        </is>
      </c>
      <c r="F91" s="5" t="inlineStr">
        <is>
          <t>Open</t>
        </is>
      </c>
      <c r="G91" s="5" t="inlineStr"/>
      <c r="H91" s="5" t="inlineStr">
        <is>
          <t>DSCR etc</t>
        </is>
      </c>
      <c r="I91" s="5" t="inlineStr">
        <is>
          <t>3.3</t>
        </is>
      </c>
    </row>
    <row r="92">
      <c r="A92" s="5" t="inlineStr">
        <is>
          <t>3.3</t>
        </is>
      </c>
      <c r="B92" s="5" t="inlineStr">
        <is>
          <t>Procurement Policy</t>
        </is>
      </c>
      <c r="C92" s="5" t="inlineStr">
        <is>
          <t>Nabavka i tenderi</t>
        </is>
      </c>
      <c r="D92" s="5" t="inlineStr">
        <is>
          <t>Procurement</t>
        </is>
      </c>
      <c r="E92" s="10" t="inlineStr">
        <is>
          <t>High</t>
        </is>
      </c>
      <c r="F92" s="5" t="inlineStr">
        <is>
          <t>Open</t>
        </is>
      </c>
      <c r="G92" s="5" t="inlineStr"/>
      <c r="H92" s="5" t="inlineStr">
        <is>
          <t>3 quotes &gt;10k</t>
        </is>
      </c>
      <c r="I92" s="5" t="inlineStr">
        <is>
          <t>3.3</t>
        </is>
      </c>
    </row>
    <row r="93">
      <c r="A93" s="5" t="inlineStr">
        <is>
          <t>3.3</t>
        </is>
      </c>
      <c r="B93" s="5" t="inlineStr">
        <is>
          <t>Reporting Framework</t>
        </is>
      </c>
      <c r="C93" s="5" t="inlineStr">
        <is>
          <t>System izvještavanja</t>
        </is>
      </c>
      <c r="D93" s="5" t="inlineStr">
        <is>
          <t>CFO</t>
        </is>
      </c>
      <c r="E93" s="10" t="inlineStr">
        <is>
          <t>High</t>
        </is>
      </c>
      <c r="F93" s="5" t="inlineStr">
        <is>
          <t>Open</t>
        </is>
      </c>
      <c r="G93" s="5" t="inlineStr"/>
      <c r="H93" s="5" t="inlineStr">
        <is>
          <t>Weekly/monthly/quarterly packs</t>
        </is>
      </c>
      <c r="I93" s="5" t="inlineStr">
        <is>
          <t>3.3</t>
        </is>
      </c>
    </row>
    <row r="94">
      <c r="A94" s="5" t="inlineStr">
        <is>
          <t>3.3</t>
        </is>
      </c>
      <c r="B94" s="5" t="inlineStr">
        <is>
          <t>ERP Implementation Plan</t>
        </is>
      </c>
      <c r="C94" s="5" t="inlineStr">
        <is>
          <t>Softverska integracija</t>
        </is>
      </c>
      <c r="D94" s="5" t="inlineStr">
        <is>
          <t>IT / CFO</t>
        </is>
      </c>
      <c r="E94" s="11" t="inlineStr">
        <is>
          <t>Medium</t>
        </is>
      </c>
      <c r="F94" s="5" t="inlineStr">
        <is>
          <t>Open</t>
        </is>
      </c>
      <c r="G94" s="5" t="inlineStr"/>
      <c r="H94" s="5" t="inlineStr">
        <is>
          <t>Dynamics/Odoo concept</t>
        </is>
      </c>
      <c r="I94" s="5" t="inlineStr">
        <is>
          <t>3.3</t>
        </is>
      </c>
    </row>
    <row r="95">
      <c r="A95" s="5" t="inlineStr">
        <is>
          <t>3.3</t>
        </is>
      </c>
      <c r="B95" s="5" t="inlineStr">
        <is>
          <t>Budget Control Procedure</t>
        </is>
      </c>
      <c r="C95" s="5" t="inlineStr">
        <is>
          <t>Kontrola troškova</t>
        </is>
      </c>
      <c r="D95" s="5" t="inlineStr">
        <is>
          <t>CFO</t>
        </is>
      </c>
      <c r="E95" s="10" t="inlineStr">
        <is>
          <t>High</t>
        </is>
      </c>
      <c r="F95" s="5" t="inlineStr">
        <is>
          <t>Open</t>
        </is>
      </c>
      <c r="G95" s="5" t="inlineStr"/>
      <c r="H95" s="5" t="inlineStr">
        <is>
          <t>Budget vs actual</t>
        </is>
      </c>
      <c r="I95" s="5" t="inlineStr">
        <is>
          <t>3.3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42" customWidth="1" min="4" max="4"/>
    <col width="42" customWidth="1" min="5" max="5"/>
    <col width="26" customWidth="1" min="6" max="6"/>
    <col width="21" customWidth="1" min="7" max="7"/>
    <col width="26" customWidth="1" min="8" max="8"/>
    <col width="22" customWidth="1" min="9" max="9"/>
    <col width="12" customWidth="1" min="10" max="10"/>
    <col width="26" customWidth="1" min="11" max="11"/>
    <col width="16" customWidth="1" min="12" max="12"/>
    <col width="12" customWidth="1" min="13" max="13"/>
    <col width="12" customWidth="1" min="14" max="14"/>
    <col width="11" customWidth="1" min="15" max="15"/>
    <col width="13" customWidth="1" min="16" max="16"/>
    <col width="13" customWidth="1" min="17" max="17"/>
    <col width="16" customWidth="1" min="18" max="18"/>
    <col width="13" customWidth="1" min="19" max="19"/>
    <col width="12" customWidth="1" min="20" max="20"/>
    <col width="20" customWidth="1" min="21" max="21"/>
    <col width="13" customWidth="1" min="22" max="22"/>
    <col width="42" customWidth="1" min="23" max="23"/>
    <col width="12" customWidth="1" min="24" max="24"/>
  </cols>
  <sheetData>
    <row r="1" ht="24" customHeight="1">
      <c r="A1" s="1" t="inlineStr">
        <is>
          <t>Task Register</t>
        </is>
      </c>
    </row>
    <row r="2" ht="38" customHeight="1">
      <c r="A2" s="2" t="inlineStr">
        <is>
          <t>Master control structure aligned to user canonical project-task format</t>
        </is>
      </c>
    </row>
    <row r="3">
      <c r="A3" s="6" t="inlineStr">
        <is>
          <t>Lifecycle_Activity</t>
        </is>
      </c>
      <c r="B3" s="6" t="inlineStr">
        <is>
          <t>Phase</t>
        </is>
      </c>
      <c r="C3" s="6" t="inlineStr">
        <is>
          <t>Step_ID</t>
        </is>
      </c>
      <c r="D3" s="6" t="inlineStr">
        <is>
          <t>Step_Name</t>
        </is>
      </c>
      <c r="E3" s="6" t="inlineStr">
        <is>
          <t>Detailed_Description</t>
        </is>
      </c>
      <c r="F3" s="6" t="inlineStr">
        <is>
          <t>Responsible_Function</t>
        </is>
      </c>
      <c r="G3" s="6" t="inlineStr">
        <is>
          <t>Dependency</t>
        </is>
      </c>
      <c r="H3" s="6" t="inlineStr">
        <is>
          <t>Required_Evidence</t>
        </is>
      </c>
      <c r="I3" s="6" t="inlineStr">
        <is>
          <t>Document_Type</t>
        </is>
      </c>
      <c r="J3" s="6" t="inlineStr">
        <is>
          <t>Budget_EUR</t>
        </is>
      </c>
      <c r="K3" s="6" t="inlineStr">
        <is>
          <t>Financial_Classification</t>
        </is>
      </c>
      <c r="L3" s="6" t="inlineStr">
        <is>
          <t>Risk_Score_1_5</t>
        </is>
      </c>
      <c r="M3" s="6" t="inlineStr">
        <is>
          <t>Risk_Level</t>
        </is>
      </c>
      <c r="N3" s="6" t="inlineStr">
        <is>
          <t>RAG_Status</t>
        </is>
      </c>
      <c r="O3" s="6" t="inlineStr">
        <is>
          <t>Hard_Gate</t>
        </is>
      </c>
      <c r="P3" s="6" t="inlineStr">
        <is>
          <t>Status</t>
        </is>
      </c>
      <c r="Q3" s="6" t="inlineStr">
        <is>
          <t>Institution</t>
        </is>
      </c>
      <c r="R3" s="6" t="inlineStr">
        <is>
          <t>Contact_Person</t>
        </is>
      </c>
      <c r="S3" s="6" t="inlineStr">
        <is>
          <t>Case_Number</t>
        </is>
      </c>
      <c r="T3" s="6" t="inlineStr">
        <is>
          <t>Start_Date</t>
        </is>
      </c>
      <c r="U3" s="6" t="inlineStr">
        <is>
          <t>Statutory_Deadline</t>
        </is>
      </c>
      <c r="V3" s="6" t="inlineStr">
        <is>
          <t>Last_Update</t>
        </is>
      </c>
      <c r="W3" s="6" t="inlineStr">
        <is>
          <t>Next_Action</t>
        </is>
      </c>
      <c r="X3" s="6" t="inlineStr">
        <is>
          <t>Notes</t>
        </is>
      </c>
    </row>
    <row r="4">
      <c r="A4" s="5" t="inlineStr">
        <is>
          <t>Business Plan Harmonization</t>
        </is>
      </c>
      <c r="B4" s="5" t="inlineStr">
        <is>
          <t>1.1</t>
        </is>
      </c>
      <c r="C4" s="5" t="inlineStr">
        <is>
          <t>1.1-T01</t>
        </is>
      </c>
      <c r="D4" s="5" t="inlineStr">
        <is>
          <t>Define detailed production ramp-up plan</t>
        </is>
      </c>
      <c r="E4" s="5" t="inlineStr">
        <is>
          <t>Translate 10,000 t/year objective into annual/monthly ramp-up and utilization bridge</t>
        </is>
      </c>
      <c r="F4" s="5" t="inlineStr">
        <is>
          <t>Technical Director</t>
        </is>
      </c>
      <c r="G4" s="5" t="inlineStr">
        <is>
          <t>Ramp-up assumptions</t>
        </is>
      </c>
      <c r="H4" s="5" t="inlineStr">
        <is>
          <t>Ramp-up memo</t>
        </is>
      </c>
      <c r="I4" s="5" t="inlineStr">
        <is>
          <t>Planning Memo</t>
        </is>
      </c>
      <c r="J4" s="12" t="n">
        <v>0</v>
      </c>
      <c r="K4" s="5" t="inlineStr">
        <is>
          <t>OPEX/COGS planning</t>
        </is>
      </c>
      <c r="L4" s="11" t="n">
        <v>4</v>
      </c>
      <c r="M4" s="5" t="inlineStr">
        <is>
          <t>High</t>
        </is>
      </c>
      <c r="N4" s="11" t="inlineStr">
        <is>
          <t>Amber</t>
        </is>
      </c>
      <c r="O4" s="5" t="inlineStr">
        <is>
          <t>No</t>
        </is>
      </c>
      <c r="P4" s="5" t="inlineStr">
        <is>
          <t>Not Started</t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>
        <is>
          <t>Build annual Y1-Y5 production table and utilization assumptions</t>
        </is>
      </c>
      <c r="X4" s="5" t="inlineStr">
        <is>
          <t>Source 1.1</t>
        </is>
      </c>
    </row>
    <row r="5">
      <c r="A5" s="5" t="inlineStr">
        <is>
          <t>Business Plan Harmonization</t>
        </is>
      </c>
      <c r="B5" s="5" t="inlineStr">
        <is>
          <t>1.1</t>
        </is>
      </c>
      <c r="C5" s="5" t="inlineStr">
        <is>
          <t>1.1-T02</t>
        </is>
      </c>
      <c r="D5" s="5" t="inlineStr">
        <is>
          <t>Prepare Tuzi location and logistics analysis</t>
        </is>
      </c>
      <c r="E5" s="5" t="inlineStr">
        <is>
          <t>Document road/rail/port/airport advantages for investors and lenders</t>
        </is>
      </c>
      <c r="F5" s="5" t="inlineStr">
        <is>
          <t>Project Development Team</t>
        </is>
      </c>
      <c r="G5" s="5" t="inlineStr"/>
      <c r="H5" s="5" t="inlineStr">
        <is>
          <t>Location analysis</t>
        </is>
      </c>
      <c r="I5" s="5" t="inlineStr">
        <is>
          <t>Report</t>
        </is>
      </c>
      <c r="J5" s="12" t="n">
        <v>0</v>
      </c>
      <c r="K5" s="5" t="inlineStr">
        <is>
          <t>None</t>
        </is>
      </c>
      <c r="L5" s="5" t="n">
        <v>3</v>
      </c>
      <c r="M5" s="5" t="inlineStr">
        <is>
          <t>Medium</t>
        </is>
      </c>
      <c r="N5" s="11" t="inlineStr">
        <is>
          <t>Amber</t>
        </is>
      </c>
      <c r="O5" s="5" t="inlineStr">
        <is>
          <t>No</t>
        </is>
      </c>
      <c r="P5" s="5" t="inlineStr">
        <is>
          <t>Not Started</t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>
        <is>
          <t>Validate every claimed transit advantage with source evidence</t>
        </is>
      </c>
      <c r="X5" s="5" t="inlineStr">
        <is>
          <t>Source 1.1</t>
        </is>
      </c>
    </row>
    <row r="6">
      <c r="A6" s="5" t="inlineStr">
        <is>
          <t>Business Plan Harmonization</t>
        </is>
      </c>
      <c r="B6" s="5" t="inlineStr">
        <is>
          <t>1.1</t>
        </is>
      </c>
      <c r="C6" s="5" t="inlineStr">
        <is>
          <t>1.1-T03</t>
        </is>
      </c>
      <c r="D6" s="5" t="inlineStr">
        <is>
          <t>Design 1 MWp solar integration concept</t>
        </is>
      </c>
      <c r="E6" s="5" t="inlineStr">
        <is>
          <t>Define capex, expected output, self-consumption, savings sensitivity and grid interface</t>
        </is>
      </c>
      <c r="F6" s="5" t="inlineStr">
        <is>
          <t>Engineering</t>
        </is>
      </c>
      <c r="G6" s="5" t="inlineStr"/>
      <c r="H6" s="5" t="inlineStr">
        <is>
          <t>Solar concept note</t>
        </is>
      </c>
      <c r="I6" s="5" t="inlineStr">
        <is>
          <t>Technical study</t>
        </is>
      </c>
      <c r="J6" s="12" t="n">
        <v>0</v>
      </c>
      <c r="K6" s="5" t="inlineStr">
        <is>
          <t>CAPEX</t>
        </is>
      </c>
      <c r="L6" s="11" t="n">
        <v>4</v>
      </c>
      <c r="M6" s="5" t="inlineStr">
        <is>
          <t>High</t>
        </is>
      </c>
      <c r="N6" s="11" t="inlineStr">
        <is>
          <t>Amber</t>
        </is>
      </c>
      <c r="O6" s="5" t="inlineStr">
        <is>
          <t>No</t>
        </is>
      </c>
      <c r="P6" s="5" t="inlineStr">
        <is>
          <t>Not Started</t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>
        <is>
          <t>Convert 20-30% savings statement into model-backed case</t>
        </is>
      </c>
      <c r="X6" s="5" t="inlineStr">
        <is>
          <t>Source 1.1</t>
        </is>
      </c>
    </row>
    <row r="7">
      <c r="A7" s="5" t="inlineStr">
        <is>
          <t>Business Plan Harmonization</t>
        </is>
      </c>
      <c r="B7" s="5" t="inlineStr">
        <is>
          <t>1.1</t>
        </is>
      </c>
      <c r="C7" s="5" t="inlineStr">
        <is>
          <t>1.1-T04</t>
        </is>
      </c>
      <c r="D7" s="5" t="inlineStr">
        <is>
          <t>Map DACH OEM target list</t>
        </is>
      </c>
      <c r="E7" s="5" t="inlineStr">
        <is>
          <t>Create prioritized OEM outreach list and qualification criteria</t>
        </is>
      </c>
      <c r="F7" s="5" t="inlineStr">
        <is>
          <t>Sales Director</t>
        </is>
      </c>
      <c r="G7" s="5" t="inlineStr"/>
      <c r="H7" s="5" t="inlineStr">
        <is>
          <t>Target account list</t>
        </is>
      </c>
      <c r="I7" s="5" t="inlineStr">
        <is>
          <t>CRM / target list</t>
        </is>
      </c>
      <c r="J7" s="12" t="n">
        <v>0</v>
      </c>
      <c r="K7" s="5" t="inlineStr">
        <is>
          <t>OPEX</t>
        </is>
      </c>
      <c r="L7" s="11" t="n">
        <v>4</v>
      </c>
      <c r="M7" s="5" t="inlineStr">
        <is>
          <t>High</t>
        </is>
      </c>
      <c r="N7" s="11" t="inlineStr">
        <is>
          <t>Amber</t>
        </is>
      </c>
      <c r="O7" s="5" t="inlineStr">
        <is>
          <t>No</t>
        </is>
      </c>
      <c r="P7" s="5" t="inlineStr">
        <is>
          <t>Not Started</t>
        </is>
      </c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Separate primary DACH from secondary Balkan market</t>
        </is>
      </c>
      <c r="X7" s="5" t="inlineStr">
        <is>
          <t>Source 1.1</t>
        </is>
      </c>
    </row>
    <row r="8">
      <c r="A8" s="5" t="inlineStr">
        <is>
          <t>Business Plan Harmonization</t>
        </is>
      </c>
      <c r="B8" s="5" t="inlineStr">
        <is>
          <t>1.1</t>
        </is>
      </c>
      <c r="C8" s="5" t="inlineStr">
        <is>
          <t>1.1-T05</t>
        </is>
      </c>
      <c r="D8" s="5" t="inlineStr">
        <is>
          <t>Build ISO certification roadmap</t>
        </is>
      </c>
      <c r="E8" s="5" t="inlineStr">
        <is>
          <t>Define timing, owners, external support and cost for ISO 9001/14001/45001</t>
        </is>
      </c>
      <c r="F8" s="5" t="inlineStr">
        <is>
          <t>Quality Manager</t>
        </is>
      </c>
      <c r="G8" s="5" t="inlineStr"/>
      <c r="H8" s="5" t="inlineStr">
        <is>
          <t>Certification roadmap</t>
        </is>
      </c>
      <c r="I8" s="5" t="inlineStr">
        <is>
          <t>Plan</t>
        </is>
      </c>
      <c r="J8" s="12" t="n">
        <v>0</v>
      </c>
      <c r="K8" s="5" t="inlineStr">
        <is>
          <t>OPEX</t>
        </is>
      </c>
      <c r="L8" s="5" t="n">
        <v>3</v>
      </c>
      <c r="M8" s="5" t="inlineStr">
        <is>
          <t>Medium</t>
        </is>
      </c>
      <c r="N8" s="11" t="inlineStr">
        <is>
          <t>Amber</t>
        </is>
      </c>
      <c r="O8" s="5" t="inlineStr">
        <is>
          <t>No</t>
        </is>
      </c>
      <c r="P8" s="5" t="inlineStr">
        <is>
          <t>Not Started</t>
        </is>
      </c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Certification required before high-tier tenders</t>
        </is>
      </c>
      <c r="X8" s="5" t="inlineStr">
        <is>
          <t>Source 1.1</t>
        </is>
      </c>
    </row>
    <row r="9">
      <c r="A9" s="5" t="inlineStr">
        <is>
          <t>Business Plan Harmonization</t>
        </is>
      </c>
      <c r="B9" s="5" t="inlineStr">
        <is>
          <t>1.2</t>
        </is>
      </c>
      <c r="C9" s="5" t="inlineStr">
        <is>
          <t>1.2-T01</t>
        </is>
      </c>
      <c r="D9" s="5" t="inlineStr">
        <is>
          <t>Finalize funding structure</t>
        </is>
      </c>
      <c r="E9" s="5" t="inlineStr">
        <is>
          <t>Lock debt / equity / grant / subordinated stack and approvals</t>
        </is>
      </c>
      <c r="F9" s="5" t="inlineStr">
        <is>
          <t>CFO</t>
        </is>
      </c>
      <c r="G9" s="5" t="inlineStr"/>
      <c r="H9" s="5" t="inlineStr">
        <is>
          <t>Signed term sheets</t>
        </is>
      </c>
      <c r="I9" s="5" t="inlineStr">
        <is>
          <t>Funding pack</t>
        </is>
      </c>
      <c r="J9" s="12" t="n">
        <v>0</v>
      </c>
      <c r="K9" s="5" t="inlineStr">
        <is>
          <t>Funding</t>
        </is>
      </c>
      <c r="L9" s="10" t="n">
        <v>5</v>
      </c>
      <c r="M9" s="5" t="inlineStr">
        <is>
          <t>High</t>
        </is>
      </c>
      <c r="N9" s="10" t="inlineStr">
        <is>
          <t>Red</t>
        </is>
      </c>
      <c r="O9" s="10" t="inlineStr">
        <is>
          <t>Yes</t>
        </is>
      </c>
      <c r="P9" s="5" t="inlineStr">
        <is>
          <t>In Progress</t>
        </is>
      </c>
      <c r="Q9" s="5" t="inlineStr"/>
      <c r="R9" s="5" t="inlineStr"/>
      <c r="S9" s="5" t="inlineStr"/>
      <c r="T9" s="5" t="inlineStr"/>
      <c r="U9" s="5" t="inlineStr"/>
      <c r="V9" s="5" t="inlineStr"/>
      <c r="W9" s="5" t="inlineStr">
        <is>
          <t>Confirm sources match total uses exactly</t>
        </is>
      </c>
      <c r="X9" s="5" t="inlineStr">
        <is>
          <t>Source 1.2</t>
        </is>
      </c>
    </row>
    <row r="10">
      <c r="A10" s="5" t="inlineStr">
        <is>
          <t>Business Plan Harmonization</t>
        </is>
      </c>
      <c r="B10" s="5" t="inlineStr">
        <is>
          <t>1.2</t>
        </is>
      </c>
      <c r="C10" s="5" t="inlineStr">
        <is>
          <t>1.2-T02</t>
        </is>
      </c>
      <c r="D10" s="5" t="inlineStr">
        <is>
          <t>Negotiate bank financing</t>
        </is>
      </c>
      <c r="E10" s="5" t="inlineStr">
        <is>
          <t>Advance credit approval and covenant package</t>
        </is>
      </c>
      <c r="F10" s="5" t="inlineStr">
        <is>
          <t>Management / CFO</t>
        </is>
      </c>
      <c r="G10" s="5" t="inlineStr"/>
      <c r="H10" s="5" t="inlineStr">
        <is>
          <t>Bank term sheet</t>
        </is>
      </c>
      <c r="I10" s="5" t="inlineStr">
        <is>
          <t>Loan package</t>
        </is>
      </c>
      <c r="J10" s="12" t="n">
        <v>0</v>
      </c>
      <c r="K10" s="5" t="inlineStr">
        <is>
          <t>Funding</t>
        </is>
      </c>
      <c r="L10" s="10" t="n">
        <v>5</v>
      </c>
      <c r="M10" s="5" t="inlineStr">
        <is>
          <t>High</t>
        </is>
      </c>
      <c r="N10" s="10" t="inlineStr">
        <is>
          <t>Red</t>
        </is>
      </c>
      <c r="O10" s="10" t="inlineStr">
        <is>
          <t>Yes</t>
        </is>
      </c>
      <c r="P10" s="5" t="inlineStr">
        <is>
          <t>In Progress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Need grace period and DSCR-aligned amortization</t>
        </is>
      </c>
      <c r="X10" s="5" t="inlineStr">
        <is>
          <t>Source 1.2</t>
        </is>
      </c>
    </row>
    <row r="11">
      <c r="A11" s="5" t="inlineStr">
        <is>
          <t>Business Plan Harmonization</t>
        </is>
      </c>
      <c r="B11" s="5" t="inlineStr">
        <is>
          <t>1.2</t>
        </is>
      </c>
      <c r="C11" s="5" t="inlineStr">
        <is>
          <t>1.2-T03</t>
        </is>
      </c>
      <c r="D11" s="5" t="inlineStr">
        <is>
          <t>Prepare EU grant applications</t>
        </is>
      </c>
      <c r="E11" s="5" t="inlineStr">
        <is>
          <t>Translate strategic narrative into eligible grant workstreams</t>
        </is>
      </c>
      <c r="F11" s="5" t="inlineStr">
        <is>
          <t>CFO / Consultant</t>
        </is>
      </c>
      <c r="G11" s="5" t="inlineStr"/>
      <c r="H11" s="5" t="inlineStr">
        <is>
          <t>Grant application</t>
        </is>
      </c>
      <c r="I11" s="5" t="inlineStr">
        <is>
          <t>Grant dossier</t>
        </is>
      </c>
      <c r="J11" s="12" t="n">
        <v>0</v>
      </c>
      <c r="K11" s="5" t="inlineStr">
        <is>
          <t>Funding</t>
        </is>
      </c>
      <c r="L11" s="11" t="n">
        <v>4</v>
      </c>
      <c r="M11" s="5" t="inlineStr">
        <is>
          <t>High</t>
        </is>
      </c>
      <c r="N11" s="11" t="inlineStr">
        <is>
          <t>Amber</t>
        </is>
      </c>
      <c r="O11" s="10" t="inlineStr">
        <is>
          <t>Yes</t>
        </is>
      </c>
      <c r="P11" s="5" t="inlineStr">
        <is>
          <t>Not Started</t>
        </is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>
        <is>
          <t>Eligibility and co-financing rules must be evidenced</t>
        </is>
      </c>
      <c r="X11" s="5" t="inlineStr">
        <is>
          <t>Source 1.2</t>
        </is>
      </c>
    </row>
    <row r="12">
      <c r="A12" s="5" t="inlineStr">
        <is>
          <t>Business Plan Harmonization</t>
        </is>
      </c>
      <c r="B12" s="5" t="inlineStr">
        <is>
          <t>1.2</t>
        </is>
      </c>
      <c r="C12" s="5" t="inlineStr">
        <is>
          <t>1.2-T04</t>
        </is>
      </c>
      <c r="D12" s="5" t="inlineStr">
        <is>
          <t>Build working capital model</t>
        </is>
      </c>
      <c r="E12" s="5" t="inlineStr">
        <is>
          <t>Model inventory, receivables and payables for ramp-up period</t>
        </is>
      </c>
      <c r="F12" s="5" t="inlineStr">
        <is>
          <t>CFO</t>
        </is>
      </c>
      <c r="G12" s="5" t="inlineStr"/>
      <c r="H12" s="5" t="inlineStr">
        <is>
          <t>WC model</t>
        </is>
      </c>
      <c r="I12" s="5" t="inlineStr">
        <is>
          <t>Model</t>
        </is>
      </c>
      <c r="J12" s="12" t="n">
        <v>0</v>
      </c>
      <c r="K12" s="5" t="inlineStr">
        <is>
          <t>Working Capital</t>
        </is>
      </c>
      <c r="L12" s="11" t="n">
        <v>4</v>
      </c>
      <c r="M12" s="5" t="inlineStr">
        <is>
          <t>High</t>
        </is>
      </c>
      <c r="N12" s="11" t="inlineStr">
        <is>
          <t>Amber</t>
        </is>
      </c>
      <c r="O12" s="5" t="inlineStr">
        <is>
          <t>No</t>
        </is>
      </c>
      <c r="P12" s="5" t="inlineStr">
        <is>
          <t>Not Started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>
        <is>
          <t>Link DSO 60-90 days to cash need</t>
        </is>
      </c>
      <c r="X12" s="5" t="inlineStr">
        <is>
          <t>Source 1.2</t>
        </is>
      </c>
    </row>
    <row r="13">
      <c r="A13" s="5" t="inlineStr">
        <is>
          <t>Business Plan Harmonization</t>
        </is>
      </c>
      <c r="B13" s="5" t="inlineStr">
        <is>
          <t>1.2</t>
        </is>
      </c>
      <c r="C13" s="5" t="inlineStr">
        <is>
          <t>1.2-T05</t>
        </is>
      </c>
      <c r="D13" s="5" t="inlineStr">
        <is>
          <t>Define contingency draw rules</t>
        </is>
      </c>
      <c r="E13" s="5" t="inlineStr">
        <is>
          <t>Set authority, triggers and documentation for reserve use</t>
        </is>
      </c>
      <c r="F13" s="5" t="inlineStr">
        <is>
          <t>CFO</t>
        </is>
      </c>
      <c r="G13" s="5" t="inlineStr"/>
      <c r="H13" s="5" t="inlineStr">
        <is>
          <t>Contingency policy</t>
        </is>
      </c>
      <c r="I13" s="5" t="inlineStr">
        <is>
          <t>Policy</t>
        </is>
      </c>
      <c r="J13" s="12" t="n">
        <v>0</v>
      </c>
      <c r="K13" s="5" t="inlineStr">
        <is>
          <t>CAPEX</t>
        </is>
      </c>
      <c r="L13" s="5" t="n">
        <v>3</v>
      </c>
      <c r="M13" s="5" t="inlineStr">
        <is>
          <t>Medium</t>
        </is>
      </c>
      <c r="N13" s="11" t="inlineStr">
        <is>
          <t>Amber</t>
        </is>
      </c>
      <c r="O13" s="5" t="inlineStr">
        <is>
          <t>No</t>
        </is>
      </c>
      <c r="P13" s="5" t="inlineStr">
        <is>
          <t>Not Started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Reserve currently only 3.2% of uses</t>
        </is>
      </c>
      <c r="X13" s="5" t="inlineStr">
        <is>
          <t>Source 1.2</t>
        </is>
      </c>
    </row>
    <row r="14">
      <c r="A14" s="5" t="inlineStr">
        <is>
          <t>Business Plan Harmonization</t>
        </is>
      </c>
      <c r="B14" s="5" t="inlineStr">
        <is>
          <t>1.3</t>
        </is>
      </c>
      <c r="C14" s="5" t="inlineStr">
        <is>
          <t>1.3-T01</t>
        </is>
      </c>
      <c r="D14" s="5" t="inlineStr">
        <is>
          <t>Build EU transformer market map</t>
        </is>
      </c>
      <c r="E14" s="5" t="inlineStr">
        <is>
          <t>Quantify gap, demand and target customer clusters</t>
        </is>
      </c>
      <c r="F14" s="5" t="inlineStr">
        <is>
          <t>Sales Director</t>
        </is>
      </c>
      <c r="G14" s="5" t="inlineStr"/>
      <c r="H14" s="5" t="inlineStr">
        <is>
          <t>Market map</t>
        </is>
      </c>
      <c r="I14" s="5" t="inlineStr">
        <is>
          <t>Market study</t>
        </is>
      </c>
      <c r="J14" s="12" t="n">
        <v>0</v>
      </c>
      <c r="K14" s="5" t="inlineStr">
        <is>
          <t>OPEX</t>
        </is>
      </c>
      <c r="L14" s="11" t="n">
        <v>4</v>
      </c>
      <c r="M14" s="5" t="inlineStr">
        <is>
          <t>High</t>
        </is>
      </c>
      <c r="N14" s="11" t="inlineStr">
        <is>
          <t>Amber</t>
        </is>
      </c>
      <c r="O14" s="5" t="inlineStr">
        <is>
          <t>No</t>
        </is>
      </c>
      <c r="P14" s="5" t="inlineStr">
        <is>
          <t>Not Started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Replace narrative with evidence-backed TAM/SAM/SOM</t>
        </is>
      </c>
      <c r="X14" s="5" t="inlineStr">
        <is>
          <t>Source 1.3</t>
        </is>
      </c>
    </row>
    <row r="15">
      <c r="A15" s="5" t="inlineStr">
        <is>
          <t>Business Plan Harmonization</t>
        </is>
      </c>
      <c r="B15" s="5" t="inlineStr">
        <is>
          <t>1.3</t>
        </is>
      </c>
      <c r="C15" s="5" t="inlineStr">
        <is>
          <t>1.3-T02</t>
        </is>
      </c>
      <c r="D15" s="5" t="inlineStr">
        <is>
          <t>Identify OEM target accounts</t>
        </is>
      </c>
      <c r="E15" s="5" t="inlineStr">
        <is>
          <t>Prioritize Siemens/ABB/Schneider/Hitachi and tier-2 OEMs</t>
        </is>
      </c>
      <c r="F15" s="5" t="inlineStr">
        <is>
          <t>Sales Team</t>
        </is>
      </c>
      <c r="G15" s="5" t="inlineStr"/>
      <c r="H15" s="5" t="inlineStr">
        <is>
          <t>Target list</t>
        </is>
      </c>
      <c r="I15" s="5" t="inlineStr">
        <is>
          <t>CRM</t>
        </is>
      </c>
      <c r="J15" s="12" t="n">
        <v>0</v>
      </c>
      <c r="K15" s="5" t="inlineStr">
        <is>
          <t>OPEX</t>
        </is>
      </c>
      <c r="L15" s="11" t="n">
        <v>4</v>
      </c>
      <c r="M15" s="5" t="inlineStr">
        <is>
          <t>High</t>
        </is>
      </c>
      <c r="N15" s="11" t="inlineStr">
        <is>
          <t>Amber</t>
        </is>
      </c>
      <c r="O15" s="5" t="inlineStr">
        <is>
          <t>No</t>
        </is>
      </c>
      <c r="P15" s="5" t="inlineStr">
        <is>
          <t>Not Started</t>
        </is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Separate strategic and transactional accounts</t>
        </is>
      </c>
      <c r="X15" s="5" t="inlineStr">
        <is>
          <t>Source 1.3</t>
        </is>
      </c>
    </row>
    <row r="16">
      <c r="A16" s="5" t="inlineStr">
        <is>
          <t>Business Plan Harmonization</t>
        </is>
      </c>
      <c r="B16" s="5" t="inlineStr">
        <is>
          <t>1.3</t>
        </is>
      </c>
      <c r="C16" s="5" t="inlineStr">
        <is>
          <t>1.3-T03</t>
        </is>
      </c>
      <c r="D16" s="5" t="inlineStr">
        <is>
          <t>Draft steel index-linked pricing policy</t>
        </is>
      </c>
      <c r="E16" s="5" t="inlineStr">
        <is>
          <t>Translate CRU/HRC logic into contract clauses</t>
        </is>
      </c>
      <c r="F16" s="5" t="inlineStr">
        <is>
          <t>CFO / Sales</t>
        </is>
      </c>
      <c r="G16" s="5" t="inlineStr"/>
      <c r="H16" s="5" t="inlineStr">
        <is>
          <t>Pricing template</t>
        </is>
      </c>
      <c r="I16" s="5" t="inlineStr">
        <is>
          <t>Contract template</t>
        </is>
      </c>
      <c r="J16" s="12" t="n">
        <v>0</v>
      </c>
      <c r="K16" s="5" t="inlineStr">
        <is>
          <t>COGS</t>
        </is>
      </c>
      <c r="L16" s="10" t="n">
        <v>5</v>
      </c>
      <c r="M16" s="5" t="inlineStr">
        <is>
          <t>High</t>
        </is>
      </c>
      <c r="N16" s="10" t="inlineStr">
        <is>
          <t>Red</t>
        </is>
      </c>
      <c r="O16" s="5" t="inlineStr">
        <is>
          <t>No</t>
        </is>
      </c>
      <c r="P16" s="5" t="inlineStr">
        <is>
          <t>Not Started</t>
        </is>
      </c>
      <c r="Q16" s="5" t="inlineStr"/>
      <c r="R16" s="5" t="inlineStr"/>
      <c r="S16" s="5" t="inlineStr"/>
      <c r="T16" s="5" t="inlineStr"/>
      <c r="U16" s="5" t="inlineStr"/>
      <c r="V16" s="5" t="inlineStr"/>
      <c r="W16" s="5" t="inlineStr">
        <is>
          <t>Avoid unsupported 'margin protected' claims without test cases</t>
        </is>
      </c>
      <c r="X16" s="5" t="inlineStr">
        <is>
          <t>Source 1.3</t>
        </is>
      </c>
    </row>
    <row r="17">
      <c r="A17" s="5" t="inlineStr">
        <is>
          <t>Business Plan Harmonization</t>
        </is>
      </c>
      <c r="B17" s="5" t="inlineStr">
        <is>
          <t>1.3</t>
        </is>
      </c>
      <c r="C17" s="5" t="inlineStr">
        <is>
          <t>1.3-T04</t>
        </is>
      </c>
      <c r="D17" s="5" t="inlineStr">
        <is>
          <t>Prepare EN 1090 qualification path</t>
        </is>
      </c>
      <c r="E17" s="5" t="inlineStr">
        <is>
          <t>Map requirements for weld and structural compliance</t>
        </is>
      </c>
      <c r="F17" s="5" t="inlineStr">
        <is>
          <t>Quality Manager</t>
        </is>
      </c>
      <c r="G17" s="5" t="inlineStr"/>
      <c r="H17" s="5" t="inlineStr">
        <is>
          <t>Compliance checklist</t>
        </is>
      </c>
      <c r="I17" s="5" t="inlineStr">
        <is>
          <t>Plan</t>
        </is>
      </c>
      <c r="J17" s="12" t="n">
        <v>0</v>
      </c>
      <c r="K17" s="5" t="inlineStr">
        <is>
          <t>OPEX</t>
        </is>
      </c>
      <c r="L17" s="11" t="n">
        <v>4</v>
      </c>
      <c r="M17" s="5" t="inlineStr">
        <is>
          <t>High</t>
        </is>
      </c>
      <c r="N17" s="11" t="inlineStr">
        <is>
          <t>Amber</t>
        </is>
      </c>
      <c r="O17" s="5" t="inlineStr">
        <is>
          <t>No</t>
        </is>
      </c>
      <c r="P17" s="5" t="inlineStr">
        <is>
          <t>Not Started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Mandatory for tender credibility</t>
        </is>
      </c>
      <c r="X17" s="5" t="inlineStr">
        <is>
          <t>Source 1.3</t>
        </is>
      </c>
    </row>
    <row r="18">
      <c r="A18" s="5" t="inlineStr">
        <is>
          <t>Business Plan Harmonization</t>
        </is>
      </c>
      <c r="B18" s="5" t="inlineStr">
        <is>
          <t>1.3</t>
        </is>
      </c>
      <c r="C18" s="5" t="inlineStr">
        <is>
          <t>1.3-T05</t>
        </is>
      </c>
      <c r="D18" s="5" t="inlineStr">
        <is>
          <t>Set steel price monitoring process</t>
        </is>
      </c>
      <c r="E18" s="5" t="inlineStr">
        <is>
          <t>Create CRU/HRC watchlist and review cadence</t>
        </is>
      </c>
      <c r="F18" s="5" t="inlineStr">
        <is>
          <t>Procurement</t>
        </is>
      </c>
      <c r="G18" s="5" t="inlineStr"/>
      <c r="H18" s="5" t="inlineStr">
        <is>
          <t>Index log</t>
        </is>
      </c>
      <c r="I18" s="5" t="inlineStr">
        <is>
          <t>Procedure</t>
        </is>
      </c>
      <c r="J18" s="12" t="n">
        <v>0</v>
      </c>
      <c r="K18" s="5" t="inlineStr">
        <is>
          <t>COGS</t>
        </is>
      </c>
      <c r="L18" s="5" t="n">
        <v>3</v>
      </c>
      <c r="M18" s="5" t="inlineStr">
        <is>
          <t>Medium</t>
        </is>
      </c>
      <c r="N18" s="11" t="inlineStr">
        <is>
          <t>Amber</t>
        </is>
      </c>
      <c r="O18" s="5" t="inlineStr">
        <is>
          <t>No</t>
        </is>
      </c>
      <c r="P18" s="5" t="inlineStr">
        <is>
          <t>Not Started</t>
        </is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Need nominated data source and approval rules</t>
        </is>
      </c>
      <c r="X18" s="5" t="inlineStr">
        <is>
          <t>Source 1.3</t>
        </is>
      </c>
    </row>
    <row r="19">
      <c r="A19" s="5" t="inlineStr">
        <is>
          <t>Business Plan Harmonization</t>
        </is>
      </c>
      <c r="B19" s="5" t="inlineStr">
        <is>
          <t>1.4</t>
        </is>
      </c>
      <c r="C19" s="5" t="inlineStr">
        <is>
          <t>1.4-T01</t>
        </is>
      </c>
      <c r="D19" s="5" t="inlineStr">
        <is>
          <t>Finalize 2026-2029 integrated model</t>
        </is>
      </c>
      <c r="E19" s="5" t="inlineStr">
        <is>
          <t>Reconcile revenue, EBITDA, debt service and cash flow assumptions</t>
        </is>
      </c>
      <c r="F19" s="5" t="inlineStr">
        <is>
          <t>CFO</t>
        </is>
      </c>
      <c r="G19" s="5" t="inlineStr"/>
      <c r="H19" s="5" t="inlineStr">
        <is>
          <t>Integrated model</t>
        </is>
      </c>
      <c r="I19" s="5" t="inlineStr">
        <is>
          <t>Financial model</t>
        </is>
      </c>
      <c r="J19" s="12" t="n">
        <v>0</v>
      </c>
      <c r="K19" s="5" t="inlineStr">
        <is>
          <t>Financial model</t>
        </is>
      </c>
      <c r="L19" s="10" t="n">
        <v>5</v>
      </c>
      <c r="M19" s="5" t="inlineStr">
        <is>
          <t>High</t>
        </is>
      </c>
      <c r="N19" s="10" t="inlineStr">
        <is>
          <t>Red</t>
        </is>
      </c>
      <c r="O19" s="10" t="inlineStr">
        <is>
          <t>Yes</t>
        </is>
      </c>
      <c r="P19" s="5" t="inlineStr">
        <is>
          <t>In Progress</t>
        </is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Current narrative needs full support schedule by year/month</t>
        </is>
      </c>
      <c r="X19" s="5" t="inlineStr">
        <is>
          <t>Source 1.4</t>
        </is>
      </c>
    </row>
    <row r="20">
      <c r="A20" s="5" t="inlineStr">
        <is>
          <t>Business Plan Harmonization</t>
        </is>
      </c>
      <c r="B20" s="5" t="inlineStr">
        <is>
          <t>1.4</t>
        </is>
      </c>
      <c r="C20" s="5" t="inlineStr">
        <is>
          <t>1.4-T02</t>
        </is>
      </c>
      <c r="D20" s="5" t="inlineStr">
        <is>
          <t>Prepare DSCR covenant model</t>
        </is>
      </c>
      <c r="E20" s="5" t="inlineStr">
        <is>
          <t>Calculate DSCR under base and downside cases</t>
        </is>
      </c>
      <c r="F20" s="5" t="inlineStr">
        <is>
          <t>CFO</t>
        </is>
      </c>
      <c r="G20" s="5" t="inlineStr"/>
      <c r="H20" s="5" t="inlineStr">
        <is>
          <t>DSCR schedule</t>
        </is>
      </c>
      <c r="I20" s="5" t="inlineStr">
        <is>
          <t>Debt model</t>
        </is>
      </c>
      <c r="J20" s="12" t="n">
        <v>0</v>
      </c>
      <c r="K20" s="5" t="inlineStr">
        <is>
          <t>Debt</t>
        </is>
      </c>
      <c r="L20" s="10" t="n">
        <v>5</v>
      </c>
      <c r="M20" s="5" t="inlineStr">
        <is>
          <t>High</t>
        </is>
      </c>
      <c r="N20" s="10" t="inlineStr">
        <is>
          <t>Red</t>
        </is>
      </c>
      <c r="O20" s="10" t="inlineStr">
        <is>
          <t>Yes</t>
        </is>
      </c>
      <c r="P20" s="5" t="inlineStr">
        <is>
          <t>In Progress</t>
        </is>
      </c>
      <c r="Q20" s="5" t="inlineStr"/>
      <c r="R20" s="5" t="inlineStr"/>
      <c r="S20" s="5" t="inlineStr"/>
      <c r="T20" s="5" t="inlineStr"/>
      <c r="U20" s="5" t="inlineStr"/>
      <c r="V20" s="5" t="inlineStr"/>
      <c r="W20" s="5" t="inlineStr">
        <is>
          <t>Y2/Y3 threshold timing inconsistent across chapters</t>
        </is>
      </c>
      <c r="X20" s="5" t="inlineStr">
        <is>
          <t>Source 1.4</t>
        </is>
      </c>
    </row>
    <row r="21">
      <c r="A21" s="5" t="inlineStr">
        <is>
          <t>Business Plan Harmonization</t>
        </is>
      </c>
      <c r="B21" s="5" t="inlineStr">
        <is>
          <t>1.4</t>
        </is>
      </c>
      <c r="C21" s="5" t="inlineStr">
        <is>
          <t>1.4-T03</t>
        </is>
      </c>
      <c r="D21" s="5" t="inlineStr">
        <is>
          <t>Build NPV / IRR / payback file</t>
        </is>
      </c>
      <c r="E21" s="5" t="inlineStr">
        <is>
          <t>Support return claims with model outputs and assumptions</t>
        </is>
      </c>
      <c r="F21" s="5" t="inlineStr">
        <is>
          <t>CFO</t>
        </is>
      </c>
      <c r="G21" s="5" t="inlineStr"/>
      <c r="H21" s="5" t="inlineStr">
        <is>
          <t>Valuation model</t>
        </is>
      </c>
      <c r="I21" s="5" t="inlineStr">
        <is>
          <t>Model</t>
        </is>
      </c>
      <c r="J21" s="12" t="n">
        <v>0</v>
      </c>
      <c r="K21" s="5" t="inlineStr">
        <is>
          <t>Valuation</t>
        </is>
      </c>
      <c r="L21" s="10" t="n">
        <v>5</v>
      </c>
      <c r="M21" s="5" t="inlineStr">
        <is>
          <t>High</t>
        </is>
      </c>
      <c r="N21" s="10" t="inlineStr">
        <is>
          <t>Red</t>
        </is>
      </c>
      <c r="O21" s="10" t="inlineStr">
        <is>
          <t>Yes</t>
        </is>
      </c>
      <c r="P21" s="5" t="inlineStr">
        <is>
          <t>Not Started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>
        <is>
          <t>Payback wording must align with operating vs calendar years</t>
        </is>
      </c>
      <c r="X21" s="5" t="inlineStr">
        <is>
          <t>Source 1.4</t>
        </is>
      </c>
    </row>
    <row r="22">
      <c r="A22" s="5" t="inlineStr">
        <is>
          <t>Business Plan Harmonization</t>
        </is>
      </c>
      <c r="B22" s="5" t="inlineStr">
        <is>
          <t>1.4</t>
        </is>
      </c>
      <c r="C22" s="5" t="inlineStr">
        <is>
          <t>1.4-T04</t>
        </is>
      </c>
      <c r="D22" s="5" t="inlineStr">
        <is>
          <t>Lock utilization ramp assumptions</t>
        </is>
      </c>
      <c r="E22" s="5" t="inlineStr">
        <is>
          <t>Translate 40/75/90/95% into tonnage and staffing requirements</t>
        </is>
      </c>
      <c r="F22" s="5" t="inlineStr">
        <is>
          <t>Operations</t>
        </is>
      </c>
      <c r="G22" s="5" t="inlineStr"/>
      <c r="H22" s="5" t="inlineStr">
        <is>
          <t>Operations plan</t>
        </is>
      </c>
      <c r="I22" s="5" t="inlineStr">
        <is>
          <t>Operations model</t>
        </is>
      </c>
      <c r="J22" s="12" t="n">
        <v>0</v>
      </c>
      <c r="K22" s="5" t="inlineStr">
        <is>
          <t>OPEX/COGS</t>
        </is>
      </c>
      <c r="L22" s="11" t="n">
        <v>4</v>
      </c>
      <c r="M22" s="5" t="inlineStr">
        <is>
          <t>High</t>
        </is>
      </c>
      <c r="N22" s="11" t="inlineStr">
        <is>
          <t>Amber</t>
        </is>
      </c>
      <c r="O22" s="5" t="inlineStr">
        <is>
          <t>No</t>
        </is>
      </c>
      <c r="P22" s="5" t="inlineStr">
        <is>
          <t>Not Started</t>
        </is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>
        <is>
          <t>Model should reconcile with 10,000 t capacity</t>
        </is>
      </c>
      <c r="X22" s="5" t="inlineStr">
        <is>
          <t>Source 1.4</t>
        </is>
      </c>
    </row>
    <row r="23">
      <c r="A23" s="5" t="inlineStr">
        <is>
          <t>Business Plan Harmonization</t>
        </is>
      </c>
      <c r="B23" s="5" t="inlineStr">
        <is>
          <t>1.4</t>
        </is>
      </c>
      <c r="C23" s="5" t="inlineStr">
        <is>
          <t>1.4-T05</t>
        </is>
      </c>
      <c r="D23" s="5" t="inlineStr">
        <is>
          <t>Run downside sensitivity tests</t>
        </is>
      </c>
      <c r="E23" s="5" t="inlineStr">
        <is>
          <t>Test -15% price, +10% steel, volume shortfall, delay and grant shortfall</t>
        </is>
      </c>
      <c r="F23" s="5" t="inlineStr">
        <is>
          <t>CFO</t>
        </is>
      </c>
      <c r="G23" s="5" t="inlineStr"/>
      <c r="H23" s="5" t="inlineStr">
        <is>
          <t>Sensitivity pack</t>
        </is>
      </c>
      <c r="I23" s="5" t="inlineStr">
        <is>
          <t>Model</t>
        </is>
      </c>
      <c r="J23" s="12" t="n">
        <v>0</v>
      </c>
      <c r="K23" s="5" t="inlineStr">
        <is>
          <t>Risk</t>
        </is>
      </c>
      <c r="L23" s="10" t="n">
        <v>5</v>
      </c>
      <c r="M23" s="5" t="inlineStr">
        <is>
          <t>High</t>
        </is>
      </c>
      <c r="N23" s="10" t="inlineStr">
        <is>
          <t>Red</t>
        </is>
      </c>
      <c r="O23" s="5" t="inlineStr">
        <is>
          <t>No</t>
        </is>
      </c>
      <c r="P23" s="5" t="inlineStr">
        <is>
          <t>Not Started</t>
        </is>
      </c>
      <c r="Q23" s="5" t="inlineStr"/>
      <c r="R23" s="5" t="inlineStr"/>
      <c r="S23" s="5" t="inlineStr"/>
      <c r="T23" s="5" t="inlineStr"/>
      <c r="U23" s="5" t="inlineStr"/>
      <c r="V23" s="5" t="inlineStr"/>
      <c r="W23" s="5" t="inlineStr">
        <is>
          <t>Current downside cases too narrow for bank-grade stress</t>
        </is>
      </c>
      <c r="X23" s="5" t="inlineStr">
        <is>
          <t>Source 1.4</t>
        </is>
      </c>
    </row>
    <row r="24">
      <c r="A24" s="5" t="inlineStr">
        <is>
          <t>Business Plan Harmonization</t>
        </is>
      </c>
      <c r="B24" s="5" t="inlineStr">
        <is>
          <t>1.5</t>
        </is>
      </c>
      <c r="C24" s="5" t="inlineStr">
        <is>
          <t>1.5-T01</t>
        </is>
      </c>
      <c r="D24" s="5" t="inlineStr">
        <is>
          <t>Prepare EU policy alignment matrix</t>
        </is>
      </c>
      <c r="E24" s="5" t="inlineStr">
        <is>
          <t>Map each claim to legal / policy source and project feature</t>
        </is>
      </c>
      <c r="F24" s="5" t="inlineStr">
        <is>
          <t>CFO / Consultant</t>
        </is>
      </c>
      <c r="G24" s="5" t="inlineStr"/>
      <c r="H24" s="5" t="inlineStr">
        <is>
          <t>Policy matrix</t>
        </is>
      </c>
      <c r="I24" s="5" t="inlineStr">
        <is>
          <t>Matrix</t>
        </is>
      </c>
      <c r="J24" s="12" t="n">
        <v>0</v>
      </c>
      <c r="K24" s="5" t="inlineStr">
        <is>
          <t>Grant</t>
        </is>
      </c>
      <c r="L24" s="10" t="n">
        <v>5</v>
      </c>
      <c r="M24" s="5" t="inlineStr">
        <is>
          <t>High</t>
        </is>
      </c>
      <c r="N24" s="10" t="inlineStr">
        <is>
          <t>Red</t>
        </is>
      </c>
      <c r="O24" s="10" t="inlineStr">
        <is>
          <t>Yes</t>
        </is>
      </c>
      <c r="P24" s="5" t="inlineStr">
        <is>
          <t>Not Started</t>
        </is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>
        <is>
          <t>Current draft contains uncited policy references</t>
        </is>
      </c>
      <c r="X24" s="5" t="inlineStr">
        <is>
          <t>Source 1.5</t>
        </is>
      </c>
    </row>
    <row r="25">
      <c r="A25" s="5" t="inlineStr">
        <is>
          <t>Business Plan Harmonization</t>
        </is>
      </c>
      <c r="B25" s="5" t="inlineStr">
        <is>
          <t>1.5</t>
        </is>
      </c>
      <c r="C25" s="5" t="inlineStr">
        <is>
          <t>1.5-T02</t>
        </is>
      </c>
      <c r="D25" s="5" t="inlineStr">
        <is>
          <t>Draft ESG and decarbonization strategy</t>
        </is>
      </c>
      <c r="E25" s="5" t="inlineStr">
        <is>
          <t>Quantify emissions, solar benefits and taxonomy logic</t>
        </is>
      </c>
      <c r="F25" s="5" t="inlineStr">
        <is>
          <t>ESG Manager</t>
        </is>
      </c>
      <c r="G25" s="5" t="inlineStr"/>
      <c r="H25" s="5" t="inlineStr">
        <is>
          <t>ESG plan</t>
        </is>
      </c>
      <c r="I25" s="5" t="inlineStr">
        <is>
          <t>Strategy</t>
        </is>
      </c>
      <c r="J25" s="12" t="n">
        <v>0</v>
      </c>
      <c r="K25" s="5" t="inlineStr">
        <is>
          <t>ESG</t>
        </is>
      </c>
      <c r="L25" s="11" t="n">
        <v>4</v>
      </c>
      <c r="M25" s="5" t="inlineStr">
        <is>
          <t>High</t>
        </is>
      </c>
      <c r="N25" s="11" t="inlineStr">
        <is>
          <t>Amber</t>
        </is>
      </c>
      <c r="O25" s="5" t="inlineStr">
        <is>
          <t>No</t>
        </is>
      </c>
      <c r="P25" s="5" t="inlineStr">
        <is>
          <t>Not Started</t>
        </is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>
        <is>
          <t>Replace general ESG claims with measurable KPIs</t>
        </is>
      </c>
      <c r="X25" s="5" t="inlineStr">
        <is>
          <t>Source 1.5</t>
        </is>
      </c>
    </row>
    <row r="26">
      <c r="A26" s="5" t="inlineStr">
        <is>
          <t>Business Plan Harmonization</t>
        </is>
      </c>
      <c r="B26" s="5" t="inlineStr">
        <is>
          <t>1.5</t>
        </is>
      </c>
      <c r="C26" s="5" t="inlineStr">
        <is>
          <t>1.5-T03</t>
        </is>
      </c>
      <c r="D26" s="5" t="inlineStr">
        <is>
          <t>Map local supplier development program</t>
        </is>
      </c>
      <c r="E26" s="5" t="inlineStr">
        <is>
          <t>Define onboarding criteria for 30-40 suppliers</t>
        </is>
      </c>
      <c r="F26" s="5" t="inlineStr">
        <is>
          <t>Procurement</t>
        </is>
      </c>
      <c r="G26" s="5" t="inlineStr"/>
      <c r="H26" s="5" t="inlineStr">
        <is>
          <t>Supplier program</t>
        </is>
      </c>
      <c r="I26" s="5" t="inlineStr">
        <is>
          <t>Plan</t>
        </is>
      </c>
      <c r="J26" s="12" t="n">
        <v>0</v>
      </c>
      <c r="K26" s="5" t="inlineStr">
        <is>
          <t>COGS/OPEX</t>
        </is>
      </c>
      <c r="L26" s="5" t="n">
        <v>3</v>
      </c>
      <c r="M26" s="5" t="inlineStr">
        <is>
          <t>Medium</t>
        </is>
      </c>
      <c r="N26" s="11" t="inlineStr">
        <is>
          <t>Amber</t>
        </is>
      </c>
      <c r="O26" s="5" t="inlineStr">
        <is>
          <t>No</t>
        </is>
      </c>
      <c r="P26" s="5" t="inlineStr">
        <is>
          <t>Not Started</t>
        </is>
      </c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Need realistic local capability mapping</t>
        </is>
      </c>
      <c r="X26" s="5" t="inlineStr">
        <is>
          <t>Source 1.5</t>
        </is>
      </c>
    </row>
    <row r="27">
      <c r="A27" s="5" t="inlineStr">
        <is>
          <t>Business Plan Harmonization</t>
        </is>
      </c>
      <c r="B27" s="5" t="inlineStr">
        <is>
          <t>1.5</t>
        </is>
      </c>
      <c r="C27" s="5" t="inlineStr">
        <is>
          <t>1.5-T04</t>
        </is>
      </c>
      <c r="D27" s="5" t="inlineStr">
        <is>
          <t>Define education center concept</t>
        </is>
      </c>
      <c r="E27" s="5" t="inlineStr">
        <is>
          <t>Specify curriculum, partners, capex and opex</t>
        </is>
      </c>
      <c r="F27" s="5" t="inlineStr">
        <is>
          <t>HR Manager</t>
        </is>
      </c>
      <c r="G27" s="5" t="inlineStr"/>
      <c r="H27" s="5" t="inlineStr">
        <is>
          <t>Training concept</t>
        </is>
      </c>
      <c r="I27" s="5" t="inlineStr">
        <is>
          <t>Concept note</t>
        </is>
      </c>
      <c r="J27" s="12" t="n">
        <v>0</v>
      </c>
      <c r="K27" s="5" t="inlineStr">
        <is>
          <t>CAPEX/OPEX</t>
        </is>
      </c>
      <c r="L27" s="5" t="n">
        <v>3</v>
      </c>
      <c r="M27" s="5" t="inlineStr">
        <is>
          <t>Medium</t>
        </is>
      </c>
      <c r="N27" s="11" t="inlineStr">
        <is>
          <t>Amber</t>
        </is>
      </c>
      <c r="O27" s="5" t="inlineStr">
        <is>
          <t>No</t>
        </is>
      </c>
      <c r="P27" s="5" t="inlineStr">
        <is>
          <t>Not Started</t>
        </is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Training center currently a concept only</t>
        </is>
      </c>
      <c r="X27" s="5" t="inlineStr">
        <is>
          <t>Source 1.5</t>
        </is>
      </c>
    </row>
    <row r="28">
      <c r="A28" s="5" t="inlineStr">
        <is>
          <t>Business Plan Harmonization</t>
        </is>
      </c>
      <c r="B28" s="5" t="inlineStr">
        <is>
          <t>1.5</t>
        </is>
      </c>
      <c r="C28" s="5" t="inlineStr">
        <is>
          <t>1.5-T05</t>
        </is>
      </c>
      <c r="D28" s="5" t="inlineStr">
        <is>
          <t>Build national impact case for government</t>
        </is>
      </c>
      <c r="E28" s="5" t="inlineStr">
        <is>
          <t>Translate jobs/suppliers/exports into ministerial talking points</t>
        </is>
      </c>
      <c r="F28" s="5" t="inlineStr">
        <is>
          <t>Management</t>
        </is>
      </c>
      <c r="G28" s="5" t="inlineStr"/>
      <c r="H28" s="5" t="inlineStr">
        <is>
          <t>Impact memo</t>
        </is>
      </c>
      <c r="I28" s="5" t="inlineStr">
        <is>
          <t>Memo</t>
        </is>
      </c>
      <c r="J28" s="12" t="n">
        <v>0</v>
      </c>
      <c r="K28" s="5" t="inlineStr">
        <is>
          <t>None</t>
        </is>
      </c>
      <c r="L28" s="11" t="n">
        <v>4</v>
      </c>
      <c r="M28" s="5" t="inlineStr">
        <is>
          <t>High</t>
        </is>
      </c>
      <c r="N28" s="11" t="inlineStr">
        <is>
          <t>Amber</t>
        </is>
      </c>
      <c r="O28" s="5" t="inlineStr">
        <is>
          <t>No</t>
        </is>
      </c>
      <c r="P28" s="5" t="inlineStr">
        <is>
          <t>Not Started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>
        <is>
          <t>Use verified macro assumptions only</t>
        </is>
      </c>
      <c r="X28" s="5" t="inlineStr">
        <is>
          <t>Source 1.5</t>
        </is>
      </c>
    </row>
    <row r="29">
      <c r="A29" s="5" t="inlineStr">
        <is>
          <t>Business Plan Harmonization</t>
        </is>
      </c>
      <c r="B29" s="5" t="inlineStr">
        <is>
          <t>2.1</t>
        </is>
      </c>
      <c r="C29" s="5" t="inlineStr">
        <is>
          <t>2.1-T01</t>
        </is>
      </c>
      <c r="D29" s="5" t="inlineStr">
        <is>
          <t>Write industrial impact analysis</t>
        </is>
      </c>
      <c r="E29" s="5" t="inlineStr">
        <is>
          <t>Back structural diversification claims with CG macro data</t>
        </is>
      </c>
      <c r="F29" s="5" t="inlineStr">
        <is>
          <t>CFO</t>
        </is>
      </c>
      <c r="G29" s="5" t="inlineStr"/>
      <c r="H29" s="5" t="inlineStr">
        <is>
          <t>Industrial impact report</t>
        </is>
      </c>
      <c r="I29" s="5" t="inlineStr">
        <is>
          <t>Report</t>
        </is>
      </c>
      <c r="J29" s="12" t="n">
        <v>0</v>
      </c>
      <c r="K29" s="5" t="inlineStr">
        <is>
          <t>None</t>
        </is>
      </c>
      <c r="L29" s="10" t="n">
        <v>5</v>
      </c>
      <c r="M29" s="5" t="inlineStr">
        <is>
          <t>High</t>
        </is>
      </c>
      <c r="N29" s="10" t="inlineStr">
        <is>
          <t>Red</t>
        </is>
      </c>
      <c r="O29" s="5" t="inlineStr">
        <is>
          <t>No</t>
        </is>
      </c>
      <c r="P29" s="5" t="inlineStr">
        <is>
          <t>Not Started</t>
        </is>
      </c>
      <c r="Q29" s="5" t="inlineStr"/>
      <c r="R29" s="5" t="inlineStr"/>
      <c r="S29" s="5" t="inlineStr"/>
      <c r="T29" s="5" t="inlineStr"/>
      <c r="U29" s="5" t="inlineStr"/>
      <c r="V29" s="5" t="inlineStr"/>
      <c r="W29" s="5" t="inlineStr">
        <is>
          <t>Tourism / manufacturing GDP shares need source and consistency</t>
        </is>
      </c>
      <c r="X29" s="5" t="inlineStr">
        <is>
          <t>Source 2.1</t>
        </is>
      </c>
    </row>
    <row r="30">
      <c r="A30" s="5" t="inlineStr">
        <is>
          <t>Business Plan Harmonization</t>
        </is>
      </c>
      <c r="B30" s="5" t="inlineStr">
        <is>
          <t>2.1</t>
        </is>
      </c>
      <c r="C30" s="5" t="inlineStr">
        <is>
          <t>2.1-T02</t>
        </is>
      </c>
      <c r="D30" s="5" t="inlineStr">
        <is>
          <t>Map domestic supplier base</t>
        </is>
      </c>
      <c r="E30" s="5" t="inlineStr">
        <is>
          <t>Identify realistic local subcontractor capabilities</t>
        </is>
      </c>
      <c r="F30" s="5" t="inlineStr">
        <is>
          <t>Procurement</t>
        </is>
      </c>
      <c r="G30" s="5" t="inlineStr"/>
      <c r="H30" s="5" t="inlineStr">
        <is>
          <t>Supplier mapping</t>
        </is>
      </c>
      <c r="I30" s="5" t="inlineStr">
        <is>
          <t>Database</t>
        </is>
      </c>
      <c r="J30" s="12" t="n">
        <v>0</v>
      </c>
      <c r="K30" s="5" t="inlineStr">
        <is>
          <t>COGS</t>
        </is>
      </c>
      <c r="L30" s="5" t="n">
        <v>3</v>
      </c>
      <c r="M30" s="5" t="inlineStr">
        <is>
          <t>Medium</t>
        </is>
      </c>
      <c r="N30" s="11" t="inlineStr">
        <is>
          <t>Amber</t>
        </is>
      </c>
      <c r="O30" s="5" t="inlineStr">
        <is>
          <t>No</t>
        </is>
      </c>
      <c r="P30" s="5" t="inlineStr">
        <is>
          <t>Not Started</t>
        </is>
      </c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Avoid counting suppliers with no technical fit</t>
        </is>
      </c>
      <c r="X30" s="5" t="inlineStr">
        <is>
          <t>Source 2.1</t>
        </is>
      </c>
    </row>
    <row r="31">
      <c r="A31" s="5" t="inlineStr">
        <is>
          <t>Business Plan Harmonization</t>
        </is>
      </c>
      <c r="B31" s="5" t="inlineStr">
        <is>
          <t>2.1</t>
        </is>
      </c>
      <c r="C31" s="5" t="inlineStr">
        <is>
          <t>2.1-T03</t>
        </is>
      </c>
      <c r="D31" s="5" t="inlineStr">
        <is>
          <t>Establish university / school partnerships</t>
        </is>
      </c>
      <c r="E31" s="5" t="inlineStr">
        <is>
          <t>Define cooperation with UCG and technical schools</t>
        </is>
      </c>
      <c r="F31" s="5" t="inlineStr">
        <is>
          <t>HR / Management</t>
        </is>
      </c>
      <c r="G31" s="5" t="inlineStr"/>
      <c r="H31" s="5" t="inlineStr">
        <is>
          <t>MoU drafts</t>
        </is>
      </c>
      <c r="I31" s="5" t="inlineStr">
        <is>
          <t>MoU</t>
        </is>
      </c>
      <c r="J31" s="12" t="n">
        <v>0</v>
      </c>
      <c r="K31" s="5" t="inlineStr">
        <is>
          <t>OPEX</t>
        </is>
      </c>
      <c r="L31" s="5" t="n">
        <v>3</v>
      </c>
      <c r="M31" s="5" t="inlineStr">
        <is>
          <t>Medium</t>
        </is>
      </c>
      <c r="N31" s="11" t="inlineStr">
        <is>
          <t>Amber</t>
        </is>
      </c>
      <c r="O31" s="5" t="inlineStr">
        <is>
          <t>No</t>
        </is>
      </c>
      <c r="P31" s="5" t="inlineStr">
        <is>
          <t>Not Started</t>
        </is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Need partner commitment evidence</t>
        </is>
      </c>
      <c r="X31" s="5" t="inlineStr">
        <is>
          <t>Source 2.1</t>
        </is>
      </c>
    </row>
    <row r="32">
      <c r="A32" s="5" t="inlineStr">
        <is>
          <t>Business Plan Harmonization</t>
        </is>
      </c>
      <c r="B32" s="5" t="inlineStr">
        <is>
          <t>2.1</t>
        </is>
      </c>
      <c r="C32" s="5" t="inlineStr">
        <is>
          <t>2.1-T04</t>
        </is>
      </c>
      <c r="D32" s="5" t="inlineStr">
        <is>
          <t>Draft Industry 4.0 roadmap</t>
        </is>
      </c>
      <c r="E32" s="5" t="inlineStr">
        <is>
          <t>Translate spillover claims into equipment / process roadmap</t>
        </is>
      </c>
      <c r="F32" s="5" t="inlineStr">
        <is>
          <t>Technical Director</t>
        </is>
      </c>
      <c r="G32" s="5" t="inlineStr"/>
      <c r="H32" s="5" t="inlineStr">
        <is>
          <t>Roadmap</t>
        </is>
      </c>
      <c r="I32" s="5" t="inlineStr">
        <is>
          <t>Roadmap</t>
        </is>
      </c>
      <c r="J32" s="12" t="n">
        <v>0</v>
      </c>
      <c r="K32" s="5" t="inlineStr">
        <is>
          <t>CAPEX</t>
        </is>
      </c>
      <c r="L32" s="11" t="n">
        <v>4</v>
      </c>
      <c r="M32" s="5" t="inlineStr">
        <is>
          <t>High</t>
        </is>
      </c>
      <c r="N32" s="11" t="inlineStr">
        <is>
          <t>Amber</t>
        </is>
      </c>
      <c r="O32" s="5" t="inlineStr">
        <is>
          <t>No</t>
        </is>
      </c>
      <c r="P32" s="5" t="inlineStr">
        <is>
          <t>Not Started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>
        <is>
          <t>Spillover should be tied to training and supplier interfaces</t>
        </is>
      </c>
      <c r="X32" s="5" t="inlineStr">
        <is>
          <t>Source 2.1</t>
        </is>
      </c>
    </row>
    <row r="33">
      <c r="A33" s="5" t="inlineStr">
        <is>
          <t>Business Plan Harmonization</t>
        </is>
      </c>
      <c r="B33" s="5" t="inlineStr">
        <is>
          <t>2.1</t>
        </is>
      </c>
      <c r="C33" s="5" t="inlineStr">
        <is>
          <t>2.1-T05</t>
        </is>
      </c>
      <c r="D33" s="5" t="inlineStr">
        <is>
          <t>Quantify fiscal contribution</t>
        </is>
      </c>
      <c r="E33" s="5" t="inlineStr">
        <is>
          <t>Model VAT/CIT/payroll and net budget effect</t>
        </is>
      </c>
      <c r="F33" s="5" t="inlineStr">
        <is>
          <t>CFO</t>
        </is>
      </c>
      <c r="G33" s="5" t="inlineStr"/>
      <c r="H33" s="5" t="inlineStr">
        <is>
          <t>Fiscal model</t>
        </is>
      </c>
      <c r="I33" s="5" t="inlineStr">
        <is>
          <t>Model</t>
        </is>
      </c>
      <c r="J33" s="12" t="n">
        <v>0</v>
      </c>
      <c r="K33" s="5" t="inlineStr">
        <is>
          <t>Tax</t>
        </is>
      </c>
      <c r="L33" s="11" t="n">
        <v>4</v>
      </c>
      <c r="M33" s="5" t="inlineStr">
        <is>
          <t>High</t>
        </is>
      </c>
      <c r="N33" s="11" t="inlineStr">
        <is>
          <t>Amber</t>
        </is>
      </c>
      <c r="O33" s="5" t="inlineStr">
        <is>
          <t>No</t>
        </is>
      </c>
      <c r="P33" s="5" t="inlineStr">
        <is>
          <t>Not Started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>
        <is>
          <t>Use conservative revenue and payroll assumptions</t>
        </is>
      </c>
      <c r="X33" s="5" t="inlineStr">
        <is>
          <t>Source 2.1</t>
        </is>
      </c>
    </row>
    <row r="34">
      <c r="A34" s="5" t="inlineStr">
        <is>
          <t>Business Plan Harmonization</t>
        </is>
      </c>
      <c r="B34" s="5" t="inlineStr">
        <is>
          <t>2.2</t>
        </is>
      </c>
      <c r="C34" s="5" t="inlineStr">
        <is>
          <t>2.2-T01</t>
        </is>
      </c>
      <c r="D34" s="5" t="inlineStr">
        <is>
          <t>Analyze smart grid requirements</t>
        </is>
      </c>
      <c r="E34" s="5" t="inlineStr">
        <is>
          <t>Translate market need into product specification set</t>
        </is>
      </c>
      <c r="F34" s="5" t="inlineStr">
        <is>
          <t>Engineering</t>
        </is>
      </c>
      <c r="G34" s="5" t="inlineStr"/>
      <c r="H34" s="5" t="inlineStr">
        <is>
          <t>Spec matrix</t>
        </is>
      </c>
      <c r="I34" s="5" t="inlineStr">
        <is>
          <t>Technical matrix</t>
        </is>
      </c>
      <c r="J34" s="12" t="n">
        <v>0</v>
      </c>
      <c r="K34" s="5" t="inlineStr">
        <is>
          <t>CAPEX/OPEX</t>
        </is>
      </c>
      <c r="L34" s="11" t="n">
        <v>4</v>
      </c>
      <c r="M34" s="5" t="inlineStr">
        <is>
          <t>High</t>
        </is>
      </c>
      <c r="N34" s="11" t="inlineStr">
        <is>
          <t>Amber</t>
        </is>
      </c>
      <c r="O34" s="5" t="inlineStr">
        <is>
          <t>No</t>
        </is>
      </c>
      <c r="P34" s="5" t="inlineStr">
        <is>
          <t>Not Started</t>
        </is>
      </c>
      <c r="Q34" s="5" t="inlineStr"/>
      <c r="R34" s="5" t="inlineStr"/>
      <c r="S34" s="5" t="inlineStr"/>
      <c r="T34" s="5" t="inlineStr"/>
      <c r="U34" s="5" t="inlineStr"/>
      <c r="V34" s="5" t="inlineStr"/>
      <c r="W34" s="5" t="inlineStr">
        <is>
          <t>Need hard link between tank design and smart-grid requirement</t>
        </is>
      </c>
      <c r="X34" s="5" t="inlineStr">
        <is>
          <t>Source 2.2</t>
        </is>
      </c>
    </row>
    <row r="35">
      <c r="A35" s="5" t="inlineStr">
        <is>
          <t>Business Plan Harmonization</t>
        </is>
      </c>
      <c r="B35" s="5" t="inlineStr">
        <is>
          <t>2.2</t>
        </is>
      </c>
      <c r="C35" s="5" t="inlineStr">
        <is>
          <t>2.2-T02</t>
        </is>
      </c>
      <c r="D35" s="5" t="inlineStr">
        <is>
          <t>Build technical product specification pack</t>
        </is>
      </c>
      <c r="E35" s="5" t="inlineStr">
        <is>
          <t>Document corrosion, seismic and voltage requirements</t>
        </is>
      </c>
      <c r="F35" s="5" t="inlineStr">
        <is>
          <t>Engineering</t>
        </is>
      </c>
      <c r="G35" s="5" t="inlineStr"/>
      <c r="H35" s="5" t="inlineStr">
        <is>
          <t>Product spec</t>
        </is>
      </c>
      <c r="I35" s="5" t="inlineStr">
        <is>
          <t>Technical pack</t>
        </is>
      </c>
      <c r="J35" s="12" t="n">
        <v>0</v>
      </c>
      <c r="K35" s="5" t="inlineStr">
        <is>
          <t>CAPEX/COGS</t>
        </is>
      </c>
      <c r="L35" s="11" t="n">
        <v>4</v>
      </c>
      <c r="M35" s="5" t="inlineStr">
        <is>
          <t>High</t>
        </is>
      </c>
      <c r="N35" s="11" t="inlineStr">
        <is>
          <t>Amber</t>
        </is>
      </c>
      <c r="O35" s="5" t="inlineStr">
        <is>
          <t>No</t>
        </is>
      </c>
      <c r="P35" s="5" t="inlineStr">
        <is>
          <t>Not Started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Claims need supporting standards and design calculations</t>
        </is>
      </c>
      <c r="X35" s="5" t="inlineStr">
        <is>
          <t>Source 2.2</t>
        </is>
      </c>
    </row>
    <row r="36">
      <c r="A36" s="5" t="inlineStr">
        <is>
          <t>Business Plan Harmonization</t>
        </is>
      </c>
      <c r="B36" s="5" t="inlineStr">
        <is>
          <t>2.2</t>
        </is>
      </c>
      <c r="C36" s="5" t="inlineStr">
        <is>
          <t>2.2-T03</t>
        </is>
      </c>
      <c r="D36" s="5" t="inlineStr">
        <is>
          <t>Track EU grid investment pipeline</t>
        </is>
      </c>
      <c r="E36" s="5" t="inlineStr">
        <is>
          <t>Map TSO/DSO programs and demand drivers</t>
        </is>
      </c>
      <c r="F36" s="5" t="inlineStr">
        <is>
          <t>Strategy Team</t>
        </is>
      </c>
      <c r="G36" s="5" t="inlineStr"/>
      <c r="H36" s="5" t="inlineStr">
        <is>
          <t>Pipeline tracker</t>
        </is>
      </c>
      <c r="I36" s="5" t="inlineStr">
        <is>
          <t>Tracker</t>
        </is>
      </c>
      <c r="J36" s="12" t="n">
        <v>0</v>
      </c>
      <c r="K36" s="5" t="inlineStr">
        <is>
          <t>Sales</t>
        </is>
      </c>
      <c r="L36" s="11" t="n">
        <v>4</v>
      </c>
      <c r="M36" s="5" t="inlineStr">
        <is>
          <t>High</t>
        </is>
      </c>
      <c r="N36" s="11" t="inlineStr">
        <is>
          <t>Amber</t>
        </is>
      </c>
      <c r="O36" s="5" t="inlineStr">
        <is>
          <t>No</t>
        </is>
      </c>
      <c r="P36" s="5" t="inlineStr">
        <is>
          <t>Not Started</t>
        </is>
      </c>
      <c r="Q36" s="5" t="inlineStr"/>
      <c r="R36" s="5" t="inlineStr"/>
      <c r="S36" s="5" t="inlineStr"/>
      <c r="T36" s="5" t="inlineStr"/>
      <c r="U36" s="5" t="inlineStr"/>
      <c r="V36" s="5" t="inlineStr"/>
      <c r="W36" s="5" t="inlineStr">
        <is>
          <t>Numbers like €584bn and €170bn must be cited</t>
        </is>
      </c>
      <c r="X36" s="5" t="inlineStr">
        <is>
          <t>Source 2.2</t>
        </is>
      </c>
    </row>
    <row r="37">
      <c r="A37" s="5" t="inlineStr">
        <is>
          <t>Business Plan Harmonization</t>
        </is>
      </c>
      <c r="B37" s="5" t="inlineStr">
        <is>
          <t>2.2</t>
        </is>
      </c>
      <c r="C37" s="5" t="inlineStr">
        <is>
          <t>2.2-T04</t>
        </is>
      </c>
      <c r="D37" s="5" t="inlineStr">
        <is>
          <t>Map TSO/DSO and OEM target projects</t>
        </is>
      </c>
      <c r="E37" s="5" t="inlineStr">
        <is>
          <t>Create opportunity list tied to infrastructure spending</t>
        </is>
      </c>
      <c r="F37" s="5" t="inlineStr">
        <is>
          <t>Sales</t>
        </is>
      </c>
      <c r="G37" s="5" t="inlineStr"/>
      <c r="H37" s="5" t="inlineStr">
        <is>
          <t>Target pipeline</t>
        </is>
      </c>
      <c r="I37" s="5" t="inlineStr">
        <is>
          <t>CRM</t>
        </is>
      </c>
      <c r="J37" s="12" t="n">
        <v>0</v>
      </c>
      <c r="K37" s="5" t="inlineStr">
        <is>
          <t>Sales</t>
        </is>
      </c>
      <c r="L37" s="11" t="n">
        <v>4</v>
      </c>
      <c r="M37" s="5" t="inlineStr">
        <is>
          <t>High</t>
        </is>
      </c>
      <c r="N37" s="11" t="inlineStr">
        <is>
          <t>Amber</t>
        </is>
      </c>
      <c r="O37" s="5" t="inlineStr">
        <is>
          <t>No</t>
        </is>
      </c>
      <c r="P37" s="5" t="inlineStr">
        <is>
          <t>Not Started</t>
        </is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>
        <is>
          <t>Need project-level opportunity evidence</t>
        </is>
      </c>
      <c r="X37" s="5" t="inlineStr">
        <is>
          <t>Source 2.2</t>
        </is>
      </c>
    </row>
    <row r="38">
      <c r="A38" s="5" t="inlineStr">
        <is>
          <t>Business Plan Harmonization</t>
        </is>
      </c>
      <c r="B38" s="5" t="inlineStr">
        <is>
          <t>2.2</t>
        </is>
      </c>
      <c r="C38" s="5" t="inlineStr">
        <is>
          <t>2.2-T05</t>
        </is>
      </c>
      <c r="D38" s="5" t="inlineStr">
        <is>
          <t>Prepare energy-transition grant narrative</t>
        </is>
      </c>
      <c r="E38" s="5" t="inlineStr">
        <is>
          <t>Align project to resilience / smart grid funding criteria</t>
        </is>
      </c>
      <c r="F38" s="5" t="inlineStr">
        <is>
          <t>CFO</t>
        </is>
      </c>
      <c r="G38" s="5" t="inlineStr"/>
      <c r="H38" s="5" t="inlineStr">
        <is>
          <t>Grant memo</t>
        </is>
      </c>
      <c r="I38" s="5" t="inlineStr">
        <is>
          <t>Memo</t>
        </is>
      </c>
      <c r="J38" s="12" t="n">
        <v>0</v>
      </c>
      <c r="K38" s="5" t="inlineStr">
        <is>
          <t>Grant</t>
        </is>
      </c>
      <c r="L38" s="11" t="n">
        <v>4</v>
      </c>
      <c r="M38" s="5" t="inlineStr">
        <is>
          <t>High</t>
        </is>
      </c>
      <c r="N38" s="11" t="inlineStr">
        <is>
          <t>Amber</t>
        </is>
      </c>
      <c r="O38" s="5" t="inlineStr">
        <is>
          <t>No</t>
        </is>
      </c>
      <c r="P38" s="5" t="inlineStr">
        <is>
          <t>Not Started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>
        <is>
          <t>Distinguish public utility demand from private OEM sales path</t>
        </is>
      </c>
      <c r="X38" s="5" t="inlineStr">
        <is>
          <t>Source 2.2</t>
        </is>
      </c>
    </row>
    <row r="39">
      <c r="A39" s="5" t="inlineStr">
        <is>
          <t>Business Plan Harmonization</t>
        </is>
      </c>
      <c r="B39" s="5" t="inlineStr">
        <is>
          <t>2.3</t>
        </is>
      </c>
      <c r="C39" s="5" t="inlineStr">
        <is>
          <t>2.3-T01</t>
        </is>
      </c>
      <c r="D39" s="5" t="inlineStr">
        <is>
          <t>Define EU export strategy</t>
        </is>
      </c>
      <c r="E39" s="5" t="inlineStr">
        <is>
          <t>Prioritize DACH and Italy with route-to-market logic</t>
        </is>
      </c>
      <c r="F39" s="5" t="inlineStr">
        <is>
          <t>Sales Director</t>
        </is>
      </c>
      <c r="G39" s="5" t="inlineStr"/>
      <c r="H39" s="5" t="inlineStr">
        <is>
          <t>Export strategy</t>
        </is>
      </c>
      <c r="I39" s="5" t="inlineStr">
        <is>
          <t>Plan</t>
        </is>
      </c>
      <c r="J39" s="12" t="n">
        <v>0</v>
      </c>
      <c r="K39" s="5" t="inlineStr">
        <is>
          <t>Revenue</t>
        </is>
      </c>
      <c r="L39" s="11" t="n">
        <v>4</v>
      </c>
      <c r="M39" s="5" t="inlineStr">
        <is>
          <t>High</t>
        </is>
      </c>
      <c r="N39" s="11" t="inlineStr">
        <is>
          <t>Amber</t>
        </is>
      </c>
      <c r="O39" s="5" t="inlineStr">
        <is>
          <t>No</t>
        </is>
      </c>
      <c r="P39" s="5" t="inlineStr">
        <is>
          <t>Not Started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Need customer-level evidence not only geography</t>
        </is>
      </c>
      <c r="X39" s="5" t="inlineStr">
        <is>
          <t>Source 2.3</t>
        </is>
      </c>
    </row>
    <row r="40">
      <c r="A40" s="5" t="inlineStr">
        <is>
          <t>Business Plan Harmonization</t>
        </is>
      </c>
      <c r="B40" s="5" t="inlineStr">
        <is>
          <t>2.3</t>
        </is>
      </c>
      <c r="C40" s="5" t="inlineStr">
        <is>
          <t>2.3-T02</t>
        </is>
      </c>
      <c r="D40" s="5" t="inlineStr">
        <is>
          <t>Build logistics route model</t>
        </is>
      </c>
      <c r="E40" s="5" t="inlineStr">
        <is>
          <t>Translate transit claims into cost, days and incoterm model</t>
        </is>
      </c>
      <c r="F40" s="5" t="inlineStr">
        <is>
          <t>Operations</t>
        </is>
      </c>
      <c r="G40" s="5" t="inlineStr"/>
      <c r="H40" s="5" t="inlineStr">
        <is>
          <t>Route model</t>
        </is>
      </c>
      <c r="I40" s="5" t="inlineStr">
        <is>
          <t>Model</t>
        </is>
      </c>
      <c r="J40" s="12" t="n">
        <v>0</v>
      </c>
      <c r="K40" s="5" t="inlineStr">
        <is>
          <t>COGS</t>
        </is>
      </c>
      <c r="L40" s="11" t="n">
        <v>4</v>
      </c>
      <c r="M40" s="5" t="inlineStr">
        <is>
          <t>High</t>
        </is>
      </c>
      <c r="N40" s="11" t="inlineStr">
        <is>
          <t>Amber</t>
        </is>
      </c>
      <c r="O40" s="5" t="inlineStr">
        <is>
          <t>No</t>
        </is>
      </c>
      <c r="P40" s="5" t="inlineStr">
        <is>
          <t>Not Started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>
        <is>
          <t>Transit claims should reconcile with chosen transport mode</t>
        </is>
      </c>
      <c r="X40" s="5" t="inlineStr">
        <is>
          <t>Source 2.3</t>
        </is>
      </c>
    </row>
    <row r="41">
      <c r="A41" s="5" t="inlineStr">
        <is>
          <t>Business Plan Harmonization</t>
        </is>
      </c>
      <c r="B41" s="5" t="inlineStr">
        <is>
          <t>2.3</t>
        </is>
      </c>
      <c r="C41" s="5" t="inlineStr">
        <is>
          <t>2.3-T03</t>
        </is>
      </c>
      <c r="D41" s="5" t="inlineStr">
        <is>
          <t>Negotiate OEM frame agreements</t>
        </is>
      </c>
      <c r="E41" s="5" t="inlineStr">
        <is>
          <t>Convert partnership narrative into pipeline milestones</t>
        </is>
      </c>
      <c r="F41" s="5" t="inlineStr">
        <is>
          <t>Management</t>
        </is>
      </c>
      <c r="G41" s="5" t="inlineStr"/>
      <c r="H41" s="5" t="inlineStr">
        <is>
          <t>Negotiation tracker</t>
        </is>
      </c>
      <c r="I41" s="5" t="inlineStr">
        <is>
          <t>Tracker</t>
        </is>
      </c>
      <c r="J41" s="12" t="n">
        <v>0</v>
      </c>
      <c r="K41" s="5" t="inlineStr">
        <is>
          <t>Revenue</t>
        </is>
      </c>
      <c r="L41" s="10" t="n">
        <v>5</v>
      </c>
      <c r="M41" s="5" t="inlineStr">
        <is>
          <t>High</t>
        </is>
      </c>
      <c r="N41" s="10" t="inlineStr">
        <is>
          <t>Red</t>
        </is>
      </c>
      <c r="O41" s="5" t="inlineStr">
        <is>
          <t>No</t>
        </is>
      </c>
      <c r="P41" s="5" t="inlineStr">
        <is>
          <t>Not Started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>
        <is>
          <t>Backlog assumptions unsupported until signed LOI/term sheet</t>
        </is>
      </c>
      <c r="X41" s="5" t="inlineStr">
        <is>
          <t>Source 2.3</t>
        </is>
      </c>
    </row>
    <row r="42">
      <c r="A42" s="5" t="inlineStr">
        <is>
          <t>Business Plan Harmonization</t>
        </is>
      </c>
      <c r="B42" s="5" t="inlineStr">
        <is>
          <t>2.3</t>
        </is>
      </c>
      <c r="C42" s="5" t="inlineStr">
        <is>
          <t>2.3-T04</t>
        </is>
      </c>
      <c r="D42" s="5" t="inlineStr">
        <is>
          <t>Document natural FX hedge policy</t>
        </is>
      </c>
      <c r="E42" s="5" t="inlineStr">
        <is>
          <t>Show currency matching between debt and revenue</t>
        </is>
      </c>
      <c r="F42" s="5" t="inlineStr">
        <is>
          <t>CFO</t>
        </is>
      </c>
      <c r="G42" s="5" t="inlineStr"/>
      <c r="H42" s="5" t="inlineStr">
        <is>
          <t>Treasury note</t>
        </is>
      </c>
      <c r="I42" s="5" t="inlineStr">
        <is>
          <t>Policy</t>
        </is>
      </c>
      <c r="J42" s="12" t="n">
        <v>0</v>
      </c>
      <c r="K42" s="5" t="inlineStr">
        <is>
          <t>Funding</t>
        </is>
      </c>
      <c r="L42" s="5" t="n">
        <v>3</v>
      </c>
      <c r="M42" s="5" t="inlineStr">
        <is>
          <t>Medium</t>
        </is>
      </c>
      <c r="N42" s="11" t="inlineStr">
        <is>
          <t>Amber</t>
        </is>
      </c>
      <c r="O42" s="5" t="inlineStr">
        <is>
          <t>No</t>
        </is>
      </c>
      <c r="P42" s="5" t="inlineStr">
        <is>
          <t>Not Started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>
        <is>
          <t>Still test for non-EUR supplier exposure</t>
        </is>
      </c>
      <c r="X42" s="5" t="inlineStr">
        <is>
          <t>Source 2.3</t>
        </is>
      </c>
    </row>
    <row r="43">
      <c r="A43" s="5" t="inlineStr">
        <is>
          <t>Business Plan Harmonization</t>
        </is>
      </c>
      <c r="B43" s="5" t="inlineStr">
        <is>
          <t>2.3</t>
        </is>
      </c>
      <c r="C43" s="5" t="inlineStr">
        <is>
          <t>2.3-T05</t>
        </is>
      </c>
      <c r="D43" s="5" t="inlineStr">
        <is>
          <t>Implement IFRS and governance setup</t>
        </is>
      </c>
      <c r="E43" s="5" t="inlineStr">
        <is>
          <t>Translate legal narrative into corporate documents</t>
        </is>
      </c>
      <c r="F43" s="5" t="inlineStr">
        <is>
          <t>CFO / Legal</t>
        </is>
      </c>
      <c r="G43" s="5" t="inlineStr"/>
      <c r="H43" s="5" t="inlineStr">
        <is>
          <t>Policies and resolutions</t>
        </is>
      </c>
      <c r="I43" s="5" t="inlineStr">
        <is>
          <t>Governance pack</t>
        </is>
      </c>
      <c r="J43" s="12" t="n">
        <v>0</v>
      </c>
      <c r="K43" s="5" t="inlineStr">
        <is>
          <t>OPEX</t>
        </is>
      </c>
      <c r="L43" s="11" t="n">
        <v>4</v>
      </c>
      <c r="M43" s="5" t="inlineStr">
        <is>
          <t>High</t>
        </is>
      </c>
      <c r="N43" s="11" t="inlineStr">
        <is>
          <t>Amber</t>
        </is>
      </c>
      <c r="O43" s="5" t="inlineStr">
        <is>
          <t>No</t>
        </is>
      </c>
      <c r="P43" s="5" t="inlineStr">
        <is>
          <t>Not Started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>
        <is>
          <t>Legal structure claims need registration evidence</t>
        </is>
      </c>
      <c r="X43" s="5" t="inlineStr">
        <is>
          <t>Source 2.3</t>
        </is>
      </c>
    </row>
    <row r="44">
      <c r="A44" s="5" t="inlineStr">
        <is>
          <t>Business Plan Harmonization</t>
        </is>
      </c>
      <c r="B44" s="5" t="inlineStr">
        <is>
          <t>3.1</t>
        </is>
      </c>
      <c r="C44" s="5" t="inlineStr">
        <is>
          <t>3.1-T01</t>
        </is>
      </c>
      <c r="D44" s="5" t="inlineStr">
        <is>
          <t>Implement IFRS accounting framework</t>
        </is>
      </c>
      <c r="E44" s="5" t="inlineStr">
        <is>
          <t>Adopt accounting policy manual and reporting timetable</t>
        </is>
      </c>
      <c r="F44" s="5" t="inlineStr">
        <is>
          <t>CFO</t>
        </is>
      </c>
      <c r="G44" s="5" t="inlineStr"/>
      <c r="H44" s="5" t="inlineStr">
        <is>
          <t>IFRS manual</t>
        </is>
      </c>
      <c r="I44" s="5" t="inlineStr">
        <is>
          <t>Policy</t>
        </is>
      </c>
      <c r="J44" s="12" t="n">
        <v>0</v>
      </c>
      <c r="K44" s="5" t="inlineStr">
        <is>
          <t>OPEX</t>
        </is>
      </c>
      <c r="L44" s="11" t="n">
        <v>4</v>
      </c>
      <c r="M44" s="5" t="inlineStr">
        <is>
          <t>High</t>
        </is>
      </c>
      <c r="N44" s="11" t="inlineStr">
        <is>
          <t>Amber</t>
        </is>
      </c>
      <c r="O44" s="5" t="inlineStr">
        <is>
          <t>No</t>
        </is>
      </c>
      <c r="P44" s="5" t="inlineStr">
        <is>
          <t>Not Started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>
        <is>
          <t>Need accounting policy and audit readiness evidence</t>
        </is>
      </c>
      <c r="X44" s="5" t="inlineStr">
        <is>
          <t>Source 3.1</t>
        </is>
      </c>
    </row>
    <row r="45">
      <c r="A45" s="5" t="inlineStr">
        <is>
          <t>Business Plan Harmonization</t>
        </is>
      </c>
      <c r="B45" s="5" t="inlineStr">
        <is>
          <t>3.1</t>
        </is>
      </c>
      <c r="C45" s="5" t="inlineStr">
        <is>
          <t>3.1-T02</t>
        </is>
      </c>
      <c r="D45" s="5" t="inlineStr">
        <is>
          <t>Complete UBO registration package</t>
        </is>
      </c>
      <c r="E45" s="5" t="inlineStr">
        <is>
          <t>Validate all ultimate beneficial owner filings</t>
        </is>
      </c>
      <c r="F45" s="5" t="inlineStr">
        <is>
          <t>Legal</t>
        </is>
      </c>
      <c r="G45" s="5" t="inlineStr"/>
      <c r="H45" s="5" t="inlineStr">
        <is>
          <t>CRPS / UBO filings</t>
        </is>
      </c>
      <c r="I45" s="5" t="inlineStr">
        <is>
          <t>Filing pack</t>
        </is>
      </c>
      <c r="J45" s="12" t="n">
        <v>0</v>
      </c>
      <c r="K45" s="5" t="inlineStr">
        <is>
          <t>Compliance</t>
        </is>
      </c>
      <c r="L45" s="10" t="n">
        <v>5</v>
      </c>
      <c r="M45" s="5" t="inlineStr">
        <is>
          <t>High</t>
        </is>
      </c>
      <c r="N45" s="10" t="inlineStr">
        <is>
          <t>Red</t>
        </is>
      </c>
      <c r="O45" s="10" t="inlineStr">
        <is>
          <t>Yes</t>
        </is>
      </c>
      <c r="P45" s="5" t="inlineStr">
        <is>
          <t>Not Started</t>
        </is>
      </c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Critical for KYC and banking</t>
        </is>
      </c>
      <c r="X45" s="5" t="inlineStr">
        <is>
          <t>Source 3.1</t>
        </is>
      </c>
    </row>
    <row r="46">
      <c r="A46" s="5" t="inlineStr">
        <is>
          <t>Business Plan Harmonization</t>
        </is>
      </c>
      <c r="B46" s="5" t="inlineStr">
        <is>
          <t>3.1</t>
        </is>
      </c>
      <c r="C46" s="5" t="inlineStr">
        <is>
          <t>3.1-T03</t>
        </is>
      </c>
      <c r="D46" s="5" t="inlineStr">
        <is>
          <t>Draft flexible charter / statute</t>
        </is>
      </c>
      <c r="E46" s="5" t="inlineStr">
        <is>
          <t>Provide capital flexibility and conversion rights framework</t>
        </is>
      </c>
      <c r="F46" s="5" t="inlineStr">
        <is>
          <t>Legal</t>
        </is>
      </c>
      <c r="G46" s="5" t="inlineStr"/>
      <c r="H46" s="5" t="inlineStr">
        <is>
          <t>Statute draft</t>
        </is>
      </c>
      <c r="I46" s="5" t="inlineStr">
        <is>
          <t>Corporate document</t>
        </is>
      </c>
      <c r="J46" s="12" t="n">
        <v>0</v>
      </c>
      <c r="K46" s="5" t="inlineStr">
        <is>
          <t>Legal</t>
        </is>
      </c>
      <c r="L46" s="11" t="n">
        <v>4</v>
      </c>
      <c r="M46" s="5" t="inlineStr">
        <is>
          <t>High</t>
        </is>
      </c>
      <c r="N46" s="11" t="inlineStr">
        <is>
          <t>Amber</t>
        </is>
      </c>
      <c r="O46" s="5" t="inlineStr">
        <is>
          <t>No</t>
        </is>
      </c>
      <c r="P46" s="5" t="inlineStr">
        <is>
          <t>Not Started</t>
        </is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>
        <is>
          <t>Legal permissibility of share classes in DOO must be checked</t>
        </is>
      </c>
      <c r="X46" s="5" t="inlineStr">
        <is>
          <t>Source 3.1</t>
        </is>
      </c>
    </row>
    <row r="47">
      <c r="A47" s="5" t="inlineStr">
        <is>
          <t>Business Plan Harmonization</t>
        </is>
      </c>
      <c r="B47" s="5" t="inlineStr">
        <is>
          <t>3.1</t>
        </is>
      </c>
      <c r="C47" s="5" t="inlineStr">
        <is>
          <t>3.1-T04</t>
        </is>
      </c>
      <c r="D47" s="5" t="inlineStr">
        <is>
          <t>Adopt anti-corruption and conflict rules</t>
        </is>
      </c>
      <c r="E47" s="5" t="inlineStr">
        <is>
          <t>Implement related-party and conflict approval rules</t>
        </is>
      </c>
      <c r="F47" s="5" t="inlineStr">
        <is>
          <t>Management</t>
        </is>
      </c>
      <c r="G47" s="5" t="inlineStr"/>
      <c r="H47" s="5" t="inlineStr">
        <is>
          <t>Policy set</t>
        </is>
      </c>
      <c r="I47" s="5" t="inlineStr">
        <is>
          <t>Policy</t>
        </is>
      </c>
      <c r="J47" s="12" t="n">
        <v>0</v>
      </c>
      <c r="K47" s="5" t="inlineStr">
        <is>
          <t>Compliance</t>
        </is>
      </c>
      <c r="L47" s="11" t="n">
        <v>4</v>
      </c>
      <c r="M47" s="5" t="inlineStr">
        <is>
          <t>High</t>
        </is>
      </c>
      <c r="N47" s="11" t="inlineStr">
        <is>
          <t>Amber</t>
        </is>
      </c>
      <c r="O47" s="5" t="inlineStr">
        <is>
          <t>No</t>
        </is>
      </c>
      <c r="P47" s="5" t="inlineStr">
        <is>
          <t>Not Started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>
        <is>
          <t>Statute alone may be insufficient; operational policy needed</t>
        </is>
      </c>
      <c r="X47" s="5" t="inlineStr">
        <is>
          <t>Source 3.1</t>
        </is>
      </c>
    </row>
    <row r="48">
      <c r="A48" s="5" t="inlineStr">
        <is>
          <t>Business Plan Harmonization</t>
        </is>
      </c>
      <c r="B48" s="5" t="inlineStr">
        <is>
          <t>3.1</t>
        </is>
      </c>
      <c r="C48" s="5" t="inlineStr">
        <is>
          <t>3.1-T05</t>
        </is>
      </c>
      <c r="D48" s="5" t="inlineStr">
        <is>
          <t>Prepare audit readiness plan</t>
        </is>
      </c>
      <c r="E48" s="5" t="inlineStr">
        <is>
          <t>Sequence controls for Big4 / lender due diligence</t>
        </is>
      </c>
      <c r="F48" s="5" t="inlineStr">
        <is>
          <t>CFO</t>
        </is>
      </c>
      <c r="G48" s="5" t="inlineStr"/>
      <c r="H48" s="5" t="inlineStr">
        <is>
          <t>Audit readiness plan</t>
        </is>
      </c>
      <c r="I48" s="5" t="inlineStr">
        <is>
          <t>Plan</t>
        </is>
      </c>
      <c r="J48" s="12" t="n">
        <v>0</v>
      </c>
      <c r="K48" s="5" t="inlineStr">
        <is>
          <t>OPEX</t>
        </is>
      </c>
      <c r="L48" s="5" t="n">
        <v>3</v>
      </c>
      <c r="M48" s="5" t="inlineStr">
        <is>
          <t>Medium</t>
        </is>
      </c>
      <c r="N48" s="11" t="inlineStr">
        <is>
          <t>Amber</t>
        </is>
      </c>
      <c r="O48" s="5" t="inlineStr">
        <is>
          <t>No</t>
        </is>
      </c>
      <c r="P48" s="5" t="inlineStr">
        <is>
          <t>Not Started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Need evidence pack owner and timeline</t>
        </is>
      </c>
      <c r="X48" s="5" t="inlineStr">
        <is>
          <t>Source 3.1</t>
        </is>
      </c>
    </row>
    <row r="49">
      <c r="A49" s="5" t="inlineStr">
        <is>
          <t>Business Plan Harmonization</t>
        </is>
      </c>
      <c r="B49" s="5" t="inlineStr">
        <is>
          <t>3.2</t>
        </is>
      </c>
      <c r="C49" s="5" t="inlineStr">
        <is>
          <t>3.2-T01</t>
        </is>
      </c>
      <c r="D49" s="5" t="inlineStr">
        <is>
          <t>Constitute board structure</t>
        </is>
      </c>
      <c r="E49" s="5" t="inlineStr">
        <is>
          <t>Define board members, terms and authority</t>
        </is>
      </c>
      <c r="F49" s="5" t="inlineStr">
        <is>
          <t>Management</t>
        </is>
      </c>
      <c r="G49" s="5" t="inlineStr"/>
      <c r="H49" s="5" t="inlineStr">
        <is>
          <t>Board resolutions</t>
        </is>
      </c>
      <c r="I49" s="5" t="inlineStr">
        <is>
          <t>Corporate resolution</t>
        </is>
      </c>
      <c r="J49" s="12" t="n">
        <v>0</v>
      </c>
      <c r="K49" s="5" t="inlineStr">
        <is>
          <t>Governance</t>
        </is>
      </c>
      <c r="L49" s="10" t="n">
        <v>5</v>
      </c>
      <c r="M49" s="5" t="inlineStr">
        <is>
          <t>High</t>
        </is>
      </c>
      <c r="N49" s="10" t="inlineStr">
        <is>
          <t>Red</t>
        </is>
      </c>
      <c r="O49" s="10" t="inlineStr">
        <is>
          <t>Yes</t>
        </is>
      </c>
      <c r="P49" s="5" t="inlineStr">
        <is>
          <t>Not Started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>
        <is>
          <t>Independent experts and committee composition must be real, not conceptual</t>
        </is>
      </c>
      <c r="X49" s="5" t="inlineStr">
        <is>
          <t>Source 3.2</t>
        </is>
      </c>
    </row>
    <row r="50">
      <c r="A50" s="5" t="inlineStr">
        <is>
          <t>Business Plan Harmonization</t>
        </is>
      </c>
      <c r="B50" s="5" t="inlineStr">
        <is>
          <t>3.2</t>
        </is>
      </c>
      <c r="C50" s="5" t="inlineStr">
        <is>
          <t>3.2-T02</t>
        </is>
      </c>
      <c r="D50" s="5" t="inlineStr">
        <is>
          <t>Define ESG committee mandate</t>
        </is>
      </c>
      <c r="E50" s="5" t="inlineStr">
        <is>
          <t>Set scope, KPIs and reporting cadence</t>
        </is>
      </c>
      <c r="F50" s="5" t="inlineStr">
        <is>
          <t>Management</t>
        </is>
      </c>
      <c r="G50" s="5" t="inlineStr"/>
      <c r="H50" s="5" t="inlineStr">
        <is>
          <t>Committee charter</t>
        </is>
      </c>
      <c r="I50" s="5" t="inlineStr">
        <is>
          <t>Charter</t>
        </is>
      </c>
      <c r="J50" s="12" t="n">
        <v>0</v>
      </c>
      <c r="K50" s="5" t="inlineStr">
        <is>
          <t>ESG</t>
        </is>
      </c>
      <c r="L50" s="11" t="n">
        <v>4</v>
      </c>
      <c r="M50" s="5" t="inlineStr">
        <is>
          <t>High</t>
        </is>
      </c>
      <c r="N50" s="11" t="inlineStr">
        <is>
          <t>Amber</t>
        </is>
      </c>
      <c r="O50" s="5" t="inlineStr">
        <is>
          <t>No</t>
        </is>
      </c>
      <c r="P50" s="5" t="inlineStr">
        <is>
          <t>Not Started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Need explicit overlap rules with board and management</t>
        </is>
      </c>
      <c r="X50" s="5" t="inlineStr">
        <is>
          <t>Source 3.2</t>
        </is>
      </c>
    </row>
    <row r="51">
      <c r="A51" s="5" t="inlineStr">
        <is>
          <t>Business Plan Harmonization</t>
        </is>
      </c>
      <c r="B51" s="5" t="inlineStr">
        <is>
          <t>3.2</t>
        </is>
      </c>
      <c r="C51" s="5" t="inlineStr">
        <is>
          <t>3.2-T03</t>
        </is>
      </c>
      <c r="D51" s="5" t="inlineStr">
        <is>
          <t>Issue CFO veto policy</t>
        </is>
      </c>
      <c r="E51" s="5" t="inlineStr">
        <is>
          <t>Formalize budget overrun veto and escalation path</t>
        </is>
      </c>
      <c r="F51" s="5" t="inlineStr">
        <is>
          <t>CFO</t>
        </is>
      </c>
      <c r="G51" s="5" t="inlineStr"/>
      <c r="H51" s="5" t="inlineStr">
        <is>
          <t>Control policy</t>
        </is>
      </c>
      <c r="I51" s="5" t="inlineStr">
        <is>
          <t>Policy</t>
        </is>
      </c>
      <c r="J51" s="12" t="n">
        <v>0</v>
      </c>
      <c r="K51" s="5" t="inlineStr">
        <is>
          <t>Finance</t>
        </is>
      </c>
      <c r="L51" s="10" t="n">
        <v>5</v>
      </c>
      <c r="M51" s="5" t="inlineStr">
        <is>
          <t>High</t>
        </is>
      </c>
      <c r="N51" s="10" t="inlineStr">
        <is>
          <t>Red</t>
        </is>
      </c>
      <c r="O51" s="10" t="inlineStr">
        <is>
          <t>Yes</t>
        </is>
      </c>
      <c r="P51" s="5" t="inlineStr">
        <is>
          <t>Not Started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5" t="inlineStr">
        <is>
          <t>High-value lender comfort item</t>
        </is>
      </c>
      <c r="X51" s="5" t="inlineStr">
        <is>
          <t>Source 3.2</t>
        </is>
      </c>
    </row>
    <row r="52">
      <c r="A52" s="5" t="inlineStr">
        <is>
          <t>Business Plan Harmonization</t>
        </is>
      </c>
      <c r="B52" s="5" t="inlineStr">
        <is>
          <t>3.2</t>
        </is>
      </c>
      <c r="C52" s="5" t="inlineStr">
        <is>
          <t>3.2-T04</t>
        </is>
      </c>
      <c r="D52" s="5" t="inlineStr">
        <is>
          <t>Build management KPI and incentive plan</t>
        </is>
      </c>
      <c r="E52" s="5" t="inlineStr">
        <is>
          <t>Tie bonuses to EBITDA / DSCR / ROI / ESG with calculation rules</t>
        </is>
      </c>
      <c r="F52" s="5" t="inlineStr">
        <is>
          <t>HR / CFO</t>
        </is>
      </c>
      <c r="G52" s="5" t="inlineStr"/>
      <c r="H52" s="5" t="inlineStr">
        <is>
          <t>Incentive plan</t>
        </is>
      </c>
      <c r="I52" s="5" t="inlineStr">
        <is>
          <t>Policy</t>
        </is>
      </c>
      <c r="J52" s="12" t="n">
        <v>0</v>
      </c>
      <c r="K52" s="5" t="inlineStr">
        <is>
          <t>OPEX</t>
        </is>
      </c>
      <c r="L52" s="11" t="n">
        <v>4</v>
      </c>
      <c r="M52" s="5" t="inlineStr">
        <is>
          <t>High</t>
        </is>
      </c>
      <c r="N52" s="11" t="inlineStr">
        <is>
          <t>Amber</t>
        </is>
      </c>
      <c r="O52" s="5" t="inlineStr">
        <is>
          <t>No</t>
        </is>
      </c>
      <c r="P52" s="5" t="inlineStr">
        <is>
          <t>Not Started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>
        <is>
          <t>Avoid perverse incentives / short-termism</t>
        </is>
      </c>
      <c r="X52" s="5" t="inlineStr">
        <is>
          <t>Source 3.2</t>
        </is>
      </c>
    </row>
    <row r="53">
      <c r="A53" s="5" t="inlineStr">
        <is>
          <t>Business Plan Harmonization</t>
        </is>
      </c>
      <c r="B53" s="5" t="inlineStr">
        <is>
          <t>3.2</t>
        </is>
      </c>
      <c r="C53" s="5" t="inlineStr">
        <is>
          <t>3.2-T05</t>
        </is>
      </c>
      <c r="D53" s="5" t="inlineStr">
        <is>
          <t>Publish decision-rights matrix</t>
        </is>
      </c>
      <c r="E53" s="5" t="inlineStr">
        <is>
          <t>Separate strategy / capex / operations / finance / ESG approvals</t>
        </is>
      </c>
      <c r="F53" s="5" t="inlineStr">
        <is>
          <t>CFO</t>
        </is>
      </c>
      <c r="G53" s="5" t="inlineStr"/>
      <c r="H53" s="5" t="inlineStr">
        <is>
          <t>DoA matrix</t>
        </is>
      </c>
      <c r="I53" s="5" t="inlineStr">
        <is>
          <t>Matrix</t>
        </is>
      </c>
      <c r="J53" s="12" t="n">
        <v>0</v>
      </c>
      <c r="K53" s="5" t="inlineStr">
        <is>
          <t>Governance</t>
        </is>
      </c>
      <c r="L53" s="11" t="n">
        <v>4</v>
      </c>
      <c r="M53" s="5" t="inlineStr">
        <is>
          <t>High</t>
        </is>
      </c>
      <c r="N53" s="11" t="inlineStr">
        <is>
          <t>Amber</t>
        </is>
      </c>
      <c r="O53" s="5" t="inlineStr">
        <is>
          <t>No</t>
        </is>
      </c>
      <c r="P53" s="5" t="inlineStr">
        <is>
          <t>Not Started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Needs thresholds and emergency override logic</t>
        </is>
      </c>
      <c r="X53" s="5" t="inlineStr">
        <is>
          <t>Source 3.2</t>
        </is>
      </c>
    </row>
    <row r="54">
      <c r="A54" s="5" t="inlineStr">
        <is>
          <t>Business Plan Harmonization</t>
        </is>
      </c>
      <c r="B54" s="5" t="inlineStr">
        <is>
          <t>3.3</t>
        </is>
      </c>
      <c r="C54" s="5" t="inlineStr">
        <is>
          <t>3.3-T01</t>
        </is>
      </c>
      <c r="D54" s="5" t="inlineStr">
        <is>
          <t>Implement 13-week rolling cash flow</t>
        </is>
      </c>
      <c r="E54" s="5" t="inlineStr">
        <is>
          <t>Set weekly cadence, responsibility and variance bridge</t>
        </is>
      </c>
      <c r="F54" s="5" t="inlineStr">
        <is>
          <t>CFO</t>
        </is>
      </c>
      <c r="G54" s="5" t="inlineStr"/>
      <c r="H54" s="5" t="inlineStr">
        <is>
          <t>13-week model</t>
        </is>
      </c>
      <c r="I54" s="5" t="inlineStr">
        <is>
          <t>Cash flow model</t>
        </is>
      </c>
      <c r="J54" s="12" t="n">
        <v>0</v>
      </c>
      <c r="K54" s="5" t="inlineStr">
        <is>
          <t>Liquidity</t>
        </is>
      </c>
      <c r="L54" s="10" t="n">
        <v>5</v>
      </c>
      <c r="M54" s="5" t="inlineStr">
        <is>
          <t>High</t>
        </is>
      </c>
      <c r="N54" s="10" t="inlineStr">
        <is>
          <t>Red</t>
        </is>
      </c>
      <c r="O54" s="10" t="inlineStr">
        <is>
          <t>Yes</t>
        </is>
      </c>
      <c r="P54" s="5" t="inlineStr">
        <is>
          <t>In Progress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>
        <is>
          <t>Core control stack item; no slippage tolerated</t>
        </is>
      </c>
      <c r="X54" s="5" t="inlineStr">
        <is>
          <t>Source 3.3</t>
        </is>
      </c>
    </row>
    <row r="55">
      <c r="A55" s="5" t="inlineStr">
        <is>
          <t>Business Plan Harmonization</t>
        </is>
      </c>
      <c r="B55" s="5" t="inlineStr">
        <is>
          <t>3.3</t>
        </is>
      </c>
      <c r="C55" s="5" t="inlineStr">
        <is>
          <t>3.3-T02</t>
        </is>
      </c>
      <c r="D55" s="5" t="inlineStr">
        <is>
          <t>Build milestone-based CAPEX payment control</t>
        </is>
      </c>
      <c r="E55" s="5" t="inlineStr">
        <is>
          <t>Require physical milestone evidence and dual sign-off</t>
        </is>
      </c>
      <c r="F55" s="5" t="inlineStr">
        <is>
          <t>CFO / PM</t>
        </is>
      </c>
      <c r="G55" s="5" t="inlineStr"/>
      <c r="H55" s="5" t="inlineStr">
        <is>
          <t>Milestone register</t>
        </is>
      </c>
      <c r="I55" s="5" t="inlineStr">
        <is>
          <t>Control file</t>
        </is>
      </c>
      <c r="J55" s="12" t="n">
        <v>0</v>
      </c>
      <c r="K55" s="5" t="inlineStr">
        <is>
          <t>CAPEX</t>
        </is>
      </c>
      <c r="L55" s="10" t="n">
        <v>5</v>
      </c>
      <c r="M55" s="5" t="inlineStr">
        <is>
          <t>High</t>
        </is>
      </c>
      <c r="N55" s="10" t="inlineStr">
        <is>
          <t>Red</t>
        </is>
      </c>
      <c r="O55" s="10" t="inlineStr">
        <is>
          <t>Yes</t>
        </is>
      </c>
      <c r="P55" s="5" t="inlineStr">
        <is>
          <t>In Progress</t>
        </is>
      </c>
      <c r="Q55" s="5" t="inlineStr"/>
      <c r="R55" s="5" t="inlineStr"/>
      <c r="S55" s="5" t="inlineStr"/>
      <c r="T55" s="5" t="inlineStr"/>
      <c r="U55" s="5" t="inlineStr"/>
      <c r="V55" s="5" t="inlineStr"/>
      <c r="W55" s="5" t="inlineStr">
        <is>
          <t>Must integrate with contracts and engineer certification</t>
        </is>
      </c>
      <c r="X55" s="5" t="inlineStr">
        <is>
          <t>Source 3.3</t>
        </is>
      </c>
    </row>
    <row r="56">
      <c r="A56" s="5" t="inlineStr">
        <is>
          <t>Business Plan Harmonization</t>
        </is>
      </c>
      <c r="B56" s="5" t="inlineStr">
        <is>
          <t>3.3</t>
        </is>
      </c>
      <c r="C56" s="5" t="inlineStr">
        <is>
          <t>3.3-T03</t>
        </is>
      </c>
      <c r="D56" s="5" t="inlineStr">
        <is>
          <t>Automate covenant monitoring</t>
        </is>
      </c>
      <c r="E56" s="5" t="inlineStr">
        <is>
          <t>Set DSCR / D:E / EBITDA:Interest triggers and alerts</t>
        </is>
      </c>
      <c r="F56" s="5" t="inlineStr">
        <is>
          <t>CFO</t>
        </is>
      </c>
      <c r="G56" s="5" t="inlineStr"/>
      <c r="H56" s="5" t="inlineStr">
        <is>
          <t>Covenant tracker</t>
        </is>
      </c>
      <c r="I56" s="5" t="inlineStr">
        <is>
          <t>Dashboard</t>
        </is>
      </c>
      <c r="J56" s="12" t="n">
        <v>0</v>
      </c>
      <c r="K56" s="5" t="inlineStr">
        <is>
          <t>Debt</t>
        </is>
      </c>
      <c r="L56" s="10" t="n">
        <v>5</v>
      </c>
      <c r="M56" s="5" t="inlineStr">
        <is>
          <t>High</t>
        </is>
      </c>
      <c r="N56" s="10" t="inlineStr">
        <is>
          <t>Red</t>
        </is>
      </c>
      <c r="O56" s="10" t="inlineStr">
        <is>
          <t>Yes</t>
        </is>
      </c>
      <c r="P56" s="5" t="inlineStr">
        <is>
          <t>Not Started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>
        <is>
          <t>Need exact calculation definitions from financing docs</t>
        </is>
      </c>
      <c r="X56" s="5" t="inlineStr">
        <is>
          <t>Source 3.3</t>
        </is>
      </c>
    </row>
    <row r="57">
      <c r="A57" s="5" t="inlineStr">
        <is>
          <t>Business Plan Harmonization</t>
        </is>
      </c>
      <c r="B57" s="5" t="inlineStr">
        <is>
          <t>3.3</t>
        </is>
      </c>
      <c r="C57" s="5" t="inlineStr">
        <is>
          <t>3.3-T04</t>
        </is>
      </c>
      <c r="D57" s="5" t="inlineStr">
        <is>
          <t>Implement 3-bid procurement rule</t>
        </is>
      </c>
      <c r="E57" s="5" t="inlineStr">
        <is>
          <t>Create tender record and exception approval process</t>
        </is>
      </c>
      <c r="F57" s="5" t="inlineStr">
        <is>
          <t>Procurement</t>
        </is>
      </c>
      <c r="G57" s="5" t="inlineStr"/>
      <c r="H57" s="5" t="inlineStr">
        <is>
          <t>Bid log</t>
        </is>
      </c>
      <c r="I57" s="5" t="inlineStr">
        <is>
          <t>Procedure</t>
        </is>
      </c>
      <c r="J57" s="12" t="n">
        <v>0</v>
      </c>
      <c r="K57" s="5" t="inlineStr">
        <is>
          <t>Procurement</t>
        </is>
      </c>
      <c r="L57" s="11" t="n">
        <v>4</v>
      </c>
      <c r="M57" s="5" t="inlineStr">
        <is>
          <t>High</t>
        </is>
      </c>
      <c r="N57" s="11" t="inlineStr">
        <is>
          <t>Amber</t>
        </is>
      </c>
      <c r="O57" s="5" t="inlineStr">
        <is>
          <t>No</t>
        </is>
      </c>
      <c r="P57" s="5" t="inlineStr">
        <is>
          <t>Not Started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>
        <is>
          <t>Need exception handling for sole-source procurement</t>
        </is>
      </c>
      <c r="X57" s="5" t="inlineStr">
        <is>
          <t>Source 3.3</t>
        </is>
      </c>
    </row>
    <row r="58">
      <c r="A58" s="5" t="inlineStr">
        <is>
          <t>Business Plan Harmonization</t>
        </is>
      </c>
      <c r="B58" s="5" t="inlineStr">
        <is>
          <t>3.3</t>
        </is>
      </c>
      <c r="C58" s="5" t="inlineStr">
        <is>
          <t>3.3-T05</t>
        </is>
      </c>
      <c r="D58" s="5" t="inlineStr">
        <is>
          <t>Select and implement ERP</t>
        </is>
      </c>
      <c r="E58" s="5" t="inlineStr">
        <is>
          <t>Choose ERP and define phased rollout</t>
        </is>
      </c>
      <c r="F58" s="5" t="inlineStr">
        <is>
          <t>IT / CFO</t>
        </is>
      </c>
      <c r="G58" s="5" t="inlineStr"/>
      <c r="H58" s="5" t="inlineStr">
        <is>
          <t>ERP selection paper</t>
        </is>
      </c>
      <c r="I58" s="5" t="inlineStr">
        <is>
          <t>Implementation plan</t>
        </is>
      </c>
      <c r="J58" s="12" t="n">
        <v>0</v>
      </c>
      <c r="K58" s="5" t="inlineStr">
        <is>
          <t>CAPEX/OPEX</t>
        </is>
      </c>
      <c r="L58" s="11" t="n">
        <v>4</v>
      </c>
      <c r="M58" s="5" t="inlineStr">
        <is>
          <t>High</t>
        </is>
      </c>
      <c r="N58" s="11" t="inlineStr">
        <is>
          <t>Amber</t>
        </is>
      </c>
      <c r="O58" s="5" t="inlineStr">
        <is>
          <t>No</t>
        </is>
      </c>
      <c r="P58" s="5" t="inlineStr">
        <is>
          <t>Not Started</t>
        </is>
      </c>
      <c r="Q58" s="5" t="inlineStr"/>
      <c r="R58" s="5" t="inlineStr"/>
      <c r="S58" s="5" t="inlineStr"/>
      <c r="T58" s="5" t="inlineStr"/>
      <c r="U58" s="5" t="inlineStr"/>
      <c r="V58" s="5" t="inlineStr"/>
      <c r="W58" s="5" t="inlineStr">
        <is>
          <t>Avoid over-claiming real-time integration before go-live</t>
        </is>
      </c>
      <c r="X58" s="5" t="inlineStr">
        <is>
          <t>Source 3.3</t>
        </is>
      </c>
    </row>
    <row r="59">
      <c r="A59" s="5" t="inlineStr">
        <is>
          <t>Business Plan Harmonization</t>
        </is>
      </c>
      <c r="B59" s="5" t="inlineStr">
        <is>
          <t>3.3</t>
        </is>
      </c>
      <c r="C59" s="5" t="inlineStr">
        <is>
          <t>3.3-T06</t>
        </is>
      </c>
      <c r="D59" s="5" t="inlineStr">
        <is>
          <t>Launch weekly flash and monthly pack</t>
        </is>
      </c>
      <c r="E59" s="5" t="inlineStr">
        <is>
          <t>Define templates and review cadence</t>
        </is>
      </c>
      <c r="F59" s="5" t="inlineStr">
        <is>
          <t>CFO</t>
        </is>
      </c>
      <c r="G59" s="5" t="inlineStr"/>
      <c r="H59" s="5" t="inlineStr">
        <is>
          <t>Reporting templates</t>
        </is>
      </c>
      <c r="I59" s="5" t="inlineStr">
        <is>
          <t>Template pack</t>
        </is>
      </c>
      <c r="J59" s="12" t="n">
        <v>0</v>
      </c>
      <c r="K59" s="5" t="inlineStr">
        <is>
          <t>OPEX</t>
        </is>
      </c>
      <c r="L59" s="11" t="n">
        <v>4</v>
      </c>
      <c r="M59" s="5" t="inlineStr">
        <is>
          <t>High</t>
        </is>
      </c>
      <c r="N59" s="11" t="inlineStr">
        <is>
          <t>Amber</t>
        </is>
      </c>
      <c r="O59" s="5" t="inlineStr">
        <is>
          <t>No</t>
        </is>
      </c>
      <c r="P59" s="5" t="inlineStr">
        <is>
          <t>Not Started</t>
        </is>
      </c>
      <c r="Q59" s="5" t="inlineStr"/>
      <c r="R59" s="5" t="inlineStr"/>
      <c r="S59" s="5" t="inlineStr"/>
      <c r="T59" s="5" t="inlineStr"/>
      <c r="U59" s="5" t="inlineStr"/>
      <c r="V59" s="5" t="inlineStr"/>
      <c r="W59" s="5" t="inlineStr">
        <is>
          <t>Each pack needs source data owner</t>
        </is>
      </c>
      <c r="X59" s="5" t="inlineStr">
        <is>
          <t>Source 3.3</t>
        </is>
      </c>
    </row>
    <row r="60">
      <c r="A60" s="5" t="inlineStr">
        <is>
          <t>Business Plan Harmonization</t>
        </is>
      </c>
      <c r="B60" s="5" t="inlineStr">
        <is>
          <t>3.3</t>
        </is>
      </c>
      <c r="C60" s="5" t="inlineStr">
        <is>
          <t>3.3-T07</t>
        </is>
      </c>
      <c r="D60" s="5" t="inlineStr">
        <is>
          <t>Set inventory and CCC dashboard</t>
        </is>
      </c>
      <c r="E60" s="5" t="inlineStr">
        <is>
          <t>Track steel, components and cash conversion cycle</t>
        </is>
      </c>
      <c r="F60" s="5" t="inlineStr">
        <is>
          <t>Operations / CFO</t>
        </is>
      </c>
      <c r="G60" s="5" t="inlineStr"/>
      <c r="H60" s="5" t="inlineStr">
        <is>
          <t>Inventory dashboard</t>
        </is>
      </c>
      <c r="I60" s="5" t="inlineStr">
        <is>
          <t>Dashboard</t>
        </is>
      </c>
      <c r="J60" s="12" t="n">
        <v>0</v>
      </c>
      <c r="K60" s="5" t="inlineStr">
        <is>
          <t>Working Capital</t>
        </is>
      </c>
      <c r="L60" s="11" t="n">
        <v>4</v>
      </c>
      <c r="M60" s="5" t="inlineStr">
        <is>
          <t>High</t>
        </is>
      </c>
      <c r="N60" s="11" t="inlineStr">
        <is>
          <t>Amber</t>
        </is>
      </c>
      <c r="O60" s="5" t="inlineStr">
        <is>
          <t>No</t>
        </is>
      </c>
      <c r="P60" s="5" t="inlineStr">
        <is>
          <t>Not Started</t>
        </is>
      </c>
      <c r="Q60" s="5" t="inlineStr"/>
      <c r="R60" s="5" t="inlineStr"/>
      <c r="S60" s="5" t="inlineStr"/>
      <c r="T60" s="5" t="inlineStr"/>
      <c r="U60" s="5" t="inlineStr"/>
      <c r="V60" s="5" t="inlineStr"/>
      <c r="W60" s="5" t="inlineStr">
        <is>
          <t>Daily monitoring claim needs system capability</t>
        </is>
      </c>
      <c r="X60" s="5" t="inlineStr">
        <is>
          <t>Source 3.3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42" customWidth="1" min="3" max="3"/>
    <col width="11" customWidth="1" min="4" max="4"/>
    <col width="17" customWidth="1" min="5" max="5"/>
    <col width="18" customWidth="1" min="6" max="6"/>
    <col width="16" customWidth="1" min="7" max="7"/>
    <col width="42" customWidth="1" min="8" max="8"/>
    <col width="16" customWidth="1" min="9" max="9"/>
  </cols>
  <sheetData>
    <row r="1" ht="24" customHeight="1">
      <c r="A1" s="1" t="inlineStr">
        <is>
          <t>Financial Map</t>
        </is>
      </c>
    </row>
    <row r="2" ht="38" customHeight="1">
      <c r="A2" s="2" t="inlineStr">
        <is>
          <t>Where each chapter affects CAPEX, OPEX, COGS, Funding, Revenue or KPI logic</t>
        </is>
      </c>
    </row>
    <row r="3">
      <c r="A3" s="6" t="inlineStr">
        <is>
          <t>Chapter</t>
        </is>
      </c>
      <c r="B3" s="6" t="inlineStr">
        <is>
          <t>Category</t>
        </is>
      </c>
      <c r="C3" s="6" t="inlineStr">
        <is>
          <t>Subcategory</t>
        </is>
      </c>
      <c r="D3" s="6" t="inlineStr">
        <is>
          <t>Type</t>
        </is>
      </c>
      <c r="E3" s="6" t="inlineStr">
        <is>
          <t>Amount_or_Value</t>
        </is>
      </c>
      <c r="F3" s="6" t="inlineStr">
        <is>
          <t>Status</t>
        </is>
      </c>
      <c r="G3" s="6" t="inlineStr">
        <is>
          <t>Funding_Source</t>
        </is>
      </c>
      <c r="H3" s="6" t="inlineStr">
        <is>
          <t>Comment</t>
        </is>
      </c>
      <c r="I3" s="6" t="inlineStr">
        <is>
          <t>Source_Section</t>
        </is>
      </c>
    </row>
    <row r="4">
      <c r="A4" s="5" t="inlineStr">
        <is>
          <t>1.1</t>
        </is>
      </c>
      <c r="B4" s="5" t="inlineStr">
        <is>
          <t>Production plant</t>
        </is>
      </c>
      <c r="C4" s="5" t="inlineStr">
        <is>
          <t>Building and core production infrastructure</t>
        </is>
      </c>
      <c r="D4" s="13" t="inlineStr">
        <is>
          <t>CAPEX</t>
        </is>
      </c>
      <c r="E4" s="5" t="inlineStr"/>
      <c r="F4" s="5" t="inlineStr"/>
      <c r="G4" s="5" t="inlineStr"/>
      <c r="H4" s="5" t="inlineStr">
        <is>
          <t>Base industrial facility</t>
        </is>
      </c>
      <c r="I4" s="5" t="inlineStr">
        <is>
          <t>1.1</t>
        </is>
      </c>
    </row>
    <row r="5">
      <c r="A5" s="5" t="inlineStr">
        <is>
          <t>1.1</t>
        </is>
      </c>
      <c r="B5" s="5" t="inlineStr">
        <is>
          <t>Production equipment</t>
        </is>
      </c>
      <c r="C5" s="5" t="inlineStr">
        <is>
          <t>CNC machines</t>
        </is>
      </c>
      <c r="D5" s="13" t="inlineStr">
        <is>
          <t>CAPEX</t>
        </is>
      </c>
      <c r="E5" s="5" t="inlineStr"/>
      <c r="F5" s="5" t="inlineStr"/>
      <c r="G5" s="5" t="inlineStr"/>
      <c r="H5" s="5" t="inlineStr">
        <is>
          <t>Precision metal processing</t>
        </is>
      </c>
      <c r="I5" s="5" t="inlineStr">
        <is>
          <t>1.1</t>
        </is>
      </c>
    </row>
    <row r="6">
      <c r="A6" s="5" t="inlineStr">
        <is>
          <t>1.1</t>
        </is>
      </c>
      <c r="B6" s="5" t="inlineStr">
        <is>
          <t>Automation</t>
        </is>
      </c>
      <c r="C6" s="5" t="inlineStr">
        <is>
          <t>Robotic welding</t>
        </is>
      </c>
      <c r="D6" s="13" t="inlineStr">
        <is>
          <t>CAPEX</t>
        </is>
      </c>
      <c r="E6" s="5" t="inlineStr"/>
      <c r="F6" s="5" t="inlineStr"/>
      <c r="G6" s="5" t="inlineStr"/>
      <c r="H6" s="5" t="inlineStr">
        <is>
          <t>COGS optimization driver</t>
        </is>
      </c>
      <c r="I6" s="5" t="inlineStr">
        <is>
          <t>1.1</t>
        </is>
      </c>
    </row>
    <row r="7">
      <c r="A7" s="5" t="inlineStr">
        <is>
          <t>1.1</t>
        </is>
      </c>
      <c r="B7" s="5" t="inlineStr">
        <is>
          <t>Energy system</t>
        </is>
      </c>
      <c r="C7" s="5" t="inlineStr">
        <is>
          <t>1 MWp solar plant</t>
        </is>
      </c>
      <c r="D7" s="13" t="inlineStr">
        <is>
          <t>CAPEX</t>
        </is>
      </c>
      <c r="E7" s="5" t="inlineStr"/>
      <c r="F7" s="5" t="inlineStr"/>
      <c r="G7" s="5" t="inlineStr"/>
      <c r="H7" s="5" t="inlineStr">
        <is>
          <t>OPEX reduction driver</t>
        </is>
      </c>
      <c r="I7" s="5" t="inlineStr">
        <is>
          <t>1.1</t>
        </is>
      </c>
    </row>
    <row r="8">
      <c r="A8" s="5" t="inlineStr">
        <is>
          <t>1.1</t>
        </is>
      </c>
      <c r="B8" s="5" t="inlineStr">
        <is>
          <t>Certification</t>
        </is>
      </c>
      <c r="C8" s="5" t="inlineStr">
        <is>
          <t>ISO implementation</t>
        </is>
      </c>
      <c r="D8" s="11" t="inlineStr">
        <is>
          <t>OPEX</t>
        </is>
      </c>
      <c r="E8" s="5" t="inlineStr"/>
      <c r="F8" s="5" t="inlineStr"/>
      <c r="G8" s="5" t="inlineStr"/>
      <c r="H8" s="5" t="inlineStr">
        <is>
          <t>Market-access cost</t>
        </is>
      </c>
      <c r="I8" s="5" t="inlineStr">
        <is>
          <t>1.1</t>
        </is>
      </c>
    </row>
    <row r="9">
      <c r="A9" s="5" t="inlineStr">
        <is>
          <t>1.1</t>
        </is>
      </c>
      <c r="B9" s="5" t="inlineStr">
        <is>
          <t>Energy</t>
        </is>
      </c>
      <c r="C9" s="5" t="inlineStr">
        <is>
          <t>Electricity consumption</t>
        </is>
      </c>
      <c r="D9" s="11" t="inlineStr">
        <is>
          <t>OPEX</t>
        </is>
      </c>
      <c r="E9" s="5" t="inlineStr"/>
      <c r="F9" s="5" t="inlineStr"/>
      <c r="G9" s="5" t="inlineStr"/>
      <c r="H9" s="5" t="inlineStr">
        <is>
          <t>Target 20-30% saving claim requires model</t>
        </is>
      </c>
      <c r="I9" s="5" t="inlineStr">
        <is>
          <t>1.1</t>
        </is>
      </c>
    </row>
    <row r="10">
      <c r="A10" s="5" t="inlineStr">
        <is>
          <t>1.1</t>
        </is>
      </c>
      <c r="B10" s="5" t="inlineStr">
        <is>
          <t>Labor</t>
        </is>
      </c>
      <c r="C10" s="5" t="inlineStr">
        <is>
          <t>Operators and engineers</t>
        </is>
      </c>
      <c r="D10" s="11" t="inlineStr">
        <is>
          <t>OPEX</t>
        </is>
      </c>
      <c r="E10" s="5" t="inlineStr"/>
      <c r="F10" s="5" t="inlineStr"/>
      <c r="G10" s="5" t="inlineStr"/>
      <c r="H10" s="5" t="inlineStr">
        <is>
          <t>Ramp-up staffing</t>
        </is>
      </c>
      <c r="I10" s="5" t="inlineStr">
        <is>
          <t>1.1</t>
        </is>
      </c>
    </row>
    <row r="11">
      <c r="A11" s="5" t="inlineStr">
        <is>
          <t>1.1</t>
        </is>
      </c>
      <c r="B11" s="5" t="inlineStr">
        <is>
          <t>Maintenance</t>
        </is>
      </c>
      <c r="C11" s="5" t="inlineStr">
        <is>
          <t>Equipment service</t>
        </is>
      </c>
      <c r="D11" s="11" t="inlineStr">
        <is>
          <t>OPEX</t>
        </is>
      </c>
      <c r="E11" s="5" t="inlineStr"/>
      <c r="F11" s="5" t="inlineStr"/>
      <c r="G11" s="5" t="inlineStr"/>
      <c r="H11" s="5" t="inlineStr">
        <is>
          <t>Recurring technical upkeep</t>
        </is>
      </c>
      <c r="I11" s="5" t="inlineStr">
        <is>
          <t>1.1</t>
        </is>
      </c>
    </row>
    <row r="12">
      <c r="A12" s="5" t="inlineStr">
        <is>
          <t>1.1</t>
        </is>
      </c>
      <c r="B12" s="5" t="inlineStr">
        <is>
          <t>Materials</t>
        </is>
      </c>
      <c r="C12" s="5" t="inlineStr">
        <is>
          <t>Steel and components</t>
        </is>
      </c>
      <c r="D12" s="14" t="inlineStr">
        <is>
          <t>COGS</t>
        </is>
      </c>
      <c r="E12" s="5" t="inlineStr"/>
      <c r="F12" s="5" t="inlineStr"/>
      <c r="G12" s="5" t="inlineStr"/>
      <c r="H12" s="5" t="inlineStr">
        <is>
          <t>Primary direct cost</t>
        </is>
      </c>
      <c r="I12" s="5" t="inlineStr">
        <is>
          <t>1.1</t>
        </is>
      </c>
    </row>
    <row r="13">
      <c r="A13" s="5" t="inlineStr">
        <is>
          <t>1.1</t>
        </is>
      </c>
      <c r="B13" s="5" t="inlineStr">
        <is>
          <t>Logistics</t>
        </is>
      </c>
      <c r="C13" s="5" t="inlineStr">
        <is>
          <t>Transport and delivery</t>
        </is>
      </c>
      <c r="D13" s="14" t="inlineStr">
        <is>
          <t>COGS</t>
        </is>
      </c>
      <c r="E13" s="5" t="inlineStr"/>
      <c r="F13" s="5" t="inlineStr"/>
      <c r="G13" s="5" t="inlineStr"/>
      <c r="H13" s="5" t="inlineStr">
        <is>
          <t>Export delivery cost</t>
        </is>
      </c>
      <c r="I13" s="5" t="inlineStr">
        <is>
          <t>1.1</t>
        </is>
      </c>
    </row>
    <row r="14">
      <c r="A14" s="5" t="inlineStr">
        <is>
          <t>1.2</t>
        </is>
      </c>
      <c r="B14" s="5" t="inlineStr">
        <is>
          <t>Equity</t>
        </is>
      </c>
      <c r="C14" s="5" t="inlineStr">
        <is>
          <t>Sponsor equity</t>
        </is>
      </c>
      <c r="D14" s="15" t="inlineStr">
        <is>
          <t>Funding</t>
        </is>
      </c>
      <c r="E14" s="12" t="n">
        <v>1800000</v>
      </c>
      <c r="F14" s="5" t="inlineStr">
        <is>
          <t>Secured</t>
        </is>
      </c>
      <c r="G14" s="5" t="inlineStr"/>
      <c r="H14" s="5" t="inlineStr">
        <is>
          <t>17.5%</t>
        </is>
      </c>
      <c r="I14" s="5" t="inlineStr">
        <is>
          <t>1.2</t>
        </is>
      </c>
    </row>
    <row r="15">
      <c r="A15" s="5" t="inlineStr">
        <is>
          <t>1.2</t>
        </is>
      </c>
      <c r="B15" s="5" t="inlineStr">
        <is>
          <t>Bank Debt</t>
        </is>
      </c>
      <c r="C15" s="5" t="inlineStr">
        <is>
          <t>Senior financing</t>
        </is>
      </c>
      <c r="D15" s="15" t="inlineStr">
        <is>
          <t>Funding</t>
        </is>
      </c>
      <c r="E15" s="12" t="n">
        <v>4800000</v>
      </c>
      <c r="F15" s="5" t="inlineStr">
        <is>
          <t>In approval</t>
        </is>
      </c>
      <c r="G15" s="5" t="inlineStr"/>
      <c r="H15" s="5" t="inlineStr">
        <is>
          <t>46.5%</t>
        </is>
      </c>
      <c r="I15" s="5" t="inlineStr">
        <is>
          <t>1.2</t>
        </is>
      </c>
    </row>
    <row r="16">
      <c r="A16" s="5" t="inlineStr">
        <is>
          <t>1.2</t>
        </is>
      </c>
      <c r="B16" s="5" t="inlineStr">
        <is>
          <t>EU Grants</t>
        </is>
      </c>
      <c r="C16" s="5" t="inlineStr">
        <is>
          <t>Development and EU grants</t>
        </is>
      </c>
      <c r="D16" s="15" t="inlineStr">
        <is>
          <t>Funding</t>
        </is>
      </c>
      <c r="E16" s="12" t="n">
        <v>2400000</v>
      </c>
      <c r="F16" s="5" t="inlineStr">
        <is>
          <t>Under evaluation</t>
        </is>
      </c>
      <c r="G16" s="5" t="inlineStr"/>
      <c r="H16" s="5" t="inlineStr">
        <is>
          <t>23.2%</t>
        </is>
      </c>
      <c r="I16" s="5" t="inlineStr">
        <is>
          <t>1.2</t>
        </is>
      </c>
    </row>
    <row r="17">
      <c r="A17" s="5" t="inlineStr">
        <is>
          <t>1.2</t>
        </is>
      </c>
      <c r="B17" s="5" t="inlineStr">
        <is>
          <t>Subordinated Capital</t>
        </is>
      </c>
      <c r="C17" s="5" t="inlineStr">
        <is>
          <t>Sub debt/additional investor equity</t>
        </is>
      </c>
      <c r="D17" s="15" t="inlineStr">
        <is>
          <t>Funding</t>
        </is>
      </c>
      <c r="E17" s="12" t="n">
        <v>1330000</v>
      </c>
      <c r="F17" s="5" t="inlineStr">
        <is>
          <t>Negotiation</t>
        </is>
      </c>
      <c r="G17" s="5" t="inlineStr"/>
      <c r="H17" s="5" t="inlineStr">
        <is>
          <t>12.8%</t>
        </is>
      </c>
      <c r="I17" s="5" t="inlineStr">
        <is>
          <t>1.2</t>
        </is>
      </c>
    </row>
    <row r="18">
      <c r="A18" s="5" t="inlineStr">
        <is>
          <t>1.2</t>
        </is>
      </c>
      <c r="B18" s="5" t="inlineStr">
        <is>
          <t>CAPEX</t>
        </is>
      </c>
      <c r="C18" s="5" t="inlineStr">
        <is>
          <t>Project design/build/machinery/solar</t>
        </is>
      </c>
      <c r="D18" s="10" t="inlineStr">
        <is>
          <t>Use</t>
        </is>
      </c>
      <c r="E18" s="12" t="n">
        <v>8000000</v>
      </c>
      <c r="F18" s="5" t="inlineStr"/>
      <c r="G18" s="5" t="inlineStr"/>
      <c r="H18" s="5" t="inlineStr"/>
      <c r="I18" s="5" t="inlineStr">
        <is>
          <t>1.2</t>
        </is>
      </c>
    </row>
    <row r="19">
      <c r="A19" s="5" t="inlineStr">
        <is>
          <t>1.2</t>
        </is>
      </c>
      <c r="B19" s="5" t="inlineStr">
        <is>
          <t>Working Capital</t>
        </is>
      </c>
      <c r="C19" s="5" t="inlineStr">
        <is>
          <t>Startup liquidity and raw materials</t>
        </is>
      </c>
      <c r="D19" s="10" t="inlineStr">
        <is>
          <t>Use</t>
        </is>
      </c>
      <c r="E19" s="12" t="n">
        <v>2000000</v>
      </c>
      <c r="F19" s="5" t="inlineStr"/>
      <c r="G19" s="5" t="inlineStr"/>
      <c r="H19" s="5" t="inlineStr"/>
      <c r="I19" s="5" t="inlineStr">
        <is>
          <t>1.2</t>
        </is>
      </c>
    </row>
    <row r="20">
      <c r="A20" s="5" t="inlineStr">
        <is>
          <t>1.2</t>
        </is>
      </c>
      <c r="B20" s="5" t="inlineStr">
        <is>
          <t>Contingency</t>
        </is>
      </c>
      <c r="C20" s="5" t="inlineStr">
        <is>
          <t>Reserve</t>
        </is>
      </c>
      <c r="D20" s="10" t="inlineStr">
        <is>
          <t>Use</t>
        </is>
      </c>
      <c r="E20" s="12" t="n">
        <v>330000</v>
      </c>
      <c r="F20" s="5" t="inlineStr"/>
      <c r="G20" s="5" t="inlineStr"/>
      <c r="H20" s="5" t="inlineStr"/>
      <c r="I20" s="5" t="inlineStr">
        <is>
          <t>1.2</t>
        </is>
      </c>
    </row>
    <row r="21">
      <c r="A21" s="5" t="inlineStr">
        <is>
          <t>1.3</t>
        </is>
      </c>
      <c r="B21" s="5" t="inlineStr">
        <is>
          <t>Raw materials</t>
        </is>
      </c>
      <c r="C21" s="5" t="inlineStr">
        <is>
          <t>Steel</t>
        </is>
      </c>
      <c r="D21" s="14" t="inlineStr">
        <is>
          <t>COGS</t>
        </is>
      </c>
      <c r="E21" s="5" t="inlineStr"/>
      <c r="F21" s="5" t="inlineStr"/>
      <c r="G21" s="5" t="inlineStr"/>
      <c r="H21" s="5" t="inlineStr">
        <is>
          <t>Primary margin driver</t>
        </is>
      </c>
      <c r="I21" s="5" t="inlineStr">
        <is>
          <t>1.3</t>
        </is>
      </c>
    </row>
    <row r="22">
      <c r="A22" s="5" t="inlineStr">
        <is>
          <t>1.3</t>
        </is>
      </c>
      <c r="B22" s="5" t="inlineStr">
        <is>
          <t>Transport</t>
        </is>
      </c>
      <c r="C22" s="5" t="inlineStr">
        <is>
          <t>Export logistics</t>
        </is>
      </c>
      <c r="D22" s="14" t="inlineStr">
        <is>
          <t>COGS</t>
        </is>
      </c>
      <c r="E22" s="5" t="inlineStr"/>
      <c r="F22" s="5" t="inlineStr"/>
      <c r="G22" s="5" t="inlineStr"/>
      <c r="H22" s="5" t="inlineStr">
        <is>
          <t>Near-shoring claim driver</t>
        </is>
      </c>
      <c r="I22" s="5" t="inlineStr">
        <is>
          <t>1.3</t>
        </is>
      </c>
    </row>
    <row r="23">
      <c r="A23" s="5" t="inlineStr">
        <is>
          <t>1.3</t>
        </is>
      </c>
      <c r="B23" s="5" t="inlineStr">
        <is>
          <t>Energy</t>
        </is>
      </c>
      <c r="C23" s="5" t="inlineStr">
        <is>
          <t>Electricity</t>
        </is>
      </c>
      <c r="D23" s="11" t="inlineStr">
        <is>
          <t>OPEX</t>
        </is>
      </c>
      <c r="E23" s="5" t="inlineStr"/>
      <c r="F23" s="5" t="inlineStr"/>
      <c r="G23" s="5" t="inlineStr"/>
      <c r="H23" s="5" t="inlineStr">
        <is>
          <t>Solar expected to reduce cost</t>
        </is>
      </c>
      <c r="I23" s="5" t="inlineStr">
        <is>
          <t>1.3</t>
        </is>
      </c>
    </row>
    <row r="24">
      <c r="A24" s="5" t="inlineStr">
        <is>
          <t>1.3</t>
        </is>
      </c>
      <c r="B24" s="5" t="inlineStr">
        <is>
          <t>Automation</t>
        </is>
      </c>
      <c r="C24" s="5" t="inlineStr">
        <is>
          <t>Robotic welding</t>
        </is>
      </c>
      <c r="D24" s="13" t="inlineStr">
        <is>
          <t>CAPEX</t>
        </is>
      </c>
      <c r="E24" s="5" t="inlineStr"/>
      <c r="F24" s="5" t="inlineStr"/>
      <c r="G24" s="5" t="inlineStr"/>
      <c r="H24" s="5" t="inlineStr">
        <is>
          <t>Labor and quality leverage</t>
        </is>
      </c>
      <c r="I24" s="5" t="inlineStr">
        <is>
          <t>1.3</t>
        </is>
      </c>
    </row>
    <row r="25">
      <c r="A25" s="5" t="inlineStr">
        <is>
          <t>1.3</t>
        </is>
      </c>
      <c r="B25" s="5" t="inlineStr">
        <is>
          <t>Quality</t>
        </is>
      </c>
      <c r="C25" s="5" t="inlineStr">
        <is>
          <t>Traceability systems</t>
        </is>
      </c>
      <c r="D25" s="13" t="inlineStr">
        <is>
          <t>CAPEX</t>
        </is>
      </c>
      <c r="E25" s="5" t="inlineStr"/>
      <c r="F25" s="5" t="inlineStr"/>
      <c r="G25" s="5" t="inlineStr"/>
      <c r="H25" s="5" t="inlineStr">
        <is>
          <t>Tender and OEM requirement</t>
        </is>
      </c>
      <c r="I25" s="5" t="inlineStr">
        <is>
          <t>1.3</t>
        </is>
      </c>
    </row>
    <row r="26">
      <c r="A26" s="5" t="inlineStr">
        <is>
          <t>1.3</t>
        </is>
      </c>
      <c r="B26" s="5" t="inlineStr">
        <is>
          <t>Sales</t>
        </is>
      </c>
      <c r="C26" s="5" t="inlineStr">
        <is>
          <t>OEM partnership development</t>
        </is>
      </c>
      <c r="D26" s="11" t="inlineStr">
        <is>
          <t>OPEX</t>
        </is>
      </c>
      <c r="E26" s="5" t="inlineStr"/>
      <c r="F26" s="5" t="inlineStr"/>
      <c r="G26" s="5" t="inlineStr"/>
      <c r="H26" s="5" t="inlineStr">
        <is>
          <t>Commercial setup cost</t>
        </is>
      </c>
      <c r="I26" s="5" t="inlineStr">
        <is>
          <t>1.3</t>
        </is>
      </c>
    </row>
    <row r="27">
      <c r="A27" s="5" t="inlineStr">
        <is>
          <t>1.3</t>
        </is>
      </c>
      <c r="B27" s="5" t="inlineStr">
        <is>
          <t>Tendering</t>
        </is>
      </c>
      <c r="C27" s="5" t="inlineStr">
        <is>
          <t>Certification and prequalification</t>
        </is>
      </c>
      <c r="D27" s="11" t="inlineStr">
        <is>
          <t>OPEX</t>
        </is>
      </c>
      <c r="E27" s="5" t="inlineStr"/>
      <c r="F27" s="5" t="inlineStr"/>
      <c r="G27" s="5" t="inlineStr"/>
      <c r="H27" s="5" t="inlineStr">
        <is>
          <t>Barrier-to-entry spend</t>
        </is>
      </c>
      <c r="I27" s="5" t="inlineStr">
        <is>
          <t>1.3</t>
        </is>
      </c>
    </row>
    <row r="28">
      <c r="A28" s="5" t="inlineStr">
        <is>
          <t>1.3</t>
        </is>
      </c>
      <c r="B28" s="5" t="inlineStr">
        <is>
          <t>Pricing</t>
        </is>
      </c>
      <c r="C28" s="5" t="inlineStr">
        <is>
          <t>Index-linked contracts</t>
        </is>
      </c>
      <c r="D28" s="16" t="inlineStr">
        <is>
          <t>Strategy</t>
        </is>
      </c>
      <c r="E28" s="5" t="inlineStr"/>
      <c r="F28" s="5" t="inlineStr"/>
      <c r="G28" s="5" t="inlineStr"/>
      <c r="H28" s="5" t="inlineStr">
        <is>
          <t>Margin protection logic</t>
        </is>
      </c>
      <c r="I28" s="5" t="inlineStr">
        <is>
          <t>1.3</t>
        </is>
      </c>
    </row>
    <row r="29">
      <c r="A29" s="5" t="inlineStr">
        <is>
          <t>1.4</t>
        </is>
      </c>
      <c r="B29" s="5" t="inlineStr">
        <is>
          <t>2026 Revenue</t>
        </is>
      </c>
      <c r="C29" s="5" t="inlineStr">
        <is>
          <t>Y1</t>
        </is>
      </c>
      <c r="D29" s="17" t="inlineStr">
        <is>
          <t>Revenue</t>
        </is>
      </c>
      <c r="E29" s="12" t="n">
        <v>8800000</v>
      </c>
      <c r="F29" s="5" t="inlineStr"/>
      <c r="G29" s="5" t="inlineStr"/>
      <c r="H29" s="5" t="inlineStr">
        <is>
          <t>40% utilization</t>
        </is>
      </c>
      <c r="I29" s="5" t="inlineStr">
        <is>
          <t>1.4</t>
        </is>
      </c>
    </row>
    <row r="30">
      <c r="A30" s="5" t="inlineStr">
        <is>
          <t>1.4</t>
        </is>
      </c>
      <c r="B30" s="5" t="inlineStr">
        <is>
          <t>2027 Revenue</t>
        </is>
      </c>
      <c r="C30" s="5" t="inlineStr">
        <is>
          <t>Y2</t>
        </is>
      </c>
      <c r="D30" s="17" t="inlineStr">
        <is>
          <t>Revenue</t>
        </is>
      </c>
      <c r="E30" s="12" t="n">
        <v>16500000</v>
      </c>
      <c r="F30" s="5" t="inlineStr"/>
      <c r="G30" s="5" t="inlineStr"/>
      <c r="H30" s="5" t="inlineStr">
        <is>
          <t>75% utilization</t>
        </is>
      </c>
      <c r="I30" s="5" t="inlineStr">
        <is>
          <t>1.4</t>
        </is>
      </c>
    </row>
    <row r="31">
      <c r="A31" s="5" t="inlineStr">
        <is>
          <t>1.4</t>
        </is>
      </c>
      <c r="B31" s="5" t="inlineStr">
        <is>
          <t>2028 Revenue</t>
        </is>
      </c>
      <c r="C31" s="5" t="inlineStr">
        <is>
          <t>Y3</t>
        </is>
      </c>
      <c r="D31" s="17" t="inlineStr">
        <is>
          <t>Revenue</t>
        </is>
      </c>
      <c r="E31" s="12" t="n">
        <v>19800000</v>
      </c>
      <c r="F31" s="5" t="inlineStr"/>
      <c r="G31" s="5" t="inlineStr"/>
      <c r="H31" s="5" t="inlineStr">
        <is>
          <t>90% utilization</t>
        </is>
      </c>
      <c r="I31" s="5" t="inlineStr">
        <is>
          <t>1.4</t>
        </is>
      </c>
    </row>
    <row r="32">
      <c r="A32" s="5" t="inlineStr">
        <is>
          <t>1.4</t>
        </is>
      </c>
      <c r="B32" s="5" t="inlineStr">
        <is>
          <t>2029 Revenue</t>
        </is>
      </c>
      <c r="C32" s="5" t="inlineStr">
        <is>
          <t>Y4</t>
        </is>
      </c>
      <c r="D32" s="17" t="inlineStr">
        <is>
          <t>Revenue</t>
        </is>
      </c>
      <c r="E32" s="12" t="n">
        <v>20900000</v>
      </c>
      <c r="F32" s="5" t="inlineStr"/>
      <c r="G32" s="5" t="inlineStr"/>
      <c r="H32" s="5" t="inlineStr">
        <is>
          <t>95% utilization</t>
        </is>
      </c>
      <c r="I32" s="5" t="inlineStr">
        <is>
          <t>1.4</t>
        </is>
      </c>
    </row>
    <row r="33">
      <c r="A33" s="5" t="inlineStr">
        <is>
          <t>1.4</t>
        </is>
      </c>
      <c r="B33" s="5" t="inlineStr">
        <is>
          <t>2026 EBITDA Margin</t>
        </is>
      </c>
      <c r="C33" s="5" t="inlineStr">
        <is>
          <t>Y1</t>
        </is>
      </c>
      <c r="D33" s="18" t="inlineStr">
        <is>
          <t>KPI</t>
        </is>
      </c>
      <c r="E33" s="19" t="n">
        <v>0.12</v>
      </c>
      <c r="F33" s="5" t="inlineStr"/>
      <c r="G33" s="5" t="inlineStr"/>
      <c r="H33" s="5" t="inlineStr"/>
      <c r="I33" s="5" t="inlineStr">
        <is>
          <t>1.4</t>
        </is>
      </c>
    </row>
    <row r="34">
      <c r="A34" s="5" t="inlineStr">
        <is>
          <t>1.4</t>
        </is>
      </c>
      <c r="B34" s="5" t="inlineStr">
        <is>
          <t>2027 EBITDA Margin</t>
        </is>
      </c>
      <c r="C34" s="5" t="inlineStr">
        <is>
          <t>Y2</t>
        </is>
      </c>
      <c r="D34" s="18" t="inlineStr">
        <is>
          <t>KPI</t>
        </is>
      </c>
      <c r="E34" s="19" t="n">
        <v>0.23</v>
      </c>
      <c r="F34" s="5" t="inlineStr"/>
      <c r="G34" s="5" t="inlineStr"/>
      <c r="H34" s="5" t="inlineStr"/>
      <c r="I34" s="5" t="inlineStr">
        <is>
          <t>1.4</t>
        </is>
      </c>
    </row>
    <row r="35">
      <c r="A35" s="5" t="inlineStr">
        <is>
          <t>1.4</t>
        </is>
      </c>
      <c r="B35" s="5" t="inlineStr">
        <is>
          <t>2028 EBITDA Margin</t>
        </is>
      </c>
      <c r="C35" s="5" t="inlineStr">
        <is>
          <t>Y3</t>
        </is>
      </c>
      <c r="D35" s="18" t="inlineStr">
        <is>
          <t>KPI</t>
        </is>
      </c>
      <c r="E35" s="19" t="n">
        <v>0.25</v>
      </c>
      <c r="F35" s="5" t="inlineStr"/>
      <c r="G35" s="5" t="inlineStr"/>
      <c r="H35" s="5" t="inlineStr"/>
      <c r="I35" s="5" t="inlineStr">
        <is>
          <t>1.4</t>
        </is>
      </c>
    </row>
    <row r="36">
      <c r="A36" s="5" t="inlineStr">
        <is>
          <t>1.4</t>
        </is>
      </c>
      <c r="B36" s="5" t="inlineStr">
        <is>
          <t>2029 EBITDA Margin</t>
        </is>
      </c>
      <c r="C36" s="5" t="inlineStr">
        <is>
          <t>Y4</t>
        </is>
      </c>
      <c r="D36" s="18" t="inlineStr">
        <is>
          <t>KPI</t>
        </is>
      </c>
      <c r="E36" s="19" t="n">
        <v>0.26</v>
      </c>
      <c r="F36" s="5" t="inlineStr"/>
      <c r="G36" s="5" t="inlineStr"/>
      <c r="H36" s="5" t="inlineStr"/>
      <c r="I36" s="5" t="inlineStr">
        <is>
          <t>1.4</t>
        </is>
      </c>
    </row>
    <row r="37">
      <c r="A37" s="5" t="inlineStr">
        <is>
          <t>1.4</t>
        </is>
      </c>
      <c r="B37" s="5" t="inlineStr">
        <is>
          <t>2026 DSCR</t>
        </is>
      </c>
      <c r="C37" s="5" t="inlineStr">
        <is>
          <t>Y1</t>
        </is>
      </c>
      <c r="D37" s="18" t="inlineStr">
        <is>
          <t>KPI</t>
        </is>
      </c>
      <c r="E37" s="19" t="n">
        <v>0.9</v>
      </c>
      <c r="F37" s="5" t="inlineStr"/>
      <c r="G37" s="5" t="inlineStr"/>
      <c r="H37" s="5" t="inlineStr"/>
      <c r="I37" s="5" t="inlineStr">
        <is>
          <t>1.4</t>
        </is>
      </c>
    </row>
    <row r="38">
      <c r="A38" s="5" t="inlineStr">
        <is>
          <t>1.4</t>
        </is>
      </c>
      <c r="B38" s="5" t="inlineStr">
        <is>
          <t>2027 DSCR</t>
        </is>
      </c>
      <c r="C38" s="5" t="inlineStr">
        <is>
          <t>Y2</t>
        </is>
      </c>
      <c r="D38" s="18" t="inlineStr">
        <is>
          <t>KPI</t>
        </is>
      </c>
      <c r="E38" s="12" t="n">
        <v>1.4</v>
      </c>
      <c r="F38" s="5" t="inlineStr"/>
      <c r="G38" s="5" t="inlineStr"/>
      <c r="H38" s="5" t="inlineStr"/>
      <c r="I38" s="5" t="inlineStr">
        <is>
          <t>1.4</t>
        </is>
      </c>
    </row>
    <row r="39">
      <c r="A39" s="5" t="inlineStr">
        <is>
          <t>1.4</t>
        </is>
      </c>
      <c r="B39" s="5" t="inlineStr">
        <is>
          <t>2028 DSCR</t>
        </is>
      </c>
      <c r="C39" s="5" t="inlineStr">
        <is>
          <t>Y3</t>
        </is>
      </c>
      <c r="D39" s="18" t="inlineStr">
        <is>
          <t>KPI</t>
        </is>
      </c>
      <c r="E39" s="12" t="n">
        <v>1.6</v>
      </c>
      <c r="F39" s="5" t="inlineStr"/>
      <c r="G39" s="5" t="inlineStr"/>
      <c r="H39" s="5" t="inlineStr"/>
      <c r="I39" s="5" t="inlineStr">
        <is>
          <t>1.4</t>
        </is>
      </c>
    </row>
    <row r="40">
      <c r="A40" s="5" t="inlineStr">
        <is>
          <t>1.4</t>
        </is>
      </c>
      <c r="B40" s="5" t="inlineStr">
        <is>
          <t>2029 DSCR</t>
        </is>
      </c>
      <c r="C40" s="5" t="inlineStr">
        <is>
          <t>Y4</t>
        </is>
      </c>
      <c r="D40" s="18" t="inlineStr">
        <is>
          <t>KPI</t>
        </is>
      </c>
      <c r="E40" s="12" t="n">
        <v>1.8</v>
      </c>
      <c r="F40" s="5" t="inlineStr"/>
      <c r="G40" s="5" t="inlineStr"/>
      <c r="H40" s="5" t="inlineStr"/>
      <c r="I40" s="5" t="inlineStr">
        <is>
          <t>1.4</t>
        </is>
      </c>
    </row>
    <row r="41">
      <c r="A41" s="5" t="inlineStr">
        <is>
          <t>1.5</t>
        </is>
      </c>
      <c r="B41" s="5" t="inlineStr">
        <is>
          <t>Solar plant</t>
        </is>
      </c>
      <c r="C41" s="5" t="inlineStr">
        <is>
          <t>Energy system</t>
        </is>
      </c>
      <c r="D41" s="13" t="inlineStr">
        <is>
          <t>CAPEX</t>
        </is>
      </c>
      <c r="E41" s="5" t="inlineStr"/>
      <c r="F41" s="5" t="inlineStr"/>
      <c r="G41" s="5" t="inlineStr"/>
      <c r="H41" s="5" t="inlineStr">
        <is>
          <t>Green manufacturing anchor</t>
        </is>
      </c>
      <c r="I41" s="5" t="inlineStr">
        <is>
          <t>1.5</t>
        </is>
      </c>
    </row>
    <row r="42">
      <c r="A42" s="5" t="inlineStr">
        <is>
          <t>1.5</t>
        </is>
      </c>
      <c r="B42" s="5" t="inlineStr">
        <is>
          <t>ESG systems</t>
        </is>
      </c>
      <c r="C42" s="5" t="inlineStr">
        <is>
          <t>Monitoring and reporting</t>
        </is>
      </c>
      <c r="D42" s="13" t="inlineStr">
        <is>
          <t>CAPEX</t>
        </is>
      </c>
      <c r="E42" s="5" t="inlineStr"/>
      <c r="F42" s="5" t="inlineStr"/>
      <c r="G42" s="5" t="inlineStr"/>
      <c r="H42" s="5" t="inlineStr">
        <is>
          <t>Taxonomy / grant readiness</t>
        </is>
      </c>
      <c r="I42" s="5" t="inlineStr">
        <is>
          <t>1.5</t>
        </is>
      </c>
    </row>
    <row r="43">
      <c r="A43" s="5" t="inlineStr">
        <is>
          <t>1.5</t>
        </is>
      </c>
      <c r="B43" s="5" t="inlineStr">
        <is>
          <t>Training</t>
        </is>
      </c>
      <c r="C43" s="5" t="inlineStr">
        <is>
          <t>Workforce development</t>
        </is>
      </c>
      <c r="D43" s="11" t="inlineStr">
        <is>
          <t>OPEX</t>
        </is>
      </c>
      <c r="E43" s="5" t="inlineStr"/>
      <c r="F43" s="5" t="inlineStr"/>
      <c r="G43" s="5" t="inlineStr"/>
      <c r="H43" s="5" t="inlineStr">
        <is>
          <t>Recurring skill-building cost</t>
        </is>
      </c>
      <c r="I43" s="5" t="inlineStr">
        <is>
          <t>1.5</t>
        </is>
      </c>
    </row>
    <row r="44">
      <c r="A44" s="5" t="inlineStr">
        <is>
          <t>1.5</t>
        </is>
      </c>
      <c r="B44" s="5" t="inlineStr">
        <is>
          <t>Certification</t>
        </is>
      </c>
      <c r="C44" s="5" t="inlineStr">
        <is>
          <t>Standards and audits</t>
        </is>
      </c>
      <c r="D44" s="11" t="inlineStr">
        <is>
          <t>OPEX</t>
        </is>
      </c>
      <c r="E44" s="5" t="inlineStr"/>
      <c r="F44" s="5" t="inlineStr"/>
      <c r="G44" s="5" t="inlineStr"/>
      <c r="H44" s="5" t="inlineStr">
        <is>
          <t>Market-access and grant support</t>
        </is>
      </c>
      <c r="I44" s="5" t="inlineStr">
        <is>
          <t>1.5</t>
        </is>
      </c>
    </row>
    <row r="45">
      <c r="A45" s="5" t="inlineStr">
        <is>
          <t>1.5</t>
        </is>
      </c>
      <c r="B45" s="5" t="inlineStr">
        <is>
          <t>Local supplier setup</t>
        </is>
      </c>
      <c r="C45" s="5" t="inlineStr">
        <is>
          <t>Localization support</t>
        </is>
      </c>
      <c r="D45" s="5" t="inlineStr">
        <is>
          <t>COGS/OPEX</t>
        </is>
      </c>
      <c r="E45" s="5" t="inlineStr"/>
      <c r="F45" s="5" t="inlineStr"/>
      <c r="G45" s="5" t="inlineStr"/>
      <c r="H45" s="5" t="inlineStr">
        <is>
          <t>Potential supplier development spend</t>
        </is>
      </c>
      <c r="I45" s="5" t="inlineStr">
        <is>
          <t>1.5</t>
        </is>
      </c>
    </row>
    <row r="46">
      <c r="A46" s="5" t="inlineStr">
        <is>
          <t>1.5</t>
        </is>
      </c>
      <c r="B46" s="5" t="inlineStr">
        <is>
          <t>Grant access</t>
        </is>
      </c>
      <c r="C46" s="5" t="inlineStr">
        <is>
          <t>EU funds</t>
        </is>
      </c>
      <c r="D46" s="15" t="inlineStr">
        <is>
          <t>Funding</t>
        </is>
      </c>
      <c r="E46" s="5" t="inlineStr"/>
      <c r="F46" s="5" t="inlineStr"/>
      <c r="G46" s="5" t="inlineStr"/>
      <c r="H46" s="5" t="inlineStr">
        <is>
          <t>Potential WACC reduction</t>
        </is>
      </c>
      <c r="I46" s="5" t="inlineStr">
        <is>
          <t>1.5</t>
        </is>
      </c>
    </row>
    <row r="47">
      <c r="A47" s="5" t="inlineStr">
        <is>
          <t>2.1</t>
        </is>
      </c>
      <c r="B47" s="5" t="inlineStr">
        <is>
          <t>Industry 4.0 systems</t>
        </is>
      </c>
      <c r="C47" s="5" t="inlineStr">
        <is>
          <t>Automation / IoT / digital quality</t>
        </is>
      </c>
      <c r="D47" s="13" t="inlineStr">
        <is>
          <t>CAPEX</t>
        </is>
      </c>
      <c r="E47" s="5" t="inlineStr"/>
      <c r="F47" s="5" t="inlineStr"/>
      <c r="G47" s="5" t="inlineStr"/>
      <c r="H47" s="5" t="inlineStr">
        <is>
          <t>Productivity and traceability</t>
        </is>
      </c>
      <c r="I47" s="5" t="inlineStr">
        <is>
          <t>2.1</t>
        </is>
      </c>
    </row>
    <row r="48">
      <c r="A48" s="5" t="inlineStr">
        <is>
          <t>2.1</t>
        </is>
      </c>
      <c r="B48" s="5" t="inlineStr">
        <is>
          <t>Training center</t>
        </is>
      </c>
      <c r="C48" s="5" t="inlineStr">
        <is>
          <t>Education capability</t>
        </is>
      </c>
      <c r="D48" s="13" t="inlineStr">
        <is>
          <t>CAPEX</t>
        </is>
      </c>
      <c r="E48" s="5" t="inlineStr"/>
      <c r="F48" s="5" t="inlineStr"/>
      <c r="G48" s="5" t="inlineStr"/>
      <c r="H48" s="5" t="inlineStr">
        <is>
          <t>Human capital asset</t>
        </is>
      </c>
      <c r="I48" s="5" t="inlineStr">
        <is>
          <t>2.1</t>
        </is>
      </c>
    </row>
    <row r="49">
      <c r="A49" s="5" t="inlineStr">
        <is>
          <t>2.1</t>
        </is>
      </c>
      <c r="B49" s="5" t="inlineStr">
        <is>
          <t>Employee training</t>
        </is>
      </c>
      <c r="C49" s="5" t="inlineStr">
        <is>
          <t>Skills development</t>
        </is>
      </c>
      <c r="D49" s="11" t="inlineStr">
        <is>
          <t>OPEX</t>
        </is>
      </c>
      <c r="E49" s="5" t="inlineStr"/>
      <c r="F49" s="5" t="inlineStr"/>
      <c r="G49" s="5" t="inlineStr"/>
      <c r="H49" s="5" t="inlineStr">
        <is>
          <t>Recurring capability cost</t>
        </is>
      </c>
      <c r="I49" s="5" t="inlineStr">
        <is>
          <t>2.1</t>
        </is>
      </c>
    </row>
    <row r="50">
      <c r="A50" s="5" t="inlineStr">
        <is>
          <t>2.1</t>
        </is>
      </c>
      <c r="B50" s="5" t="inlineStr">
        <is>
          <t>Local subcontractors</t>
        </is>
      </c>
      <c r="C50" s="5" t="inlineStr">
        <is>
          <t>Domestic outsourcing</t>
        </is>
      </c>
      <c r="D50" s="14" t="inlineStr">
        <is>
          <t>COGS</t>
        </is>
      </c>
      <c r="E50" s="5" t="inlineStr"/>
      <c r="F50" s="5" t="inlineStr"/>
      <c r="G50" s="5" t="inlineStr"/>
      <c r="H50" s="5" t="inlineStr">
        <is>
          <t>Potentially lower logistics / higher agility</t>
        </is>
      </c>
      <c r="I50" s="5" t="inlineStr">
        <is>
          <t>2.1</t>
        </is>
      </c>
    </row>
    <row r="51">
      <c r="A51" s="5" t="inlineStr">
        <is>
          <t>2.1</t>
        </is>
      </c>
      <c r="B51" s="5" t="inlineStr">
        <is>
          <t>Export revenues</t>
        </is>
      </c>
      <c r="C51" s="5" t="inlineStr">
        <is>
          <t>Industrial output</t>
        </is>
      </c>
      <c r="D51" s="17" t="inlineStr">
        <is>
          <t>Revenue</t>
        </is>
      </c>
      <c r="E51" s="5" t="inlineStr"/>
      <c r="F51" s="5" t="inlineStr"/>
      <c r="G51" s="5" t="inlineStr"/>
      <c r="H51" s="5" t="inlineStr">
        <is>
          <t>Higher value-added exports</t>
        </is>
      </c>
      <c r="I51" s="5" t="inlineStr">
        <is>
          <t>2.1</t>
        </is>
      </c>
    </row>
    <row r="52">
      <c r="A52" s="5" t="inlineStr">
        <is>
          <t>2.1</t>
        </is>
      </c>
      <c r="B52" s="5" t="inlineStr">
        <is>
          <t>Fiscal contribution</t>
        </is>
      </c>
      <c r="C52" s="5" t="inlineStr">
        <is>
          <t>Taxes and payroll</t>
        </is>
      </c>
      <c r="D52" s="20" t="inlineStr">
        <is>
          <t>Macro</t>
        </is>
      </c>
      <c r="E52" s="5" t="inlineStr"/>
      <c r="F52" s="5" t="inlineStr"/>
      <c r="G52" s="5" t="inlineStr"/>
      <c r="H52" s="5" t="inlineStr">
        <is>
          <t>State budget benefit narrative</t>
        </is>
      </c>
      <c r="I52" s="5" t="inlineStr">
        <is>
          <t>2.1</t>
        </is>
      </c>
    </row>
    <row r="53">
      <c r="A53" s="5" t="inlineStr">
        <is>
          <t>2.2</t>
        </is>
      </c>
      <c r="B53" s="5" t="inlineStr">
        <is>
          <t>Specialized equipment</t>
        </is>
      </c>
      <c r="C53" s="5" t="inlineStr">
        <is>
          <t>High-voltage compatible systems</t>
        </is>
      </c>
      <c r="D53" s="13" t="inlineStr">
        <is>
          <t>CAPEX</t>
        </is>
      </c>
      <c r="E53" s="5" t="inlineStr"/>
      <c r="F53" s="5" t="inlineStr"/>
      <c r="G53" s="5" t="inlineStr"/>
      <c r="H53" s="5" t="inlineStr">
        <is>
          <t>Premium capability</t>
        </is>
      </c>
      <c r="I53" s="5" t="inlineStr">
        <is>
          <t>2.2</t>
        </is>
      </c>
    </row>
    <row r="54">
      <c r="A54" s="5" t="inlineStr">
        <is>
          <t>2.2</t>
        </is>
      </c>
      <c r="B54" s="5" t="inlineStr">
        <is>
          <t>Anti-corrosion systems</t>
        </is>
      </c>
      <c r="C54" s="5" t="inlineStr">
        <is>
          <t>C5-M coating capability</t>
        </is>
      </c>
      <c r="D54" s="13" t="inlineStr">
        <is>
          <t>CAPEX</t>
        </is>
      </c>
      <c r="E54" s="5" t="inlineStr"/>
      <c r="F54" s="5" t="inlineStr"/>
      <c r="G54" s="5" t="inlineStr"/>
      <c r="H54" s="5" t="inlineStr">
        <is>
          <t>Durability feature</t>
        </is>
      </c>
      <c r="I54" s="5" t="inlineStr">
        <is>
          <t>2.2</t>
        </is>
      </c>
    </row>
    <row r="55">
      <c r="A55" s="5" t="inlineStr">
        <is>
          <t>2.2</t>
        </is>
      </c>
      <c r="B55" s="5" t="inlineStr">
        <is>
          <t>Digital monitoring</t>
        </is>
      </c>
      <c r="C55" s="5" t="inlineStr">
        <is>
          <t>Traceability / monitoring</t>
        </is>
      </c>
      <c r="D55" s="13" t="inlineStr">
        <is>
          <t>CAPEX</t>
        </is>
      </c>
      <c r="E55" s="5" t="inlineStr"/>
      <c r="F55" s="5" t="inlineStr"/>
      <c r="G55" s="5" t="inlineStr"/>
      <c r="H55" s="5" t="inlineStr">
        <is>
          <t>Smart-grid compatibility claim</t>
        </is>
      </c>
      <c r="I55" s="5" t="inlineStr">
        <is>
          <t>2.2</t>
        </is>
      </c>
    </row>
    <row r="56">
      <c r="A56" s="5" t="inlineStr">
        <is>
          <t>2.2</t>
        </is>
      </c>
      <c r="B56" s="5" t="inlineStr">
        <is>
          <t>Certification</t>
        </is>
      </c>
      <c r="C56" s="5" t="inlineStr">
        <is>
          <t>Standards / audit</t>
        </is>
      </c>
      <c r="D56" s="11" t="inlineStr">
        <is>
          <t>OPEX</t>
        </is>
      </c>
      <c r="E56" s="5" t="inlineStr"/>
      <c r="F56" s="5" t="inlineStr"/>
      <c r="G56" s="5" t="inlineStr"/>
      <c r="H56" s="5" t="inlineStr">
        <is>
          <t>Tender entry cost</t>
        </is>
      </c>
      <c r="I56" s="5" t="inlineStr">
        <is>
          <t>2.2</t>
        </is>
      </c>
    </row>
    <row r="57">
      <c r="A57" s="5" t="inlineStr">
        <is>
          <t>2.2</t>
        </is>
      </c>
      <c r="B57" s="5" t="inlineStr">
        <is>
          <t>Materials</t>
        </is>
      </c>
      <c r="C57" s="5" t="inlineStr">
        <is>
          <t>Special steel</t>
        </is>
      </c>
      <c r="D57" s="14" t="inlineStr">
        <is>
          <t>COGS</t>
        </is>
      </c>
      <c r="E57" s="5" t="inlineStr"/>
      <c r="F57" s="5" t="inlineStr"/>
      <c r="G57" s="5" t="inlineStr"/>
      <c r="H57" s="5" t="inlineStr">
        <is>
          <t>Quality/performance</t>
        </is>
      </c>
      <c r="I57" s="5" t="inlineStr">
        <is>
          <t>2.2</t>
        </is>
      </c>
    </row>
    <row r="58">
      <c r="A58" s="5" t="inlineStr">
        <is>
          <t>2.2</t>
        </is>
      </c>
      <c r="B58" s="5" t="inlineStr">
        <is>
          <t>Coatings</t>
        </is>
      </c>
      <c r="C58" s="5" t="inlineStr">
        <is>
          <t>Protective systems</t>
        </is>
      </c>
      <c r="D58" s="14" t="inlineStr">
        <is>
          <t>COGS</t>
        </is>
      </c>
      <c r="E58" s="5" t="inlineStr"/>
      <c r="F58" s="5" t="inlineStr"/>
      <c r="G58" s="5" t="inlineStr"/>
      <c r="H58" s="5" t="inlineStr">
        <is>
          <t>Product durability</t>
        </is>
      </c>
      <c r="I58" s="5" t="inlineStr">
        <is>
          <t>2.2</t>
        </is>
      </c>
    </row>
    <row r="59">
      <c r="A59" s="5" t="inlineStr">
        <is>
          <t>2.2</t>
        </is>
      </c>
      <c r="B59" s="5" t="inlineStr">
        <is>
          <t>Grant access</t>
        </is>
      </c>
      <c r="C59" s="5" t="inlineStr">
        <is>
          <t>Energy-transition funds</t>
        </is>
      </c>
      <c r="D59" s="15" t="inlineStr">
        <is>
          <t>Funding</t>
        </is>
      </c>
      <c r="E59" s="5" t="inlineStr"/>
      <c r="F59" s="5" t="inlineStr"/>
      <c r="G59" s="5" t="inlineStr"/>
      <c r="H59" s="5" t="inlineStr">
        <is>
          <t>Potential cost of capital reduction</t>
        </is>
      </c>
      <c r="I59" s="5" t="inlineStr">
        <is>
          <t>2.2</t>
        </is>
      </c>
    </row>
    <row r="60">
      <c r="A60" s="5" t="inlineStr">
        <is>
          <t>2.2</t>
        </is>
      </c>
      <c r="B60" s="5" t="inlineStr">
        <is>
          <t>Stable demand</t>
        </is>
      </c>
      <c r="C60" s="5" t="inlineStr">
        <is>
          <t>Energy infrastructure spending</t>
        </is>
      </c>
      <c r="D60" s="17" t="inlineStr">
        <is>
          <t>Revenue</t>
        </is>
      </c>
      <c r="E60" s="5" t="inlineStr"/>
      <c r="F60" s="5" t="inlineStr"/>
      <c r="G60" s="5" t="inlineStr"/>
      <c r="H60" s="5" t="inlineStr">
        <is>
          <t>Lower cyclicality</t>
        </is>
      </c>
      <c r="I60" s="5" t="inlineStr">
        <is>
          <t>2.2</t>
        </is>
      </c>
    </row>
    <row r="61">
      <c r="A61" s="5" t="inlineStr">
        <is>
          <t>2.3</t>
        </is>
      </c>
      <c r="B61" s="5" t="inlineStr">
        <is>
          <t>EU exports</t>
        </is>
      </c>
      <c r="C61" s="5" t="inlineStr">
        <is>
          <t>Sales to EU customers</t>
        </is>
      </c>
      <c r="D61" s="17" t="inlineStr">
        <is>
          <t>Revenue</t>
        </is>
      </c>
      <c r="E61" s="5" t="inlineStr"/>
      <c r="F61" s="5" t="inlineStr"/>
      <c r="G61" s="5" t="inlineStr"/>
      <c r="H61" s="5" t="inlineStr">
        <is>
          <t>80% target</t>
        </is>
      </c>
      <c r="I61" s="5" t="inlineStr">
        <is>
          <t>2.3</t>
        </is>
      </c>
    </row>
    <row r="62">
      <c r="A62" s="5" t="inlineStr">
        <is>
          <t>2.3</t>
        </is>
      </c>
      <c r="B62" s="5" t="inlineStr">
        <is>
          <t>Transport</t>
        </is>
      </c>
      <c r="C62" s="5" t="inlineStr">
        <is>
          <t>Outbound logistics</t>
        </is>
      </c>
      <c r="D62" s="14" t="inlineStr">
        <is>
          <t>COGS</t>
        </is>
      </c>
      <c r="E62" s="5" t="inlineStr"/>
      <c r="F62" s="5" t="inlineStr"/>
      <c r="G62" s="5" t="inlineStr"/>
      <c r="H62" s="5" t="inlineStr">
        <is>
          <t>Transit cost</t>
        </is>
      </c>
      <c r="I62" s="5" t="inlineStr">
        <is>
          <t>2.3</t>
        </is>
      </c>
    </row>
    <row r="63">
      <c r="A63" s="5" t="inlineStr">
        <is>
          <t>2.3</t>
        </is>
      </c>
      <c r="B63" s="5" t="inlineStr">
        <is>
          <t>Lean supply benefit</t>
        </is>
      </c>
      <c r="C63" s="5" t="inlineStr">
        <is>
          <t>Lower customer inventory</t>
        </is>
      </c>
      <c r="D63" s="16" t="inlineStr">
        <is>
          <t>Strategy</t>
        </is>
      </c>
      <c r="E63" s="5" t="inlineStr"/>
      <c r="F63" s="5" t="inlineStr"/>
      <c r="G63" s="5" t="inlineStr"/>
      <c r="H63" s="5" t="inlineStr">
        <is>
          <t>Commercial selling point</t>
        </is>
      </c>
      <c r="I63" s="5" t="inlineStr">
        <is>
          <t>2.3</t>
        </is>
      </c>
    </row>
    <row r="64">
      <c r="A64" s="5" t="inlineStr">
        <is>
          <t>2.3</t>
        </is>
      </c>
      <c r="B64" s="5" t="inlineStr">
        <is>
          <t>OEM agreements</t>
        </is>
      </c>
      <c r="C64" s="5" t="inlineStr">
        <is>
          <t>Backlog stability</t>
        </is>
      </c>
      <c r="D64" s="17" t="inlineStr">
        <is>
          <t>Revenue</t>
        </is>
      </c>
      <c r="E64" s="5" t="inlineStr"/>
      <c r="F64" s="5" t="inlineStr"/>
      <c r="G64" s="5" t="inlineStr"/>
      <c r="H64" s="5" t="inlineStr">
        <is>
          <t>Not bankable until evidenced</t>
        </is>
      </c>
      <c r="I64" s="5" t="inlineStr">
        <is>
          <t>2.3</t>
        </is>
      </c>
    </row>
    <row r="65">
      <c r="A65" s="5" t="inlineStr">
        <is>
          <t>2.3</t>
        </is>
      </c>
      <c r="B65" s="5" t="inlineStr">
        <is>
          <t>FX natural hedge</t>
        </is>
      </c>
      <c r="C65" s="5" t="inlineStr">
        <is>
          <t>EUR revenues vs EUR debt</t>
        </is>
      </c>
      <c r="D65" s="21" t="inlineStr">
        <is>
          <t>Finance</t>
        </is>
      </c>
      <c r="E65" s="5" t="inlineStr"/>
      <c r="F65" s="5" t="inlineStr"/>
      <c r="G65" s="5" t="inlineStr"/>
      <c r="H65" s="5" t="inlineStr">
        <is>
          <t>Reduced currency mismatch</t>
        </is>
      </c>
      <c r="I65" s="5" t="inlineStr">
        <is>
          <t>2.3</t>
        </is>
      </c>
    </row>
    <row r="66">
      <c r="A66" s="5" t="inlineStr">
        <is>
          <t>2.3</t>
        </is>
      </c>
      <c r="B66" s="5" t="inlineStr">
        <is>
          <t>Governance</t>
        </is>
      </c>
      <c r="C66" s="5" t="inlineStr">
        <is>
          <t>Compliance / reporting</t>
        </is>
      </c>
      <c r="D66" s="11" t="inlineStr">
        <is>
          <t>OPEX</t>
        </is>
      </c>
      <c r="E66" s="5" t="inlineStr"/>
      <c r="F66" s="5" t="inlineStr"/>
      <c r="G66" s="5" t="inlineStr"/>
      <c r="H66" s="5" t="inlineStr">
        <is>
          <t>IFRS and legal readiness</t>
        </is>
      </c>
      <c r="I66" s="5" t="inlineStr">
        <is>
          <t>2.3</t>
        </is>
      </c>
    </row>
    <row r="67">
      <c r="A67" s="5" t="inlineStr">
        <is>
          <t>2.3</t>
        </is>
      </c>
      <c r="B67" s="5" t="inlineStr">
        <is>
          <t>Certification</t>
        </is>
      </c>
      <c r="C67" s="5" t="inlineStr">
        <is>
          <t>Standards</t>
        </is>
      </c>
      <c r="D67" s="11" t="inlineStr">
        <is>
          <t>OPEX</t>
        </is>
      </c>
      <c r="E67" s="5" t="inlineStr"/>
      <c r="F67" s="5" t="inlineStr"/>
      <c r="G67" s="5" t="inlineStr"/>
      <c r="H67" s="5" t="inlineStr">
        <is>
          <t>Market access</t>
        </is>
      </c>
      <c r="I67" s="5" t="inlineStr">
        <is>
          <t>2.3</t>
        </is>
      </c>
    </row>
    <row r="68">
      <c r="A68" s="5" t="inlineStr">
        <is>
          <t>3.1</t>
        </is>
      </c>
      <c r="B68" s="5" t="inlineStr">
        <is>
          <t>Audit</t>
        </is>
      </c>
      <c r="C68" s="5" t="inlineStr">
        <is>
          <t>Big4 or equivalent review</t>
        </is>
      </c>
      <c r="D68" s="11" t="inlineStr">
        <is>
          <t>OPEX</t>
        </is>
      </c>
      <c r="E68" s="5" t="inlineStr"/>
      <c r="F68" s="5" t="inlineStr"/>
      <c r="G68" s="5" t="inlineStr"/>
      <c r="H68" s="5" t="inlineStr">
        <is>
          <t>Audit readiness cost</t>
        </is>
      </c>
      <c r="I68" s="5" t="inlineStr">
        <is>
          <t>3.1</t>
        </is>
      </c>
    </row>
    <row r="69">
      <c r="A69" s="5" t="inlineStr">
        <is>
          <t>3.1</t>
        </is>
      </c>
      <c r="B69" s="5" t="inlineStr">
        <is>
          <t>Compliance</t>
        </is>
      </c>
      <c r="C69" s="5" t="inlineStr">
        <is>
          <t>AML / governance</t>
        </is>
      </c>
      <c r="D69" s="11" t="inlineStr">
        <is>
          <t>OPEX</t>
        </is>
      </c>
      <c r="E69" s="5" t="inlineStr"/>
      <c r="F69" s="5" t="inlineStr"/>
      <c r="G69" s="5" t="inlineStr"/>
      <c r="H69" s="5" t="inlineStr">
        <is>
          <t>Policy and monitoring cost</t>
        </is>
      </c>
      <c r="I69" s="5" t="inlineStr">
        <is>
          <t>3.1</t>
        </is>
      </c>
    </row>
    <row r="70">
      <c r="A70" s="5" t="inlineStr">
        <is>
          <t>3.1</t>
        </is>
      </c>
      <c r="B70" s="5" t="inlineStr">
        <is>
          <t>Legal services</t>
        </is>
      </c>
      <c r="C70" s="5" t="inlineStr">
        <is>
          <t>Statute / agreements</t>
        </is>
      </c>
      <c r="D70" s="11" t="inlineStr">
        <is>
          <t>OPEX</t>
        </is>
      </c>
      <c r="E70" s="5" t="inlineStr"/>
      <c r="F70" s="5" t="inlineStr"/>
      <c r="G70" s="5" t="inlineStr"/>
      <c r="H70" s="5" t="inlineStr">
        <is>
          <t>Corporate structuring cost</t>
        </is>
      </c>
      <c r="I70" s="5" t="inlineStr">
        <is>
          <t>3.1</t>
        </is>
      </c>
    </row>
    <row r="71">
      <c r="A71" s="5" t="inlineStr">
        <is>
          <t>3.1</t>
        </is>
      </c>
      <c r="B71" s="5" t="inlineStr">
        <is>
          <t>IFRS implementation</t>
        </is>
      </c>
      <c r="C71" s="5" t="inlineStr">
        <is>
          <t>Reporting setup</t>
        </is>
      </c>
      <c r="D71" s="11" t="inlineStr">
        <is>
          <t>OPEX</t>
        </is>
      </c>
      <c r="E71" s="5" t="inlineStr"/>
      <c r="F71" s="5" t="inlineStr"/>
      <c r="G71" s="5" t="inlineStr"/>
      <c r="H71" s="5" t="inlineStr">
        <is>
          <t>Accounting transition cost</t>
        </is>
      </c>
      <c r="I71" s="5" t="inlineStr">
        <is>
          <t>3.1</t>
        </is>
      </c>
    </row>
    <row r="72">
      <c r="A72" s="5" t="inlineStr">
        <is>
          <t>3.1</t>
        </is>
      </c>
      <c r="B72" s="5" t="inlineStr">
        <is>
          <t>Governance systems</t>
        </is>
      </c>
      <c r="C72" s="5" t="inlineStr">
        <is>
          <t>Controls</t>
        </is>
      </c>
      <c r="D72" s="11" t="inlineStr">
        <is>
          <t>OPEX</t>
        </is>
      </c>
      <c r="E72" s="5" t="inlineStr"/>
      <c r="F72" s="5" t="inlineStr"/>
      <c r="G72" s="5" t="inlineStr"/>
      <c r="H72" s="5" t="inlineStr">
        <is>
          <t>Operating control environment</t>
        </is>
      </c>
      <c r="I72" s="5" t="inlineStr">
        <is>
          <t>3.1</t>
        </is>
      </c>
    </row>
    <row r="73">
      <c r="A73" s="5" t="inlineStr">
        <is>
          <t>3.1</t>
        </is>
      </c>
      <c r="B73" s="5" t="inlineStr">
        <is>
          <t>Investor capital</t>
        </is>
      </c>
      <c r="C73" s="5" t="inlineStr">
        <is>
          <t>Equity access</t>
        </is>
      </c>
      <c r="D73" s="15" t="inlineStr">
        <is>
          <t>Funding</t>
        </is>
      </c>
      <c r="E73" s="5" t="inlineStr"/>
      <c r="F73" s="5" t="inlineStr"/>
      <c r="G73" s="5" t="inlineStr"/>
      <c r="H73" s="5" t="inlineStr">
        <is>
          <t>Governance enables funding access</t>
        </is>
      </c>
      <c r="I73" s="5" t="inlineStr">
        <is>
          <t>3.1</t>
        </is>
      </c>
    </row>
    <row r="74">
      <c r="A74" s="5" t="inlineStr">
        <is>
          <t>3.2</t>
        </is>
      </c>
      <c r="B74" s="5" t="inlineStr">
        <is>
          <t>Board costs</t>
        </is>
      </c>
      <c r="C74" s="5" t="inlineStr">
        <is>
          <t>Board and committee fees</t>
        </is>
      </c>
      <c r="D74" s="11" t="inlineStr">
        <is>
          <t>OPEX</t>
        </is>
      </c>
      <c r="E74" s="5" t="inlineStr"/>
      <c r="F74" s="5" t="inlineStr"/>
      <c r="G74" s="5" t="inlineStr"/>
      <c r="H74" s="5" t="inlineStr">
        <is>
          <t>Governance cost</t>
        </is>
      </c>
      <c r="I74" s="5" t="inlineStr">
        <is>
          <t>3.2</t>
        </is>
      </c>
    </row>
    <row r="75">
      <c r="A75" s="5" t="inlineStr">
        <is>
          <t>3.2</t>
        </is>
      </c>
      <c r="B75" s="5" t="inlineStr">
        <is>
          <t>ESG committee</t>
        </is>
      </c>
      <c r="C75" s="5" t="inlineStr">
        <is>
          <t>Oversight cost</t>
        </is>
      </c>
      <c r="D75" s="11" t="inlineStr">
        <is>
          <t>OPEX</t>
        </is>
      </c>
      <c r="E75" s="5" t="inlineStr"/>
      <c r="F75" s="5" t="inlineStr"/>
      <c r="G75" s="5" t="inlineStr"/>
      <c r="H75" s="5" t="inlineStr">
        <is>
          <t>Grant/funding readiness</t>
        </is>
      </c>
      <c r="I75" s="5" t="inlineStr">
        <is>
          <t>3.2</t>
        </is>
      </c>
    </row>
    <row r="76">
      <c r="A76" s="5" t="inlineStr">
        <is>
          <t>3.2</t>
        </is>
      </c>
      <c r="B76" s="5" t="inlineStr">
        <is>
          <t>Management bonus</t>
        </is>
      </c>
      <c r="C76" s="5" t="inlineStr">
        <is>
          <t>Performance incentives</t>
        </is>
      </c>
      <c r="D76" s="11" t="inlineStr">
        <is>
          <t>OPEX</t>
        </is>
      </c>
      <c r="E76" s="5" t="inlineStr"/>
      <c r="F76" s="5" t="inlineStr"/>
      <c r="G76" s="5" t="inlineStr"/>
      <c r="H76" s="5" t="inlineStr">
        <is>
          <t>Variable comp</t>
        </is>
      </c>
      <c r="I76" s="5" t="inlineStr">
        <is>
          <t>3.2</t>
        </is>
      </c>
    </row>
    <row r="77">
      <c r="A77" s="5" t="inlineStr">
        <is>
          <t>3.2</t>
        </is>
      </c>
      <c r="B77" s="5" t="inlineStr">
        <is>
          <t>Governance systems</t>
        </is>
      </c>
      <c r="C77" s="5" t="inlineStr">
        <is>
          <t>Controls and reporting</t>
        </is>
      </c>
      <c r="D77" s="11" t="inlineStr">
        <is>
          <t>OPEX</t>
        </is>
      </c>
      <c r="E77" s="5" t="inlineStr"/>
      <c r="F77" s="5" t="inlineStr"/>
      <c r="G77" s="5" t="inlineStr"/>
      <c r="H77" s="5" t="inlineStr">
        <is>
          <t>Control discipline</t>
        </is>
      </c>
      <c r="I77" s="5" t="inlineStr">
        <is>
          <t>3.2</t>
        </is>
      </c>
    </row>
    <row r="78">
      <c r="A78" s="5" t="inlineStr">
        <is>
          <t>3.2</t>
        </is>
      </c>
      <c r="B78" s="5" t="inlineStr">
        <is>
          <t>CFO control</t>
        </is>
      </c>
      <c r="C78" s="5" t="inlineStr">
        <is>
          <t>Budget protection</t>
        </is>
      </c>
      <c r="D78" s="21" t="inlineStr">
        <is>
          <t>Finance</t>
        </is>
      </c>
      <c r="E78" s="5" t="inlineStr"/>
      <c r="F78" s="5" t="inlineStr"/>
      <c r="G78" s="5" t="inlineStr"/>
      <c r="H78" s="5" t="inlineStr">
        <is>
          <t>Risk-reduction mechanism</t>
        </is>
      </c>
      <c r="I78" s="5" t="inlineStr">
        <is>
          <t>3.2</t>
        </is>
      </c>
    </row>
    <row r="79">
      <c r="A79" s="5" t="inlineStr">
        <is>
          <t>3.2</t>
        </is>
      </c>
      <c r="B79" s="5" t="inlineStr">
        <is>
          <t>Investor capital</t>
        </is>
      </c>
      <c r="C79" s="5" t="inlineStr">
        <is>
          <t>Funding access</t>
        </is>
      </c>
      <c r="D79" s="15" t="inlineStr">
        <is>
          <t>Funding</t>
        </is>
      </c>
      <c r="E79" s="5" t="inlineStr"/>
      <c r="F79" s="5" t="inlineStr"/>
      <c r="G79" s="5" t="inlineStr"/>
      <c r="H79" s="5" t="inlineStr">
        <is>
          <t>Governance premium</t>
        </is>
      </c>
      <c r="I79" s="5" t="inlineStr">
        <is>
          <t>3.2</t>
        </is>
      </c>
    </row>
    <row r="80">
      <c r="A80" s="5" t="inlineStr">
        <is>
          <t>3.3</t>
        </is>
      </c>
      <c r="B80" s="5" t="inlineStr">
        <is>
          <t>ERP system</t>
        </is>
      </c>
      <c r="C80" s="5" t="inlineStr">
        <is>
          <t>Software / implementation</t>
        </is>
      </c>
      <c r="D80" s="13" t="inlineStr">
        <is>
          <t>CAPEX</t>
        </is>
      </c>
      <c r="E80" s="5" t="inlineStr"/>
      <c r="F80" s="5" t="inlineStr"/>
      <c r="G80" s="5" t="inlineStr"/>
      <c r="H80" s="5" t="inlineStr">
        <is>
          <t>Digital control infrastructure</t>
        </is>
      </c>
      <c r="I80" s="5" t="inlineStr">
        <is>
          <t>3.3</t>
        </is>
      </c>
    </row>
    <row r="81">
      <c r="A81" s="5" t="inlineStr">
        <is>
          <t>3.3</t>
        </is>
      </c>
      <c r="B81" s="5" t="inlineStr">
        <is>
          <t>IT integration</t>
        </is>
      </c>
      <c r="C81" s="5" t="inlineStr">
        <is>
          <t>Systems setup</t>
        </is>
      </c>
      <c r="D81" s="13" t="inlineStr">
        <is>
          <t>CAPEX</t>
        </is>
      </c>
      <c r="E81" s="5" t="inlineStr"/>
      <c r="F81" s="5" t="inlineStr"/>
      <c r="G81" s="5" t="inlineStr"/>
      <c r="H81" s="5" t="inlineStr">
        <is>
          <t>Implementation effort</t>
        </is>
      </c>
      <c r="I81" s="5" t="inlineStr">
        <is>
          <t>3.3</t>
        </is>
      </c>
    </row>
    <row r="82">
      <c r="A82" s="5" t="inlineStr">
        <is>
          <t>3.3</t>
        </is>
      </c>
      <c r="B82" s="5" t="inlineStr">
        <is>
          <t>ERP licenses</t>
        </is>
      </c>
      <c r="C82" s="5" t="inlineStr">
        <is>
          <t>Annual subscription / maintenance</t>
        </is>
      </c>
      <c r="D82" s="11" t="inlineStr">
        <is>
          <t>OPEX</t>
        </is>
      </c>
      <c r="E82" s="5" t="inlineStr"/>
      <c r="F82" s="5" t="inlineStr"/>
      <c r="G82" s="5" t="inlineStr"/>
      <c r="H82" s="5" t="inlineStr">
        <is>
          <t>Recurring software cost</t>
        </is>
      </c>
      <c r="I82" s="5" t="inlineStr">
        <is>
          <t>3.3</t>
        </is>
      </c>
    </row>
    <row r="83">
      <c r="A83" s="5" t="inlineStr">
        <is>
          <t>3.3</t>
        </is>
      </c>
      <c r="B83" s="5" t="inlineStr">
        <is>
          <t>Finance team</t>
        </is>
      </c>
      <c r="C83" s="5" t="inlineStr">
        <is>
          <t>CFO control function</t>
        </is>
      </c>
      <c r="D83" s="11" t="inlineStr">
        <is>
          <t>OPEX</t>
        </is>
      </c>
      <c r="E83" s="5" t="inlineStr"/>
      <c r="F83" s="5" t="inlineStr"/>
      <c r="G83" s="5" t="inlineStr"/>
      <c r="H83" s="5" t="inlineStr">
        <is>
          <t>Control cost</t>
        </is>
      </c>
      <c r="I83" s="5" t="inlineStr">
        <is>
          <t>3.3</t>
        </is>
      </c>
    </row>
    <row r="84">
      <c r="A84" s="5" t="inlineStr">
        <is>
          <t>3.3</t>
        </is>
      </c>
      <c r="B84" s="5" t="inlineStr">
        <is>
          <t>Procurement system</t>
        </is>
      </c>
      <c r="C84" s="5" t="inlineStr">
        <is>
          <t>Tender process support</t>
        </is>
      </c>
      <c r="D84" s="11" t="inlineStr">
        <is>
          <t>OPEX</t>
        </is>
      </c>
      <c r="E84" s="5" t="inlineStr"/>
      <c r="F84" s="5" t="inlineStr"/>
      <c r="G84" s="5" t="inlineStr"/>
      <c r="H84" s="5" t="inlineStr">
        <is>
          <t>Transparency and savings</t>
        </is>
      </c>
      <c r="I84" s="5" t="inlineStr">
        <is>
          <t>3.3</t>
        </is>
      </c>
    </row>
    <row r="85">
      <c r="A85" s="5" t="inlineStr">
        <is>
          <t>3.3</t>
        </is>
      </c>
      <c r="B85" s="5" t="inlineStr">
        <is>
          <t>Cash flow monitoring</t>
        </is>
      </c>
      <c r="C85" s="5" t="inlineStr">
        <is>
          <t>Liquidity management</t>
        </is>
      </c>
      <c r="D85" s="21" t="inlineStr">
        <is>
          <t>Finance</t>
        </is>
      </c>
      <c r="E85" s="5" t="inlineStr"/>
      <c r="F85" s="5" t="inlineStr"/>
      <c r="G85" s="5" t="inlineStr"/>
      <c r="H85" s="5" t="inlineStr">
        <is>
          <t>Risk reduction</t>
        </is>
      </c>
      <c r="I85" s="5" t="inlineStr">
        <is>
          <t>3.3</t>
        </is>
      </c>
    </row>
    <row r="86">
      <c r="A86" s="5" t="inlineStr">
        <is>
          <t>3.3</t>
        </is>
      </c>
      <c r="B86" s="5" t="inlineStr">
        <is>
          <t>Covenant monitoring</t>
        </is>
      </c>
      <c r="C86" s="5" t="inlineStr">
        <is>
          <t>Debt compliance</t>
        </is>
      </c>
      <c r="D86" s="21" t="inlineStr">
        <is>
          <t>Finance</t>
        </is>
      </c>
      <c r="E86" s="5" t="inlineStr"/>
      <c r="F86" s="5" t="inlineStr"/>
      <c r="G86" s="5" t="inlineStr"/>
      <c r="H86" s="5" t="inlineStr">
        <is>
          <t>Bankability support</t>
        </is>
      </c>
      <c r="I86" s="5" t="inlineStr">
        <is>
          <t>3.3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42" customWidth="1" min="3" max="3"/>
    <col width="21" customWidth="1" min="4" max="4"/>
    <col width="19" customWidth="1" min="5" max="5"/>
    <col width="10" customWidth="1" min="6" max="6"/>
    <col width="42" customWidth="1" min="7" max="7"/>
    <col width="16" customWidth="1" min="8" max="8"/>
  </cols>
  <sheetData>
    <row r="1" ht="24" customHeight="1">
      <c r="A1" s="1" t="inlineStr">
        <is>
          <t>Strategy &amp; OKR</t>
        </is>
      </c>
    </row>
    <row r="2" ht="38" customHeight="1">
      <c r="A2" s="2" t="inlineStr">
        <is>
          <t>Harmonized strategic goals and measurable outcomes extracted from the text</t>
        </is>
      </c>
    </row>
    <row r="3">
      <c r="A3" s="6" t="inlineStr">
        <is>
          <t>Chapter</t>
        </is>
      </c>
      <c r="B3" s="6" t="inlineStr">
        <is>
          <t>Strategic_Goal</t>
        </is>
      </c>
      <c r="C3" s="6" t="inlineStr">
        <is>
          <t>Key_Result</t>
        </is>
      </c>
      <c r="D3" s="6" t="inlineStr">
        <is>
          <t>Owner</t>
        </is>
      </c>
      <c r="E3" s="6" t="inlineStr">
        <is>
          <t>Timeline</t>
        </is>
      </c>
      <c r="F3" s="6" t="inlineStr">
        <is>
          <t>Status_%</t>
        </is>
      </c>
      <c r="G3" s="6" t="inlineStr">
        <is>
          <t>Forensic_Note</t>
        </is>
      </c>
      <c r="H3" s="6" t="inlineStr">
        <is>
          <t>Source_Section</t>
        </is>
      </c>
    </row>
    <row r="4">
      <c r="A4" s="5" t="inlineStr">
        <is>
          <t>1.1</t>
        </is>
      </c>
      <c r="B4" s="5" t="inlineStr">
        <is>
          <t>Reach full production scale</t>
        </is>
      </c>
      <c r="C4" s="5" t="inlineStr">
        <is>
          <t>Achieve 10,000 t/year by Year 5</t>
        </is>
      </c>
      <c r="D4" s="5" t="inlineStr">
        <is>
          <t>Operations Director</t>
        </is>
      </c>
      <c r="E4" s="5" t="inlineStr">
        <is>
          <t>Y5</t>
        </is>
      </c>
      <c r="F4" s="22" t="n">
        <v>0</v>
      </c>
      <c r="G4" s="5" t="inlineStr">
        <is>
          <t>Set measurable baseline before external use</t>
        </is>
      </c>
      <c r="H4" s="5" t="inlineStr">
        <is>
          <t>1.1</t>
        </is>
      </c>
    </row>
    <row r="5">
      <c r="A5" s="5" t="inlineStr">
        <is>
          <t>1.1</t>
        </is>
      </c>
      <c r="B5" s="5" t="inlineStr">
        <is>
          <t>Reduce energy cost exposure</t>
        </is>
      </c>
      <c r="C5" s="5" t="inlineStr">
        <is>
          <t>Commission 1 MWp solar system</t>
        </is>
      </c>
      <c r="D5" s="5" t="inlineStr">
        <is>
          <t>Engineering</t>
        </is>
      </c>
      <c r="E5" s="5" t="inlineStr">
        <is>
          <t>Y2/Y3</t>
        </is>
      </c>
      <c r="F5" s="22" t="n">
        <v>0</v>
      </c>
      <c r="G5" s="5" t="inlineStr">
        <is>
          <t>Set measurable baseline before external use</t>
        </is>
      </c>
      <c r="H5" s="5" t="inlineStr">
        <is>
          <t>1.1</t>
        </is>
      </c>
    </row>
    <row r="6">
      <c r="A6" s="5" t="inlineStr">
        <is>
          <t>1.1</t>
        </is>
      </c>
      <c r="B6" s="5" t="inlineStr">
        <is>
          <t>Maintain credit quality</t>
        </is>
      </c>
      <c r="C6" s="5" t="inlineStr">
        <is>
          <t>DSCR above 1.25 after ramp-up</t>
        </is>
      </c>
      <c r="D6" s="5" t="inlineStr">
        <is>
          <t>CFO</t>
        </is>
      </c>
      <c r="E6" s="5" t="inlineStr">
        <is>
          <t>Y2/Y3</t>
        </is>
      </c>
      <c r="F6" s="22" t="n">
        <v>0</v>
      </c>
      <c r="G6" s="5" t="inlineStr">
        <is>
          <t>Set measurable baseline before external use</t>
        </is>
      </c>
      <c r="H6" s="5" t="inlineStr">
        <is>
          <t>1.1</t>
        </is>
      </c>
    </row>
    <row r="7">
      <c r="A7" s="5" t="inlineStr">
        <is>
          <t>1.1</t>
        </is>
      </c>
      <c r="B7" s="5" t="inlineStr">
        <is>
          <t>Achieve investment return</t>
        </is>
      </c>
      <c r="C7" s="5" t="inlineStr">
        <is>
          <t>ROI within 5 years of COD</t>
        </is>
      </c>
      <c r="D7" s="5" t="inlineStr">
        <is>
          <t>CFO</t>
        </is>
      </c>
      <c r="E7" s="5" t="inlineStr">
        <is>
          <t>Y5</t>
        </is>
      </c>
      <c r="F7" s="22" t="n">
        <v>0</v>
      </c>
      <c r="G7" s="5" t="inlineStr">
        <is>
          <t>Set measurable baseline before external use</t>
        </is>
      </c>
      <c r="H7" s="5" t="inlineStr">
        <is>
          <t>1.1</t>
        </is>
      </c>
    </row>
    <row r="8">
      <c r="A8" s="5" t="inlineStr">
        <is>
          <t>1.1</t>
        </is>
      </c>
      <c r="B8" s="5" t="inlineStr">
        <is>
          <t>Win export position</t>
        </is>
      </c>
      <c r="C8" s="5" t="inlineStr">
        <is>
          <t>Secure DACH OEM customer base</t>
        </is>
      </c>
      <c r="D8" s="5" t="inlineStr">
        <is>
          <t>Sales Director</t>
        </is>
      </c>
      <c r="E8" s="5" t="inlineStr">
        <is>
          <t>Y2/Y3</t>
        </is>
      </c>
      <c r="F8" s="22" t="n">
        <v>0</v>
      </c>
      <c r="G8" s="5" t="inlineStr">
        <is>
          <t>Set measurable baseline before external use</t>
        </is>
      </c>
      <c r="H8" s="5" t="inlineStr">
        <is>
          <t>1.1</t>
        </is>
      </c>
    </row>
    <row r="9">
      <c r="A9" s="5" t="inlineStr">
        <is>
          <t>1.1</t>
        </is>
      </c>
      <c r="B9" s="5" t="inlineStr">
        <is>
          <t>Qualify for tenders</t>
        </is>
      </c>
      <c r="C9" s="5" t="inlineStr">
        <is>
          <t>Obtain ISO 9001/14001/45001</t>
        </is>
      </c>
      <c r="D9" s="5" t="inlineStr">
        <is>
          <t>Quality Manager</t>
        </is>
      </c>
      <c r="E9" s="5" t="inlineStr">
        <is>
          <t>Y1</t>
        </is>
      </c>
      <c r="F9" s="22" t="n">
        <v>0</v>
      </c>
      <c r="G9" s="5" t="inlineStr">
        <is>
          <t>Set measurable baseline before external use</t>
        </is>
      </c>
      <c r="H9" s="5" t="inlineStr">
        <is>
          <t>1.1</t>
        </is>
      </c>
    </row>
    <row r="10">
      <c r="A10" s="5" t="inlineStr">
        <is>
          <t>1.2</t>
        </is>
      </c>
      <c r="B10" s="5" t="inlineStr">
        <is>
          <t>Close full financing package</t>
        </is>
      </c>
      <c r="C10" s="5" t="inlineStr">
        <is>
          <t>Secure 10.33M total funding</t>
        </is>
      </c>
      <c r="D10" s="5" t="inlineStr">
        <is>
          <t>CFO</t>
        </is>
      </c>
      <c r="E10" s="5" t="inlineStr">
        <is>
          <t>Pre-FID</t>
        </is>
      </c>
      <c r="F10" s="22" t="n">
        <v>0</v>
      </c>
      <c r="G10" s="5" t="inlineStr">
        <is>
          <t>Set measurable baseline before external use</t>
        </is>
      </c>
      <c r="H10" s="5" t="inlineStr">
        <is>
          <t>1.2</t>
        </is>
      </c>
    </row>
    <row r="11">
      <c r="A11" s="5" t="inlineStr">
        <is>
          <t>1.2</t>
        </is>
      </c>
      <c r="B11" s="5" t="inlineStr">
        <is>
          <t>Lower WACC</t>
        </is>
      </c>
      <c r="C11" s="5" t="inlineStr">
        <is>
          <t>Approve 2.4M grants</t>
        </is>
      </c>
      <c r="D11" s="5" t="inlineStr">
        <is>
          <t>CFO</t>
        </is>
      </c>
      <c r="E11" s="5" t="inlineStr">
        <is>
          <t>Pre-close</t>
        </is>
      </c>
      <c r="F11" s="22" t="n">
        <v>0</v>
      </c>
      <c r="G11" s="5" t="inlineStr">
        <is>
          <t>Set measurable baseline before external use</t>
        </is>
      </c>
      <c r="H11" s="5" t="inlineStr">
        <is>
          <t>1.2</t>
        </is>
      </c>
    </row>
    <row r="12">
      <c r="A12" s="5" t="inlineStr">
        <is>
          <t>1.2</t>
        </is>
      </c>
      <c r="B12" s="5" t="inlineStr">
        <is>
          <t>Protect debt service</t>
        </is>
      </c>
      <c r="C12" s="5" t="inlineStr">
        <is>
          <t>Reach DSCR &gt;1.25</t>
        </is>
      </c>
      <c r="D12" s="5" t="inlineStr">
        <is>
          <t>CFO</t>
        </is>
      </c>
      <c r="E12" s="5" t="inlineStr">
        <is>
          <t>Y3</t>
        </is>
      </c>
      <c r="F12" s="22" t="n">
        <v>0</v>
      </c>
      <c r="G12" s="5" t="inlineStr">
        <is>
          <t>Set measurable baseline before external use</t>
        </is>
      </c>
      <c r="H12" s="5" t="inlineStr">
        <is>
          <t>1.2</t>
        </is>
      </c>
    </row>
    <row r="13">
      <c r="A13" s="5" t="inlineStr">
        <is>
          <t>1.2</t>
        </is>
      </c>
      <c r="B13" s="5" t="inlineStr">
        <is>
          <t>Maintain liquidity</t>
        </is>
      </c>
      <c r="C13" s="5" t="inlineStr">
        <is>
          <t>Fund 2.0M working capital buffer</t>
        </is>
      </c>
      <c r="D13" s="5" t="inlineStr">
        <is>
          <t>CFO</t>
        </is>
      </c>
      <c r="E13" s="5" t="inlineStr">
        <is>
          <t>Y1</t>
        </is>
      </c>
      <c r="F13" s="22" t="n">
        <v>0</v>
      </c>
      <c r="G13" s="5" t="inlineStr">
        <is>
          <t>Set measurable baseline before external use</t>
        </is>
      </c>
      <c r="H13" s="5" t="inlineStr">
        <is>
          <t>1.2</t>
        </is>
      </c>
    </row>
    <row r="14">
      <c r="A14" s="5" t="inlineStr">
        <is>
          <t>1.2</t>
        </is>
      </c>
      <c r="B14" s="5" t="inlineStr">
        <is>
          <t>Preserve resilience without grants</t>
        </is>
      </c>
      <c r="C14" s="5" t="inlineStr">
        <is>
          <t>Positive operating cash flow at 70-80% utilization</t>
        </is>
      </c>
      <c r="D14" s="5" t="inlineStr">
        <is>
          <t>CFO</t>
        </is>
      </c>
      <c r="E14" s="5" t="inlineStr">
        <is>
          <t>Y2/Y3</t>
        </is>
      </c>
      <c r="F14" s="22" t="n">
        <v>0</v>
      </c>
      <c r="G14" s="5" t="inlineStr">
        <is>
          <t>Set measurable baseline before external use</t>
        </is>
      </c>
      <c r="H14" s="5" t="inlineStr">
        <is>
          <t>1.2</t>
        </is>
      </c>
    </row>
    <row r="15">
      <c r="A15" s="5" t="inlineStr">
        <is>
          <t>1.2</t>
        </is>
      </c>
      <c r="B15" s="5" t="inlineStr">
        <is>
          <t>Diversify capital sources</t>
        </is>
      </c>
      <c r="C15" s="5" t="inlineStr">
        <is>
          <t>Debt + grant + equity + subordinated mix</t>
        </is>
      </c>
      <c r="D15" s="5" t="inlineStr">
        <is>
          <t>Management</t>
        </is>
      </c>
      <c r="E15" s="5" t="inlineStr">
        <is>
          <t>Pre-close</t>
        </is>
      </c>
      <c r="F15" s="22" t="n">
        <v>0</v>
      </c>
      <c r="G15" s="5" t="inlineStr">
        <is>
          <t>Set measurable baseline before external use</t>
        </is>
      </c>
      <c r="H15" s="5" t="inlineStr">
        <is>
          <t>1.2</t>
        </is>
      </c>
    </row>
    <row r="16">
      <c r="A16" s="5" t="inlineStr">
        <is>
          <t>1.3</t>
        </is>
      </c>
      <c r="B16" s="5" t="inlineStr">
        <is>
          <t>Exploit market gap</t>
        </is>
      </c>
      <c r="C16" s="5" t="inlineStr">
        <is>
          <t>Secure 3 OEM partnerships</t>
        </is>
      </c>
      <c r="D16" s="5" t="inlineStr">
        <is>
          <t>Sales Director</t>
        </is>
      </c>
      <c r="E16" s="5" t="inlineStr">
        <is>
          <t>Y2</t>
        </is>
      </c>
      <c r="F16" s="22" t="n">
        <v>0</v>
      </c>
      <c r="G16" s="5" t="inlineStr">
        <is>
          <t>Set measurable baseline before external use</t>
        </is>
      </c>
      <c r="H16" s="5" t="inlineStr">
        <is>
          <t>1.3</t>
        </is>
      </c>
    </row>
    <row r="17">
      <c r="A17" s="5" t="inlineStr">
        <is>
          <t>1.3</t>
        </is>
      </c>
      <c r="B17" s="5" t="inlineStr">
        <is>
          <t>Reduce logistics burden for customers</t>
        </is>
      </c>
      <c r="C17" s="5" t="inlineStr">
        <is>
          <t>Achieve 15-25% lower transit cost / lead benefit vs overseas</t>
        </is>
      </c>
      <c r="D17" s="5" t="inlineStr">
        <is>
          <t>Operations</t>
        </is>
      </c>
      <c r="E17" s="5" t="inlineStr">
        <is>
          <t>Y2</t>
        </is>
      </c>
      <c r="F17" s="22" t="n">
        <v>0</v>
      </c>
      <c r="G17" s="5" t="inlineStr">
        <is>
          <t>Set measurable baseline before external use</t>
        </is>
      </c>
      <c r="H17" s="5" t="inlineStr">
        <is>
          <t>1.3</t>
        </is>
      </c>
    </row>
    <row r="18">
      <c r="A18" s="5" t="inlineStr">
        <is>
          <t>1.3</t>
        </is>
      </c>
      <c r="B18" s="5" t="inlineStr">
        <is>
          <t>Protect gross margin</t>
        </is>
      </c>
      <c r="C18" s="5" t="inlineStr">
        <is>
          <t>Implement index-linked pricing in contracts</t>
        </is>
      </c>
      <c r="D18" s="5" t="inlineStr">
        <is>
          <t>CFO</t>
        </is>
      </c>
      <c r="E18" s="5" t="inlineStr">
        <is>
          <t>Y1/Y2</t>
        </is>
      </c>
      <c r="F18" s="22" t="n">
        <v>0</v>
      </c>
      <c r="G18" s="5" t="inlineStr">
        <is>
          <t>Set measurable baseline before external use</t>
        </is>
      </c>
      <c r="H18" s="5" t="inlineStr">
        <is>
          <t>1.3</t>
        </is>
      </c>
    </row>
    <row r="19">
      <c r="A19" s="5" t="inlineStr">
        <is>
          <t>1.3</t>
        </is>
      </c>
      <c r="B19" s="5" t="inlineStr">
        <is>
          <t>Enter EU tenders</t>
        </is>
      </c>
      <c r="C19" s="5" t="inlineStr">
        <is>
          <t>Obtain EN 1090 / ISO qualification</t>
        </is>
      </c>
      <c r="D19" s="5" t="inlineStr">
        <is>
          <t>Quality Manager</t>
        </is>
      </c>
      <c r="E19" s="5" t="inlineStr">
        <is>
          <t>Y1/Y2</t>
        </is>
      </c>
      <c r="F19" s="22" t="n">
        <v>0</v>
      </c>
      <c r="G19" s="5" t="inlineStr">
        <is>
          <t>Set measurable baseline before external use</t>
        </is>
      </c>
      <c r="H19" s="5" t="inlineStr">
        <is>
          <t>1.3</t>
        </is>
      </c>
    </row>
    <row r="20">
      <c r="A20" s="5" t="inlineStr">
        <is>
          <t>1.3</t>
        </is>
      </c>
      <c r="B20" s="5" t="inlineStr">
        <is>
          <t>Build stable backlog</t>
        </is>
      </c>
      <c r="C20" s="5" t="inlineStr">
        <is>
          <t>Sign frame agreements</t>
        </is>
      </c>
      <c r="D20" s="5" t="inlineStr">
        <is>
          <t>Sales Director</t>
        </is>
      </c>
      <c r="E20" s="5" t="inlineStr">
        <is>
          <t>Y2/Y3</t>
        </is>
      </c>
      <c r="F20" s="22" t="n">
        <v>0</v>
      </c>
      <c r="G20" s="5" t="inlineStr">
        <is>
          <t>Set measurable baseline before external use</t>
        </is>
      </c>
      <c r="H20" s="5" t="inlineStr">
        <is>
          <t>1.3</t>
        </is>
      </c>
    </row>
    <row r="21">
      <c r="A21" s="5" t="inlineStr">
        <is>
          <t>1.3</t>
        </is>
      </c>
      <c r="B21" s="5" t="inlineStr">
        <is>
          <t>Deliver fast</t>
        </is>
      </c>
      <c r="C21" s="5" t="inlineStr">
        <is>
          <t>3-7 day transit promise for target markets</t>
        </is>
      </c>
      <c r="D21" s="5" t="inlineStr">
        <is>
          <t>Logistics Director</t>
        </is>
      </c>
      <c r="E21" s="5" t="inlineStr">
        <is>
          <t>Y2</t>
        </is>
      </c>
      <c r="F21" s="22" t="n">
        <v>0</v>
      </c>
      <c r="G21" s="5" t="inlineStr">
        <is>
          <t>Set measurable baseline before external use</t>
        </is>
      </c>
      <c r="H21" s="5" t="inlineStr">
        <is>
          <t>1.3</t>
        </is>
      </c>
    </row>
    <row r="22">
      <c r="A22" s="5" t="inlineStr">
        <is>
          <t>1.4</t>
        </is>
      </c>
      <c r="B22" s="5" t="inlineStr">
        <is>
          <t>Expand EBITDA margin</t>
        </is>
      </c>
      <c r="C22" s="5" t="inlineStr">
        <is>
          <t>Reach 26% by Y4</t>
        </is>
      </c>
      <c r="D22" s="5" t="inlineStr">
        <is>
          <t>CFO</t>
        </is>
      </c>
      <c r="E22" s="5" t="inlineStr">
        <is>
          <t>2029</t>
        </is>
      </c>
      <c r="F22" s="22" t="n">
        <v>0</v>
      </c>
      <c r="G22" s="5" t="inlineStr">
        <is>
          <t>Set measurable baseline before external use</t>
        </is>
      </c>
      <c r="H22" s="5" t="inlineStr">
        <is>
          <t>1.4</t>
        </is>
      </c>
    </row>
    <row r="23">
      <c r="A23" s="5" t="inlineStr">
        <is>
          <t>1.4</t>
        </is>
      </c>
      <c r="B23" s="5" t="inlineStr">
        <is>
          <t>Stabilize cash flow</t>
        </is>
      </c>
      <c r="C23" s="5" t="inlineStr">
        <is>
          <t>Positive cumulative operating cash build by Y3</t>
        </is>
      </c>
      <c r="D23" s="5" t="inlineStr">
        <is>
          <t>CFO</t>
        </is>
      </c>
      <c r="E23" s="5" t="inlineStr">
        <is>
          <t>2028</t>
        </is>
      </c>
      <c r="F23" s="22" t="n">
        <v>0</v>
      </c>
      <c r="G23" s="5" t="inlineStr">
        <is>
          <t>Set measurable baseline before external use</t>
        </is>
      </c>
      <c r="H23" s="5" t="inlineStr">
        <is>
          <t>1.4</t>
        </is>
      </c>
    </row>
    <row r="24">
      <c r="A24" s="5" t="inlineStr">
        <is>
          <t>1.4</t>
        </is>
      </c>
      <c r="B24" s="5" t="inlineStr">
        <is>
          <t>Service debt safely</t>
        </is>
      </c>
      <c r="C24" s="5" t="inlineStr">
        <is>
          <t>Maintain DSCR &gt;1.25</t>
        </is>
      </c>
      <c r="D24" s="5" t="inlineStr">
        <is>
          <t>CFO</t>
        </is>
      </c>
      <c r="E24" s="5" t="inlineStr">
        <is>
          <t>2027 onward</t>
        </is>
      </c>
      <c r="F24" s="22" t="n">
        <v>0</v>
      </c>
      <c r="G24" s="5" t="inlineStr">
        <is>
          <t>Set measurable baseline before external use</t>
        </is>
      </c>
      <c r="H24" s="5" t="inlineStr">
        <is>
          <t>1.4</t>
        </is>
      </c>
    </row>
    <row r="25">
      <c r="A25" s="5" t="inlineStr">
        <is>
          <t>1.4</t>
        </is>
      </c>
      <c r="B25" s="5" t="inlineStr">
        <is>
          <t>Optimize energy opex</t>
        </is>
      </c>
      <c r="C25" s="5" t="inlineStr">
        <is>
          <t>Reduce energy cost via solar</t>
        </is>
      </c>
      <c r="D25" s="5" t="inlineStr">
        <is>
          <t>Operations</t>
        </is>
      </c>
      <c r="E25" s="5" t="inlineStr">
        <is>
          <t>2027 onward</t>
        </is>
      </c>
      <c r="F25" s="22" t="n">
        <v>0</v>
      </c>
      <c r="G25" s="5" t="inlineStr">
        <is>
          <t>Set measurable baseline before external use</t>
        </is>
      </c>
      <c r="H25" s="5" t="inlineStr">
        <is>
          <t>1.4</t>
        </is>
      </c>
    </row>
    <row r="26">
      <c r="A26" s="5" t="inlineStr">
        <is>
          <t>1.4</t>
        </is>
      </c>
      <c r="B26" s="5" t="inlineStr">
        <is>
          <t>Recover invested capital</t>
        </is>
      </c>
      <c r="C26" s="5" t="inlineStr">
        <is>
          <t>5-year payback</t>
        </is>
      </c>
      <c r="D26" s="5" t="inlineStr">
        <is>
          <t>CFO</t>
        </is>
      </c>
      <c r="E26" s="5" t="inlineStr">
        <is>
          <t>2030/2031</t>
        </is>
      </c>
      <c r="F26" s="22" t="n">
        <v>0</v>
      </c>
      <c r="G26" s="5" t="inlineStr">
        <is>
          <t>Set measurable baseline before external use</t>
        </is>
      </c>
      <c r="H26" s="5" t="inlineStr">
        <is>
          <t>1.4</t>
        </is>
      </c>
    </row>
    <row r="27">
      <c r="A27" s="5" t="inlineStr">
        <is>
          <t>1.4</t>
        </is>
      </c>
      <c r="B27" s="5" t="inlineStr">
        <is>
          <t>Lift utilization</t>
        </is>
      </c>
      <c r="C27" s="5" t="inlineStr">
        <is>
          <t>Reach 95% by Y4</t>
        </is>
      </c>
      <c r="D27" s="5" t="inlineStr">
        <is>
          <t>Operations</t>
        </is>
      </c>
      <c r="E27" s="5" t="inlineStr">
        <is>
          <t>2029</t>
        </is>
      </c>
      <c r="F27" s="22" t="n">
        <v>0</v>
      </c>
      <c r="G27" s="5" t="inlineStr">
        <is>
          <t>Set measurable baseline before external use</t>
        </is>
      </c>
      <c r="H27" s="5" t="inlineStr">
        <is>
          <t>1.4</t>
        </is>
      </c>
    </row>
    <row r="28">
      <c r="A28" s="5" t="inlineStr">
        <is>
          <t>1.5</t>
        </is>
      </c>
      <c r="B28" s="5" t="inlineStr">
        <is>
          <t>Position as EU strategic partner</t>
        </is>
      </c>
      <c r="C28" s="5" t="inlineStr">
        <is>
          <t>Enter EU supply chain narrative</t>
        </is>
      </c>
      <c r="D28" s="5" t="inlineStr">
        <is>
          <t>Management</t>
        </is>
      </c>
      <c r="E28" s="5" t="inlineStr">
        <is>
          <t>Ongoing</t>
        </is>
      </c>
      <c r="F28" s="22" t="n">
        <v>0</v>
      </c>
      <c r="G28" s="5" t="inlineStr">
        <is>
          <t>Set measurable baseline before external use</t>
        </is>
      </c>
      <c r="H28" s="5" t="inlineStr">
        <is>
          <t>1.5</t>
        </is>
      </c>
    </row>
    <row r="29">
      <c r="A29" s="5" t="inlineStr">
        <is>
          <t>1.5</t>
        </is>
      </c>
      <c r="B29" s="5" t="inlineStr">
        <is>
          <t>Win EU grants</t>
        </is>
      </c>
      <c r="C29" s="5" t="inlineStr">
        <is>
          <t>Obtain grant approvals</t>
        </is>
      </c>
      <c r="D29" s="5" t="inlineStr">
        <is>
          <t>CFO</t>
        </is>
      </c>
      <c r="E29" s="5" t="inlineStr">
        <is>
          <t>Pre-close</t>
        </is>
      </c>
      <c r="F29" s="22" t="n">
        <v>0</v>
      </c>
      <c r="G29" s="5" t="inlineStr">
        <is>
          <t>Set measurable baseline before external use</t>
        </is>
      </c>
      <c r="H29" s="5" t="inlineStr">
        <is>
          <t>1.5</t>
        </is>
      </c>
    </row>
    <row r="30">
      <c r="A30" s="5" t="inlineStr">
        <is>
          <t>1.5</t>
        </is>
      </c>
      <c r="B30" s="5" t="inlineStr">
        <is>
          <t>Decarbonize production</t>
        </is>
      </c>
      <c r="C30" s="5" t="inlineStr">
        <is>
          <t>Install 1 MW solar plant</t>
        </is>
      </c>
      <c r="D30" s="5" t="inlineStr">
        <is>
          <t>Engineering</t>
        </is>
      </c>
      <c r="E30" s="5" t="inlineStr">
        <is>
          <t>Y2</t>
        </is>
      </c>
      <c r="F30" s="22" t="n">
        <v>0</v>
      </c>
      <c r="G30" s="5" t="inlineStr">
        <is>
          <t>Set measurable baseline before external use</t>
        </is>
      </c>
      <c r="H30" s="5" t="inlineStr">
        <is>
          <t>1.5</t>
        </is>
      </c>
    </row>
    <row r="31">
      <c r="A31" s="5" t="inlineStr">
        <is>
          <t>1.5</t>
        </is>
      </c>
      <c r="B31" s="5" t="inlineStr">
        <is>
          <t>Develop local supply chain</t>
        </is>
      </c>
      <c r="C31" s="5" t="inlineStr">
        <is>
          <t>Engage 30+ suppliers</t>
        </is>
      </c>
      <c r="D31" s="5" t="inlineStr">
        <is>
          <t>Procurement</t>
        </is>
      </c>
      <c r="E31" s="5" t="inlineStr">
        <is>
          <t>Y2/Y3</t>
        </is>
      </c>
      <c r="F31" s="22" t="n">
        <v>0</v>
      </c>
      <c r="G31" s="5" t="inlineStr">
        <is>
          <t>Set measurable baseline before external use</t>
        </is>
      </c>
      <c r="H31" s="5" t="inlineStr">
        <is>
          <t>1.5</t>
        </is>
      </c>
    </row>
    <row r="32">
      <c r="A32" s="5" t="inlineStr">
        <is>
          <t>1.5</t>
        </is>
      </c>
      <c r="B32" s="5" t="inlineStr">
        <is>
          <t>Develop workforce</t>
        </is>
      </c>
      <c r="C32" s="5" t="inlineStr">
        <is>
          <t>Launch training center concept</t>
        </is>
      </c>
      <c r="D32" s="5" t="inlineStr">
        <is>
          <t>HR</t>
        </is>
      </c>
      <c r="E32" s="5" t="inlineStr">
        <is>
          <t>Y2</t>
        </is>
      </c>
      <c r="F32" s="22" t="n">
        <v>0</v>
      </c>
      <c r="G32" s="5" t="inlineStr">
        <is>
          <t>Set measurable baseline before external use</t>
        </is>
      </c>
      <c r="H32" s="5" t="inlineStr">
        <is>
          <t>1.5</t>
        </is>
      </c>
    </row>
    <row r="33">
      <c r="A33" s="5" t="inlineStr">
        <is>
          <t>1.5</t>
        </is>
      </c>
      <c r="B33" s="5" t="inlineStr">
        <is>
          <t>Support regional development</t>
        </is>
      </c>
      <c r="C33" s="5" t="inlineStr">
        <is>
          <t>Create 50+ direct jobs</t>
        </is>
      </c>
      <c r="D33" s="5" t="inlineStr">
        <is>
          <t>Management</t>
        </is>
      </c>
      <c r="E33" s="5" t="inlineStr">
        <is>
          <t>Y1-Y4</t>
        </is>
      </c>
      <c r="F33" s="22" t="n">
        <v>0</v>
      </c>
      <c r="G33" s="5" t="inlineStr">
        <is>
          <t>Set measurable baseline before external use</t>
        </is>
      </c>
      <c r="H33" s="5" t="inlineStr">
        <is>
          <t>1.5</t>
        </is>
      </c>
    </row>
    <row r="34">
      <c r="A34" s="5" t="inlineStr">
        <is>
          <t>1.5</t>
        </is>
      </c>
      <c r="B34" s="5" t="inlineStr">
        <is>
          <t>Meet ESG alignment</t>
        </is>
      </c>
      <c r="C34" s="5" t="inlineStr">
        <is>
          <t>Document taxonomy compliance</t>
        </is>
      </c>
      <c r="D34" s="5" t="inlineStr">
        <is>
          <t>ESG Manager</t>
        </is>
      </c>
      <c r="E34" s="5" t="inlineStr">
        <is>
          <t>Y1/Y2</t>
        </is>
      </c>
      <c r="F34" s="22" t="n">
        <v>0</v>
      </c>
      <c r="G34" s="5" t="inlineStr">
        <is>
          <t>Set measurable baseline before external use</t>
        </is>
      </c>
      <c r="H34" s="5" t="inlineStr">
        <is>
          <t>1.5</t>
        </is>
      </c>
    </row>
    <row r="35">
      <c r="A35" s="5" t="inlineStr">
        <is>
          <t>2.1</t>
        </is>
      </c>
      <c r="B35" s="5" t="inlineStr">
        <is>
          <t>Diversify CG industry</t>
        </is>
      </c>
      <c r="C35" s="5" t="inlineStr">
        <is>
          <t>Launch export-oriented manufacturing platform</t>
        </is>
      </c>
      <c r="D35" s="5" t="inlineStr">
        <is>
          <t>Management</t>
        </is>
      </c>
      <c r="E35" s="5" t="inlineStr">
        <is>
          <t>Y1-Y2</t>
        </is>
      </c>
      <c r="F35" s="22" t="n">
        <v>0</v>
      </c>
      <c r="G35" s="5" t="inlineStr">
        <is>
          <t>Set measurable baseline before external use</t>
        </is>
      </c>
      <c r="H35" s="5" t="inlineStr">
        <is>
          <t>2.1</t>
        </is>
      </c>
    </row>
    <row r="36">
      <c r="A36" s="5" t="inlineStr">
        <is>
          <t>2.1</t>
        </is>
      </c>
      <c r="B36" s="5" t="inlineStr">
        <is>
          <t>Increase value-added exports</t>
        </is>
      </c>
      <c r="C36" s="5" t="inlineStr">
        <is>
          <t>Sell high-precision energy components</t>
        </is>
      </c>
      <c r="D36" s="5" t="inlineStr">
        <is>
          <t>CFO / Sales</t>
        </is>
      </c>
      <c r="E36" s="5" t="inlineStr">
        <is>
          <t>Y2 onward</t>
        </is>
      </c>
      <c r="F36" s="22" t="n">
        <v>0</v>
      </c>
      <c r="G36" s="5" t="inlineStr">
        <is>
          <t>Set measurable baseline before external use</t>
        </is>
      </c>
      <c r="H36" s="5" t="inlineStr">
        <is>
          <t>2.1</t>
        </is>
      </c>
    </row>
    <row r="37">
      <c r="A37" s="5" t="inlineStr">
        <is>
          <t>2.1</t>
        </is>
      </c>
      <c r="B37" s="5" t="inlineStr">
        <is>
          <t>Enable technology transfer</t>
        </is>
      </c>
      <c r="C37" s="5" t="inlineStr">
        <is>
          <t>Implement Industry 4.0 stack</t>
        </is>
      </c>
      <c r="D37" s="5" t="inlineStr">
        <is>
          <t>Technical Director</t>
        </is>
      </c>
      <c r="E37" s="5" t="inlineStr">
        <is>
          <t>Y1-Y3</t>
        </is>
      </c>
      <c r="F37" s="22" t="n">
        <v>0</v>
      </c>
      <c r="G37" s="5" t="inlineStr">
        <is>
          <t>Set measurable baseline before external use</t>
        </is>
      </c>
      <c r="H37" s="5" t="inlineStr">
        <is>
          <t>2.1</t>
        </is>
      </c>
    </row>
    <row r="38">
      <c r="A38" s="5" t="inlineStr">
        <is>
          <t>2.1</t>
        </is>
      </c>
      <c r="B38" s="5" t="inlineStr">
        <is>
          <t>Develop skills ecosystem</t>
        </is>
      </c>
      <c r="C38" s="5" t="inlineStr">
        <is>
          <t>Launch training partnerships</t>
        </is>
      </c>
      <c r="D38" s="5" t="inlineStr">
        <is>
          <t>HR Manager</t>
        </is>
      </c>
      <c r="E38" s="5" t="inlineStr">
        <is>
          <t>Y1-Y2</t>
        </is>
      </c>
      <c r="F38" s="22" t="n">
        <v>0</v>
      </c>
      <c r="G38" s="5" t="inlineStr">
        <is>
          <t>Set measurable baseline before external use</t>
        </is>
      </c>
      <c r="H38" s="5" t="inlineStr">
        <is>
          <t>2.1</t>
        </is>
      </c>
    </row>
    <row r="39">
      <c r="A39" s="5" t="inlineStr">
        <is>
          <t>2.1</t>
        </is>
      </c>
      <c r="B39" s="5" t="inlineStr">
        <is>
          <t>Build local supply chain</t>
        </is>
      </c>
      <c r="C39" s="5" t="inlineStr">
        <is>
          <t>Activate 30+ suppliers</t>
        </is>
      </c>
      <c r="D39" s="5" t="inlineStr">
        <is>
          <t>Procurement</t>
        </is>
      </c>
      <c r="E39" s="5" t="inlineStr">
        <is>
          <t>Y2-Y3</t>
        </is>
      </c>
      <c r="F39" s="22" t="n">
        <v>0</v>
      </c>
      <c r="G39" s="5" t="inlineStr">
        <is>
          <t>Set measurable baseline before external use</t>
        </is>
      </c>
      <c r="H39" s="5" t="inlineStr">
        <is>
          <t>2.1</t>
        </is>
      </c>
    </row>
    <row r="40">
      <c r="A40" s="5" t="inlineStr">
        <is>
          <t>2.1</t>
        </is>
      </c>
      <c r="B40" s="5" t="inlineStr">
        <is>
          <t>Generate fiscal contribution</t>
        </is>
      </c>
      <c r="C40" s="5" t="inlineStr">
        <is>
          <t>Show positive budget impact</t>
        </is>
      </c>
      <c r="D40" s="5" t="inlineStr">
        <is>
          <t>CFO</t>
        </is>
      </c>
      <c r="E40" s="5" t="inlineStr">
        <is>
          <t>Y2 onward</t>
        </is>
      </c>
      <c r="F40" s="22" t="n">
        <v>0</v>
      </c>
      <c r="G40" s="5" t="inlineStr">
        <is>
          <t>Set measurable baseline before external use</t>
        </is>
      </c>
      <c r="H40" s="5" t="inlineStr">
        <is>
          <t>2.1</t>
        </is>
      </c>
    </row>
    <row r="41">
      <c r="A41" s="5" t="inlineStr">
        <is>
          <t>2.2</t>
        </is>
      </c>
      <c r="B41" s="5" t="inlineStr">
        <is>
          <t>Position in smart-grid chain</t>
        </is>
      </c>
      <c r="C41" s="5" t="inlineStr">
        <is>
          <t>Win OEM / infrastructure demand linkage</t>
        </is>
      </c>
      <c r="D41" s="5" t="inlineStr">
        <is>
          <t>Management</t>
        </is>
      </c>
      <c r="E41" s="5" t="inlineStr">
        <is>
          <t>Y2</t>
        </is>
      </c>
      <c r="F41" s="22" t="n">
        <v>0</v>
      </c>
      <c r="G41" s="5" t="inlineStr">
        <is>
          <t>Set measurable baseline before external use</t>
        </is>
      </c>
      <c r="H41" s="5" t="inlineStr">
        <is>
          <t>2.2</t>
        </is>
      </c>
    </row>
    <row r="42">
      <c r="A42" s="5" t="inlineStr">
        <is>
          <t>2.2</t>
        </is>
      </c>
      <c r="B42" s="5" t="inlineStr">
        <is>
          <t>Build technical superiority</t>
        </is>
      </c>
      <c r="C42" s="5" t="inlineStr">
        <is>
          <t>Meet EN/ISO / technical specifications</t>
        </is>
      </c>
      <c r="D42" s="5" t="inlineStr">
        <is>
          <t>Quality Manager</t>
        </is>
      </c>
      <c r="E42" s="5" t="inlineStr">
        <is>
          <t>Y1/Y2</t>
        </is>
      </c>
      <c r="F42" s="22" t="n">
        <v>0</v>
      </c>
      <c r="G42" s="5" t="inlineStr">
        <is>
          <t>Set measurable baseline before external use</t>
        </is>
      </c>
      <c r="H42" s="5" t="inlineStr">
        <is>
          <t>2.2</t>
        </is>
      </c>
    </row>
    <row r="43">
      <c r="A43" s="5" t="inlineStr">
        <is>
          <t>2.2</t>
        </is>
      </c>
      <c r="B43" s="5" t="inlineStr">
        <is>
          <t>Secure stable demand</t>
        </is>
      </c>
      <c r="C43" s="5" t="inlineStr">
        <is>
          <t>Win long-term agreements</t>
        </is>
      </c>
      <c r="D43" s="5" t="inlineStr">
        <is>
          <t>Sales</t>
        </is>
      </c>
      <c r="E43" s="5" t="inlineStr">
        <is>
          <t>Y2/Y3</t>
        </is>
      </c>
      <c r="F43" s="22" t="n">
        <v>0</v>
      </c>
      <c r="G43" s="5" t="inlineStr">
        <is>
          <t>Set measurable baseline before external use</t>
        </is>
      </c>
      <c r="H43" s="5" t="inlineStr">
        <is>
          <t>2.2</t>
        </is>
      </c>
    </row>
    <row r="44">
      <c r="A44" s="5" t="inlineStr">
        <is>
          <t>2.2</t>
        </is>
      </c>
      <c r="B44" s="5" t="inlineStr">
        <is>
          <t>Protect downside</t>
        </is>
      </c>
      <c r="C44" s="5" t="inlineStr">
        <is>
          <t>Anchor project in critical infrastructure demand</t>
        </is>
      </c>
      <c r="D44" s="5" t="inlineStr">
        <is>
          <t>CFO</t>
        </is>
      </c>
      <c r="E44" s="5" t="inlineStr">
        <is>
          <t>Ongoing</t>
        </is>
      </c>
      <c r="F44" s="22" t="n">
        <v>0</v>
      </c>
      <c r="G44" s="5" t="inlineStr">
        <is>
          <t>Set measurable baseline before external use</t>
        </is>
      </c>
      <c r="H44" s="5" t="inlineStr">
        <is>
          <t>2.2</t>
        </is>
      </c>
    </row>
    <row r="45">
      <c r="A45" s="5" t="inlineStr">
        <is>
          <t>2.2</t>
        </is>
      </c>
      <c r="B45" s="5" t="inlineStr">
        <is>
          <t>Access energy-transition capital</t>
        </is>
      </c>
      <c r="C45" s="5" t="inlineStr">
        <is>
          <t>Obtain EU/public support</t>
        </is>
      </c>
      <c r="D45" s="5" t="inlineStr">
        <is>
          <t>CFO</t>
        </is>
      </c>
      <c r="E45" s="5" t="inlineStr">
        <is>
          <t>Pre-close</t>
        </is>
      </c>
      <c r="F45" s="22" t="n">
        <v>0</v>
      </c>
      <c r="G45" s="5" t="inlineStr">
        <is>
          <t>Set measurable baseline before external use</t>
        </is>
      </c>
      <c r="H45" s="5" t="inlineStr">
        <is>
          <t>2.2</t>
        </is>
      </c>
    </row>
    <row r="46">
      <c r="A46" s="5" t="inlineStr">
        <is>
          <t>2.2</t>
        </is>
      </c>
      <c r="B46" s="5" t="inlineStr">
        <is>
          <t>Qualify with regulated buyers</t>
        </is>
      </c>
      <c r="C46" s="5" t="inlineStr">
        <is>
          <t>Meet TSO/DSO relevant standards</t>
        </is>
      </c>
      <c r="D46" s="5" t="inlineStr">
        <is>
          <t>Technical Director</t>
        </is>
      </c>
      <c r="E46" s="5" t="inlineStr">
        <is>
          <t>Y2</t>
        </is>
      </c>
      <c r="F46" s="22" t="n">
        <v>0</v>
      </c>
      <c r="G46" s="5" t="inlineStr">
        <is>
          <t>Set measurable baseline before external use</t>
        </is>
      </c>
      <c r="H46" s="5" t="inlineStr">
        <is>
          <t>2.2</t>
        </is>
      </c>
    </row>
    <row r="47">
      <c r="A47" s="5" t="inlineStr">
        <is>
          <t>2.3</t>
        </is>
      </c>
      <c r="B47" s="5" t="inlineStr">
        <is>
          <t>Run export-led model</t>
        </is>
      </c>
      <c r="C47" s="5" t="inlineStr">
        <is>
          <t>Export &gt;80% of output</t>
        </is>
      </c>
      <c r="D47" s="5" t="inlineStr">
        <is>
          <t>Sales Director</t>
        </is>
      </c>
      <c r="E47" s="5" t="inlineStr">
        <is>
          <t>Y2 onward</t>
        </is>
      </c>
      <c r="F47" s="22" t="n">
        <v>0</v>
      </c>
      <c r="G47" s="5" t="inlineStr">
        <is>
          <t>Set measurable baseline before external use</t>
        </is>
      </c>
      <c r="H47" s="5" t="inlineStr">
        <is>
          <t>2.3</t>
        </is>
      </c>
    </row>
    <row r="48">
      <c r="A48" s="5" t="inlineStr">
        <is>
          <t>2.3</t>
        </is>
      </c>
      <c r="B48" s="5" t="inlineStr">
        <is>
          <t>Integrate with OEMs</t>
        </is>
      </c>
      <c r="C48" s="5" t="inlineStr">
        <is>
          <t>Sign frame agreements</t>
        </is>
      </c>
      <c r="D48" s="5" t="inlineStr">
        <is>
          <t>Management</t>
        </is>
      </c>
      <c r="E48" s="5" t="inlineStr">
        <is>
          <t>Y2/Y3</t>
        </is>
      </c>
      <c r="F48" s="22" t="n">
        <v>0</v>
      </c>
      <c r="G48" s="5" t="inlineStr">
        <is>
          <t>Set measurable baseline before external use</t>
        </is>
      </c>
      <c r="H48" s="5" t="inlineStr">
        <is>
          <t>2.3</t>
        </is>
      </c>
    </row>
    <row r="49">
      <c r="A49" s="5" t="inlineStr">
        <is>
          <t>2.3</t>
        </is>
      </c>
      <c r="B49" s="5" t="inlineStr">
        <is>
          <t>Improve logistics speed</t>
        </is>
      </c>
      <c r="C49" s="5" t="inlineStr">
        <is>
          <t>Deliver to EU in &lt;5 days road lead times</t>
        </is>
      </c>
      <c r="D49" s="5" t="inlineStr">
        <is>
          <t>Operations</t>
        </is>
      </c>
      <c r="E49" s="5" t="inlineStr">
        <is>
          <t>Y2</t>
        </is>
      </c>
      <c r="F49" s="22" t="n">
        <v>0</v>
      </c>
      <c r="G49" s="5" t="inlineStr">
        <is>
          <t>Set measurable baseline before external use</t>
        </is>
      </c>
      <c r="H49" s="5" t="inlineStr">
        <is>
          <t>2.3</t>
        </is>
      </c>
    </row>
    <row r="50">
      <c r="A50" s="5" t="inlineStr">
        <is>
          <t>2.3</t>
        </is>
      </c>
      <c r="B50" s="5" t="inlineStr">
        <is>
          <t>Reduce currency risk</t>
        </is>
      </c>
      <c r="C50" s="5" t="inlineStr">
        <is>
          <t>Match EUR revenues with EUR debt</t>
        </is>
      </c>
      <c r="D50" s="5" t="inlineStr">
        <is>
          <t>CFO</t>
        </is>
      </c>
      <c r="E50" s="5" t="inlineStr">
        <is>
          <t>Immediate</t>
        </is>
      </c>
      <c r="F50" s="22" t="n">
        <v>0</v>
      </c>
      <c r="G50" s="5" t="inlineStr">
        <is>
          <t>Set measurable baseline before external use</t>
        </is>
      </c>
      <c r="H50" s="5" t="inlineStr">
        <is>
          <t>2.3</t>
        </is>
      </c>
    </row>
    <row r="51">
      <c r="A51" s="5" t="inlineStr">
        <is>
          <t>2.3</t>
        </is>
      </c>
      <c r="B51" s="5" t="inlineStr">
        <is>
          <t>Build country reputation</t>
        </is>
      </c>
      <c r="C51" s="5" t="inlineStr">
        <is>
          <t>Export high-tech 'Made in Montenegro' products</t>
        </is>
      </c>
      <c r="D51" s="5" t="inlineStr">
        <is>
          <t>Management</t>
        </is>
      </c>
      <c r="E51" s="5" t="inlineStr">
        <is>
          <t>Y2 onward</t>
        </is>
      </c>
      <c r="F51" s="22" t="n">
        <v>0</v>
      </c>
      <c r="G51" s="5" t="inlineStr">
        <is>
          <t>Set measurable baseline before external use</t>
        </is>
      </c>
      <c r="H51" s="5" t="inlineStr">
        <is>
          <t>2.3</t>
        </is>
      </c>
    </row>
    <row r="52">
      <c r="A52" s="5" t="inlineStr">
        <is>
          <t>2.3</t>
        </is>
      </c>
      <c r="B52" s="5" t="inlineStr">
        <is>
          <t>Institutionalize governance</t>
        </is>
      </c>
      <c r="C52" s="5" t="inlineStr">
        <is>
          <t>Implement IFRS and legal compliance</t>
        </is>
      </c>
      <c r="D52" s="5" t="inlineStr">
        <is>
          <t>CFO</t>
        </is>
      </c>
      <c r="E52" s="5" t="inlineStr">
        <is>
          <t>Y1</t>
        </is>
      </c>
      <c r="F52" s="22" t="n">
        <v>0</v>
      </c>
      <c r="G52" s="5" t="inlineStr">
        <is>
          <t>Set measurable baseline before external use</t>
        </is>
      </c>
      <c r="H52" s="5" t="inlineStr">
        <is>
          <t>2.3</t>
        </is>
      </c>
    </row>
    <row r="53">
      <c r="A53" s="5" t="inlineStr">
        <is>
          <t>3.1</t>
        </is>
      </c>
      <c r="B53" s="5" t="inlineStr">
        <is>
          <t>Achieve financial transparency</t>
        </is>
      </c>
      <c r="C53" s="5" t="inlineStr">
        <is>
          <t>Implement IFRS</t>
        </is>
      </c>
      <c r="D53" s="5" t="inlineStr">
        <is>
          <t>CFO</t>
        </is>
      </c>
      <c r="E53" s="5" t="inlineStr">
        <is>
          <t>Y1</t>
        </is>
      </c>
      <c r="F53" s="22" t="n">
        <v>0</v>
      </c>
      <c r="G53" s="5" t="inlineStr">
        <is>
          <t>Set measurable baseline before external use</t>
        </is>
      </c>
      <c r="H53" s="5" t="inlineStr">
        <is>
          <t>3.1</t>
        </is>
      </c>
    </row>
    <row r="54">
      <c r="A54" s="5" t="inlineStr">
        <is>
          <t>3.1</t>
        </is>
      </c>
      <c r="B54" s="5" t="inlineStr">
        <is>
          <t>Enable investor readiness</t>
        </is>
      </c>
      <c r="C54" s="5" t="inlineStr">
        <is>
          <t>Complete audit-ready environment</t>
        </is>
      </c>
      <c r="D54" s="5" t="inlineStr">
        <is>
          <t>CFO</t>
        </is>
      </c>
      <c r="E54" s="5" t="inlineStr">
        <is>
          <t>Y1/Y2</t>
        </is>
      </c>
      <c r="F54" s="22" t="n">
        <v>0</v>
      </c>
      <c r="G54" s="5" t="inlineStr">
        <is>
          <t>Set measurable baseline before external use</t>
        </is>
      </c>
      <c r="H54" s="5" t="inlineStr">
        <is>
          <t>3.1</t>
        </is>
      </c>
    </row>
    <row r="55">
      <c r="A55" s="5" t="inlineStr">
        <is>
          <t>3.1</t>
        </is>
      </c>
      <c r="B55" s="5" t="inlineStr">
        <is>
          <t>Preserve capital flexibility</t>
        </is>
      </c>
      <c r="C55" s="5" t="inlineStr">
        <is>
          <t>Adopt flexible statute</t>
        </is>
      </c>
      <c r="D55" s="5" t="inlineStr">
        <is>
          <t>Legal</t>
        </is>
      </c>
      <c r="E55" s="5" t="inlineStr">
        <is>
          <t>Y1</t>
        </is>
      </c>
      <c r="F55" s="22" t="n">
        <v>0</v>
      </c>
      <c r="G55" s="5" t="inlineStr">
        <is>
          <t>Set measurable baseline before external use</t>
        </is>
      </c>
      <c r="H55" s="5" t="inlineStr">
        <is>
          <t>3.1</t>
        </is>
      </c>
    </row>
    <row r="56">
      <c r="A56" s="5" t="inlineStr">
        <is>
          <t>3.1</t>
        </is>
      </c>
      <c r="B56" s="5" t="inlineStr">
        <is>
          <t>Strengthen compliance</t>
        </is>
      </c>
      <c r="C56" s="5" t="inlineStr">
        <is>
          <t>Adopt AML and anti-corruption controls</t>
        </is>
      </c>
      <c r="D56" s="5" t="inlineStr">
        <is>
          <t>Management</t>
        </is>
      </c>
      <c r="E56" s="5" t="inlineStr">
        <is>
          <t>Y1</t>
        </is>
      </c>
      <c r="F56" s="22" t="n">
        <v>0</v>
      </c>
      <c r="G56" s="5" t="inlineStr">
        <is>
          <t>Set measurable baseline before external use</t>
        </is>
      </c>
      <c r="H56" s="5" t="inlineStr">
        <is>
          <t>3.1</t>
        </is>
      </c>
    </row>
    <row r="57">
      <c r="A57" s="5" t="inlineStr">
        <is>
          <t>3.1</t>
        </is>
      </c>
      <c r="B57" s="5" t="inlineStr">
        <is>
          <t>Maintain exit optionality</t>
        </is>
      </c>
      <c r="C57" s="5" t="inlineStr">
        <is>
          <t>Keep structure exit-ready</t>
        </is>
      </c>
      <c r="D57" s="5" t="inlineStr">
        <is>
          <t>CFO</t>
        </is>
      </c>
      <c r="E57" s="5" t="inlineStr">
        <is>
          <t>Long term</t>
        </is>
      </c>
      <c r="F57" s="22" t="n">
        <v>0</v>
      </c>
      <c r="G57" s="5" t="inlineStr">
        <is>
          <t>Set measurable baseline before external use</t>
        </is>
      </c>
      <c r="H57" s="5" t="inlineStr">
        <is>
          <t>3.1</t>
        </is>
      </c>
    </row>
    <row r="58">
      <c r="A58" s="5" t="inlineStr">
        <is>
          <t>3.1</t>
        </is>
      </c>
      <c r="B58" s="5" t="inlineStr">
        <is>
          <t>Accelerate KYC</t>
        </is>
      </c>
      <c r="C58" s="5" t="inlineStr">
        <is>
          <t>Maintain clean UBO record</t>
        </is>
      </c>
      <c r="D58" s="5" t="inlineStr">
        <is>
          <t>Legal</t>
        </is>
      </c>
      <c r="E58" s="5" t="inlineStr">
        <is>
          <t>Immediate</t>
        </is>
      </c>
      <c r="F58" s="22" t="n">
        <v>0</v>
      </c>
      <c r="G58" s="5" t="inlineStr">
        <is>
          <t>Set measurable baseline before external use</t>
        </is>
      </c>
      <c r="H58" s="5" t="inlineStr">
        <is>
          <t>3.1</t>
        </is>
      </c>
    </row>
    <row r="59">
      <c r="A59" s="5" t="inlineStr">
        <is>
          <t>3.2</t>
        </is>
      </c>
      <c r="B59" s="5" t="inlineStr">
        <is>
          <t>Enforce financial discipline</t>
        </is>
      </c>
      <c r="C59" s="5" t="inlineStr">
        <is>
          <t>Zero unauthorized spend</t>
        </is>
      </c>
      <c r="D59" s="5" t="inlineStr">
        <is>
          <t>CFO</t>
        </is>
      </c>
      <c r="E59" s="5" t="inlineStr">
        <is>
          <t>Immediate/Ongoing</t>
        </is>
      </c>
      <c r="F59" s="22" t="n">
        <v>0</v>
      </c>
      <c r="G59" s="5" t="inlineStr">
        <is>
          <t>Set measurable baseline before external use</t>
        </is>
      </c>
      <c r="H59" s="5" t="inlineStr">
        <is>
          <t>3.2</t>
        </is>
      </c>
    </row>
    <row r="60">
      <c r="A60" s="5" t="inlineStr">
        <is>
          <t>3.2</t>
        </is>
      </c>
      <c r="B60" s="5" t="inlineStr">
        <is>
          <t>Run professional management model</t>
        </is>
      </c>
      <c r="C60" s="5" t="inlineStr">
        <is>
          <t>Performance-linked KPIs active</t>
        </is>
      </c>
      <c r="D60" s="5" t="inlineStr">
        <is>
          <t>CEO / HR</t>
        </is>
      </c>
      <c r="E60" s="5" t="inlineStr">
        <is>
          <t>Y1</t>
        </is>
      </c>
      <c r="F60" s="22" t="n">
        <v>0</v>
      </c>
      <c r="G60" s="5" t="inlineStr">
        <is>
          <t>Set measurable baseline before external use</t>
        </is>
      </c>
      <c r="H60" s="5" t="inlineStr">
        <is>
          <t>3.2</t>
        </is>
      </c>
    </row>
    <row r="61">
      <c r="A61" s="5" t="inlineStr">
        <is>
          <t>3.2</t>
        </is>
      </c>
      <c r="B61" s="5" t="inlineStr">
        <is>
          <t>Institutionalize ESG governance</t>
        </is>
      </c>
      <c r="C61" s="5" t="inlineStr">
        <is>
          <t>ESG committee operational</t>
        </is>
      </c>
      <c r="D61" s="5" t="inlineStr">
        <is>
          <t>Board</t>
        </is>
      </c>
      <c r="E61" s="5" t="inlineStr">
        <is>
          <t>Y1</t>
        </is>
      </c>
      <c r="F61" s="22" t="n">
        <v>0</v>
      </c>
      <c r="G61" s="5" t="inlineStr">
        <is>
          <t>Set measurable baseline before external use</t>
        </is>
      </c>
      <c r="H61" s="5" t="inlineStr">
        <is>
          <t>3.2</t>
        </is>
      </c>
    </row>
    <row r="62">
      <c r="A62" s="5" t="inlineStr">
        <is>
          <t>3.2</t>
        </is>
      </c>
      <c r="B62" s="5" t="inlineStr">
        <is>
          <t>Protect investor capital</t>
        </is>
      </c>
      <c r="C62" s="5" t="inlineStr">
        <is>
          <t>Formal governance implemented</t>
        </is>
      </c>
      <c r="D62" s="5" t="inlineStr">
        <is>
          <t>Management</t>
        </is>
      </c>
      <c r="E62" s="5" t="inlineStr">
        <is>
          <t>Y1</t>
        </is>
      </c>
      <c r="F62" s="22" t="n">
        <v>0</v>
      </c>
      <c r="G62" s="5" t="inlineStr">
        <is>
          <t>Set measurable baseline before external use</t>
        </is>
      </c>
      <c r="H62" s="5" t="inlineStr">
        <is>
          <t>3.2</t>
        </is>
      </c>
    </row>
    <row r="63">
      <c r="A63" s="5" t="inlineStr">
        <is>
          <t>3.2</t>
        </is>
      </c>
      <c r="B63" s="5" t="inlineStr">
        <is>
          <t>Control capex approvals</t>
        </is>
      </c>
      <c r="C63" s="5" t="inlineStr">
        <is>
          <t>All &gt;500k investments formally approved</t>
        </is>
      </c>
      <c r="D63" s="5" t="inlineStr">
        <is>
          <t>CFO / Board</t>
        </is>
      </c>
      <c r="E63" s="5" t="inlineStr">
        <is>
          <t>Ongoing</t>
        </is>
      </c>
      <c r="F63" s="22" t="n">
        <v>0</v>
      </c>
      <c r="G63" s="5" t="inlineStr">
        <is>
          <t>Set measurable baseline before external use</t>
        </is>
      </c>
      <c r="H63" s="5" t="inlineStr">
        <is>
          <t>3.2</t>
        </is>
      </c>
    </row>
    <row r="64">
      <c r="A64" s="5" t="inlineStr">
        <is>
          <t>3.2</t>
        </is>
      </c>
      <c r="B64" s="5" t="inlineStr">
        <is>
          <t>Clarify accountability</t>
        </is>
      </c>
      <c r="C64" s="5" t="inlineStr">
        <is>
          <t>Decision matrix implemented</t>
        </is>
      </c>
      <c r="D64" s="5" t="inlineStr">
        <is>
          <t>CFO</t>
        </is>
      </c>
      <c r="E64" s="5" t="inlineStr">
        <is>
          <t>Immediate</t>
        </is>
      </c>
      <c r="F64" s="22" t="n">
        <v>0</v>
      </c>
      <c r="G64" s="5" t="inlineStr">
        <is>
          <t>Set measurable baseline before external use</t>
        </is>
      </c>
      <c r="H64" s="5" t="inlineStr">
        <is>
          <t>3.2</t>
        </is>
      </c>
    </row>
    <row r="65">
      <c r="A65" s="5" t="inlineStr">
        <is>
          <t>3.3</t>
        </is>
      </c>
      <c r="B65" s="5" t="inlineStr">
        <is>
          <t>Preserve liquidity</t>
        </is>
      </c>
      <c r="C65" s="5" t="inlineStr">
        <is>
          <t>13-week forecast active</t>
        </is>
      </c>
      <c r="D65" s="5" t="inlineStr">
        <is>
          <t>CFO</t>
        </is>
      </c>
      <c r="E65" s="5" t="inlineStr">
        <is>
          <t>Immediate</t>
        </is>
      </c>
      <c r="F65" s="22" t="n">
        <v>0</v>
      </c>
      <c r="G65" s="5" t="inlineStr">
        <is>
          <t>Set measurable baseline before external use</t>
        </is>
      </c>
      <c r="H65" s="5" t="inlineStr">
        <is>
          <t>3.3</t>
        </is>
      </c>
    </row>
    <row r="66">
      <c r="A66" s="5" t="inlineStr">
        <is>
          <t>3.3</t>
        </is>
      </c>
      <c r="B66" s="5" t="inlineStr">
        <is>
          <t>Eliminate capex leakage</t>
        </is>
      </c>
      <c r="C66" s="5" t="inlineStr">
        <is>
          <t>Zero payments without milestone sign-off</t>
        </is>
      </c>
      <c r="D66" s="5" t="inlineStr">
        <is>
          <t>CFO</t>
        </is>
      </c>
      <c r="E66" s="5" t="inlineStr">
        <is>
          <t>Immediate</t>
        </is>
      </c>
      <c r="F66" s="22" t="n">
        <v>0</v>
      </c>
      <c r="G66" s="5" t="inlineStr">
        <is>
          <t>Set measurable baseline before external use</t>
        </is>
      </c>
      <c r="H66" s="5" t="inlineStr">
        <is>
          <t>3.3</t>
        </is>
      </c>
    </row>
    <row r="67">
      <c r="A67" s="5" t="inlineStr">
        <is>
          <t>3.3</t>
        </is>
      </c>
      <c r="B67" s="5" t="inlineStr">
        <is>
          <t>Protect covenants</t>
        </is>
      </c>
      <c r="C67" s="5" t="inlineStr">
        <is>
          <t>No covenant breach</t>
        </is>
      </c>
      <c r="D67" s="5" t="inlineStr">
        <is>
          <t>CFO</t>
        </is>
      </c>
      <c r="E67" s="5" t="inlineStr">
        <is>
          <t>Ongoing</t>
        </is>
      </c>
      <c r="F67" s="22" t="n">
        <v>0</v>
      </c>
      <c r="G67" s="5" t="inlineStr">
        <is>
          <t>Set measurable baseline before external use</t>
        </is>
      </c>
      <c r="H67" s="5" t="inlineStr">
        <is>
          <t>3.3</t>
        </is>
      </c>
    </row>
    <row r="68">
      <c r="A68" s="5" t="inlineStr">
        <is>
          <t>3.3</t>
        </is>
      </c>
      <c r="B68" s="5" t="inlineStr">
        <is>
          <t>Optimize working capital</t>
        </is>
      </c>
      <c r="C68" s="5" t="inlineStr">
        <is>
          <t>Improve CCC</t>
        </is>
      </c>
      <c r="D68" s="5" t="inlineStr">
        <is>
          <t>CFO / Operations</t>
        </is>
      </c>
      <c r="E68" s="5" t="inlineStr">
        <is>
          <t>Y1/Y2</t>
        </is>
      </c>
      <c r="F68" s="22" t="n">
        <v>0</v>
      </c>
      <c r="G68" s="5" t="inlineStr">
        <is>
          <t>Set measurable baseline before external use</t>
        </is>
      </c>
      <c r="H68" s="5" t="inlineStr">
        <is>
          <t>3.3</t>
        </is>
      </c>
    </row>
    <row r="69">
      <c r="A69" s="5" t="inlineStr">
        <is>
          <t>3.3</t>
        </is>
      </c>
      <c r="B69" s="5" t="inlineStr">
        <is>
          <t>Ensure transparent procurement</t>
        </is>
      </c>
      <c r="C69" s="5" t="inlineStr">
        <is>
          <t>3-quote compliance live</t>
        </is>
      </c>
      <c r="D69" s="5" t="inlineStr">
        <is>
          <t>Procurement</t>
        </is>
      </c>
      <c r="E69" s="5" t="inlineStr">
        <is>
          <t>Immediate</t>
        </is>
      </c>
      <c r="F69" s="22" t="n">
        <v>0</v>
      </c>
      <c r="G69" s="5" t="inlineStr">
        <is>
          <t>Set measurable baseline before external use</t>
        </is>
      </c>
      <c r="H69" s="5" t="inlineStr">
        <is>
          <t>3.3</t>
        </is>
      </c>
    </row>
    <row r="70">
      <c r="A70" s="5" t="inlineStr">
        <is>
          <t>3.3</t>
        </is>
      </c>
      <c r="B70" s="5" t="inlineStr">
        <is>
          <t>Digitize controls</t>
        </is>
      </c>
      <c r="C70" s="5" t="inlineStr">
        <is>
          <t>ERP selected and implemented</t>
        </is>
      </c>
      <c r="D70" s="5" t="inlineStr">
        <is>
          <t>IT / CFO</t>
        </is>
      </c>
      <c r="E70" s="5" t="inlineStr">
        <is>
          <t>Y1/Y2</t>
        </is>
      </c>
      <c r="F70" s="22" t="n">
        <v>0</v>
      </c>
      <c r="G70" s="5" t="inlineStr">
        <is>
          <t>Set measurable baseline before external use</t>
        </is>
      </c>
      <c r="H70" s="5" t="inlineStr">
        <is>
          <t>3.3</t>
        </is>
      </c>
    </row>
    <row r="71">
      <c r="A71" s="5" t="inlineStr">
        <is>
          <t>3.3</t>
        </is>
      </c>
      <c r="B71" s="5" t="inlineStr">
        <is>
          <t>Accelerate correction cycle</t>
        </is>
      </c>
      <c r="C71" s="5" t="inlineStr">
        <is>
          <t>Monthly budget vs actual review active</t>
        </is>
      </c>
      <c r="D71" s="5" t="inlineStr">
        <is>
          <t>CFO</t>
        </is>
      </c>
      <c r="E71" s="5" t="inlineStr">
        <is>
          <t>Immediate</t>
        </is>
      </c>
      <c r="F71" s="22" t="n">
        <v>0</v>
      </c>
      <c r="G71" s="5" t="inlineStr">
        <is>
          <t>Set measurable baseline before external use</t>
        </is>
      </c>
      <c r="H71" s="5" t="inlineStr">
        <is>
          <t>3.3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42" customWidth="1" min="3" max="3"/>
    <col width="10" customWidth="1" min="4" max="4"/>
    <col width="42" customWidth="1" min="5" max="5"/>
    <col width="42" customWidth="1" min="6" max="6"/>
    <col width="29" customWidth="1" min="7" max="7"/>
    <col width="24" customWidth="1" min="8" max="8"/>
    <col width="19" customWidth="1" min="9" max="9"/>
    <col width="42" customWidth="1" min="10" max="10"/>
  </cols>
  <sheetData>
    <row r="1" ht="24" customHeight="1">
      <c r="A1" s="1" t="inlineStr">
        <is>
          <t>Forensic Issue Log</t>
        </is>
      </c>
    </row>
    <row r="2" ht="38" customHeight="1">
      <c r="A2" s="2" t="inlineStr">
        <is>
          <t>Exact clauses and cross-references that require correction, evidence, or narrative tightening before lender / investor use</t>
        </is>
      </c>
    </row>
    <row r="3">
      <c r="A3" s="6" t="inlineStr">
        <is>
          <t>Issue_Area</t>
        </is>
      </c>
      <c r="B3" s="6" t="inlineStr">
        <is>
          <t>Source_Chapter_or_CrossRef</t>
        </is>
      </c>
      <c r="C3" s="6" t="inlineStr">
        <is>
          <t>Issue_Title</t>
        </is>
      </c>
      <c r="D3" s="6" t="inlineStr">
        <is>
          <t>Severity</t>
        </is>
      </c>
      <c r="E3" s="6" t="inlineStr">
        <is>
          <t>Exact_Trigger_Text_or_Clause</t>
        </is>
      </c>
      <c r="F3" s="6" t="inlineStr">
        <is>
          <t>Why_Flagged</t>
        </is>
      </c>
      <c r="G3" s="6" t="inlineStr">
        <is>
          <t>Impact_Area</t>
        </is>
      </c>
      <c r="H3" s="6" t="inlineStr">
        <is>
          <t>Owner</t>
        </is>
      </c>
      <c r="I3" s="6" t="inlineStr">
        <is>
          <t>Resolution_Status</t>
        </is>
      </c>
      <c r="J3" s="6" t="inlineStr">
        <is>
          <t>Required_Action</t>
        </is>
      </c>
    </row>
    <row r="4">
      <c r="A4" s="10" t="inlineStr">
        <is>
          <t>Cross-chapter</t>
        </is>
      </c>
      <c r="B4" s="10" t="inlineStr">
        <is>
          <t>1.5 vs 2.1</t>
        </is>
      </c>
      <c r="C4" s="10" t="inlineStr">
        <is>
          <t>Chapter 20 timing</t>
        </is>
      </c>
      <c r="D4" s="10" t="inlineStr">
        <is>
          <t>High</t>
        </is>
      </c>
      <c r="E4" s="10" t="inlineStr">
        <is>
          <t>1.5 states "Chapter 20 ... provisionally closed in December 2024", while 2.1 states alignment with Chapter 20 "which Montenegro provisionally closed 2024/2025".</t>
        </is>
      </c>
      <c r="F4" s="10" t="inlineStr">
        <is>
          <t>Internal contradiction on closure timing. Must use one verified date and cite the official source.</t>
        </is>
      </c>
      <c r="G4" s="10" t="inlineStr">
        <is>
          <t>Legal / policy credibility</t>
        </is>
      </c>
      <c r="H4" s="10" t="inlineStr">
        <is>
          <t>CFO / Legal / Strategy</t>
        </is>
      </c>
      <c r="I4" s="10" t="inlineStr">
        <is>
          <t>Open</t>
        </is>
      </c>
      <c r="J4" s="10" t="inlineStr">
        <is>
          <t>Correct text, attach evidence, and reconcile across workbook.</t>
        </is>
      </c>
    </row>
    <row r="5">
      <c r="A5" s="10" t="inlineStr">
        <is>
          <t>1.1 / 1.4 / 1.2</t>
        </is>
      </c>
      <c r="B5" s="10" t="inlineStr">
        <is>
          <t>1.1, 1.2, 1.4</t>
        </is>
      </c>
      <c r="C5" s="10" t="inlineStr">
        <is>
          <t>DSCR timing inconsistency</t>
        </is>
      </c>
      <c r="D5" s="10" t="inlineStr">
        <is>
          <t>High</t>
        </is>
      </c>
      <c r="E5" s="10" t="inlineStr">
        <is>
          <t>1.1 says DSCR above 1.25 after ramp-up "years 2-3"; 1.2 says DSCR exceeds 1.25 "by year 3"; 1.4 table shows DSCR 1.4x already in 2027 (Y2).</t>
        </is>
      </c>
      <c r="F5" s="10" t="inlineStr">
        <is>
          <t>Debt-service narrative is not internally consistent. Align covenant achievement timing across all chapters.</t>
        </is>
      </c>
      <c r="G5" s="10" t="inlineStr">
        <is>
          <t>Bankability / lender trust</t>
        </is>
      </c>
      <c r="H5" s="10" t="inlineStr">
        <is>
          <t>CFO / Legal / Strategy</t>
        </is>
      </c>
      <c r="I5" s="10" t="inlineStr">
        <is>
          <t>Open</t>
        </is>
      </c>
      <c r="J5" s="10" t="inlineStr">
        <is>
          <t>Correct text, attach evidence, and reconcile across workbook.</t>
        </is>
      </c>
    </row>
    <row r="6">
      <c r="A6" s="11" t="inlineStr">
        <is>
          <t>1.5</t>
        </is>
      </c>
      <c r="B6" s="11" t="inlineStr">
        <is>
          <t>1.5</t>
        </is>
      </c>
      <c r="C6" s="11" t="inlineStr">
        <is>
          <t>Regional geography wording</t>
        </is>
      </c>
      <c r="D6" s="11" t="inlineStr">
        <is>
          <t>Medium</t>
        </is>
      </c>
      <c r="E6" s="11" t="inlineStr">
        <is>
          <t>Text says Tuzi project "jača sjever i centralni dio Crne Gore", but Tuzi/Podgorica is not a northern location.</t>
        </is>
      </c>
      <c r="F6" s="11" t="inlineStr">
        <is>
          <t>Geographic framing is imprecise and weakens institutional credibility.</t>
        </is>
      </c>
      <c r="G6" s="11" t="inlineStr">
        <is>
          <t>Institutional narrative</t>
        </is>
      </c>
      <c r="H6" s="11" t="inlineStr">
        <is>
          <t>Respective owner</t>
        </is>
      </c>
      <c r="I6" s="11" t="inlineStr">
        <is>
          <t>Open</t>
        </is>
      </c>
      <c r="J6" s="11" t="inlineStr">
        <is>
          <t>Correct text, attach evidence, and reconcile across workbook.</t>
        </is>
      </c>
    </row>
    <row r="7">
      <c r="A7" s="10" t="inlineStr">
        <is>
          <t>1.3</t>
        </is>
      </c>
      <c r="B7" s="10" t="inlineStr">
        <is>
          <t>1.3</t>
        </is>
      </c>
      <c r="C7" s="10" t="inlineStr">
        <is>
          <t>Absolute claim without evidence</t>
        </is>
      </c>
      <c r="D7" s="10" t="inlineStr">
        <is>
          <t>High</t>
        </is>
      </c>
      <c r="E7" s="10" t="inlineStr">
        <is>
          <t>Phrase: "100% traceability (sa digitalnim testiranjem i nultim otpadom)".</t>
        </is>
      </c>
      <c r="F7" s="10" t="inlineStr">
        <is>
          <t>Absolute claims ('100%', 'zero waste') require measurable system design and evidence. Otherwise remove or qualify.</t>
        </is>
      </c>
      <c r="G7" s="10" t="inlineStr">
        <is>
          <t>Technical / ESG credibility</t>
        </is>
      </c>
      <c r="H7" s="10" t="inlineStr">
        <is>
          <t>CFO / Legal / Strategy</t>
        </is>
      </c>
      <c r="I7" s="10" t="inlineStr">
        <is>
          <t>Open</t>
        </is>
      </c>
      <c r="J7" s="10" t="inlineStr">
        <is>
          <t>Correct text, attach evidence, and reconcile across workbook.</t>
        </is>
      </c>
    </row>
    <row r="8">
      <c r="A8" s="10" t="inlineStr">
        <is>
          <t>1.3</t>
        </is>
      </c>
      <c r="B8" s="10" t="inlineStr">
        <is>
          <t>1.3</t>
        </is>
      </c>
      <c r="C8" s="10" t="inlineStr">
        <is>
          <t>Named customer assumption presented as fact</t>
        </is>
      </c>
      <c r="D8" s="10" t="inlineStr">
        <is>
          <t>High</t>
        </is>
      </c>
      <c r="E8" s="10" t="inlineStr">
        <is>
          <t>Lists Siemens Energy, ABB, Schneider Electric, Hitachi Energy as target OEM partners without any evidence of contact status, LOI, RFQ, NDA, or qualification stage.</t>
        </is>
      </c>
      <c r="F8" s="10" t="inlineStr">
        <is>
          <t>Potential framing manipulation. Distinguish aspirational targets from active pipeline backed by evidence.</t>
        </is>
      </c>
      <c r="G8" s="10" t="inlineStr">
        <is>
          <t>Commercial credibility</t>
        </is>
      </c>
      <c r="H8" s="10" t="inlineStr">
        <is>
          <t>CFO / Legal / Strategy</t>
        </is>
      </c>
      <c r="I8" s="10" t="inlineStr">
        <is>
          <t>Open</t>
        </is>
      </c>
      <c r="J8" s="10" t="inlineStr">
        <is>
          <t>Correct text, attach evidence, and reconcile across workbook.</t>
        </is>
      </c>
    </row>
    <row r="9">
      <c r="A9" s="10" t="inlineStr">
        <is>
          <t>2.3</t>
        </is>
      </c>
      <c r="B9" s="10" t="inlineStr">
        <is>
          <t>2.3</t>
        </is>
      </c>
      <c r="C9" s="10" t="inlineStr">
        <is>
          <t>Frame-agreement backlog overstatement</t>
        </is>
      </c>
      <c r="D9" s="10" t="inlineStr">
        <is>
          <t>High</t>
        </is>
      </c>
      <c r="E9" s="10" t="inlineStr">
        <is>
          <t>Claim: "dobijamo stabilan backlog kroz sticky ugovore (frame agreements)" before any signed agreement is disclosed.</t>
        </is>
      </c>
      <c r="F9" s="10" t="inlineStr">
        <is>
          <t>Backlog cannot be treated as secured until evidenced by executed agreements or at least verifiable LOIs.</t>
        </is>
      </c>
      <c r="G9" s="10" t="inlineStr">
        <is>
          <t>Revenue risk</t>
        </is>
      </c>
      <c r="H9" s="10" t="inlineStr">
        <is>
          <t>CFO / Legal / Strategy</t>
        </is>
      </c>
      <c r="I9" s="10" t="inlineStr">
        <is>
          <t>Open</t>
        </is>
      </c>
      <c r="J9" s="10" t="inlineStr">
        <is>
          <t>Correct text, attach evidence, and reconcile across workbook.</t>
        </is>
      </c>
    </row>
    <row r="10">
      <c r="A10" s="11" t="inlineStr">
        <is>
          <t>1.4</t>
        </is>
      </c>
      <c r="B10" s="11" t="inlineStr">
        <is>
          <t>1.4</t>
        </is>
      </c>
      <c r="C10" s="11" t="inlineStr">
        <is>
          <t>Return narrative ambiguity</t>
        </is>
      </c>
      <c r="D10" s="11" t="inlineStr">
        <is>
          <t>Medium</t>
        </is>
      </c>
      <c r="E10" s="11" t="inlineStr">
        <is>
          <t>States both "Payback Period: 5 years" and "kumulativni neto cash flow postaje pozitivan već u trećoj godini operativnog rada".</t>
        </is>
      </c>
      <c r="F10" s="11" t="inlineStr">
        <is>
          <t>These can both be true, but the distinction between cumulative operating cash generation and full investment payback must be explicit.</t>
        </is>
      </c>
      <c r="G10" s="11" t="inlineStr">
        <is>
          <t>Investor interpretation</t>
        </is>
      </c>
      <c r="H10" s="11" t="inlineStr">
        <is>
          <t>Respective owner</t>
        </is>
      </c>
      <c r="I10" s="11" t="inlineStr">
        <is>
          <t>Open</t>
        </is>
      </c>
      <c r="J10" s="11" t="inlineStr">
        <is>
          <t>Correct text, attach evidence, and reconcile across workbook.</t>
        </is>
      </c>
    </row>
    <row r="11">
      <c r="A11" s="10" t="inlineStr">
        <is>
          <t>1.4</t>
        </is>
      </c>
      <c r="B11" s="10" t="inlineStr">
        <is>
          <t>1.4</t>
        </is>
      </c>
      <c r="C11" s="10" t="inlineStr">
        <is>
          <t>Incomplete downside testing</t>
        </is>
      </c>
      <c r="D11" s="10" t="inlineStr">
        <is>
          <t>High</t>
        </is>
      </c>
      <c r="E11" s="10" t="inlineStr">
        <is>
          <t>Sensitivity mentions only 15% lower selling price or 10% higher steel cost.</t>
        </is>
      </c>
      <c r="F11" s="10" t="inlineStr">
        <is>
          <t>Bank-grade downside testing should also include volume delay, ramp-up delay, capex overrun, grant shortfall, FX on imports, collection delays and interest-rate shocks.</t>
        </is>
      </c>
      <c r="G11" s="10" t="inlineStr">
        <is>
          <t>Risk analysis sufficiency</t>
        </is>
      </c>
      <c r="H11" s="10" t="inlineStr">
        <is>
          <t>CFO / Legal / Strategy</t>
        </is>
      </c>
      <c r="I11" s="10" t="inlineStr">
        <is>
          <t>Open</t>
        </is>
      </c>
      <c r="J11" s="10" t="inlineStr">
        <is>
          <t>Correct text, attach evidence, and reconcile across workbook.</t>
        </is>
      </c>
    </row>
    <row r="12">
      <c r="A12" s="10" t="inlineStr">
        <is>
          <t>1.2</t>
        </is>
      </c>
      <c r="B12" s="10" t="inlineStr">
        <is>
          <t>1.2</t>
        </is>
      </c>
      <c r="C12" s="10" t="inlineStr">
        <is>
          <t>Contingency may be understated</t>
        </is>
      </c>
      <c r="D12" s="10" t="inlineStr">
        <is>
          <t>High</t>
        </is>
      </c>
      <c r="E12" s="10" t="inlineStr">
        <is>
          <t>Contingency fund = €0.33m on total uses of €10.33m and capex of €8.0m (~3.2% of total uses; ~4.1% of capex).</t>
        </is>
      </c>
      <c r="F12" s="10" t="inlineStr">
        <is>
          <t>Narrative calls 3-5% standard, but contingency is at the low end and may be insufficient for greenfield industrial capex unless supported by quote maturity and risk register.</t>
        </is>
      </c>
      <c r="G12" s="10" t="inlineStr">
        <is>
          <t>Capex adequacy</t>
        </is>
      </c>
      <c r="H12" s="10" t="inlineStr">
        <is>
          <t>CFO / Legal / Strategy</t>
        </is>
      </c>
      <c r="I12" s="10" t="inlineStr">
        <is>
          <t>Open</t>
        </is>
      </c>
      <c r="J12" s="10" t="inlineStr">
        <is>
          <t>Correct text, attach evidence, and reconcile across workbook.</t>
        </is>
      </c>
    </row>
    <row r="13">
      <c r="A13" s="10" t="inlineStr">
        <is>
          <t>2.1</t>
        </is>
      </c>
      <c r="B13" s="10" t="inlineStr">
        <is>
          <t>2.1</t>
        </is>
      </c>
      <c r="C13" s="10" t="inlineStr">
        <is>
          <t>Macro percentages need source discipline</t>
        </is>
      </c>
      <c r="D13" s="10" t="inlineStr">
        <is>
          <t>High</t>
        </is>
      </c>
      <c r="E13" s="10" t="inlineStr">
        <is>
          <t>Tourism "25-30% GDP" and manufacturing / industry "3-12% GDP" appear as wide unsupported ranges.</t>
        </is>
      </c>
      <c r="F13" s="10" t="inlineStr">
        <is>
          <t>Ranges are too wide to be decision-useful and look unverified. Must be sourced and defined consistently (gross value added? direct + indirect? industry vs manufacturing?).</t>
        </is>
      </c>
      <c r="G13" s="10" t="inlineStr">
        <is>
          <t>Macro credibility</t>
        </is>
      </c>
      <c r="H13" s="10" t="inlineStr">
        <is>
          <t>CFO / Legal / Strategy</t>
        </is>
      </c>
      <c r="I13" s="10" t="inlineStr">
        <is>
          <t>Open</t>
        </is>
      </c>
      <c r="J13" s="10" t="inlineStr">
        <is>
          <t>Correct text, attach evidence, and reconcile across workbook.</t>
        </is>
      </c>
    </row>
    <row r="14">
      <c r="A14" s="10" t="inlineStr">
        <is>
          <t>2.2</t>
        </is>
      </c>
      <c r="B14" s="10" t="inlineStr">
        <is>
          <t>2.2</t>
        </is>
      </c>
      <c r="C14" s="10" t="inlineStr">
        <is>
          <t>Infrastructure numbers uncited</t>
        </is>
      </c>
      <c r="D14" s="10" t="inlineStr">
        <is>
          <t>High</t>
        </is>
      </c>
      <c r="E14" s="10" t="inlineStr">
        <is>
          <t>Claims include EU plan "450 GW renewable by 2028", "EUR 584 billion to 2030", and "EUR 170 billion for digitalization/Smart Grids".</t>
        </is>
      </c>
      <c r="F14" s="10" t="inlineStr">
        <is>
          <t>These are load-bearing figures and require explicit source citations and definitions.</t>
        </is>
      </c>
      <c r="G14" s="10" t="inlineStr">
        <is>
          <t>Grant / lender diligence</t>
        </is>
      </c>
      <c r="H14" s="10" t="inlineStr">
        <is>
          <t>CFO / Legal / Strategy</t>
        </is>
      </c>
      <c r="I14" s="10" t="inlineStr">
        <is>
          <t>Open</t>
        </is>
      </c>
      <c r="J14" s="10" t="inlineStr">
        <is>
          <t>Correct text, attach evidence, and reconcile across workbook.</t>
        </is>
      </c>
    </row>
    <row r="15">
      <c r="A15" s="10" t="inlineStr">
        <is>
          <t>1.3</t>
        </is>
      </c>
      <c r="B15" s="10" t="inlineStr">
        <is>
          <t>1.3</t>
        </is>
      </c>
      <c r="C15" s="10" t="inlineStr">
        <is>
          <t>Price increase statistic uncited</t>
        </is>
      </c>
      <c r="D15" s="10" t="inlineStr">
        <is>
          <t>High</t>
        </is>
      </c>
      <c r="E15" s="10" t="inlineStr">
        <is>
          <t>Claim: transformer equipment prices increased "60-80% since 2020".</t>
        </is>
      </c>
      <c r="F15" s="10" t="inlineStr">
        <is>
          <t>High-impact pricing claim requires source, basket definition and geography.</t>
        </is>
      </c>
      <c r="G15" s="10" t="inlineStr">
        <is>
          <t>Market analysis</t>
        </is>
      </c>
      <c r="H15" s="10" t="inlineStr">
        <is>
          <t>CFO / Legal / Strategy</t>
        </is>
      </c>
      <c r="I15" s="10" t="inlineStr">
        <is>
          <t>Open</t>
        </is>
      </c>
      <c r="J15" s="10" t="inlineStr">
        <is>
          <t>Correct text, attach evidence, and reconcile across workbook.</t>
        </is>
      </c>
    </row>
    <row r="16">
      <c r="A16" s="10" t="inlineStr">
        <is>
          <t>2.2</t>
        </is>
      </c>
      <c r="B16" s="10" t="inlineStr">
        <is>
          <t>2.2</t>
        </is>
      </c>
      <c r="C16" s="10" t="inlineStr">
        <is>
          <t>Lead-time claim uncited</t>
        </is>
      </c>
      <c r="D16" s="10" t="inlineStr">
        <is>
          <t>High</t>
        </is>
      </c>
      <c r="E16" s="10" t="inlineStr">
        <is>
          <t>Lead times for large power transformers stated as 4-5 years and sometimes "to 2030".</t>
        </is>
      </c>
      <c r="F16" s="10" t="inlineStr">
        <is>
          <t>Requires current evidence, date stamp and scope (Europe? specific OEMs? custom large power units?).</t>
        </is>
      </c>
      <c r="G16" s="10" t="inlineStr">
        <is>
          <t>Demand thesis</t>
        </is>
      </c>
      <c r="H16" s="10" t="inlineStr">
        <is>
          <t>CFO / Legal / Strategy</t>
        </is>
      </c>
      <c r="I16" s="10" t="inlineStr">
        <is>
          <t>Open</t>
        </is>
      </c>
      <c r="J16" s="10" t="inlineStr">
        <is>
          <t>Correct text, attach evidence, and reconcile across workbook.</t>
        </is>
      </c>
    </row>
    <row r="17">
      <c r="A17" s="10" t="inlineStr">
        <is>
          <t>3.1</t>
        </is>
      </c>
      <c r="B17" s="10" t="inlineStr">
        <is>
          <t>3.1</t>
        </is>
      </c>
      <c r="C17" s="10" t="inlineStr">
        <is>
          <t>Legal flexibility claim may exceed DOO reality</t>
        </is>
      </c>
      <c r="D17" s="10" t="inlineStr">
        <is>
          <t>High</t>
        </is>
      </c>
      <c r="E17" s="10" t="inlineStr">
        <is>
          <t>Claim that the statute can enable "different classes of shares/units" and capital instruments in a DOO without complicated amendments.</t>
        </is>
      </c>
      <c r="F17" s="10" t="inlineStr">
        <is>
          <t>This requires precise legal validation under the new law. Do not assume AD-like flexibility without article-level legal support.</t>
        </is>
      </c>
      <c r="G17" s="10" t="inlineStr">
        <is>
          <t>Corporate law compliance</t>
        </is>
      </c>
      <c r="H17" s="10" t="inlineStr">
        <is>
          <t>CFO / Legal / Strategy</t>
        </is>
      </c>
      <c r="I17" s="10" t="inlineStr">
        <is>
          <t>Open</t>
        </is>
      </c>
      <c r="J17" s="10" t="inlineStr">
        <is>
          <t>Correct text, attach evidence, and reconcile across workbook.</t>
        </is>
      </c>
    </row>
    <row r="18">
      <c r="A18" s="11" t="inlineStr">
        <is>
          <t>3.2</t>
        </is>
      </c>
      <c r="B18" s="11" t="inlineStr">
        <is>
          <t>3.2</t>
        </is>
      </c>
      <c r="C18" s="11" t="inlineStr">
        <is>
          <t>Governance architecture may exceed actual setup</t>
        </is>
      </c>
      <c r="D18" s="11" t="inlineStr">
        <is>
          <t>Medium</t>
        </is>
      </c>
      <c r="E18" s="11" t="inlineStr">
        <is>
          <t>Board, independent members and ESG Committee are presented as if operational, but text does not show appointments, charters, or resolutions.</t>
        </is>
      </c>
      <c r="F18" s="11" t="inlineStr">
        <is>
          <t>Conceptual governance must not be written as implemented governance until formally established.</t>
        </is>
      </c>
      <c r="G18" s="11" t="inlineStr">
        <is>
          <t>Governance credibility</t>
        </is>
      </c>
      <c r="H18" s="11" t="inlineStr">
        <is>
          <t>Respective owner</t>
        </is>
      </c>
      <c r="I18" s="11" t="inlineStr">
        <is>
          <t>Open</t>
        </is>
      </c>
      <c r="J18" s="11" t="inlineStr">
        <is>
          <t>Correct text, attach evidence, and reconcile across workbook.</t>
        </is>
      </c>
    </row>
    <row r="19">
      <c r="A19" s="11" t="inlineStr">
        <is>
          <t>3.3</t>
        </is>
      </c>
      <c r="B19" s="11" t="inlineStr">
        <is>
          <t>3.3</t>
        </is>
      </c>
      <c r="C19" s="11" t="inlineStr">
        <is>
          <t>ERP overstatement risk</t>
        </is>
      </c>
      <c r="D19" s="11" t="inlineStr">
        <is>
          <t>Medium</t>
        </is>
      </c>
      <c r="E19" s="11" t="inlineStr">
        <is>
          <t>Narrative suggests real-time integrated ERP control while the system is only "planned".</t>
        </is>
      </c>
      <c r="F19" s="11" t="inlineStr">
        <is>
          <t>Future-state software capability should be clearly separated from current-state controls.</t>
        </is>
      </c>
      <c r="G19" s="11" t="inlineStr">
        <is>
          <t>Operational realism</t>
        </is>
      </c>
      <c r="H19" s="11" t="inlineStr">
        <is>
          <t>Respective owner</t>
        </is>
      </c>
      <c r="I19" s="11" t="inlineStr">
        <is>
          <t>Open</t>
        </is>
      </c>
      <c r="J19" s="11" t="inlineStr">
        <is>
          <t>Correct text, attach evidence, and reconcile across workbook.</t>
        </is>
      </c>
    </row>
    <row r="20">
      <c r="A20" s="11" t="inlineStr">
        <is>
          <t>3.3</t>
        </is>
      </c>
      <c r="B20" s="11" t="inlineStr">
        <is>
          <t>3.3</t>
        </is>
      </c>
      <c r="C20" s="11" t="inlineStr">
        <is>
          <t>Procurement rule missing exception logic</t>
        </is>
      </c>
      <c r="D20" s="11" t="inlineStr">
        <is>
          <t>Medium</t>
        </is>
      </c>
      <c r="E20" s="11" t="inlineStr">
        <is>
          <t>Rule: minimum 3 quotes for purchases above €10k.</t>
        </is>
      </c>
      <c r="F20" s="11" t="inlineStr">
        <is>
          <t>Control design is incomplete without sole-source, emergency procurement and conflict-signoff procedures.</t>
        </is>
      </c>
      <c r="G20" s="11" t="inlineStr">
        <is>
          <t>Control design</t>
        </is>
      </c>
      <c r="H20" s="11" t="inlineStr">
        <is>
          <t>Respective owner</t>
        </is>
      </c>
      <c r="I20" s="11" t="inlineStr">
        <is>
          <t>Open</t>
        </is>
      </c>
      <c r="J20" s="11" t="inlineStr">
        <is>
          <t>Correct text, attach evidence, and reconcile across workbook.</t>
        </is>
      </c>
    </row>
    <row r="21">
      <c r="A21" s="11" t="inlineStr">
        <is>
          <t>Cross-chapter</t>
        </is>
      </c>
      <c r="B21" s="11" t="inlineStr">
        <is>
          <t>1.1, 1.3, 2.3</t>
        </is>
      </c>
      <c r="C21" s="11" t="inlineStr">
        <is>
          <t>Market/payment assumption inconsistency</t>
        </is>
      </c>
      <c r="D21" s="11" t="inlineStr">
        <is>
          <t>Medium</t>
        </is>
      </c>
      <c r="E21" s="11" t="inlineStr">
        <is>
          <t>1.1 says DACH has safest payment habits "DSO &lt; 60 days", but 1.2 working capital assumes 60-90 day DSO in export ramp-up.</t>
        </is>
      </c>
      <c r="F21" s="11" t="inlineStr">
        <is>
          <t>These can differ by customer segment, but current text does not reconcile target DSO with modeled DSO.</t>
        </is>
      </c>
      <c r="G21" s="11" t="inlineStr">
        <is>
          <t>Working capital realism</t>
        </is>
      </c>
      <c r="H21" s="11" t="inlineStr">
        <is>
          <t>Respective owner</t>
        </is>
      </c>
      <c r="I21" s="11" t="inlineStr">
        <is>
          <t>Open</t>
        </is>
      </c>
      <c r="J21" s="11" t="inlineStr">
        <is>
          <t>Correct text, attach evidence, and reconcile across workbook.</t>
        </is>
      </c>
    </row>
    <row r="22">
      <c r="A22" s="5" t="inlineStr">
        <is>
          <t>Cross-chapter</t>
        </is>
      </c>
      <c r="B22" s="5" t="inlineStr">
        <is>
          <t>1.1, 1.4</t>
        </is>
      </c>
      <c r="C22" s="5" t="inlineStr">
        <is>
          <t>Capacity utilization endpoint ambiguity</t>
        </is>
      </c>
      <c r="D22" s="5" t="inlineStr">
        <is>
          <t>Low</t>
        </is>
      </c>
      <c r="E22" s="5" t="inlineStr">
        <is>
          <t>1.1 says 100% project capacity by Year 5, while 1.4 stops at 95% in Y4.</t>
        </is>
      </c>
      <c r="F22" s="5" t="inlineStr">
        <is>
          <t>Not an error, but the narrative should explicitly say Y5 reaches 100% after Y4 at 95%.</t>
        </is>
      </c>
      <c r="G22" s="5" t="inlineStr">
        <is>
          <t>Narrative clarity</t>
        </is>
      </c>
      <c r="H22" s="5" t="inlineStr">
        <is>
          <t>Respective owner</t>
        </is>
      </c>
      <c r="I22" s="5" t="inlineStr">
        <is>
          <t>Open</t>
        </is>
      </c>
      <c r="J22" s="5" t="inlineStr">
        <is>
          <t>Correct text, attach evidence, and reconcile across workbook.</t>
        </is>
      </c>
    </row>
  </sheetData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10" customWidth="1" min="4" max="4"/>
    <col width="16" customWidth="1" min="5" max="5"/>
    <col width="42" customWidth="1" min="6" max="6"/>
    <col width="20" customWidth="1" min="7" max="7"/>
    <col width="42" customWidth="1" min="8" max="8"/>
  </cols>
  <sheetData>
    <row r="1" ht="24" customHeight="1">
      <c r="A1" s="1" t="inlineStr">
        <is>
          <t>Evidence &amp; Citation Tracker</t>
        </is>
      </c>
    </row>
    <row r="2" ht="38" customHeight="1">
      <c r="A2" s="2" t="inlineStr">
        <is>
          <t>Claims that should not remain in the plan without source support or hard backup</t>
        </is>
      </c>
    </row>
    <row r="3">
      <c r="A3" s="6" t="inlineStr">
        <is>
          <t>Chapter</t>
        </is>
      </c>
      <c r="B3" s="6" t="inlineStr">
        <is>
          <t>Claim_or_Number</t>
        </is>
      </c>
      <c r="C3" s="6" t="inlineStr">
        <is>
          <t>Evidence_Type_Required</t>
        </is>
      </c>
      <c r="D3" s="6" t="inlineStr">
        <is>
          <t>Priority</t>
        </is>
      </c>
      <c r="E3" s="6" t="inlineStr">
        <is>
          <t>Current_Status</t>
        </is>
      </c>
      <c r="F3" s="6" t="inlineStr">
        <is>
          <t>Minimum_Backup_Needed</t>
        </is>
      </c>
      <c r="G3" s="6" t="inlineStr">
        <is>
          <t>Owner</t>
        </is>
      </c>
      <c r="H3" s="6" t="inlineStr">
        <is>
          <t>Comment</t>
        </is>
      </c>
    </row>
    <row r="4">
      <c r="A4" s="5" t="inlineStr">
        <is>
          <t>1.3</t>
        </is>
      </c>
      <c r="B4" s="5" t="inlineStr">
        <is>
          <t>60-80% transformer equipment price increase since 2020</t>
        </is>
      </c>
      <c r="C4" s="5" t="inlineStr">
        <is>
          <t>Market source / industry report</t>
        </is>
      </c>
      <c r="D4" s="10" t="inlineStr">
        <is>
          <t>High</t>
        </is>
      </c>
      <c r="E4" s="5" t="inlineStr">
        <is>
          <t>Missing</t>
        </is>
      </c>
      <c r="F4" s="5" t="inlineStr">
        <is>
          <t>Dated source with geography and product scope</t>
        </is>
      </c>
      <c r="G4" s="5" t="inlineStr">
        <is>
          <t>Sales / Strategy</t>
        </is>
      </c>
      <c r="H4" s="5" t="inlineStr">
        <is>
          <t>Load-bearing pricing claim</t>
        </is>
      </c>
    </row>
    <row r="5">
      <c r="A5" s="5" t="inlineStr">
        <is>
          <t>1.3</t>
        </is>
      </c>
      <c r="B5" s="5" t="inlineStr">
        <is>
          <t>18-24 month lead times at leading OEMs</t>
        </is>
      </c>
      <c r="C5" s="5" t="inlineStr">
        <is>
          <t>Industry source / supplier statements</t>
        </is>
      </c>
      <c r="D5" s="10" t="inlineStr">
        <is>
          <t>High</t>
        </is>
      </c>
      <c r="E5" s="5" t="inlineStr">
        <is>
          <t>Missing</t>
        </is>
      </c>
      <c r="F5" s="5" t="inlineStr">
        <is>
          <t>Evidence with date and market scope</t>
        </is>
      </c>
      <c r="G5" s="5" t="inlineStr">
        <is>
          <t>Sales / Strategy</t>
        </is>
      </c>
      <c r="H5" s="5" t="inlineStr">
        <is>
          <t>Do not generalize without current basis</t>
        </is>
      </c>
    </row>
    <row r="6">
      <c r="A6" s="5" t="inlineStr">
        <is>
          <t>1.4</t>
        </is>
      </c>
      <c r="B6" s="5" t="inlineStr">
        <is>
          <t>Revenue / EBITDA / DSCR table 2026-2029</t>
        </is>
      </c>
      <c r="C6" s="5" t="inlineStr">
        <is>
          <t>Integrated model + assumption schedule</t>
        </is>
      </c>
      <c r="D6" s="10" t="inlineStr">
        <is>
          <t>High</t>
        </is>
      </c>
      <c r="E6" s="5" t="inlineStr">
        <is>
          <t>Partial</t>
        </is>
      </c>
      <c r="F6" s="5" t="inlineStr">
        <is>
          <t>Excel model with assumptions and debt schedule</t>
        </is>
      </c>
      <c r="G6" s="5" t="inlineStr">
        <is>
          <t>CFO</t>
        </is>
      </c>
      <c r="H6" s="5" t="inlineStr">
        <is>
          <t>Numbers must trace</t>
        </is>
      </c>
    </row>
    <row r="7">
      <c r="A7" s="5" t="inlineStr">
        <is>
          <t>1.4</t>
        </is>
      </c>
      <c r="B7" s="5" t="inlineStr">
        <is>
          <t>5-year payback</t>
        </is>
      </c>
      <c r="C7" s="5" t="inlineStr">
        <is>
          <t>Valuation model</t>
        </is>
      </c>
      <c r="D7" s="10" t="inlineStr">
        <is>
          <t>High</t>
        </is>
      </c>
      <c r="E7" s="5" t="inlineStr">
        <is>
          <t>Missing</t>
        </is>
      </c>
      <c r="F7" s="5" t="inlineStr">
        <is>
          <t>NPV/IRR/payback workbook with definitions</t>
        </is>
      </c>
      <c r="G7" s="5" t="inlineStr">
        <is>
          <t>CFO</t>
        </is>
      </c>
      <c r="H7" s="5" t="inlineStr">
        <is>
          <t>Need operating vs project timeline clarity</t>
        </is>
      </c>
    </row>
    <row r="8">
      <c r="A8" s="5" t="inlineStr">
        <is>
          <t>1.5</t>
        </is>
      </c>
      <c r="B8" s="5" t="inlineStr">
        <is>
          <t>Chapter 20 closure date and EU accession milestones</t>
        </is>
      </c>
      <c r="C8" s="5" t="inlineStr">
        <is>
          <t>Official government/EU source</t>
        </is>
      </c>
      <c r="D8" s="10" t="inlineStr">
        <is>
          <t>High</t>
        </is>
      </c>
      <c r="E8" s="5" t="inlineStr">
        <is>
          <t>Missing</t>
        </is>
      </c>
      <c r="F8" s="5" t="inlineStr">
        <is>
          <t>Official communiqué or chapter status record</t>
        </is>
      </c>
      <c r="G8" s="5" t="inlineStr">
        <is>
          <t>CFO / Consultant</t>
        </is>
      </c>
      <c r="H8" s="5" t="inlineStr">
        <is>
          <t>Current draft internally inconsistent</t>
        </is>
      </c>
    </row>
    <row r="9">
      <c r="A9" s="5" t="inlineStr">
        <is>
          <t>2.1</t>
        </is>
      </c>
      <c r="B9" s="5" t="inlineStr">
        <is>
          <t>Tourism share of GDP and manufacturing share of GDP</t>
        </is>
      </c>
      <c r="C9" s="5" t="inlineStr">
        <is>
          <t>National statistics source</t>
        </is>
      </c>
      <c r="D9" s="10" t="inlineStr">
        <is>
          <t>High</t>
        </is>
      </c>
      <c r="E9" s="5" t="inlineStr">
        <is>
          <t>Missing</t>
        </is>
      </c>
      <c r="F9" s="5" t="inlineStr">
        <is>
          <t>Single source with consistent definitions</t>
        </is>
      </c>
      <c r="G9" s="5" t="inlineStr">
        <is>
          <t>CFO / Economist</t>
        </is>
      </c>
      <c r="H9" s="5" t="inlineStr">
        <is>
          <t>Avoid wide unsupported ranges</t>
        </is>
      </c>
    </row>
    <row r="10">
      <c r="A10" s="5" t="inlineStr">
        <is>
          <t>2.2</t>
        </is>
      </c>
      <c r="B10" s="5" t="inlineStr">
        <is>
          <t>€584bn grid investment and €170bn smart-grid/digitalization figures</t>
        </is>
      </c>
      <c r="C10" s="5" t="inlineStr">
        <is>
          <t>Official report / TYNDP / EC source</t>
        </is>
      </c>
      <c r="D10" s="10" t="inlineStr">
        <is>
          <t>High</t>
        </is>
      </c>
      <c r="E10" s="5" t="inlineStr">
        <is>
          <t>Missing</t>
        </is>
      </c>
      <c r="F10" s="5" t="inlineStr">
        <is>
          <t>Document citation and date</t>
        </is>
      </c>
      <c r="G10" s="5" t="inlineStr">
        <is>
          <t>Strategy Team</t>
        </is>
      </c>
      <c r="H10" s="5" t="inlineStr">
        <is>
          <t>Critical demand thesis support</t>
        </is>
      </c>
    </row>
    <row r="11">
      <c r="A11" s="5" t="inlineStr">
        <is>
          <t>2.2</t>
        </is>
      </c>
      <c r="B11" s="5" t="inlineStr">
        <is>
          <t>450 GW additional renewable capacity by 2028</t>
        </is>
      </c>
      <c r="C11" s="5" t="inlineStr">
        <is>
          <t>Official policy / market source</t>
        </is>
      </c>
      <c r="D11" s="10" t="inlineStr">
        <is>
          <t>High</t>
        </is>
      </c>
      <c r="E11" s="5" t="inlineStr">
        <is>
          <t>Missing</t>
        </is>
      </c>
      <c r="F11" s="5" t="inlineStr">
        <is>
          <t>Source + scope</t>
        </is>
      </c>
      <c r="G11" s="5" t="inlineStr">
        <is>
          <t>Strategy Team</t>
        </is>
      </c>
      <c r="H11" s="5" t="inlineStr">
        <is>
          <t>Supports multi-decade demand argument</t>
        </is>
      </c>
    </row>
    <row r="12">
      <c r="A12" s="5" t="inlineStr">
        <is>
          <t>2.3</t>
        </is>
      </c>
      <c r="B12" s="5" t="inlineStr">
        <is>
          <t>48-72h to N. Italy and 3-5 days to Austria/Germany</t>
        </is>
      </c>
      <c r="C12" s="5" t="inlineStr">
        <is>
          <t>Logistics route test / freight quote</t>
        </is>
      </c>
      <c r="D12" s="11" t="inlineStr">
        <is>
          <t>Medium</t>
        </is>
      </c>
      <c r="E12" s="5" t="inlineStr">
        <is>
          <t>Missing</t>
        </is>
      </c>
      <c r="F12" s="5" t="inlineStr">
        <is>
          <t>Lane-based routing evidence</t>
        </is>
      </c>
      <c r="G12" s="5" t="inlineStr">
        <is>
          <t>Operations</t>
        </is>
      </c>
      <c r="H12" s="5" t="inlineStr">
        <is>
          <t>Must align with chosen transport mode</t>
        </is>
      </c>
    </row>
    <row r="13">
      <c r="A13" s="5" t="inlineStr">
        <is>
          <t>3.1</t>
        </is>
      </c>
      <c r="B13" s="5" t="inlineStr">
        <is>
          <t>Flexible DOO structure with classes / convertible instruments</t>
        </is>
      </c>
      <c r="C13" s="5" t="inlineStr">
        <is>
          <t>Legal memo</t>
        </is>
      </c>
      <c r="D13" s="10" t="inlineStr">
        <is>
          <t>High</t>
        </is>
      </c>
      <c r="E13" s="5" t="inlineStr">
        <is>
          <t>Missing</t>
        </is>
      </c>
      <c r="F13" s="5" t="inlineStr">
        <is>
          <t>Article-level legal opinion under new law</t>
        </is>
      </c>
      <c r="G13" s="5" t="inlineStr">
        <is>
          <t>Legal</t>
        </is>
      </c>
      <c r="H13" s="5" t="inlineStr">
        <is>
          <t>Do not overstate legal flexibility</t>
        </is>
      </c>
    </row>
    <row r="14">
      <c r="A14" s="5" t="inlineStr">
        <is>
          <t>3.2</t>
        </is>
      </c>
      <c r="B14" s="5" t="inlineStr">
        <is>
          <t>Independent board / ESG committee architecture</t>
        </is>
      </c>
      <c r="C14" s="5" t="inlineStr">
        <is>
          <t>Corporate resolutions / charters</t>
        </is>
      </c>
      <c r="D14" s="11" t="inlineStr">
        <is>
          <t>Medium</t>
        </is>
      </c>
      <c r="E14" s="5" t="inlineStr">
        <is>
          <t>Missing</t>
        </is>
      </c>
      <c r="F14" s="5" t="inlineStr">
        <is>
          <t>Formal appointment and charters</t>
        </is>
      </c>
      <c r="G14" s="5" t="inlineStr">
        <is>
          <t>Legal / Management</t>
        </is>
      </c>
      <c r="H14" s="5" t="inlineStr">
        <is>
          <t>Concept vs implemented state</t>
        </is>
      </c>
    </row>
    <row r="15">
      <c r="A15" s="5" t="inlineStr">
        <is>
          <t>3.3</t>
        </is>
      </c>
      <c r="B15" s="5" t="inlineStr">
        <is>
          <t>ERP real-time integration benefits</t>
        </is>
      </c>
      <c r="C15" s="5" t="inlineStr">
        <is>
          <t>Implementation roadmap / vendor proposal</t>
        </is>
      </c>
      <c r="D15" s="11" t="inlineStr">
        <is>
          <t>Medium</t>
        </is>
      </c>
      <c r="E15" s="5" t="inlineStr">
        <is>
          <t>Missing</t>
        </is>
      </c>
      <c r="F15" s="5" t="inlineStr">
        <is>
          <t>Phased rollout and current-state limitations</t>
        </is>
      </c>
      <c r="G15" s="5" t="inlineStr">
        <is>
          <t>IT / CFO</t>
        </is>
      </c>
      <c r="H15" s="5" t="inlineStr">
        <is>
          <t>Avoid future-state wording as current state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Controls &amp; Reconciliation Checks</t>
        </is>
      </c>
    </row>
    <row r="2" ht="38" customHeight="1">
      <c r="A2" s="2" t="inlineStr">
        <is>
          <t>Basic consistency checks across the harmonized workbook</t>
        </is>
      </c>
    </row>
    <row r="3">
      <c r="A3" s="6" t="inlineStr">
        <is>
          <t>Check</t>
        </is>
      </c>
      <c r="B3" s="6" t="inlineStr">
        <is>
          <t>Formula_Cell_Input</t>
        </is>
      </c>
      <c r="C3" s="6" t="inlineStr">
        <is>
          <t>Result</t>
        </is>
      </c>
      <c r="D3" s="6" t="inlineStr">
        <is>
          <t>Interpretation</t>
        </is>
      </c>
      <c r="E3" s="3" t="n"/>
      <c r="F3" s="3" t="n"/>
      <c r="G3" s="3" t="n"/>
      <c r="H3" s="3" t="n"/>
    </row>
    <row r="4">
      <c r="A4" s="5" t="inlineStr">
        <is>
          <t>Funding total equals uses total (1.2)</t>
        </is>
      </c>
      <c r="B4" s="7">
        <f>SUMIFS(Financial_Map!E:E,Financial_Map!A:A,"1.2",Financial_Map!D:D,"Funding")-SUMIFS(Financial_Map!E:E,Financial_Map!A:A,"1.2",Financial_Map!D:D,"Use")</f>
        <v/>
      </c>
      <c r="C4" s="23">
        <f>SUMIFS(Financial_Map!E:E,Financial_Map!A:A,"1.2",Financial_Map!D:D,"Funding")-SUMIFS(Financial_Map!E:E,Financial_Map!A:A,"1.2",Financial_Map!D:D,"Use")</f>
        <v/>
      </c>
      <c r="D4" s="5" t="inlineStr">
        <is>
          <t>Should be 0</t>
        </is>
      </c>
      <c r="E4" s="3" t="n"/>
      <c r="F4" s="3" t="n"/>
      <c r="G4" s="3" t="n"/>
      <c r="H4" s="3" t="n"/>
    </row>
    <row r="5">
      <c r="A5" s="5" t="inlineStr">
        <is>
          <t>1.4 revenue rows count</t>
        </is>
      </c>
      <c r="B5" s="7">
        <f>COUNTIFS(Financial_Map!A:A,"1.4",Financial_Map!D:D,"Revenue")</f>
        <v/>
      </c>
      <c r="C5" s="23">
        <f>COUNTIFS(Financial_Map!A:A,"1.4",Financial_Map!D:D,"Revenue")</f>
        <v/>
      </c>
      <c r="D5" s="5" t="inlineStr">
        <is>
          <t>Should be 4</t>
        </is>
      </c>
      <c r="E5" s="3" t="n"/>
      <c r="F5" s="3" t="n"/>
      <c r="G5" s="3" t="n"/>
      <c r="H5" s="3" t="n"/>
    </row>
    <row r="6">
      <c r="A6" s="5" t="inlineStr">
        <is>
          <t>Critical issues count</t>
        </is>
      </c>
      <c r="B6" s="7">
        <f>COUNTIF(Issue_Log!D:D,"High")</f>
        <v/>
      </c>
      <c r="C6" s="23">
        <f>COUNTIF(Issue_Log!D:D,"High")</f>
        <v/>
      </c>
      <c r="D6" s="5" t="inlineStr">
        <is>
          <t>Manual attention required</t>
        </is>
      </c>
      <c r="E6" s="3" t="n"/>
      <c r="F6" s="3" t="n"/>
      <c r="G6" s="3" t="n"/>
      <c r="H6" s="3" t="n"/>
    </row>
    <row r="7">
      <c r="A7" s="5" t="inlineStr">
        <is>
          <t>Task hard gates count</t>
        </is>
      </c>
      <c r="B7" s="7">
        <f>COUNTIF(Task_Register!O:O,"Yes")</f>
        <v/>
      </c>
      <c r="C7" s="23">
        <f>COUNTIF(Task_Register!O:O,"Yes")</f>
        <v/>
      </c>
      <c r="D7" s="5" t="inlineStr">
        <is>
          <t>Tracks tasks that should block progression</t>
        </is>
      </c>
      <c r="E7" s="3" t="n"/>
      <c r="F7" s="3" t="n"/>
      <c r="G7" s="3" t="n"/>
      <c r="H7" s="3" t="n"/>
    </row>
  </sheetData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2026-03-08T14:19:13Z</dcterms:created>
  <dcterms:modified xmlns:dcterms="http://purl.org/dc/terms/" xmlns:xsi="http://www.w3.org/2001/XMLSchema-instance" xsi:type="dcterms:W3CDTF">2026-03-08T14:19:14Z</dcterms:modified>
</cp:coreProperties>
</file>