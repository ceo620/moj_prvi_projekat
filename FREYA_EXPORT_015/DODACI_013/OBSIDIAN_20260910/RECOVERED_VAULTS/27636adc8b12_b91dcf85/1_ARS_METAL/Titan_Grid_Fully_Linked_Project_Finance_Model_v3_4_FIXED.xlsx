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_Dashboard" sheetId="1" state="visible" r:id="rId3"/>
    <sheet name="Sources_Uses" sheetId="2" state="visible" r:id="rId4"/>
    <sheet name="Sources_Assumptions" sheetId="3" state="visible" r:id="rId5"/>
    <sheet name="Scenario_Manager" sheetId="4" state="visible" r:id="rId6"/>
    <sheet name="Revenue_Model" sheetId="5" state="visible" r:id="rId7"/>
    <sheet name="COGS_OPEX" sheetId="6" state="visible" r:id="rId8"/>
    <sheet name="Working_Capital" sheetId="7" state="visible" r:id="rId9"/>
    <sheet name="CFADS" sheetId="8" state="visible" r:id="rId10"/>
    <sheet name="Debt_Sizing" sheetId="9" state="visible" r:id="rId11"/>
    <sheet name="Debt_Schedule" sheetId="10" state="visible" r:id="rId12"/>
    <sheet name="Covenant_Test" sheetId="11" state="visible" r:id="rId13"/>
    <sheet name="IRR_Payback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<sst xmlns="http://schemas.openxmlformats.org/spreadsheetml/2006/main" count="336" uniqueCount="170">
  <si>
    <t xml:space="preserve">Titan Grid - Fully Linked Project Finance Model v3.4</t>
  </si>
  <si>
    <t xml:space="preserve">Metric</t>
  </si>
  <si>
    <t xml:space="preserve">Value</t>
  </si>
  <si>
    <t xml:space="preserve">Source / Comment</t>
  </si>
  <si>
    <t xml:space="preserve">Total Project Cost</t>
  </si>
  <si>
    <t xml:space="preserve">Locked v4.5</t>
  </si>
  <si>
    <t xml:space="preserve">Direct CAPEX</t>
  </si>
  <si>
    <t xml:space="preserve">Contingency</t>
  </si>
  <si>
    <t xml:space="preserve">Escalation</t>
  </si>
  <si>
    <t xml:space="preserve">Debt</t>
  </si>
  <si>
    <t xml:space="preserve">Equity</t>
  </si>
  <si>
    <t xml:space="preserve">IDC</t>
  </si>
  <si>
    <t xml:space="preserve">Revenue Year 1</t>
  </si>
  <si>
    <t xml:space="preserve">Scenario-linked</t>
  </si>
  <si>
    <t xml:space="preserve">Revenue Year 5</t>
  </si>
  <si>
    <t xml:space="preserve">Revenue Year 12</t>
  </si>
  <si>
    <t xml:space="preserve">Steady EBITDA Margin</t>
  </si>
  <si>
    <t xml:space="preserve">Net Working Capital Year 5</t>
  </si>
  <si>
    <t xml:space="preserve">Target NWC Y5 (Locked)</t>
  </si>
  <si>
    <t xml:space="preserve">Base DSCR Target</t>
  </si>
  <si>
    <t xml:space="preserve">Assumption</t>
  </si>
  <si>
    <t xml:space="preserve">Average Model DSCR</t>
  </si>
  <si>
    <t xml:space="preserve">Calculated</t>
  </si>
  <si>
    <t xml:space="preserve">Minimum Model DSCR</t>
  </si>
  <si>
    <t xml:space="preserve">Debt Capacity</t>
  </si>
  <si>
    <t xml:space="preserve">Sizing Headroom / (Shortfall)</t>
  </si>
  <si>
    <t xml:space="preserve">Project IRR</t>
  </si>
  <si>
    <t xml:space="preserve">Funding Gap / (Surplus)</t>
  </si>
  <si>
    <t xml:space="preserve">Sources &amp; Uses</t>
  </si>
  <si>
    <t xml:space="preserve">Uses</t>
  </si>
  <si>
    <t xml:space="preserve">EUR</t>
  </si>
  <si>
    <t xml:space="preserve">Sources</t>
  </si>
  <si>
    <t xml:space="preserve">Total Sources</t>
  </si>
  <si>
    <t xml:space="preserve">Total Uses</t>
  </si>
  <si>
    <t xml:space="preserve">Titan Grid Project Brain v2.0 - v4.5 locked inputs</t>
  </si>
  <si>
    <t xml:space="preserve">Category</t>
  </si>
  <si>
    <t xml:space="preserve">Item</t>
  </si>
  <si>
    <t xml:space="preserve">Unit</t>
  </si>
  <si>
    <t xml:space="preserve">Note</t>
  </si>
  <si>
    <t xml:space="preserve">Locked input</t>
  </si>
  <si>
    <t xml:space="preserve">Total IDC</t>
  </si>
  <si>
    <t xml:space="preserve">Average DSCR</t>
  </si>
  <si>
    <t xml:space="preserve">x</t>
  </si>
  <si>
    <t xml:space="preserve">Locked reference metric</t>
  </si>
  <si>
    <t xml:space="preserve">Minimum DSCR</t>
  </si>
  <si>
    <t xml:space="preserve">Minimum DSCR Year</t>
  </si>
  <si>
    <t xml:space="preserve">Year</t>
  </si>
  <si>
    <t xml:space="preserve">Steady EBITDA Margin (Y5+)</t>
  </si>
  <si>
    <t xml:space="preserve">%</t>
  </si>
  <si>
    <t xml:space="preserve">Cash Conversion Cycle</t>
  </si>
  <si>
    <t xml:space="preserve">days</t>
  </si>
  <si>
    <t xml:space="preserve">TO CONFIRM</t>
  </si>
  <si>
    <t xml:space="preserve">Corporate Tax Rate</t>
  </si>
  <si>
    <t xml:space="preserve">Confirm against latest tax structuring</t>
  </si>
  <si>
    <t xml:space="preserve">Debt Interest Rate</t>
  </si>
  <si>
    <t xml:space="preserve">Model assumption - confirm</t>
  </si>
  <si>
    <t xml:space="preserve">Debt Tenor</t>
  </si>
  <si>
    <t xml:space="preserve">years</t>
  </si>
  <si>
    <t xml:space="preserve">Grace Period</t>
  </si>
  <si>
    <t xml:space="preserve">Base Target DSCR</t>
  </si>
  <si>
    <t xml:space="preserve">Bank sizing assumption</t>
  </si>
  <si>
    <t xml:space="preserve">Lock-up DSCR</t>
  </si>
  <si>
    <t xml:space="preserve">Covenant assumption</t>
  </si>
  <si>
    <t xml:space="preserve">Debt/EBITDA Limit</t>
  </si>
  <si>
    <t xml:space="preserve">LLCR Limit</t>
  </si>
  <si>
    <t xml:space="preserve">Discount Rate for LLCR</t>
  </si>
  <si>
    <t xml:space="preserve">Model assumption</t>
  </si>
  <si>
    <t xml:space="preserve">Revenue Year 2</t>
  </si>
  <si>
    <t xml:space="preserve">Placeholder ramp</t>
  </si>
  <si>
    <t xml:space="preserve">Revenue Year 3</t>
  </si>
  <si>
    <t xml:space="preserve">Revenue Year 4</t>
  </si>
  <si>
    <t xml:space="preserve">EBITDA Margin Year 1</t>
  </si>
  <si>
    <t xml:space="preserve">EBITDA Margin Year 2</t>
  </si>
  <si>
    <t xml:space="preserve">EBITDA Margin Year 3</t>
  </si>
  <si>
    <t xml:space="preserve">EBITDA Margin Year 4</t>
  </si>
  <si>
    <t xml:space="preserve">AR Share of CCC</t>
  </si>
  <si>
    <t xml:space="preserve">AR days = CCC * share</t>
  </si>
  <si>
    <t xml:space="preserve">Inventory Share of CCC</t>
  </si>
  <si>
    <t xml:space="preserve">Inventory days = CCC * share</t>
  </si>
  <si>
    <t xml:space="preserve">AP Share of CCC</t>
  </si>
  <si>
    <t xml:space="preserve">Calibrated so NWC Y5 ~= locked value</t>
  </si>
  <si>
    <t xml:space="preserve">Downside Revenue Multiplier</t>
  </si>
  <si>
    <t xml:space="preserve">EBRD-style downside</t>
  </si>
  <si>
    <t xml:space="preserve">Downside EBITDA Margin</t>
  </si>
  <si>
    <t xml:space="preserve">Downside CCC</t>
  </si>
  <si>
    <t xml:space="preserve">Scenario Manager</t>
  </si>
  <si>
    <t xml:space="preserve">Driver</t>
  </si>
  <si>
    <t xml:space="preserve">Base</t>
  </si>
  <si>
    <t xml:space="preserve">Downside</t>
  </si>
  <si>
    <t xml:space="preserve">Revenue Multiplier</t>
  </si>
  <si>
    <t xml:space="preserve">CCC Days</t>
  </si>
  <si>
    <t xml:space="preserve">Selected Scenario</t>
  </si>
  <si>
    <t xml:space="preserve">Active Revenue Multiplier</t>
  </si>
  <si>
    <t xml:space="preserve">Active Steady EBITDA Margin</t>
  </si>
  <si>
    <t xml:space="preserve">Active CCC Days</t>
  </si>
  <si>
    <t xml:space="preserve">Revenue Model</t>
  </si>
  <si>
    <t xml:space="preserve">Base Revenue</t>
  </si>
  <si>
    <t xml:space="preserve">Scenario Revenue</t>
  </si>
  <si>
    <t xml:space="preserve">Base EBITDA Margin</t>
  </si>
  <si>
    <t xml:space="preserve">Scenario EBITDA Margin</t>
  </si>
  <si>
    <t xml:space="preserve">EBITDA</t>
  </si>
  <si>
    <t xml:space="preserve">COGS &amp; OPEX</t>
  </si>
  <si>
    <t xml:space="preserve">Revenue</t>
  </si>
  <si>
    <t xml:space="preserve">EBITDA Margin</t>
  </si>
  <si>
    <t xml:space="preserve">OPEX</t>
  </si>
  <si>
    <t xml:space="preserve">COGS</t>
  </si>
  <si>
    <t xml:space="preserve">COGS %</t>
  </si>
  <si>
    <t xml:space="preserve">OPEX %</t>
  </si>
  <si>
    <t xml:space="preserve">Working Capital</t>
  </si>
  <si>
    <t xml:space="preserve">AR</t>
  </si>
  <si>
    <t xml:space="preserve">Inventory</t>
  </si>
  <si>
    <t xml:space="preserve">AP</t>
  </si>
  <si>
    <t xml:space="preserve">Net Working Capital</t>
  </si>
  <si>
    <t xml:space="preserve">NWC % Revenue</t>
  </si>
  <si>
    <t xml:space="preserve">Delta NWC</t>
  </si>
  <si>
    <t xml:space="preserve">Check vs Y5 Locked</t>
  </si>
  <si>
    <t xml:space="preserve">CFADS</t>
  </si>
  <si>
    <t xml:space="preserve">Annual Depreciation</t>
  </si>
  <si>
    <t xml:space="preserve">Depreciation</t>
  </si>
  <si>
    <t xml:space="preserve">EBIT</t>
  </si>
  <si>
    <t xml:space="preserve">Tax</t>
  </si>
  <si>
    <t xml:space="preserve">Reference Avg DSCR</t>
  </si>
  <si>
    <t xml:space="preserve">Reference Min DSCR</t>
  </si>
  <si>
    <t xml:space="preserve">Debt Sizing</t>
  </si>
  <si>
    <t xml:space="preserve">Target DSCR</t>
  </si>
  <si>
    <t xml:space="preserve">Max Debt Service</t>
  </si>
  <si>
    <t xml:space="preserve">Discount Rate</t>
  </si>
  <si>
    <t xml:space="preserve">PV Factor</t>
  </si>
  <si>
    <t xml:space="preserve">PV of Max Debt Service</t>
  </si>
  <si>
    <t xml:space="preserve">Total Debt Capacity</t>
  </si>
  <si>
    <t xml:space="preserve">Locked Debt</t>
  </si>
  <si>
    <t xml:space="preserve">Debt Schedule</t>
  </si>
  <si>
    <t xml:space="preserve">Opening Debt</t>
  </si>
  <si>
    <t xml:space="preserve">Interest Rate</t>
  </si>
  <si>
    <t xml:space="preserve">Interest</t>
  </si>
  <si>
    <t xml:space="preserve">Scheduled Debt Service</t>
  </si>
  <si>
    <t xml:space="preserve">Principal</t>
  </si>
  <si>
    <t xml:space="preserve">Closing Debt</t>
  </si>
  <si>
    <t xml:space="preserve">DSCR</t>
  </si>
  <si>
    <t xml:space="preserve">IDC Added to Opening Debt?</t>
  </si>
  <si>
    <t xml:space="preserve">"YES"</t>
  </si>
  <si>
    <t xml:space="preserve">"NO"</t>
  </si>
  <si>
    <t xml:space="preserve">Covenant Test</t>
  </si>
  <si>
    <t xml:space="preserve">DSCR Test</t>
  </si>
  <si>
    <t xml:space="preserve">Lock-up Test</t>
  </si>
  <si>
    <t xml:space="preserve">Debt/EBITDA</t>
  </si>
  <si>
    <t xml:space="preserve">Debt/EBITDA Test</t>
  </si>
  <si>
    <t xml:space="preserve">PV of CFADS</t>
  </si>
  <si>
    <t xml:space="preserve">LLCR</t>
  </si>
  <si>
    <t xml:space="preserve">LLCR Test</t>
  </si>
  <si>
    <t xml:space="preserve">IRR &amp; Payback</t>
  </si>
  <si>
    <t xml:space="preserve">Period</t>
  </si>
  <si>
    <t xml:space="preserve">Cash Flow</t>
  </si>
  <si>
    <t xml:space="preserve">Cumulative CF</t>
  </si>
  <si>
    <t xml:space="preserve">Simple Payback</t>
  </si>
  <si>
    <t xml:space="preserve">Year 0</t>
  </si>
  <si>
    <t xml:space="preserve">Manual review from cumulative CF crossover</t>
  </si>
  <si>
    <t xml:space="preserve">Payback year is first year where cumulative CF turns positive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</si>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</sst>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(#,##0.00\);\-"/>
    <numFmt numFmtId="166" formatCode="0.00%"/>
    <numFmt numFmtId="167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0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20386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DSCR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Debt_Schedule!I3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Debt_Schedule!$A$4:$A$15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Debt_Schedule!$I$4:$I$15</c:f>
              <c:numCache>
                <c:formatCode>0.00\x</c:formatCode>
                <c:ptCount val="12"/>
                <c:pt idx="0">
                  <c:v>1.18669560944882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1.60962893479872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057039"/>
        <c:axId val="31308686"/>
      </c:lineChart>
      <c:catAx>
        <c:axId val="810570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308686"/>
        <c:crosses val="autoZero"/>
        <c:auto val="1"/>
        <c:lblAlgn val="ctr"/>
        <c:lblOffset val="100"/>
        <c:noMultiLvlLbl val="0"/>
      </c:catAx>
      <c:valAx>
        <c:axId val="31308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DSCR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0570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vs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Revenue_Model!C3</c:f>
              <c:strCache>
                <c:ptCount val="1"/>
                <c:pt idx="0">
                  <c:v>Scenario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Revenue_Model!$A$4:$A$15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Revenue_Model!$C$4:$C$15</c:f>
              <c:numCache>
                <c:formatCode>#,##0.00;[RED]\(#,##0.00\);\-</c:formatCode>
                <c:ptCount val="12"/>
                <c:pt idx="0">
                  <c:v>8000000</c:v>
                </c:pt>
                <c:pt idx="1">
                  <c:v>13000000</c:v>
                </c:pt>
                <c:pt idx="2">
                  <c:v>18000000</c:v>
                </c:pt>
                <c:pt idx="3">
                  <c:v>23000000</c:v>
                </c:pt>
                <c:pt idx="4">
                  <c:v>28000000</c:v>
                </c:pt>
                <c:pt idx="5">
                  <c:v>28560000</c:v>
                </c:pt>
                <c:pt idx="6">
                  <c:v>29131200</c:v>
                </c:pt>
                <c:pt idx="7">
                  <c:v>29713824</c:v>
                </c:pt>
                <c:pt idx="8">
                  <c:v>30308100.48</c:v>
                </c:pt>
                <c:pt idx="9">
                  <c:v>30914262.4896</c:v>
                </c:pt>
                <c:pt idx="10">
                  <c:v>31532547.739392</c:v>
                </c:pt>
                <c:pt idx="11">
                  <c:v>32163198</c:v>
                </c:pt>
              </c:numCache>
            </c:numRef>
          </c:val>
        </c:ser>
        <c:ser>
          <c:idx val="1"/>
          <c:order val="1"/>
          <c:tx>
            <c:strRef>
              <c:f>Revenue_Model!F3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Revenue_Model!$A$4:$A$15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Revenue_Model!$F$4:$F$15</c:f>
              <c:numCache>
                <c:formatCode>#,##0.00;[RED]\(#,##0.00\);\-</c:formatCode>
                <c:ptCount val="12"/>
                <c:pt idx="0">
                  <c:v>960000</c:v>
                </c:pt>
                <c:pt idx="1">
                  <c:v>2080000</c:v>
                </c:pt>
                <c:pt idx="2">
                  <c:v>3240000</c:v>
                </c:pt>
                <c:pt idx="3">
                  <c:v>4600000</c:v>
                </c:pt>
                <c:pt idx="4">
                  <c:v>6160000</c:v>
                </c:pt>
                <c:pt idx="5">
                  <c:v>6283200</c:v>
                </c:pt>
                <c:pt idx="6">
                  <c:v>6408864</c:v>
                </c:pt>
                <c:pt idx="7">
                  <c:v>6537041.28</c:v>
                </c:pt>
                <c:pt idx="8">
                  <c:v>6667782.1056</c:v>
                </c:pt>
                <c:pt idx="9">
                  <c:v>6801137.747712</c:v>
                </c:pt>
                <c:pt idx="10">
                  <c:v>6937160.50266624</c:v>
                </c:pt>
                <c:pt idx="11">
                  <c:v>7075903.56</c:v>
                </c:pt>
              </c:numCache>
            </c:numRef>
          </c:val>
        </c:ser>
        <c:gapWidth val="150"/>
        <c:overlap val="0"/>
        <c:axId val="53046036"/>
        <c:axId val="72512356"/>
      </c:barChart>
      <c:catAx>
        <c:axId val="530460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512356"/>
        <c:crosses val="autoZero"/>
        <c:auto val="1"/>
        <c:lblAlgn val="ctr"/>
        <c:lblOffset val="100"/>
        <c:noMultiLvlLbl val="0"/>
      </c:catAx>
      <c:valAx>
        <c:axId val="72512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046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11</xdr:col>
      <xdr:colOff>38880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787140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130680</xdr:rowOff>
    </xdr:from>
    <xdr:to>
      <xdr:col>12</xdr:col>
      <xdr:colOff>147600</xdr:colOff>
      <xdr:row>33</xdr:row>
      <xdr:rowOff>153000</xdr:rowOff>
    </xdr:to>
    <xdr:graphicFrame>
      <xdr:nvGraphicFramePr>
        <xdr:cNvPr id="1" name="Chart 2"/>
        <xdr:cNvGraphicFramePr/>
      </xdr:nvGraphicFramePr>
      <xdr:xfrm>
        <a:off x="787140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42"/>
    <col collapsed="false" customWidth="true" hidden="false" outlineLevel="0" max="3" min="3" style="0" width="19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f aca="false">Sources_Assumptions!C4</f>
        <v>27796156</v>
      </c>
      <c r="C4" s="3" t="s">
        <v>5</v>
      </c>
    </row>
    <row r="5" customFormat="false" ht="15" hidden="false" customHeight="false" outlineLevel="0" collapsed="false">
      <c r="A5" s="3" t="s">
        <v>6</v>
      </c>
      <c r="B5" s="4" t="n">
        <f aca="false">Sources_Assumptions!C5</f>
        <v>24715200</v>
      </c>
      <c r="C5" s="3" t="s">
        <v>5</v>
      </c>
    </row>
    <row r="6" customFormat="false" ht="15" hidden="false" customHeight="false" outlineLevel="0" collapsed="false">
      <c r="A6" s="3" t="s">
        <v>7</v>
      </c>
      <c r="B6" s="4" t="n">
        <f aca="false">Sources_Assumptions!C6</f>
        <v>2471520</v>
      </c>
      <c r="C6" s="3" t="s">
        <v>5</v>
      </c>
    </row>
    <row r="7" customFormat="false" ht="15" hidden="false" customHeight="false" outlineLevel="0" collapsed="false">
      <c r="A7" s="3" t="s">
        <v>8</v>
      </c>
      <c r="B7" s="4" t="n">
        <f aca="false">Sources_Assumptions!C7</f>
        <v>609436</v>
      </c>
      <c r="C7" s="3" t="s">
        <v>5</v>
      </c>
    </row>
    <row r="8" customFormat="false" ht="15" hidden="false" customHeight="false" outlineLevel="0" collapsed="false">
      <c r="A8" s="3" t="s">
        <v>9</v>
      </c>
      <c r="B8" s="4" t="n">
        <f aca="false">Sources_Assumptions!C8</f>
        <v>16677694</v>
      </c>
      <c r="C8" s="3" t="s">
        <v>5</v>
      </c>
    </row>
    <row r="9" customFormat="false" ht="15" hidden="false" customHeight="false" outlineLevel="0" collapsed="false">
      <c r="A9" s="3" t="s">
        <v>10</v>
      </c>
      <c r="B9" s="4" t="n">
        <f aca="false">Sources_Assumptions!C9</f>
        <v>11118462</v>
      </c>
      <c r="C9" s="3" t="s">
        <v>5</v>
      </c>
    </row>
    <row r="10" customFormat="false" ht="15" hidden="false" customHeight="false" outlineLevel="0" collapsed="false">
      <c r="A10" s="3" t="s">
        <v>11</v>
      </c>
      <c r="B10" s="4" t="n">
        <f aca="false">Sources_Assumptions!C10</f>
        <v>1031579</v>
      </c>
      <c r="C10" s="3" t="s">
        <v>5</v>
      </c>
    </row>
    <row r="11" customFormat="false" ht="15" hidden="false" customHeight="false" outlineLevel="0" collapsed="false">
      <c r="A11" s="3" t="s">
        <v>12</v>
      </c>
      <c r="B11" s="4" t="n">
        <f aca="false">Revenue_Model!C4</f>
        <v>8000000</v>
      </c>
      <c r="C11" s="3" t="s">
        <v>13</v>
      </c>
    </row>
    <row r="12" customFormat="false" ht="15" hidden="false" customHeight="false" outlineLevel="0" collapsed="false">
      <c r="A12" s="3" t="s">
        <v>14</v>
      </c>
      <c r="B12" s="4" t="n">
        <f aca="false">Revenue_Model!C8</f>
        <v>28000000</v>
      </c>
      <c r="C12" s="3" t="s">
        <v>13</v>
      </c>
    </row>
    <row r="13" customFormat="false" ht="15" hidden="false" customHeight="false" outlineLevel="0" collapsed="false">
      <c r="A13" s="3" t="s">
        <v>15</v>
      </c>
      <c r="B13" s="4" t="n">
        <f aca="false">Revenue_Model!C15</f>
        <v>32163198</v>
      </c>
      <c r="C13" s="3" t="s">
        <v>13</v>
      </c>
    </row>
    <row r="14" customFormat="false" ht="15" hidden="false" customHeight="false" outlineLevel="0" collapsed="false">
      <c r="A14" s="3" t="s">
        <v>16</v>
      </c>
      <c r="B14" s="5" t="n">
        <f aca="false">IF(Scenario_Manager!B8="Base",Sources_Assumptions!C17,Sources_Assumptions!C40)</f>
        <v>0.22</v>
      </c>
      <c r="C14" s="3" t="s">
        <v>13</v>
      </c>
    </row>
    <row r="15" customFormat="false" ht="15" hidden="false" customHeight="false" outlineLevel="0" collapsed="false">
      <c r="A15" s="3" t="s">
        <v>17</v>
      </c>
      <c r="B15" s="4" t="n">
        <f aca="false">Working_Capital!H8</f>
        <v>5039876.71232877</v>
      </c>
      <c r="C15" s="3" t="s">
        <v>13</v>
      </c>
    </row>
    <row r="16" customFormat="false" ht="15" hidden="false" customHeight="false" outlineLevel="0" collapsed="false">
      <c r="A16" s="3" t="s">
        <v>18</v>
      </c>
      <c r="B16" s="4" t="n">
        <f aca="false">Sources_Assumptions!C19</f>
        <v>5753425</v>
      </c>
      <c r="C16" s="3" t="s">
        <v>5</v>
      </c>
    </row>
    <row r="17" customFormat="false" ht="15" hidden="false" customHeight="false" outlineLevel="0" collapsed="false">
      <c r="A17" s="6" t="s">
        <v>19</v>
      </c>
      <c r="B17" s="7" t="n">
        <f aca="false">Sources_Assumptions!C24</f>
        <v>1.5</v>
      </c>
      <c r="C17" s="3" t="s">
        <v>20</v>
      </c>
    </row>
    <row r="18" customFormat="false" ht="15" hidden="false" customHeight="false" outlineLevel="0" collapsed="false">
      <c r="A18" s="6" t="s">
        <v>21</v>
      </c>
      <c r="B18" s="7" t="n">
        <f aca="false">AVERAGEIF(Debt_Schedule!I4:I15,"&gt;0")</f>
        <v>1.47090350632108</v>
      </c>
      <c r="C18" s="3" t="s">
        <v>22</v>
      </c>
    </row>
    <row r="19" customFormat="false" ht="15" hidden="false" customHeight="false" outlineLevel="0" collapsed="false">
      <c r="A19" s="6" t="s">
        <v>23</v>
      </c>
      <c r="B19" s="7" t="n">
        <f aca="false">MIN(Debt_Schedule!I4:INDEX(Debt_Schedule!I:I,Sources_Assumptions!C22+3))</f>
        <v>1.18669560944882</v>
      </c>
      <c r="C19" s="3" t="s">
        <v>22</v>
      </c>
    </row>
    <row r="20" customFormat="false" ht="15" hidden="false" customHeight="false" outlineLevel="0" collapsed="false">
      <c r="A20" s="6" t="s">
        <v>24</v>
      </c>
      <c r="B20" s="8" t="n">
        <f aca="false">Debt_Sizing!H4</f>
        <v>29150219.4160237</v>
      </c>
      <c r="C20" s="3" t="s">
        <v>22</v>
      </c>
    </row>
    <row r="21" customFormat="false" ht="15" hidden="false" customHeight="false" outlineLevel="0" collapsed="false">
      <c r="A21" s="6" t="s">
        <v>25</v>
      </c>
      <c r="B21" s="8" t="n">
        <f aca="false">Debt_Sizing!H9</f>
        <v>12472525.4160237</v>
      </c>
      <c r="C21" s="3" t="s">
        <v>22</v>
      </c>
    </row>
    <row r="22" customFormat="false" ht="15" hidden="false" customHeight="false" outlineLevel="0" collapsed="false">
      <c r="A22" s="6" t="s">
        <v>26</v>
      </c>
      <c r="B22" s="9" t="n">
        <f aca="false">IRR_Payback!D4</f>
        <v>0.150482523859641</v>
      </c>
      <c r="C22" s="3" t="s">
        <v>22</v>
      </c>
    </row>
    <row r="23" customFormat="false" ht="15" hidden="false" customHeight="false" outlineLevel="0" collapsed="false">
      <c r="A23" s="3" t="s">
        <v>27</v>
      </c>
      <c r="B23" s="4" t="n">
        <f aca="false">Sources_Uses!E8</f>
        <v>1031579</v>
      </c>
      <c r="C2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7"/>
    <col collapsed="false" customWidth="true" hidden="false" outlineLevel="0" max="3" min="3" style="0" width="3"/>
    <col collapsed="false" customWidth="true" hidden="false" outlineLevel="0" max="5" min="4" style="0" width="26"/>
  </cols>
  <sheetData>
    <row r="1" customFormat="false" ht="17.35" hidden="false" customHeight="false" outlineLevel="0" collapsed="false">
      <c r="A1" s="10" t="s">
        <v>28</v>
      </c>
    </row>
    <row r="3" customFormat="false" ht="15" hidden="false" customHeight="false" outlineLevel="0" collapsed="false">
      <c r="A3" s="2" t="s">
        <v>29</v>
      </c>
      <c r="B3" s="2" t="s">
        <v>30</v>
      </c>
      <c r="D3" s="2" t="s">
        <v>31</v>
      </c>
      <c r="E3" s="2" t="s">
        <v>30</v>
      </c>
    </row>
    <row r="4" customFormat="false" ht="15" hidden="false" customHeight="false" outlineLevel="0" collapsed="false">
      <c r="A4" s="3" t="s">
        <v>6</v>
      </c>
      <c r="B4" s="4" t="n">
        <f aca="false">Sources_Assumptions!C5</f>
        <v>24715200</v>
      </c>
      <c r="D4" s="3" t="s">
        <v>9</v>
      </c>
      <c r="E4" s="4" t="n">
        <f aca="false">Sources_Assumptions!C8</f>
        <v>16677694</v>
      </c>
    </row>
    <row r="5" customFormat="false" ht="15" hidden="false" customHeight="false" outlineLevel="0" collapsed="false">
      <c r="A5" s="3" t="s">
        <v>7</v>
      </c>
      <c r="B5" s="4" t="n">
        <f aca="false">Sources_Assumptions!C6</f>
        <v>2471520</v>
      </c>
      <c r="D5" s="3" t="s">
        <v>10</v>
      </c>
      <c r="E5" s="4" t="n">
        <f aca="false">Sources_Assumptions!C9</f>
        <v>11118462</v>
      </c>
    </row>
    <row r="6" customFormat="false" ht="15" hidden="false" customHeight="false" outlineLevel="0" collapsed="false">
      <c r="A6" s="3" t="s">
        <v>8</v>
      </c>
      <c r="B6" s="4" t="n">
        <f aca="false">Sources_Assumptions!C7</f>
        <v>609436</v>
      </c>
      <c r="D6" s="3" t="s">
        <v>32</v>
      </c>
      <c r="E6" s="4" t="n">
        <f aca="false">SUM(E4:E5)</f>
        <v>27796156</v>
      </c>
    </row>
    <row r="7" customFormat="false" ht="15" hidden="false" customHeight="false" outlineLevel="0" collapsed="false">
      <c r="A7" s="3" t="s">
        <v>11</v>
      </c>
      <c r="B7" s="4" t="n">
        <f aca="false">Sources_Assumptions!C10</f>
        <v>1031579</v>
      </c>
    </row>
    <row r="8" customFormat="false" ht="15" hidden="false" customHeight="false" outlineLevel="0" collapsed="false">
      <c r="A8" s="3" t="s">
        <v>33</v>
      </c>
      <c r="B8" s="4" t="n">
        <f aca="false">SUM(B4:B7)</f>
        <v>28827735</v>
      </c>
      <c r="D8" s="3" t="s">
        <v>27</v>
      </c>
      <c r="E8" s="11" t="n">
        <f aca="false">B8-E6</f>
        <v>1031579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41"/>
  </cols>
  <sheetData>
    <row r="1" customFormat="false" ht="17.35" hidden="false" customHeight="false" outlineLevel="0" collapsed="false">
      <c r="A1" s="10" t="s">
        <v>34</v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2</v>
      </c>
      <c r="D3" s="2" t="s">
        <v>37</v>
      </c>
      <c r="E3" s="2" t="s">
        <v>38</v>
      </c>
    </row>
    <row r="4" customFormat="false" ht="15" hidden="false" customHeight="false" outlineLevel="0" collapsed="false">
      <c r="A4" s="3" t="s">
        <v>5</v>
      </c>
      <c r="B4" s="3" t="s">
        <v>4</v>
      </c>
      <c r="C4" s="4" t="n">
        <v>27796156</v>
      </c>
      <c r="D4" s="3" t="s">
        <v>30</v>
      </c>
      <c r="E4" s="3" t="s">
        <v>39</v>
      </c>
    </row>
    <row r="5" customFormat="false" ht="15" hidden="false" customHeight="false" outlineLevel="0" collapsed="false">
      <c r="A5" s="3" t="s">
        <v>5</v>
      </c>
      <c r="B5" s="3" t="s">
        <v>6</v>
      </c>
      <c r="C5" s="4" t="n">
        <v>24715200</v>
      </c>
      <c r="D5" s="3" t="s">
        <v>30</v>
      </c>
      <c r="E5" s="3" t="s">
        <v>39</v>
      </c>
    </row>
    <row r="6" customFormat="false" ht="15" hidden="false" customHeight="false" outlineLevel="0" collapsed="false">
      <c r="A6" s="3" t="s">
        <v>5</v>
      </c>
      <c r="B6" s="3" t="s">
        <v>7</v>
      </c>
      <c r="C6" s="4" t="n">
        <v>2471520</v>
      </c>
      <c r="D6" s="3" t="s">
        <v>30</v>
      </c>
      <c r="E6" s="3" t="s">
        <v>39</v>
      </c>
    </row>
    <row r="7" customFormat="false" ht="15" hidden="false" customHeight="false" outlineLevel="0" collapsed="false">
      <c r="A7" s="3" t="s">
        <v>5</v>
      </c>
      <c r="B7" s="3" t="s">
        <v>8</v>
      </c>
      <c r="C7" s="4" t="n">
        <v>609436</v>
      </c>
      <c r="D7" s="3" t="s">
        <v>30</v>
      </c>
      <c r="E7" s="3" t="s">
        <v>39</v>
      </c>
    </row>
    <row r="8" customFormat="false" ht="15" hidden="false" customHeight="false" outlineLevel="0" collapsed="false">
      <c r="A8" s="3" t="s">
        <v>5</v>
      </c>
      <c r="B8" s="3" t="s">
        <v>9</v>
      </c>
      <c r="C8" s="4" t="n">
        <v>16677694</v>
      </c>
      <c r="D8" s="3" t="s">
        <v>30</v>
      </c>
      <c r="E8" s="3" t="s">
        <v>39</v>
      </c>
    </row>
    <row r="9" customFormat="false" ht="15" hidden="false" customHeight="false" outlineLevel="0" collapsed="false">
      <c r="A9" s="3" t="s">
        <v>5</v>
      </c>
      <c r="B9" s="3" t="s">
        <v>10</v>
      </c>
      <c r="C9" s="4" t="n">
        <v>11118462</v>
      </c>
      <c r="D9" s="3" t="s">
        <v>30</v>
      </c>
      <c r="E9" s="3" t="s">
        <v>39</v>
      </c>
    </row>
    <row r="10" customFormat="false" ht="15" hidden="false" customHeight="false" outlineLevel="0" collapsed="false">
      <c r="A10" s="3" t="s">
        <v>5</v>
      </c>
      <c r="B10" s="3" t="s">
        <v>40</v>
      </c>
      <c r="C10" s="4" t="n">
        <v>1031579</v>
      </c>
      <c r="D10" s="3" t="s">
        <v>30</v>
      </c>
      <c r="E10" s="3" t="s">
        <v>39</v>
      </c>
    </row>
    <row r="11" customFormat="false" ht="15" hidden="false" customHeight="false" outlineLevel="0" collapsed="false">
      <c r="A11" s="3" t="s">
        <v>5</v>
      </c>
      <c r="B11" s="3" t="s">
        <v>41</v>
      </c>
      <c r="C11" s="12" t="n">
        <v>3.07</v>
      </c>
      <c r="D11" s="3" t="s">
        <v>42</v>
      </c>
      <c r="E11" s="3" t="s">
        <v>43</v>
      </c>
    </row>
    <row r="12" customFormat="false" ht="15" hidden="false" customHeight="false" outlineLevel="0" collapsed="false">
      <c r="A12" s="3" t="s">
        <v>5</v>
      </c>
      <c r="B12" s="3" t="s">
        <v>44</v>
      </c>
      <c r="C12" s="12" t="n">
        <v>1.68</v>
      </c>
      <c r="D12" s="3" t="s">
        <v>42</v>
      </c>
      <c r="E12" s="3" t="s">
        <v>43</v>
      </c>
    </row>
    <row r="13" customFormat="false" ht="15" hidden="false" customHeight="false" outlineLevel="0" collapsed="false">
      <c r="A13" s="3" t="s">
        <v>5</v>
      </c>
      <c r="B13" s="3" t="s">
        <v>45</v>
      </c>
      <c r="C13" s="3" t="n">
        <v>2</v>
      </c>
      <c r="D13" s="3" t="s">
        <v>46</v>
      </c>
      <c r="E13" s="3" t="s">
        <v>43</v>
      </c>
    </row>
    <row r="14" customFormat="false" ht="15" hidden="false" customHeight="false" outlineLevel="0" collapsed="false">
      <c r="A14" s="3" t="s">
        <v>5</v>
      </c>
      <c r="B14" s="3" t="s">
        <v>12</v>
      </c>
      <c r="C14" s="4" t="n">
        <v>8000000</v>
      </c>
      <c r="D14" s="3" t="s">
        <v>30</v>
      </c>
      <c r="E14" s="3" t="s">
        <v>39</v>
      </c>
    </row>
    <row r="15" customFormat="false" ht="15" hidden="false" customHeight="false" outlineLevel="0" collapsed="false">
      <c r="A15" s="3" t="s">
        <v>5</v>
      </c>
      <c r="B15" s="3" t="s">
        <v>14</v>
      </c>
      <c r="C15" s="4" t="n">
        <v>28000000</v>
      </c>
      <c r="D15" s="3" t="s">
        <v>30</v>
      </c>
      <c r="E15" s="3" t="s">
        <v>39</v>
      </c>
    </row>
    <row r="16" customFormat="false" ht="15" hidden="false" customHeight="false" outlineLevel="0" collapsed="false">
      <c r="A16" s="3" t="s">
        <v>5</v>
      </c>
      <c r="B16" s="3" t="s">
        <v>15</v>
      </c>
      <c r="C16" s="4" t="n">
        <v>32163198</v>
      </c>
      <c r="D16" s="3" t="s">
        <v>30</v>
      </c>
      <c r="E16" s="3" t="s">
        <v>39</v>
      </c>
    </row>
    <row r="17" customFormat="false" ht="15" hidden="false" customHeight="false" outlineLevel="0" collapsed="false">
      <c r="A17" s="3" t="s">
        <v>5</v>
      </c>
      <c r="B17" s="3" t="s">
        <v>47</v>
      </c>
      <c r="C17" s="5" t="n">
        <v>0.22</v>
      </c>
      <c r="D17" s="3" t="s">
        <v>48</v>
      </c>
      <c r="E17" s="3" t="s">
        <v>39</v>
      </c>
    </row>
    <row r="18" customFormat="false" ht="15" hidden="false" customHeight="false" outlineLevel="0" collapsed="false">
      <c r="A18" s="3" t="s">
        <v>5</v>
      </c>
      <c r="B18" s="3" t="s">
        <v>49</v>
      </c>
      <c r="C18" s="3" t="n">
        <v>100</v>
      </c>
      <c r="D18" s="3" t="s">
        <v>50</v>
      </c>
      <c r="E18" s="3" t="s">
        <v>39</v>
      </c>
    </row>
    <row r="19" customFormat="false" ht="15" hidden="false" customHeight="false" outlineLevel="0" collapsed="false">
      <c r="A19" s="3" t="s">
        <v>5</v>
      </c>
      <c r="B19" s="3" t="s">
        <v>17</v>
      </c>
      <c r="C19" s="4" t="n">
        <v>5753425</v>
      </c>
      <c r="D19" s="3" t="s">
        <v>30</v>
      </c>
      <c r="E19" s="3" t="s">
        <v>39</v>
      </c>
    </row>
    <row r="20" customFormat="false" ht="15" hidden="false" customHeight="false" outlineLevel="0" collapsed="false">
      <c r="A20" s="13" t="s">
        <v>51</v>
      </c>
      <c r="B20" s="13" t="s">
        <v>52</v>
      </c>
      <c r="C20" s="14" t="n">
        <v>0.09</v>
      </c>
      <c r="D20" s="13" t="s">
        <v>48</v>
      </c>
      <c r="E20" s="13" t="s">
        <v>53</v>
      </c>
    </row>
    <row r="21" customFormat="false" ht="15" hidden="false" customHeight="false" outlineLevel="0" collapsed="false">
      <c r="A21" s="13" t="s">
        <v>51</v>
      </c>
      <c r="B21" s="13" t="s">
        <v>54</v>
      </c>
      <c r="C21" s="14" t="n">
        <v>0.065</v>
      </c>
      <c r="D21" s="13" t="s">
        <v>48</v>
      </c>
      <c r="E21" s="13" t="s">
        <v>55</v>
      </c>
    </row>
    <row r="22" customFormat="false" ht="15" hidden="false" customHeight="false" outlineLevel="0" collapsed="false">
      <c r="A22" s="13" t="s">
        <v>51</v>
      </c>
      <c r="B22" s="13" t="s">
        <v>56</v>
      </c>
      <c r="C22" s="13" t="n">
        <v>8</v>
      </c>
      <c r="D22" s="13" t="s">
        <v>57</v>
      </c>
      <c r="E22" s="13" t="s">
        <v>55</v>
      </c>
    </row>
    <row r="23" customFormat="false" ht="15" hidden="false" customHeight="false" outlineLevel="0" collapsed="false">
      <c r="A23" s="13" t="s">
        <v>51</v>
      </c>
      <c r="B23" s="13" t="s">
        <v>58</v>
      </c>
      <c r="C23" s="13" t="n">
        <v>1</v>
      </c>
      <c r="D23" s="13" t="s">
        <v>57</v>
      </c>
      <c r="E23" s="13" t="s">
        <v>55</v>
      </c>
    </row>
    <row r="24" customFormat="false" ht="15" hidden="false" customHeight="false" outlineLevel="0" collapsed="false">
      <c r="A24" s="13" t="s">
        <v>51</v>
      </c>
      <c r="B24" s="13" t="s">
        <v>59</v>
      </c>
      <c r="C24" s="15" t="n">
        <v>1.5</v>
      </c>
      <c r="D24" s="13" t="s">
        <v>42</v>
      </c>
      <c r="E24" s="13" t="s">
        <v>60</v>
      </c>
    </row>
    <row r="25" customFormat="false" ht="15" hidden="false" customHeight="false" outlineLevel="0" collapsed="false">
      <c r="A25" s="13" t="s">
        <v>51</v>
      </c>
      <c r="B25" s="13" t="s">
        <v>61</v>
      </c>
      <c r="C25" s="15" t="n">
        <v>1.3</v>
      </c>
      <c r="D25" s="13" t="s">
        <v>42</v>
      </c>
      <c r="E25" s="13" t="s">
        <v>62</v>
      </c>
    </row>
    <row r="26" customFormat="false" ht="15" hidden="false" customHeight="false" outlineLevel="0" collapsed="false">
      <c r="A26" s="13" t="s">
        <v>51</v>
      </c>
      <c r="B26" s="13" t="s">
        <v>63</v>
      </c>
      <c r="C26" s="15" t="n">
        <v>4</v>
      </c>
      <c r="D26" s="13" t="s">
        <v>42</v>
      </c>
      <c r="E26" s="13" t="s">
        <v>62</v>
      </c>
    </row>
    <row r="27" customFormat="false" ht="15" hidden="false" customHeight="false" outlineLevel="0" collapsed="false">
      <c r="A27" s="13" t="s">
        <v>51</v>
      </c>
      <c r="B27" s="13" t="s">
        <v>64</v>
      </c>
      <c r="C27" s="15" t="n">
        <v>1.4</v>
      </c>
      <c r="D27" s="13" t="s">
        <v>42</v>
      </c>
      <c r="E27" s="13" t="s">
        <v>62</v>
      </c>
    </row>
    <row r="28" customFormat="false" ht="15" hidden="false" customHeight="false" outlineLevel="0" collapsed="false">
      <c r="A28" s="13" t="s">
        <v>51</v>
      </c>
      <c r="B28" s="13" t="s">
        <v>65</v>
      </c>
      <c r="C28" s="14" t="n">
        <v>0.08</v>
      </c>
      <c r="D28" s="13" t="s">
        <v>48</v>
      </c>
      <c r="E28" s="13" t="s">
        <v>66</v>
      </c>
    </row>
    <row r="29" customFormat="false" ht="15" hidden="false" customHeight="false" outlineLevel="0" collapsed="false">
      <c r="A29" s="13" t="s">
        <v>51</v>
      </c>
      <c r="B29" s="13" t="s">
        <v>67</v>
      </c>
      <c r="C29" s="11" t="n">
        <v>13000000</v>
      </c>
      <c r="D29" s="13" t="s">
        <v>30</v>
      </c>
      <c r="E29" s="13" t="s">
        <v>68</v>
      </c>
    </row>
    <row r="30" customFormat="false" ht="15" hidden="false" customHeight="false" outlineLevel="0" collapsed="false">
      <c r="A30" s="13" t="s">
        <v>51</v>
      </c>
      <c r="B30" s="13" t="s">
        <v>69</v>
      </c>
      <c r="C30" s="11" t="n">
        <v>18000000</v>
      </c>
      <c r="D30" s="13" t="s">
        <v>30</v>
      </c>
      <c r="E30" s="13" t="s">
        <v>68</v>
      </c>
    </row>
    <row r="31" customFormat="false" ht="15" hidden="false" customHeight="false" outlineLevel="0" collapsed="false">
      <c r="A31" s="13" t="s">
        <v>51</v>
      </c>
      <c r="B31" s="13" t="s">
        <v>70</v>
      </c>
      <c r="C31" s="11" t="n">
        <v>23000000</v>
      </c>
      <c r="D31" s="13" t="s">
        <v>30</v>
      </c>
      <c r="E31" s="13" t="s">
        <v>68</v>
      </c>
    </row>
    <row r="32" customFormat="false" ht="15" hidden="false" customHeight="false" outlineLevel="0" collapsed="false">
      <c r="A32" s="13" t="s">
        <v>51</v>
      </c>
      <c r="B32" s="13" t="s">
        <v>71</v>
      </c>
      <c r="C32" s="14" t="n">
        <v>0.12</v>
      </c>
      <c r="D32" s="13" t="s">
        <v>48</v>
      </c>
      <c r="E32" s="13" t="s">
        <v>68</v>
      </c>
    </row>
    <row r="33" customFormat="false" ht="15" hidden="false" customHeight="false" outlineLevel="0" collapsed="false">
      <c r="A33" s="13" t="s">
        <v>51</v>
      </c>
      <c r="B33" s="13" t="s">
        <v>72</v>
      </c>
      <c r="C33" s="14" t="n">
        <v>0.16</v>
      </c>
      <c r="D33" s="13" t="s">
        <v>48</v>
      </c>
      <c r="E33" s="13" t="s">
        <v>68</v>
      </c>
    </row>
    <row r="34" customFormat="false" ht="15" hidden="false" customHeight="false" outlineLevel="0" collapsed="false">
      <c r="A34" s="13" t="s">
        <v>51</v>
      </c>
      <c r="B34" s="13" t="s">
        <v>73</v>
      </c>
      <c r="C34" s="14" t="n">
        <v>0.18</v>
      </c>
      <c r="D34" s="13" t="s">
        <v>48</v>
      </c>
      <c r="E34" s="13" t="s">
        <v>68</v>
      </c>
    </row>
    <row r="35" customFormat="false" ht="15" hidden="false" customHeight="false" outlineLevel="0" collapsed="false">
      <c r="A35" s="13" t="s">
        <v>51</v>
      </c>
      <c r="B35" s="13" t="s">
        <v>74</v>
      </c>
      <c r="C35" s="14" t="n">
        <v>0.2</v>
      </c>
      <c r="D35" s="13" t="s">
        <v>48</v>
      </c>
      <c r="E35" s="13" t="s">
        <v>68</v>
      </c>
    </row>
    <row r="36" customFormat="false" ht="15" hidden="false" customHeight="false" outlineLevel="0" collapsed="false">
      <c r="A36" s="13" t="s">
        <v>51</v>
      </c>
      <c r="B36" s="13" t="s">
        <v>75</v>
      </c>
      <c r="C36" s="14" t="n">
        <v>0.6</v>
      </c>
      <c r="D36" s="13" t="s">
        <v>48</v>
      </c>
      <c r="E36" s="13" t="s">
        <v>76</v>
      </c>
    </row>
    <row r="37" customFormat="false" ht="15" hidden="false" customHeight="false" outlineLevel="0" collapsed="false">
      <c r="A37" s="13" t="s">
        <v>51</v>
      </c>
      <c r="B37" s="13" t="s">
        <v>77</v>
      </c>
      <c r="C37" s="14" t="n">
        <v>0.5</v>
      </c>
      <c r="D37" s="13" t="s">
        <v>48</v>
      </c>
      <c r="E37" s="13" t="s">
        <v>78</v>
      </c>
    </row>
    <row r="38" customFormat="false" ht="15" hidden="false" customHeight="false" outlineLevel="0" collapsed="false">
      <c r="A38" s="13" t="s">
        <v>51</v>
      </c>
      <c r="B38" s="13" t="s">
        <v>79</v>
      </c>
      <c r="C38" s="14" t="n">
        <v>0.4175</v>
      </c>
      <c r="D38" s="13" t="s">
        <v>48</v>
      </c>
      <c r="E38" s="13" t="s">
        <v>80</v>
      </c>
    </row>
    <row r="39" customFormat="false" ht="15" hidden="false" customHeight="false" outlineLevel="0" collapsed="false">
      <c r="A39" s="13" t="s">
        <v>51</v>
      </c>
      <c r="B39" s="13" t="s">
        <v>81</v>
      </c>
      <c r="C39" s="14" t="n">
        <v>0.85</v>
      </c>
      <c r="D39" s="13" t="s">
        <v>48</v>
      </c>
      <c r="E39" s="13" t="s">
        <v>82</v>
      </c>
    </row>
    <row r="40" customFormat="false" ht="15" hidden="false" customHeight="false" outlineLevel="0" collapsed="false">
      <c r="A40" s="13" t="s">
        <v>51</v>
      </c>
      <c r="B40" s="13" t="s">
        <v>83</v>
      </c>
      <c r="C40" s="14" t="n">
        <v>0.18</v>
      </c>
      <c r="D40" s="13" t="s">
        <v>48</v>
      </c>
      <c r="E40" s="13" t="s">
        <v>82</v>
      </c>
    </row>
    <row r="41" customFormat="false" ht="15" hidden="false" customHeight="false" outlineLevel="0" collapsed="false">
      <c r="A41" s="13" t="s">
        <v>51</v>
      </c>
      <c r="B41" s="13" t="s">
        <v>84</v>
      </c>
      <c r="C41" s="13" t="n">
        <v>110</v>
      </c>
      <c r="D41" s="13" t="s">
        <v>50</v>
      </c>
      <c r="E41" s="1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7"/>
  </cols>
  <sheetData>
    <row r="1" customFormat="false" ht="17.35" hidden="false" customHeight="false" outlineLevel="0" collapsed="false">
      <c r="A1" s="10" t="s">
        <v>85</v>
      </c>
    </row>
    <row r="3" customFormat="false" ht="15" hidden="false" customHeight="false" outlineLevel="0" collapsed="false">
      <c r="A3" s="2" t="s">
        <v>86</v>
      </c>
      <c r="B3" s="2" t="s">
        <v>87</v>
      </c>
      <c r="C3" s="2" t="s">
        <v>88</v>
      </c>
    </row>
    <row r="4" customFormat="false" ht="15" hidden="false" customHeight="false" outlineLevel="0" collapsed="false">
      <c r="A4" s="3" t="s">
        <v>89</v>
      </c>
      <c r="B4" s="5" t="n">
        <v>1</v>
      </c>
      <c r="C4" s="5" t="n">
        <f aca="false">Sources_Assumptions!C39</f>
        <v>0.85</v>
      </c>
    </row>
    <row r="5" customFormat="false" ht="15" hidden="false" customHeight="false" outlineLevel="0" collapsed="false">
      <c r="A5" s="3" t="s">
        <v>16</v>
      </c>
      <c r="B5" s="5" t="n">
        <f aca="false">Sources_Assumptions!C17</f>
        <v>0.22</v>
      </c>
      <c r="C5" s="5" t="n">
        <f aca="false">Sources_Assumptions!C40</f>
        <v>0.18</v>
      </c>
    </row>
    <row r="6" customFormat="false" ht="15" hidden="false" customHeight="false" outlineLevel="0" collapsed="false">
      <c r="A6" s="3" t="s">
        <v>90</v>
      </c>
      <c r="B6" s="3" t="n">
        <f aca="false">Sources_Assumptions!C18</f>
        <v>100</v>
      </c>
      <c r="C6" s="3" t="n">
        <f aca="false">Sources_Assumptions!C41</f>
        <v>110</v>
      </c>
    </row>
    <row r="8" customFormat="false" ht="15" hidden="false" customHeight="false" outlineLevel="0" collapsed="false">
      <c r="A8" s="3" t="s">
        <v>91</v>
      </c>
      <c r="B8" s="13" t="s">
        <v>87</v>
      </c>
    </row>
    <row r="10" customFormat="false" ht="15" hidden="false" customHeight="false" outlineLevel="0" collapsed="false">
      <c r="A10" s="3" t="s">
        <v>92</v>
      </c>
      <c r="B10" s="5" t="n">
        <f aca="false">IF(B8="Base",B4,C4)</f>
        <v>1</v>
      </c>
    </row>
    <row r="11" customFormat="false" ht="15" hidden="false" customHeight="false" outlineLevel="0" collapsed="false">
      <c r="A11" s="3" t="s">
        <v>93</v>
      </c>
      <c r="B11" s="5" t="n">
        <f aca="false">IF(B8="Base",B5,C5)</f>
        <v>0.22</v>
      </c>
    </row>
    <row r="12" customFormat="false" ht="15" hidden="false" customHeight="false" outlineLevel="0" collapsed="false">
      <c r="A12" s="3" t="s">
        <v>94</v>
      </c>
      <c r="B12" s="3" t="n">
        <f aca="false">IF(B8="Base",B6,C6)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7"/>
    <col collapsed="false" customWidth="true" hidden="false" outlineLevel="0" max="3" min="3" style="0" width="28"/>
    <col collapsed="false" customWidth="true" hidden="false" outlineLevel="0" max="4" min="4" style="0" width="27"/>
    <col collapsed="false" customWidth="true" hidden="false" outlineLevel="0" max="5" min="5" style="0" width="42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0" t="s">
        <v>95</v>
      </c>
    </row>
    <row r="3" customFormat="false" ht="15" hidden="false" customHeight="false" outlineLevel="0" collapsed="false">
      <c r="A3" s="2" t="s">
        <v>46</v>
      </c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</row>
    <row r="4" customFormat="false" ht="15" hidden="false" customHeight="false" outlineLevel="0" collapsed="false">
      <c r="A4" s="3" t="n">
        <v>1</v>
      </c>
      <c r="B4" s="4" t="n">
        <f aca="false">Sources_Assumptions!C14</f>
        <v>8000000</v>
      </c>
      <c r="C4" s="4" t="n">
        <f aca="false">B4*Scenario_Manager!B10</f>
        <v>8000000</v>
      </c>
      <c r="D4" s="5" t="n">
        <f aca="false">Sources_Assumptions!C32</f>
        <v>0.12</v>
      </c>
      <c r="E4" s="5" t="n">
        <f aca="false">D4</f>
        <v>0.12</v>
      </c>
      <c r="F4" s="4" t="n">
        <f aca="false">C4*E4</f>
        <v>960000</v>
      </c>
    </row>
    <row r="5" customFormat="false" ht="15" hidden="false" customHeight="false" outlineLevel="0" collapsed="false">
      <c r="A5" s="3" t="n">
        <v>2</v>
      </c>
      <c r="B5" s="4" t="n">
        <f aca="false">Sources_Assumptions!C29</f>
        <v>13000000</v>
      </c>
      <c r="C5" s="4" t="n">
        <f aca="false">B5*Scenario_Manager!B10</f>
        <v>13000000</v>
      </c>
      <c r="D5" s="5" t="n">
        <f aca="false">Sources_Assumptions!C33</f>
        <v>0.16</v>
      </c>
      <c r="E5" s="5" t="n">
        <f aca="false">D5</f>
        <v>0.16</v>
      </c>
      <c r="F5" s="4" t="n">
        <f aca="false">C5*E5</f>
        <v>2080000</v>
      </c>
    </row>
    <row r="6" customFormat="false" ht="15" hidden="false" customHeight="false" outlineLevel="0" collapsed="false">
      <c r="A6" s="3" t="n">
        <v>3</v>
      </c>
      <c r="B6" s="4" t="n">
        <f aca="false">Sources_Assumptions!C30</f>
        <v>18000000</v>
      </c>
      <c r="C6" s="4" t="n">
        <f aca="false">B6*Scenario_Manager!B10</f>
        <v>18000000</v>
      </c>
      <c r="D6" s="5" t="n">
        <f aca="false">Sources_Assumptions!C34</f>
        <v>0.18</v>
      </c>
      <c r="E6" s="5" t="n">
        <f aca="false">D6</f>
        <v>0.18</v>
      </c>
      <c r="F6" s="4" t="n">
        <f aca="false">C6*E6</f>
        <v>3240000</v>
      </c>
    </row>
    <row r="7" customFormat="false" ht="15" hidden="false" customHeight="false" outlineLevel="0" collapsed="false">
      <c r="A7" s="3" t="n">
        <v>4</v>
      </c>
      <c r="B7" s="4" t="n">
        <f aca="false">Sources_Assumptions!C31</f>
        <v>23000000</v>
      </c>
      <c r="C7" s="4" t="n">
        <f aca="false">B7*Scenario_Manager!B10</f>
        <v>23000000</v>
      </c>
      <c r="D7" s="5" t="n">
        <f aca="false">Sources_Assumptions!C35</f>
        <v>0.2</v>
      </c>
      <c r="E7" s="5" t="n">
        <f aca="false">D7</f>
        <v>0.2</v>
      </c>
      <c r="F7" s="4" t="n">
        <f aca="false">C7*E7</f>
        <v>4600000</v>
      </c>
    </row>
    <row r="8" customFormat="false" ht="15" hidden="false" customHeight="false" outlineLevel="0" collapsed="false">
      <c r="A8" s="3" t="n">
        <v>5</v>
      </c>
      <c r="B8" s="4" t="n">
        <f aca="false">Sources_Assumptions!C15</f>
        <v>28000000</v>
      </c>
      <c r="C8" s="4" t="n">
        <f aca="false">B8*Scenario_Manager!B10</f>
        <v>28000000</v>
      </c>
      <c r="D8" s="5" t="n">
        <f aca="false">Sources_Assumptions!C17</f>
        <v>0.22</v>
      </c>
      <c r="E8" s="5" t="n">
        <f aca="false">IF(Scenario_Manager!B8="Base",D8,Scenario_Manager!C5)</f>
        <v>0.22</v>
      </c>
      <c r="F8" s="4" t="n">
        <f aca="false">C8*E8</f>
        <v>6160000</v>
      </c>
    </row>
    <row r="9" customFormat="false" ht="15" hidden="false" customHeight="false" outlineLevel="0" collapsed="false">
      <c r="A9" s="3" t="n">
        <v>6</v>
      </c>
      <c r="B9" s="4" t="n">
        <f aca="false">B8*1.02</f>
        <v>28560000</v>
      </c>
      <c r="C9" s="4" t="n">
        <f aca="false">B9*Scenario_Manager!B10</f>
        <v>28560000</v>
      </c>
      <c r="D9" s="5" t="n">
        <f aca="false">Sources_Assumptions!C17</f>
        <v>0.22</v>
      </c>
      <c r="E9" s="5" t="n">
        <f aca="false">IF(Scenario_Manager!B8="Base",D9,Scenario_Manager!C5)</f>
        <v>0.22</v>
      </c>
      <c r="F9" s="4" t="n">
        <f aca="false">C9*E9</f>
        <v>6283200</v>
      </c>
    </row>
    <row r="10" customFormat="false" ht="15" hidden="false" customHeight="false" outlineLevel="0" collapsed="false">
      <c r="A10" s="3" t="n">
        <v>7</v>
      </c>
      <c r="B10" s="4" t="n">
        <f aca="false">B9*1.02</f>
        <v>29131200</v>
      </c>
      <c r="C10" s="4" t="n">
        <f aca="false">B10*Scenario_Manager!B10</f>
        <v>29131200</v>
      </c>
      <c r="D10" s="5" t="n">
        <f aca="false">Sources_Assumptions!C17</f>
        <v>0.22</v>
      </c>
      <c r="E10" s="5" t="n">
        <f aca="false">IF(Scenario_Manager!B8="Base",D10,Scenario_Manager!C5)</f>
        <v>0.22</v>
      </c>
      <c r="F10" s="4" t="n">
        <f aca="false">C10*E10</f>
        <v>6408864</v>
      </c>
    </row>
    <row r="11" customFormat="false" ht="15" hidden="false" customHeight="false" outlineLevel="0" collapsed="false">
      <c r="A11" s="3" t="n">
        <v>8</v>
      </c>
      <c r="B11" s="4" t="n">
        <f aca="false">B10*1.02</f>
        <v>29713824</v>
      </c>
      <c r="C11" s="4" t="n">
        <f aca="false">B11*Scenario_Manager!B10</f>
        <v>29713824</v>
      </c>
      <c r="D11" s="5" t="n">
        <f aca="false">Sources_Assumptions!C17</f>
        <v>0.22</v>
      </c>
      <c r="E11" s="5" t="n">
        <f aca="false">IF(Scenario_Manager!B8="Base",D11,Scenario_Manager!C5)</f>
        <v>0.22</v>
      </c>
      <c r="F11" s="4" t="n">
        <f aca="false">C11*E11</f>
        <v>6537041.28</v>
      </c>
    </row>
    <row r="12" customFormat="false" ht="15" hidden="false" customHeight="false" outlineLevel="0" collapsed="false">
      <c r="A12" s="3" t="n">
        <v>9</v>
      </c>
      <c r="B12" s="4" t="n">
        <f aca="false">B11*1.02</f>
        <v>30308100.48</v>
      </c>
      <c r="C12" s="4" t="n">
        <f aca="false">B12*Scenario_Manager!B10</f>
        <v>30308100.48</v>
      </c>
      <c r="D12" s="5" t="n">
        <f aca="false">Sources_Assumptions!C17</f>
        <v>0.22</v>
      </c>
      <c r="E12" s="5" t="n">
        <f aca="false">IF(Scenario_Manager!B8="Base",D12,Scenario_Manager!C5)</f>
        <v>0.22</v>
      </c>
      <c r="F12" s="4" t="n">
        <f aca="false">C12*E12</f>
        <v>6667782.1056</v>
      </c>
    </row>
    <row r="13" customFormat="false" ht="15" hidden="false" customHeight="false" outlineLevel="0" collapsed="false">
      <c r="A13" s="3" t="n">
        <v>10</v>
      </c>
      <c r="B13" s="4" t="n">
        <f aca="false">B12*1.02</f>
        <v>30914262.4896</v>
      </c>
      <c r="C13" s="4" t="n">
        <f aca="false">B13*Scenario_Manager!B10</f>
        <v>30914262.4896</v>
      </c>
      <c r="D13" s="5" t="n">
        <f aca="false">Sources_Assumptions!C17</f>
        <v>0.22</v>
      </c>
      <c r="E13" s="5" t="n">
        <f aca="false">IF(Scenario_Manager!B8="Base",D13,Scenario_Manager!C5)</f>
        <v>0.22</v>
      </c>
      <c r="F13" s="4" t="n">
        <f aca="false">C13*E13</f>
        <v>6801137.747712</v>
      </c>
    </row>
    <row r="14" customFormat="false" ht="15" hidden="false" customHeight="false" outlineLevel="0" collapsed="false">
      <c r="A14" s="3" t="n">
        <v>11</v>
      </c>
      <c r="B14" s="4" t="n">
        <f aca="false">B13*1.02</f>
        <v>31532547.739392</v>
      </c>
      <c r="C14" s="4" t="n">
        <f aca="false">B14*Scenario_Manager!B10</f>
        <v>31532547.739392</v>
      </c>
      <c r="D14" s="5" t="n">
        <f aca="false">Sources_Assumptions!C17</f>
        <v>0.22</v>
      </c>
      <c r="E14" s="5" t="n">
        <f aca="false">IF(Scenario_Manager!B8="Base",D14,Scenario_Manager!C5)</f>
        <v>0.22</v>
      </c>
      <c r="F14" s="4" t="n">
        <f aca="false">C14*E14</f>
        <v>6937160.50266624</v>
      </c>
    </row>
    <row r="15" customFormat="false" ht="15" hidden="false" customHeight="false" outlineLevel="0" collapsed="false">
      <c r="A15" s="3" t="n">
        <v>12</v>
      </c>
      <c r="B15" s="4" t="n">
        <f aca="false">Sources_Assumptions!C16</f>
        <v>32163198</v>
      </c>
      <c r="C15" s="4" t="n">
        <f aca="false">B15*Scenario_Manager!B10</f>
        <v>32163198</v>
      </c>
      <c r="D15" s="5" t="n">
        <f aca="false">Sources_Assumptions!C17</f>
        <v>0.22</v>
      </c>
      <c r="E15" s="5" t="n">
        <f aca="false">IF(Scenario_Manager!B8="Base",D15,Scenario_Manager!C5)</f>
        <v>0.22</v>
      </c>
      <c r="F15" s="4" t="n">
        <f aca="false">C15*E15</f>
        <v>7075903.56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1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8" min="7" style="0" width="22"/>
  </cols>
  <sheetData>
    <row r="1" customFormat="false" ht="17.35" hidden="false" customHeight="false" outlineLevel="0" collapsed="false">
      <c r="A1" s="10" t="s">
        <v>101</v>
      </c>
    </row>
    <row r="3" customFormat="false" ht="15" hidden="false" customHeight="false" outlineLevel="0" collapsed="false">
      <c r="A3" s="2" t="s">
        <v>46</v>
      </c>
      <c r="B3" s="2" t="s">
        <v>102</v>
      </c>
      <c r="C3" s="2" t="s">
        <v>103</v>
      </c>
      <c r="D3" s="2" t="s">
        <v>100</v>
      </c>
      <c r="E3" s="2" t="s">
        <v>104</v>
      </c>
      <c r="F3" s="2" t="s">
        <v>105</v>
      </c>
      <c r="G3" s="2" t="s">
        <v>106</v>
      </c>
      <c r="H3" s="2" t="s">
        <v>107</v>
      </c>
    </row>
    <row r="4" customFormat="false" ht="15" hidden="false" customHeight="false" outlineLevel="0" collapsed="false">
      <c r="A4" s="3" t="n">
        <v>1</v>
      </c>
      <c r="B4" s="4" t="n">
        <f aca="false">Revenue_Model!C4</f>
        <v>8000000</v>
      </c>
      <c r="C4" s="5" t="n">
        <f aca="false">Revenue_Model!E4</f>
        <v>0.12</v>
      </c>
      <c r="D4" s="4" t="n">
        <f aca="false">Revenue_Model!F4</f>
        <v>960000</v>
      </c>
      <c r="E4" s="4" t="n">
        <f aca="false">1200000</f>
        <v>1200000</v>
      </c>
      <c r="F4" s="4" t="n">
        <f aca="false">B4-D4-E4</f>
        <v>5840000</v>
      </c>
      <c r="G4" s="5" t="n">
        <f aca="false">IFERROR(F4/B4,0)</f>
        <v>0.73</v>
      </c>
      <c r="H4" s="5" t="n">
        <f aca="false">IFERROR(E4/B4,0)</f>
        <v>0.15</v>
      </c>
    </row>
    <row r="5" customFormat="false" ht="15" hidden="false" customHeight="false" outlineLevel="0" collapsed="false">
      <c r="A5" s="3" t="n">
        <v>2</v>
      </c>
      <c r="B5" s="4" t="n">
        <f aca="false">Revenue_Model!C5</f>
        <v>13000000</v>
      </c>
      <c r="C5" s="5" t="n">
        <f aca="false">Revenue_Model!E5</f>
        <v>0.16</v>
      </c>
      <c r="D5" s="4" t="n">
        <f aca="false">Revenue_Model!F5</f>
        <v>2080000</v>
      </c>
      <c r="E5" s="4" t="n">
        <f aca="false">1500000</f>
        <v>1500000</v>
      </c>
      <c r="F5" s="4" t="n">
        <f aca="false">B5-D5-E5</f>
        <v>9420000</v>
      </c>
      <c r="G5" s="5" t="n">
        <f aca="false">IFERROR(F5/B5,0)</f>
        <v>0.724615384615385</v>
      </c>
      <c r="H5" s="5" t="n">
        <f aca="false">IFERROR(E5/B5,0)</f>
        <v>0.115384615384615</v>
      </c>
    </row>
    <row r="6" customFormat="false" ht="15" hidden="false" customHeight="false" outlineLevel="0" collapsed="false">
      <c r="A6" s="3" t="n">
        <v>3</v>
      </c>
      <c r="B6" s="4" t="n">
        <f aca="false">Revenue_Model!C6</f>
        <v>18000000</v>
      </c>
      <c r="C6" s="5" t="n">
        <f aca="false">Revenue_Model!E6</f>
        <v>0.18</v>
      </c>
      <c r="D6" s="4" t="n">
        <f aca="false">Revenue_Model!F6</f>
        <v>3240000</v>
      </c>
      <c r="E6" s="4" t="n">
        <f aca="false">1800000</f>
        <v>1800000</v>
      </c>
      <c r="F6" s="4" t="n">
        <f aca="false">B6-D6-E6</f>
        <v>12960000</v>
      </c>
      <c r="G6" s="5" t="n">
        <f aca="false">IFERROR(F6/B6,0)</f>
        <v>0.72</v>
      </c>
      <c r="H6" s="5" t="n">
        <f aca="false">IFERROR(E6/B6,0)</f>
        <v>0.1</v>
      </c>
    </row>
    <row r="7" customFormat="false" ht="15" hidden="false" customHeight="false" outlineLevel="0" collapsed="false">
      <c r="A7" s="3" t="n">
        <v>4</v>
      </c>
      <c r="B7" s="4" t="n">
        <f aca="false">Revenue_Model!C7</f>
        <v>23000000</v>
      </c>
      <c r="C7" s="5" t="n">
        <f aca="false">Revenue_Model!E7</f>
        <v>0.2</v>
      </c>
      <c r="D7" s="4" t="n">
        <f aca="false">Revenue_Model!F7</f>
        <v>4600000</v>
      </c>
      <c r="E7" s="4" t="n">
        <f aca="false">2100000</f>
        <v>2100000</v>
      </c>
      <c r="F7" s="4" t="n">
        <f aca="false">B7-D7-E7</f>
        <v>16300000</v>
      </c>
      <c r="G7" s="5" t="n">
        <f aca="false">IFERROR(F7/B7,0)</f>
        <v>0.708695652173913</v>
      </c>
      <c r="H7" s="5" t="n">
        <f aca="false">IFERROR(E7/B7,0)</f>
        <v>0.091304347826087</v>
      </c>
    </row>
    <row r="8" customFormat="false" ht="15" hidden="false" customHeight="false" outlineLevel="0" collapsed="false">
      <c r="A8" s="3" t="n">
        <v>5</v>
      </c>
      <c r="B8" s="4" t="n">
        <f aca="false">Revenue_Model!C8</f>
        <v>28000000</v>
      </c>
      <c r="C8" s="5" t="n">
        <f aca="false">Revenue_Model!E8</f>
        <v>0.22</v>
      </c>
      <c r="D8" s="4" t="n">
        <f aca="false">Revenue_Model!F8</f>
        <v>6160000</v>
      </c>
      <c r="E8" s="4" t="n">
        <f aca="false">2500000</f>
        <v>2500000</v>
      </c>
      <c r="F8" s="4" t="n">
        <f aca="false">B8-D8-E8</f>
        <v>19340000</v>
      </c>
      <c r="G8" s="5" t="n">
        <f aca="false">IFERROR(F8/B8,0)</f>
        <v>0.690714285714286</v>
      </c>
      <c r="H8" s="5" t="n">
        <f aca="false">IFERROR(E8/B8,0)</f>
        <v>0.0892857142857143</v>
      </c>
    </row>
    <row r="9" customFormat="false" ht="15" hidden="false" customHeight="false" outlineLevel="0" collapsed="false">
      <c r="A9" s="3" t="n">
        <v>6</v>
      </c>
      <c r="B9" s="4" t="n">
        <f aca="false">Revenue_Model!C9</f>
        <v>28560000</v>
      </c>
      <c r="C9" s="5" t="n">
        <f aca="false">Revenue_Model!E9</f>
        <v>0.22</v>
      </c>
      <c r="D9" s="4" t="n">
        <f aca="false">Revenue_Model!F9</f>
        <v>6283200</v>
      </c>
      <c r="E9" s="4" t="n">
        <f aca="false">E8*1.02</f>
        <v>2550000</v>
      </c>
      <c r="F9" s="4" t="n">
        <f aca="false">B9-D9-E9</f>
        <v>19726800</v>
      </c>
      <c r="G9" s="5" t="n">
        <f aca="false">IFERROR(F9/B9,0)</f>
        <v>0.690714285714286</v>
      </c>
      <c r="H9" s="5" t="n">
        <f aca="false">IFERROR(E9/B9,0)</f>
        <v>0.0892857142857143</v>
      </c>
    </row>
    <row r="10" customFormat="false" ht="15" hidden="false" customHeight="false" outlineLevel="0" collapsed="false">
      <c r="A10" s="3" t="n">
        <v>7</v>
      </c>
      <c r="B10" s="4" t="n">
        <f aca="false">Revenue_Model!C10</f>
        <v>29131200</v>
      </c>
      <c r="C10" s="5" t="n">
        <f aca="false">Revenue_Model!E10</f>
        <v>0.22</v>
      </c>
      <c r="D10" s="4" t="n">
        <f aca="false">Revenue_Model!F10</f>
        <v>6408864</v>
      </c>
      <c r="E10" s="4" t="n">
        <f aca="false">E9*1.02</f>
        <v>2601000</v>
      </c>
      <c r="F10" s="4" t="n">
        <f aca="false">B10-D10-E10</f>
        <v>20121336</v>
      </c>
      <c r="G10" s="5" t="n">
        <f aca="false">IFERROR(F10/B10,0)</f>
        <v>0.690714285714286</v>
      </c>
      <c r="H10" s="5" t="n">
        <f aca="false">IFERROR(E10/B10,0)</f>
        <v>0.0892857142857143</v>
      </c>
    </row>
    <row r="11" customFormat="false" ht="15" hidden="false" customHeight="false" outlineLevel="0" collapsed="false">
      <c r="A11" s="3" t="n">
        <v>8</v>
      </c>
      <c r="B11" s="4" t="n">
        <f aca="false">Revenue_Model!C11</f>
        <v>29713824</v>
      </c>
      <c r="C11" s="5" t="n">
        <f aca="false">Revenue_Model!E11</f>
        <v>0.22</v>
      </c>
      <c r="D11" s="4" t="n">
        <f aca="false">Revenue_Model!F11</f>
        <v>6537041.28</v>
      </c>
      <c r="E11" s="4" t="n">
        <f aca="false">E10*1.02</f>
        <v>2653020</v>
      </c>
      <c r="F11" s="4" t="n">
        <f aca="false">B11-D11-E11</f>
        <v>20523762.72</v>
      </c>
      <c r="G11" s="5" t="n">
        <f aca="false">IFERROR(F11/B11,0)</f>
        <v>0.690714285714286</v>
      </c>
      <c r="H11" s="5" t="n">
        <f aca="false">IFERROR(E11/B11,0)</f>
        <v>0.0892857142857143</v>
      </c>
    </row>
    <row r="12" customFormat="false" ht="15" hidden="false" customHeight="false" outlineLevel="0" collapsed="false">
      <c r="A12" s="3" t="n">
        <v>9</v>
      </c>
      <c r="B12" s="4" t="n">
        <f aca="false">Revenue_Model!C12</f>
        <v>30308100.48</v>
      </c>
      <c r="C12" s="5" t="n">
        <f aca="false">Revenue_Model!E12</f>
        <v>0.22</v>
      </c>
      <c r="D12" s="4" t="n">
        <f aca="false">Revenue_Model!F12</f>
        <v>6667782.1056</v>
      </c>
      <c r="E12" s="4" t="n">
        <f aca="false">E11*1.02</f>
        <v>2706080.4</v>
      </c>
      <c r="F12" s="4" t="n">
        <f aca="false">B12-D12-E12</f>
        <v>20934237.9744</v>
      </c>
      <c r="G12" s="5" t="n">
        <f aca="false">IFERROR(F12/B12,0)</f>
        <v>0.690714285714286</v>
      </c>
      <c r="H12" s="5" t="n">
        <f aca="false">IFERROR(E12/B12,0)</f>
        <v>0.0892857142857143</v>
      </c>
    </row>
    <row r="13" customFormat="false" ht="15" hidden="false" customHeight="false" outlineLevel="0" collapsed="false">
      <c r="A13" s="3" t="n">
        <v>10</v>
      </c>
      <c r="B13" s="4" t="n">
        <f aca="false">Revenue_Model!C13</f>
        <v>30914262.4896</v>
      </c>
      <c r="C13" s="5" t="n">
        <f aca="false">Revenue_Model!E13</f>
        <v>0.22</v>
      </c>
      <c r="D13" s="4" t="n">
        <f aca="false">Revenue_Model!F13</f>
        <v>6801137.747712</v>
      </c>
      <c r="E13" s="4" t="n">
        <f aca="false">E12*1.02</f>
        <v>2760202.008</v>
      </c>
      <c r="F13" s="4" t="n">
        <f aca="false">B13-D13-E13</f>
        <v>21352922.733888</v>
      </c>
      <c r="G13" s="5" t="n">
        <f aca="false">IFERROR(F13/B13,0)</f>
        <v>0.690714285714286</v>
      </c>
      <c r="H13" s="5" t="n">
        <f aca="false">IFERROR(E13/B13,0)</f>
        <v>0.0892857142857143</v>
      </c>
    </row>
    <row r="14" customFormat="false" ht="15" hidden="false" customHeight="false" outlineLevel="0" collapsed="false">
      <c r="A14" s="3" t="n">
        <v>11</v>
      </c>
      <c r="B14" s="4" t="n">
        <f aca="false">Revenue_Model!C14</f>
        <v>31532547.739392</v>
      </c>
      <c r="C14" s="5" t="n">
        <f aca="false">Revenue_Model!E14</f>
        <v>0.22</v>
      </c>
      <c r="D14" s="4" t="n">
        <f aca="false">Revenue_Model!F14</f>
        <v>6937160.50266624</v>
      </c>
      <c r="E14" s="4" t="n">
        <f aca="false">E13*1.02</f>
        <v>2815406.04816</v>
      </c>
      <c r="F14" s="4" t="n">
        <f aca="false">B14-D14-E14</f>
        <v>21779981.1885658</v>
      </c>
      <c r="G14" s="5" t="n">
        <f aca="false">IFERROR(F14/B14,0)</f>
        <v>0.690714285714286</v>
      </c>
      <c r="H14" s="5" t="n">
        <f aca="false">IFERROR(E14/B14,0)</f>
        <v>0.0892857142857143</v>
      </c>
    </row>
    <row r="15" customFormat="false" ht="15" hidden="false" customHeight="false" outlineLevel="0" collapsed="false">
      <c r="A15" s="3" t="n">
        <v>12</v>
      </c>
      <c r="B15" s="4" t="n">
        <f aca="false">Revenue_Model!C15</f>
        <v>32163198</v>
      </c>
      <c r="C15" s="5" t="n">
        <f aca="false">Revenue_Model!E15</f>
        <v>0.22</v>
      </c>
      <c r="D15" s="4" t="n">
        <f aca="false">Revenue_Model!F15</f>
        <v>7075903.56</v>
      </c>
      <c r="E15" s="4" t="n">
        <f aca="false">E14*1.02</f>
        <v>2871714.1691232</v>
      </c>
      <c r="F15" s="4" t="n">
        <f aca="false">B15-D15-E15</f>
        <v>22215580.2708768</v>
      </c>
      <c r="G15" s="5" t="n">
        <f aca="false">IFERROR(F15/B15,0)</f>
        <v>0.690714283787228</v>
      </c>
      <c r="H15" s="5" t="n">
        <f aca="false">IFERROR(E15/B15,0)</f>
        <v>0.0892857162127721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7"/>
    <col collapsed="false" customWidth="true" hidden="false" outlineLevel="0" max="4" min="4" style="0" width="24"/>
    <col collapsed="false" customWidth="true" hidden="false" outlineLevel="0" max="7" min="5" style="0" width="41"/>
    <col collapsed="false" customWidth="true" hidden="false" outlineLevel="0" max="9" min="8" style="0" width="22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0" t="s">
        <v>108</v>
      </c>
    </row>
    <row r="3" customFormat="false" ht="15" hidden="false" customHeight="false" outlineLevel="0" collapsed="false">
      <c r="A3" s="2" t="s">
        <v>46</v>
      </c>
      <c r="B3" s="2" t="s">
        <v>102</v>
      </c>
      <c r="C3" s="2" t="s">
        <v>105</v>
      </c>
      <c r="D3" s="2" t="s">
        <v>90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114</v>
      </c>
      <c r="K3" s="2" t="s">
        <v>115</v>
      </c>
    </row>
    <row r="4" customFormat="false" ht="15" hidden="false" customHeight="false" outlineLevel="0" collapsed="false">
      <c r="A4" s="3" t="n">
        <v>1</v>
      </c>
      <c r="B4" s="4" t="n">
        <f aca="false">COGS_OPEX!B4</f>
        <v>8000000</v>
      </c>
      <c r="C4" s="4" t="n">
        <f aca="false">COGS_OPEX!F4</f>
        <v>5840000</v>
      </c>
      <c r="D4" s="3" t="n">
        <f aca="false">Scenario_Manager!B12</f>
        <v>100</v>
      </c>
      <c r="E4" s="4" t="n">
        <f aca="false">B4*(D4*Sources_Assumptions!C36)/365</f>
        <v>1315068.49315069</v>
      </c>
      <c r="F4" s="4" t="n">
        <f aca="false">C4*(D4*Sources_Assumptions!C37)/365</f>
        <v>800000</v>
      </c>
      <c r="G4" s="4" t="n">
        <f aca="false">C4*(D4*Sources_Assumptions!C38)/365</f>
        <v>668000</v>
      </c>
      <c r="H4" s="4" t="n">
        <f aca="false">E4+F4-G4</f>
        <v>1447068.49315069</v>
      </c>
      <c r="I4" s="5" t="n">
        <f aca="false">IFERROR(H4/B4,0)</f>
        <v>0.180883561643836</v>
      </c>
      <c r="J4" s="4" t="n">
        <f aca="false">H4</f>
        <v>1447068.49315069</v>
      </c>
      <c r="K4" s="4"/>
    </row>
    <row r="5" customFormat="false" ht="15" hidden="false" customHeight="false" outlineLevel="0" collapsed="false">
      <c r="A5" s="3" t="n">
        <v>2</v>
      </c>
      <c r="B5" s="4" t="n">
        <f aca="false">COGS_OPEX!B5</f>
        <v>13000000</v>
      </c>
      <c r="C5" s="4" t="n">
        <f aca="false">COGS_OPEX!F5</f>
        <v>9420000</v>
      </c>
      <c r="D5" s="3" t="n">
        <f aca="false">Scenario_Manager!B12</f>
        <v>100</v>
      </c>
      <c r="E5" s="4" t="n">
        <f aca="false">B5*(D5*Sources_Assumptions!C36)/365</f>
        <v>2136986.30136986</v>
      </c>
      <c r="F5" s="4" t="n">
        <f aca="false">C5*(D5*Sources_Assumptions!C37)/365</f>
        <v>1290410.95890411</v>
      </c>
      <c r="G5" s="4" t="n">
        <f aca="false">C5*(D5*Sources_Assumptions!C38)/365</f>
        <v>1077493.15068493</v>
      </c>
      <c r="H5" s="4" t="n">
        <f aca="false">E5+F5-G5</f>
        <v>2349904.10958904</v>
      </c>
      <c r="I5" s="5" t="n">
        <f aca="false">IFERROR(H5/B5,0)</f>
        <v>0.180761854583772</v>
      </c>
      <c r="J5" s="4" t="n">
        <f aca="false">H5-H4</f>
        <v>902835.616438356</v>
      </c>
      <c r="K5" s="4"/>
    </row>
    <row r="6" customFormat="false" ht="15" hidden="false" customHeight="false" outlineLevel="0" collapsed="false">
      <c r="A6" s="3" t="n">
        <v>3</v>
      </c>
      <c r="B6" s="4" t="n">
        <f aca="false">COGS_OPEX!B6</f>
        <v>18000000</v>
      </c>
      <c r="C6" s="4" t="n">
        <f aca="false">COGS_OPEX!F6</f>
        <v>12960000</v>
      </c>
      <c r="D6" s="3" t="n">
        <f aca="false">Scenario_Manager!B12</f>
        <v>100</v>
      </c>
      <c r="E6" s="4" t="n">
        <f aca="false">B6*(D6*Sources_Assumptions!C36)/365</f>
        <v>2958904.10958904</v>
      </c>
      <c r="F6" s="4" t="n">
        <f aca="false">C6*(D6*Sources_Assumptions!C37)/365</f>
        <v>1775342.46575342</v>
      </c>
      <c r="G6" s="4" t="n">
        <f aca="false">C6*(D6*Sources_Assumptions!C38)/365</f>
        <v>1482410.95890411</v>
      </c>
      <c r="H6" s="4" t="n">
        <f aca="false">E6+F6-G6</f>
        <v>3251835.61643836</v>
      </c>
      <c r="I6" s="5" t="n">
        <f aca="false">IFERROR(H6/B6,0)</f>
        <v>0.180657534246575</v>
      </c>
      <c r="J6" s="4" t="n">
        <f aca="false">H6-H5</f>
        <v>901931.506849315</v>
      </c>
      <c r="K6" s="4"/>
    </row>
    <row r="7" customFormat="false" ht="15" hidden="false" customHeight="false" outlineLevel="0" collapsed="false">
      <c r="A7" s="3" t="n">
        <v>4</v>
      </c>
      <c r="B7" s="4" t="n">
        <f aca="false">COGS_OPEX!B7</f>
        <v>23000000</v>
      </c>
      <c r="C7" s="4" t="n">
        <f aca="false">COGS_OPEX!F7</f>
        <v>16300000</v>
      </c>
      <c r="D7" s="3" t="n">
        <f aca="false">Scenario_Manager!B12</f>
        <v>100</v>
      </c>
      <c r="E7" s="4" t="n">
        <f aca="false">B7*(D7*Sources_Assumptions!C36)/365</f>
        <v>3780821.91780822</v>
      </c>
      <c r="F7" s="4" t="n">
        <f aca="false">C7*(D7*Sources_Assumptions!C37)/365</f>
        <v>2232876.71232877</v>
      </c>
      <c r="G7" s="4" t="n">
        <f aca="false">C7*(D7*Sources_Assumptions!C38)/365</f>
        <v>1864452.05479452</v>
      </c>
      <c r="H7" s="4" t="n">
        <f aca="false">E7+F7-G7</f>
        <v>4149246.57534247</v>
      </c>
      <c r="I7" s="5" t="n">
        <f aca="false">IFERROR(H7/B7,0)</f>
        <v>0.18040202501489</v>
      </c>
      <c r="J7" s="4" t="n">
        <f aca="false">H7-H6</f>
        <v>897410.958904109</v>
      </c>
      <c r="K7" s="4"/>
    </row>
    <row r="8" customFormat="false" ht="15" hidden="false" customHeight="false" outlineLevel="0" collapsed="false">
      <c r="A8" s="3" t="n">
        <v>5</v>
      </c>
      <c r="B8" s="4" t="n">
        <f aca="false">COGS_OPEX!B8</f>
        <v>28000000</v>
      </c>
      <c r="C8" s="4" t="n">
        <f aca="false">COGS_OPEX!F8</f>
        <v>19340000</v>
      </c>
      <c r="D8" s="3" t="n">
        <f aca="false">Scenario_Manager!B12</f>
        <v>100</v>
      </c>
      <c r="E8" s="4" t="n">
        <f aca="false">B8*(D8*Sources_Assumptions!C36)/365</f>
        <v>4602739.7260274</v>
      </c>
      <c r="F8" s="4" t="n">
        <f aca="false">C8*(D8*Sources_Assumptions!C37)/365</f>
        <v>2649315.06849315</v>
      </c>
      <c r="G8" s="4" t="n">
        <f aca="false">C8*(D8*Sources_Assumptions!C38)/365</f>
        <v>2212178.08219178</v>
      </c>
      <c r="H8" s="4" t="n">
        <f aca="false">E8+F8-G8</f>
        <v>5039876.71232877</v>
      </c>
      <c r="I8" s="5" t="n">
        <f aca="false">IFERROR(H8/B8,0)</f>
        <v>0.179995596868885</v>
      </c>
      <c r="J8" s="4" t="n">
        <f aca="false">H8-H7</f>
        <v>890630.136986302</v>
      </c>
      <c r="K8" s="11" t="n">
        <f aca="false">H8-Sources_Assumptions!C19</f>
        <v>-713548.287671233</v>
      </c>
    </row>
    <row r="9" customFormat="false" ht="15" hidden="false" customHeight="false" outlineLevel="0" collapsed="false">
      <c r="A9" s="3" t="n">
        <v>6</v>
      </c>
      <c r="B9" s="4" t="n">
        <f aca="false">COGS_OPEX!B9</f>
        <v>28560000</v>
      </c>
      <c r="C9" s="4" t="n">
        <f aca="false">COGS_OPEX!F9</f>
        <v>19726800</v>
      </c>
      <c r="D9" s="3" t="n">
        <f aca="false">Scenario_Manager!B12</f>
        <v>100</v>
      </c>
      <c r="E9" s="4" t="n">
        <f aca="false">B9*(D9*Sources_Assumptions!C36)/365</f>
        <v>4694794.52054795</v>
      </c>
      <c r="F9" s="4" t="n">
        <f aca="false">C9*(D9*Sources_Assumptions!C37)/365</f>
        <v>2702301.36986301</v>
      </c>
      <c r="G9" s="4" t="n">
        <f aca="false">C9*(D9*Sources_Assumptions!C38)/365</f>
        <v>2256421.64383562</v>
      </c>
      <c r="H9" s="4" t="n">
        <f aca="false">E9+F9-G9</f>
        <v>5140674.24657534</v>
      </c>
      <c r="I9" s="5" t="n">
        <f aca="false">IFERROR(H9/B9,0)</f>
        <v>0.179995596868885</v>
      </c>
      <c r="J9" s="4" t="n">
        <f aca="false">H9-H8</f>
        <v>100797.534246575</v>
      </c>
      <c r="K9" s="4"/>
    </row>
    <row r="10" customFormat="false" ht="15" hidden="false" customHeight="false" outlineLevel="0" collapsed="false">
      <c r="A10" s="3" t="n">
        <v>7</v>
      </c>
      <c r="B10" s="4" t="n">
        <f aca="false">COGS_OPEX!B10</f>
        <v>29131200</v>
      </c>
      <c r="C10" s="4" t="n">
        <f aca="false">COGS_OPEX!F10</f>
        <v>20121336</v>
      </c>
      <c r="D10" s="3" t="n">
        <f aca="false">Scenario_Manager!B12</f>
        <v>100</v>
      </c>
      <c r="E10" s="4" t="n">
        <f aca="false">B10*(D10*Sources_Assumptions!C36)/365</f>
        <v>4788690.4109589</v>
      </c>
      <c r="F10" s="4" t="n">
        <f aca="false">C10*(D10*Sources_Assumptions!C37)/365</f>
        <v>2756347.39726027</v>
      </c>
      <c r="G10" s="4" t="n">
        <f aca="false">C10*(D10*Sources_Assumptions!C38)/365</f>
        <v>2301550.07671233</v>
      </c>
      <c r="H10" s="4" t="n">
        <f aca="false">E10+F10-G10</f>
        <v>5243487.73150685</v>
      </c>
      <c r="I10" s="5" t="n">
        <f aca="false">IFERROR(H10/B10,0)</f>
        <v>0.179995596868885</v>
      </c>
      <c r="J10" s="4" t="n">
        <f aca="false">H10-H9</f>
        <v>102813.484931506</v>
      </c>
      <c r="K10" s="4"/>
    </row>
    <row r="11" customFormat="false" ht="15" hidden="false" customHeight="false" outlineLevel="0" collapsed="false">
      <c r="A11" s="3" t="n">
        <v>8</v>
      </c>
      <c r="B11" s="4" t="n">
        <f aca="false">COGS_OPEX!B11</f>
        <v>29713824</v>
      </c>
      <c r="C11" s="4" t="n">
        <f aca="false">COGS_OPEX!F11</f>
        <v>20523762.72</v>
      </c>
      <c r="D11" s="3" t="n">
        <f aca="false">Scenario_Manager!B12</f>
        <v>100</v>
      </c>
      <c r="E11" s="4" t="n">
        <f aca="false">B11*(D11*Sources_Assumptions!C36)/365</f>
        <v>4884464.21917808</v>
      </c>
      <c r="F11" s="4" t="n">
        <f aca="false">C11*(D11*Sources_Assumptions!C37)/365</f>
        <v>2811474.34520548</v>
      </c>
      <c r="G11" s="4" t="n">
        <f aca="false">C11*(D11*Sources_Assumptions!C38)/365</f>
        <v>2347581.07824658</v>
      </c>
      <c r="H11" s="4" t="n">
        <f aca="false">E11+F11-G11</f>
        <v>5348357.48613699</v>
      </c>
      <c r="I11" s="5" t="n">
        <f aca="false">IFERROR(H11/B11,0)</f>
        <v>0.179995596868885</v>
      </c>
      <c r="J11" s="4" t="n">
        <f aca="false">H11-H10</f>
        <v>104869.754630137</v>
      </c>
      <c r="K11" s="4"/>
    </row>
    <row r="12" customFormat="false" ht="15" hidden="false" customHeight="false" outlineLevel="0" collapsed="false">
      <c r="A12" s="3" t="n">
        <v>9</v>
      </c>
      <c r="B12" s="4" t="n">
        <f aca="false">COGS_OPEX!B12</f>
        <v>30308100.48</v>
      </c>
      <c r="C12" s="4" t="n">
        <f aca="false">COGS_OPEX!F12</f>
        <v>20934237.9744</v>
      </c>
      <c r="D12" s="3" t="n">
        <f aca="false">Scenario_Manager!B12</f>
        <v>100</v>
      </c>
      <c r="E12" s="4" t="n">
        <f aca="false">B12*(D12*Sources_Assumptions!C36)/365</f>
        <v>4982153.50356164</v>
      </c>
      <c r="F12" s="4" t="n">
        <f aca="false">C12*(D12*Sources_Assumptions!C37)/365</f>
        <v>2867703.83210959</v>
      </c>
      <c r="G12" s="4" t="n">
        <f aca="false">C12*(D12*Sources_Assumptions!C38)/365</f>
        <v>2394532.69981151</v>
      </c>
      <c r="H12" s="4" t="n">
        <f aca="false">E12+F12-G12</f>
        <v>5455324.63585973</v>
      </c>
      <c r="I12" s="5" t="n">
        <f aca="false">IFERROR(H12/B12,0)</f>
        <v>0.179995596868885</v>
      </c>
      <c r="J12" s="4" t="n">
        <f aca="false">H12-H11</f>
        <v>106967.14972274</v>
      </c>
      <c r="K12" s="4"/>
    </row>
    <row r="13" customFormat="false" ht="15" hidden="false" customHeight="false" outlineLevel="0" collapsed="false">
      <c r="A13" s="3" t="n">
        <v>10</v>
      </c>
      <c r="B13" s="4" t="n">
        <f aca="false">COGS_OPEX!B13</f>
        <v>30914262.4896</v>
      </c>
      <c r="C13" s="4" t="n">
        <f aca="false">COGS_OPEX!F13</f>
        <v>21352922.733888</v>
      </c>
      <c r="D13" s="3" t="n">
        <f aca="false">Scenario_Manager!B12</f>
        <v>100</v>
      </c>
      <c r="E13" s="4" t="n">
        <f aca="false">B13*(D13*Sources_Assumptions!C36)/365</f>
        <v>5081796.57363288</v>
      </c>
      <c r="F13" s="4" t="n">
        <f aca="false">C13*(D13*Sources_Assumptions!C37)/365</f>
        <v>2925057.90875178</v>
      </c>
      <c r="G13" s="4" t="n">
        <f aca="false">C13*(D13*Sources_Assumptions!C38)/365</f>
        <v>2442423.35380774</v>
      </c>
      <c r="H13" s="4" t="n">
        <f aca="false">E13+F13-G13</f>
        <v>5564431.12857692</v>
      </c>
      <c r="I13" s="5" t="n">
        <f aca="false">IFERROR(H13/B13,0)</f>
        <v>0.179995596868885</v>
      </c>
      <c r="J13" s="4" t="n">
        <f aca="false">H13-H12</f>
        <v>109106.492717195</v>
      </c>
      <c r="K13" s="4"/>
    </row>
    <row r="14" customFormat="false" ht="15" hidden="false" customHeight="false" outlineLevel="0" collapsed="false">
      <c r="A14" s="3" t="n">
        <v>11</v>
      </c>
      <c r="B14" s="4" t="n">
        <f aca="false">COGS_OPEX!B14</f>
        <v>31532547.739392</v>
      </c>
      <c r="C14" s="4" t="n">
        <f aca="false">COGS_OPEX!F14</f>
        <v>21779981.1885658</v>
      </c>
      <c r="D14" s="3" t="n">
        <f aca="false">Scenario_Manager!B12</f>
        <v>100</v>
      </c>
      <c r="E14" s="4" t="n">
        <f aca="false">B14*(D14*Sources_Assumptions!C36)/365</f>
        <v>5183432.50510554</v>
      </c>
      <c r="F14" s="4" t="n">
        <f aca="false">C14*(D14*Sources_Assumptions!C37)/365</f>
        <v>2983559.06692682</v>
      </c>
      <c r="G14" s="4" t="n">
        <f aca="false">C14*(D14*Sources_Assumptions!C38)/365</f>
        <v>2491271.82088389</v>
      </c>
      <c r="H14" s="4" t="n">
        <f aca="false">E14+F14-G14</f>
        <v>5675719.75114846</v>
      </c>
      <c r="I14" s="5" t="n">
        <f aca="false">IFERROR(H14/B14,0)</f>
        <v>0.179995596868885</v>
      </c>
      <c r="J14" s="4" t="n">
        <f aca="false">H14-H13</f>
        <v>111288.622571539</v>
      </c>
      <c r="K14" s="4"/>
    </row>
    <row r="15" customFormat="false" ht="15" hidden="false" customHeight="false" outlineLevel="0" collapsed="false">
      <c r="A15" s="3" t="n">
        <v>12</v>
      </c>
      <c r="B15" s="4" t="n">
        <f aca="false">COGS_OPEX!B15</f>
        <v>32163198</v>
      </c>
      <c r="C15" s="4" t="n">
        <f aca="false">COGS_OPEX!F15</f>
        <v>22215580.2708768</v>
      </c>
      <c r="D15" s="3" t="n">
        <f aca="false">Scenario_Manager!B12</f>
        <v>100</v>
      </c>
      <c r="E15" s="4" t="n">
        <f aca="false">B15*(D15*Sources_Assumptions!C36)/365</f>
        <v>5287101.04109589</v>
      </c>
      <c r="F15" s="4" t="n">
        <f aca="false">C15*(D15*Sources_Assumptions!C37)/365</f>
        <v>3043230.17409271</v>
      </c>
      <c r="G15" s="4" t="n">
        <f aca="false">C15*(D15*Sources_Assumptions!C38)/365</f>
        <v>2541097.19536742</v>
      </c>
      <c r="H15" s="4" t="n">
        <f aca="false">E15+F15-G15</f>
        <v>5789234.01982119</v>
      </c>
      <c r="I15" s="5" t="n">
        <f aca="false">IFERROR(H15/B15,0)</f>
        <v>0.179995596825328</v>
      </c>
      <c r="J15" s="4" t="n">
        <f aca="false">H15-H14</f>
        <v>113514.268672727</v>
      </c>
      <c r="K1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7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38"/>
    <col collapsed="false" customWidth="true" hidden="false" outlineLevel="0" max="7" min="7" style="0" width="23"/>
    <col collapsed="false" customWidth="true" hidden="false" outlineLevel="0" max="8" min="8" style="0" width="19"/>
    <col collapsed="false" customWidth="true" hidden="false" outlineLevel="0" max="10" min="9" style="0" width="27"/>
    <col collapsed="false" customWidth="true" hidden="false" outlineLevel="0" max="11" min="11" style="0" width="3"/>
    <col collapsed="false" customWidth="true" hidden="false" outlineLevel="0" max="12" min="12" style="0" width="22"/>
    <col collapsed="false" customWidth="true" hidden="false" outlineLevel="0" max="13" min="13" style="0" width="29"/>
  </cols>
  <sheetData>
    <row r="1" customFormat="false" ht="17.35" hidden="false" customHeight="false" outlineLevel="0" collapsed="false">
      <c r="A1" s="10" t="s">
        <v>116</v>
      </c>
    </row>
    <row r="2" customFormat="false" ht="15" hidden="false" customHeight="false" outlineLevel="0" collapsed="false">
      <c r="L2" s="13" t="s">
        <v>117</v>
      </c>
      <c r="M2" s="11" t="n">
        <f aca="false">Sources_Assumptions!C4/15</f>
        <v>1853077.06666667</v>
      </c>
    </row>
    <row r="3" customFormat="false" ht="15" hidden="false" customHeight="false" outlineLevel="0" collapsed="false">
      <c r="A3" s="2" t="s">
        <v>46</v>
      </c>
      <c r="B3" s="2" t="s">
        <v>102</v>
      </c>
      <c r="C3" s="2" t="s">
        <v>100</v>
      </c>
      <c r="D3" s="2" t="s">
        <v>118</v>
      </c>
      <c r="E3" s="2" t="s">
        <v>119</v>
      </c>
      <c r="F3" s="2" t="s">
        <v>120</v>
      </c>
      <c r="G3" s="2" t="s">
        <v>114</v>
      </c>
      <c r="H3" s="2" t="s">
        <v>116</v>
      </c>
      <c r="I3" s="2" t="s">
        <v>121</v>
      </c>
      <c r="J3" s="2" t="s">
        <v>122</v>
      </c>
    </row>
    <row r="4" customFormat="false" ht="15" hidden="false" customHeight="false" outlineLevel="0" collapsed="false">
      <c r="A4" s="3" t="n">
        <v>1</v>
      </c>
      <c r="B4" s="4" t="n">
        <f aca="false">COGS_OPEX!B4</f>
        <v>8000000</v>
      </c>
      <c r="C4" s="4" t="n">
        <f aca="false">COGS_OPEX!D4</f>
        <v>960000</v>
      </c>
      <c r="D4" s="4" t="n">
        <f aca="false">$M$2</f>
        <v>1853077.06666667</v>
      </c>
      <c r="E4" s="4" t="n">
        <f aca="false">C4-D4</f>
        <v>-893077.066666667</v>
      </c>
      <c r="F4" s="4" t="n">
        <f aca="false">MAX(0,E4*Sources_Assumptions!C20)</f>
        <v>0</v>
      </c>
      <c r="G4" s="4" t="n">
        <f aca="false">Working_Capital!J4</f>
        <v>1447068.49315069</v>
      </c>
      <c r="H4" s="4" t="n">
        <f aca="false">C4-F4-G4+D4</f>
        <v>1366008.57351598</v>
      </c>
      <c r="I4" s="12" t="n">
        <f aca="false">Sources_Assumptions!C11</f>
        <v>3.07</v>
      </c>
      <c r="J4" s="12" t="n">
        <f aca="false">Sources_Assumptions!C12</f>
        <v>1.68</v>
      </c>
    </row>
    <row r="5" customFormat="false" ht="15" hidden="false" customHeight="false" outlineLevel="0" collapsed="false">
      <c r="A5" s="3" t="n">
        <v>2</v>
      </c>
      <c r="B5" s="4" t="n">
        <f aca="false">COGS_OPEX!B5</f>
        <v>13000000</v>
      </c>
      <c r="C5" s="4" t="n">
        <f aca="false">COGS_OPEX!D5</f>
        <v>2080000</v>
      </c>
      <c r="D5" s="4" t="n">
        <f aca="false">$M$2</f>
        <v>1853077.06666667</v>
      </c>
      <c r="E5" s="4" t="n">
        <f aca="false">C5-D5</f>
        <v>226922.933333333</v>
      </c>
      <c r="F5" s="4" t="n">
        <f aca="false">MAX(0,E5*Sources_Assumptions!C20)</f>
        <v>20423.064</v>
      </c>
      <c r="G5" s="4" t="n">
        <f aca="false">Working_Capital!J5</f>
        <v>902835.616438356</v>
      </c>
      <c r="H5" s="4" t="n">
        <f aca="false">C5-F5-G5+D5</f>
        <v>3009818.38622831</v>
      </c>
      <c r="I5" s="12" t="n">
        <f aca="false">Sources_Assumptions!C11</f>
        <v>3.07</v>
      </c>
      <c r="J5" s="12" t="n">
        <f aca="false">Sources_Assumptions!C12</f>
        <v>1.68</v>
      </c>
    </row>
    <row r="6" customFormat="false" ht="15" hidden="false" customHeight="false" outlineLevel="0" collapsed="false">
      <c r="A6" s="3" t="n">
        <v>3</v>
      </c>
      <c r="B6" s="4" t="n">
        <f aca="false">COGS_OPEX!B6</f>
        <v>18000000</v>
      </c>
      <c r="C6" s="4" t="n">
        <f aca="false">COGS_OPEX!D6</f>
        <v>3240000</v>
      </c>
      <c r="D6" s="4" t="n">
        <f aca="false">$M$2</f>
        <v>1853077.06666667</v>
      </c>
      <c r="E6" s="4" t="n">
        <f aca="false">C6-D6</f>
        <v>1386922.93333333</v>
      </c>
      <c r="F6" s="4" t="n">
        <f aca="false">MAX(0,E6*Sources_Assumptions!C20)</f>
        <v>124823.064</v>
      </c>
      <c r="G6" s="4" t="n">
        <f aca="false">Working_Capital!J6</f>
        <v>901931.506849315</v>
      </c>
      <c r="H6" s="4" t="n">
        <f aca="false">C6-F6-G6+D6</f>
        <v>4066322.49581735</v>
      </c>
      <c r="I6" s="12" t="n">
        <f aca="false">Sources_Assumptions!C11</f>
        <v>3.07</v>
      </c>
      <c r="J6" s="12" t="n">
        <f aca="false">Sources_Assumptions!C12</f>
        <v>1.68</v>
      </c>
    </row>
    <row r="7" customFormat="false" ht="15" hidden="false" customHeight="false" outlineLevel="0" collapsed="false">
      <c r="A7" s="3" t="n">
        <v>4</v>
      </c>
      <c r="B7" s="4" t="n">
        <f aca="false">COGS_OPEX!B7</f>
        <v>23000000</v>
      </c>
      <c r="C7" s="4" t="n">
        <f aca="false">COGS_OPEX!D7</f>
        <v>4600000</v>
      </c>
      <c r="D7" s="4" t="n">
        <f aca="false">$M$2</f>
        <v>1853077.06666667</v>
      </c>
      <c r="E7" s="4" t="n">
        <f aca="false">C7-D7</f>
        <v>2746922.93333333</v>
      </c>
      <c r="F7" s="4" t="n">
        <f aca="false">MAX(0,E7*Sources_Assumptions!C20)</f>
        <v>247223.064</v>
      </c>
      <c r="G7" s="4" t="n">
        <f aca="false">Working_Capital!J7</f>
        <v>897410.958904109</v>
      </c>
      <c r="H7" s="4" t="n">
        <f aca="false">C7-F7-G7+D7</f>
        <v>5308443.04376256</v>
      </c>
      <c r="I7" s="12" t="n">
        <f aca="false">Sources_Assumptions!C11</f>
        <v>3.07</v>
      </c>
      <c r="J7" s="12" t="n">
        <f aca="false">Sources_Assumptions!C12</f>
        <v>1.68</v>
      </c>
    </row>
    <row r="8" customFormat="false" ht="15" hidden="false" customHeight="false" outlineLevel="0" collapsed="false">
      <c r="A8" s="3" t="n">
        <v>5</v>
      </c>
      <c r="B8" s="4" t="n">
        <f aca="false">COGS_OPEX!B8</f>
        <v>28000000</v>
      </c>
      <c r="C8" s="4" t="n">
        <f aca="false">COGS_OPEX!D8</f>
        <v>6160000</v>
      </c>
      <c r="D8" s="4" t="n">
        <f aca="false">$M$2</f>
        <v>1853077.06666667</v>
      </c>
      <c r="E8" s="4" t="n">
        <f aca="false">C8-D8</f>
        <v>4306922.93333333</v>
      </c>
      <c r="F8" s="4" t="n">
        <f aca="false">MAX(0,E8*Sources_Assumptions!C20)</f>
        <v>387623.064</v>
      </c>
      <c r="G8" s="4" t="n">
        <f aca="false">Working_Capital!J8</f>
        <v>890630.136986302</v>
      </c>
      <c r="H8" s="4" t="n">
        <f aca="false">C8-F8-G8+D8</f>
        <v>6734823.86568037</v>
      </c>
      <c r="I8" s="12" t="n">
        <f aca="false">Sources_Assumptions!C11</f>
        <v>3.07</v>
      </c>
      <c r="J8" s="12" t="n">
        <f aca="false">Sources_Assumptions!C12</f>
        <v>1.68</v>
      </c>
    </row>
    <row r="9" customFormat="false" ht="15" hidden="false" customHeight="false" outlineLevel="0" collapsed="false">
      <c r="A9" s="3" t="n">
        <v>6</v>
      </c>
      <c r="B9" s="4" t="n">
        <f aca="false">COGS_OPEX!B9</f>
        <v>28560000</v>
      </c>
      <c r="C9" s="4" t="n">
        <f aca="false">COGS_OPEX!D9</f>
        <v>6283200</v>
      </c>
      <c r="D9" s="4" t="n">
        <f aca="false">$M$2</f>
        <v>1853077.06666667</v>
      </c>
      <c r="E9" s="4" t="n">
        <f aca="false">C9-D9</f>
        <v>4430122.93333333</v>
      </c>
      <c r="F9" s="4" t="n">
        <f aca="false">MAX(0,E9*Sources_Assumptions!C20)</f>
        <v>398711.064</v>
      </c>
      <c r="G9" s="4" t="n">
        <f aca="false">Working_Capital!J9</f>
        <v>100797.534246575</v>
      </c>
      <c r="H9" s="4" t="n">
        <f aca="false">C9-F9-G9+D9</f>
        <v>7636768.46842009</v>
      </c>
      <c r="I9" s="12" t="n">
        <f aca="false">Sources_Assumptions!C11</f>
        <v>3.07</v>
      </c>
      <c r="J9" s="12" t="n">
        <f aca="false">Sources_Assumptions!C12</f>
        <v>1.68</v>
      </c>
    </row>
    <row r="10" customFormat="false" ht="15" hidden="false" customHeight="false" outlineLevel="0" collapsed="false">
      <c r="A10" s="3" t="n">
        <v>7</v>
      </c>
      <c r="B10" s="4" t="n">
        <f aca="false">COGS_OPEX!B10</f>
        <v>29131200</v>
      </c>
      <c r="C10" s="4" t="n">
        <f aca="false">COGS_OPEX!D10</f>
        <v>6408864</v>
      </c>
      <c r="D10" s="4" t="n">
        <f aca="false">$M$2</f>
        <v>1853077.06666667</v>
      </c>
      <c r="E10" s="4" t="n">
        <f aca="false">C10-D10</f>
        <v>4555786.93333333</v>
      </c>
      <c r="F10" s="4" t="n">
        <f aca="false">MAX(0,E10*Sources_Assumptions!C20)</f>
        <v>410020.824</v>
      </c>
      <c r="G10" s="4" t="n">
        <f aca="false">Working_Capital!J10</f>
        <v>102813.484931506</v>
      </c>
      <c r="H10" s="4" t="n">
        <f aca="false">C10-F10-G10+D10</f>
        <v>7749106.75773516</v>
      </c>
      <c r="I10" s="12" t="n">
        <f aca="false">Sources_Assumptions!C11</f>
        <v>3.07</v>
      </c>
      <c r="J10" s="12" t="n">
        <f aca="false">Sources_Assumptions!C12</f>
        <v>1.68</v>
      </c>
    </row>
    <row r="11" customFormat="false" ht="15" hidden="false" customHeight="false" outlineLevel="0" collapsed="false">
      <c r="A11" s="3" t="n">
        <v>8</v>
      </c>
      <c r="B11" s="4" t="n">
        <f aca="false">COGS_OPEX!B11</f>
        <v>29713824</v>
      </c>
      <c r="C11" s="4" t="n">
        <f aca="false">COGS_OPEX!D11</f>
        <v>6537041.28</v>
      </c>
      <c r="D11" s="4" t="n">
        <f aca="false">$M$2</f>
        <v>1853077.06666667</v>
      </c>
      <c r="E11" s="4" t="n">
        <f aca="false">C11-D11</f>
        <v>4683964.21333333</v>
      </c>
      <c r="F11" s="4" t="n">
        <f aca="false">MAX(0,E11*Sources_Assumptions!C20)</f>
        <v>421556.7792</v>
      </c>
      <c r="G11" s="4" t="n">
        <f aca="false">Working_Capital!J11</f>
        <v>104869.754630137</v>
      </c>
      <c r="H11" s="4" t="n">
        <f aca="false">C11-F11-G11+D11</f>
        <v>7863691.81283653</v>
      </c>
      <c r="I11" s="12" t="n">
        <f aca="false">Sources_Assumptions!C11</f>
        <v>3.07</v>
      </c>
      <c r="J11" s="12" t="n">
        <f aca="false">Sources_Assumptions!C12</f>
        <v>1.68</v>
      </c>
    </row>
    <row r="12" customFormat="false" ht="15" hidden="false" customHeight="false" outlineLevel="0" collapsed="false">
      <c r="A12" s="3" t="n">
        <v>9</v>
      </c>
      <c r="B12" s="4" t="n">
        <f aca="false">COGS_OPEX!B12</f>
        <v>30308100.48</v>
      </c>
      <c r="C12" s="4" t="n">
        <f aca="false">COGS_OPEX!D12</f>
        <v>6667782.1056</v>
      </c>
      <c r="D12" s="4" t="n">
        <f aca="false">$M$2</f>
        <v>1853077.06666667</v>
      </c>
      <c r="E12" s="4" t="n">
        <f aca="false">C12-D12</f>
        <v>4814705.03893333</v>
      </c>
      <c r="F12" s="4" t="n">
        <f aca="false">MAX(0,E12*Sources_Assumptions!C20)</f>
        <v>433323.453504</v>
      </c>
      <c r="G12" s="4" t="n">
        <f aca="false">Working_Capital!J12</f>
        <v>106967.14972274</v>
      </c>
      <c r="H12" s="4" t="n">
        <f aca="false">C12-F12-G12+D12</f>
        <v>7980568.56903993</v>
      </c>
      <c r="I12" s="12" t="n">
        <f aca="false">Sources_Assumptions!C11</f>
        <v>3.07</v>
      </c>
      <c r="J12" s="12" t="n">
        <f aca="false">Sources_Assumptions!C12</f>
        <v>1.68</v>
      </c>
    </row>
    <row r="13" customFormat="false" ht="15" hidden="false" customHeight="false" outlineLevel="0" collapsed="false">
      <c r="A13" s="3" t="n">
        <v>10</v>
      </c>
      <c r="B13" s="4" t="n">
        <f aca="false">COGS_OPEX!B13</f>
        <v>30914262.4896</v>
      </c>
      <c r="C13" s="4" t="n">
        <f aca="false">COGS_OPEX!D13</f>
        <v>6801137.747712</v>
      </c>
      <c r="D13" s="4" t="n">
        <f aca="false">$M$2</f>
        <v>1853077.06666667</v>
      </c>
      <c r="E13" s="4" t="n">
        <f aca="false">C13-D13</f>
        <v>4948060.68104533</v>
      </c>
      <c r="F13" s="4" t="n">
        <f aca="false">MAX(0,E13*Sources_Assumptions!C20)</f>
        <v>445325.46129408</v>
      </c>
      <c r="G13" s="4" t="n">
        <f aca="false">Working_Capital!J13</f>
        <v>109106.492717195</v>
      </c>
      <c r="H13" s="4" t="n">
        <f aca="false">C13-F13-G13+D13</f>
        <v>8099782.86036739</v>
      </c>
      <c r="I13" s="12" t="n">
        <f aca="false">Sources_Assumptions!C11</f>
        <v>3.07</v>
      </c>
      <c r="J13" s="12" t="n">
        <f aca="false">Sources_Assumptions!C12</f>
        <v>1.68</v>
      </c>
    </row>
    <row r="14" customFormat="false" ht="15" hidden="false" customHeight="false" outlineLevel="0" collapsed="false">
      <c r="A14" s="3" t="n">
        <v>11</v>
      </c>
      <c r="B14" s="4" t="n">
        <f aca="false">COGS_OPEX!B14</f>
        <v>31532547.739392</v>
      </c>
      <c r="C14" s="4" t="n">
        <f aca="false">COGS_OPEX!D14</f>
        <v>6937160.50266624</v>
      </c>
      <c r="D14" s="4" t="n">
        <f aca="false">$M$2</f>
        <v>1853077.06666667</v>
      </c>
      <c r="E14" s="4" t="n">
        <f aca="false">C14-D14</f>
        <v>5084083.43599958</v>
      </c>
      <c r="F14" s="4" t="n">
        <f aca="false">MAX(0,E14*Sources_Assumptions!C20)</f>
        <v>457567.509239962</v>
      </c>
      <c r="G14" s="4" t="n">
        <f aca="false">Working_Capital!J14</f>
        <v>111288.622571539</v>
      </c>
      <c r="H14" s="4" t="n">
        <f aca="false">C14-F14-G14+D14</f>
        <v>8221381.43752141</v>
      </c>
      <c r="I14" s="12" t="n">
        <f aca="false">Sources_Assumptions!C11</f>
        <v>3.07</v>
      </c>
      <c r="J14" s="12" t="n">
        <f aca="false">Sources_Assumptions!C12</f>
        <v>1.68</v>
      </c>
    </row>
    <row r="15" customFormat="false" ht="15" hidden="false" customHeight="false" outlineLevel="0" collapsed="false">
      <c r="A15" s="3" t="n">
        <v>12</v>
      </c>
      <c r="B15" s="4" t="n">
        <f aca="false">COGS_OPEX!B15</f>
        <v>32163198</v>
      </c>
      <c r="C15" s="4" t="n">
        <f aca="false">COGS_OPEX!D15</f>
        <v>7075903.56</v>
      </c>
      <c r="D15" s="4" t="n">
        <f aca="false">$M$2</f>
        <v>1853077.06666667</v>
      </c>
      <c r="E15" s="4" t="n">
        <f aca="false">C15-D15</f>
        <v>5222826.49333333</v>
      </c>
      <c r="F15" s="4" t="n">
        <f aca="false">MAX(0,E15*Sources_Assumptions!C20)</f>
        <v>470054.3844</v>
      </c>
      <c r="G15" s="4" t="n">
        <f aca="false">Working_Capital!J15</f>
        <v>113514.268672727</v>
      </c>
      <c r="H15" s="4" t="n">
        <f aca="false">C15-F15-G15+D15</f>
        <v>8345411.97359394</v>
      </c>
      <c r="I15" s="12" t="n">
        <f aca="false">Sources_Assumptions!C11</f>
        <v>3.07</v>
      </c>
      <c r="J15" s="12" t="n">
        <f aca="false">Sources_Assumptions!C12</f>
        <v>1.68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7"/>
    <col collapsed="false" customWidth="true" hidden="false" outlineLevel="0" max="4" min="4" style="0" width="22"/>
    <col collapsed="false" customWidth="true" hidden="false" outlineLevel="0" max="5" min="5" style="0" width="27"/>
    <col collapsed="false" customWidth="true" hidden="false" outlineLevel="0" max="6" min="6" style="0" width="17"/>
    <col collapsed="false" customWidth="true" hidden="false" outlineLevel="0" max="7" min="7" style="0" width="25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0" t="s">
        <v>123</v>
      </c>
    </row>
    <row r="3" customFormat="false" ht="15" hidden="false" customHeight="false" outlineLevel="0" collapsed="false">
      <c r="A3" s="2" t="s">
        <v>46</v>
      </c>
      <c r="B3" s="2" t="s">
        <v>116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129</v>
      </c>
    </row>
    <row r="4" customFormat="false" ht="15" hidden="false" customHeight="false" outlineLevel="0" collapsed="false">
      <c r="A4" s="3" t="n">
        <v>1</v>
      </c>
      <c r="B4" s="4" t="n">
        <f aca="false">CFADS!H4</f>
        <v>1366008.57351598</v>
      </c>
      <c r="C4" s="12" t="n">
        <f aca="false">Sources_Assumptions!C24</f>
        <v>1.5</v>
      </c>
      <c r="D4" s="4" t="n">
        <f aca="false">IFERROR(B4/C4,0)</f>
        <v>910672.382343988</v>
      </c>
      <c r="E4" s="5" t="n">
        <f aca="false">Sources_Assumptions!C28</f>
        <v>0.08</v>
      </c>
      <c r="F4" s="3" t="n">
        <f aca="false">1/(1+E4)^A4</f>
        <v>0.925925925925926</v>
      </c>
      <c r="G4" s="4" t="n">
        <f aca="false">D4*F4</f>
        <v>843215.168837026</v>
      </c>
      <c r="H4" s="16" t="n">
        <f aca="false">SUM(G4:G15)</f>
        <v>29150219.4160237</v>
      </c>
    </row>
    <row r="5" customFormat="false" ht="15" hidden="false" customHeight="false" outlineLevel="0" collapsed="false">
      <c r="A5" s="3" t="n">
        <v>2</v>
      </c>
      <c r="B5" s="4" t="n">
        <f aca="false">CFADS!H5</f>
        <v>3009818.38622831</v>
      </c>
      <c r="C5" s="12" t="n">
        <f aca="false">Sources_Assumptions!C24</f>
        <v>1.5</v>
      </c>
      <c r="D5" s="4" t="n">
        <f aca="false">IFERROR(B5/C5,0)</f>
        <v>2006545.59081887</v>
      </c>
      <c r="E5" s="5" t="n">
        <f aca="false">Sources_Assumptions!C28</f>
        <v>0.08</v>
      </c>
      <c r="F5" s="3" t="n">
        <f aca="false">1/(1+E5)^A5</f>
        <v>0.857338820301783</v>
      </c>
      <c r="G5" s="4" t="n">
        <f aca="false">D5*F5</f>
        <v>1720289.4297144</v>
      </c>
    </row>
    <row r="6" customFormat="false" ht="15" hidden="false" customHeight="false" outlineLevel="0" collapsed="false">
      <c r="A6" s="3" t="n">
        <v>3</v>
      </c>
      <c r="B6" s="4" t="n">
        <f aca="false">CFADS!H6</f>
        <v>4066322.49581735</v>
      </c>
      <c r="C6" s="12" t="n">
        <f aca="false">Sources_Assumptions!C24</f>
        <v>1.5</v>
      </c>
      <c r="D6" s="4" t="n">
        <f aca="false">IFERROR(B6/C6,0)</f>
        <v>2710881.66387823</v>
      </c>
      <c r="E6" s="5" t="n">
        <f aca="false">Sources_Assumptions!C28</f>
        <v>0.08</v>
      </c>
      <c r="F6" s="3" t="n">
        <f aca="false">1/(1+E6)^A6</f>
        <v>0.79383224102017</v>
      </c>
      <c r="G6" s="4" t="n">
        <f aca="false">D6*F6</f>
        <v>2151985.26637695</v>
      </c>
      <c r="H6" s="3" t="s">
        <v>130</v>
      </c>
    </row>
    <row r="7" customFormat="false" ht="15" hidden="false" customHeight="false" outlineLevel="0" collapsed="false">
      <c r="A7" s="3" t="n">
        <v>4</v>
      </c>
      <c r="B7" s="4" t="n">
        <f aca="false">CFADS!H7</f>
        <v>5308443.04376256</v>
      </c>
      <c r="C7" s="12" t="n">
        <f aca="false">Sources_Assumptions!C24</f>
        <v>1.5</v>
      </c>
      <c r="D7" s="4" t="n">
        <f aca="false">IFERROR(B7/C7,0)</f>
        <v>3538962.02917504</v>
      </c>
      <c r="E7" s="5" t="n">
        <f aca="false">Sources_Assumptions!C28</f>
        <v>0.08</v>
      </c>
      <c r="F7" s="3" t="n">
        <f aca="false">1/(1+E7)^A7</f>
        <v>0.735029852796453</v>
      </c>
      <c r="G7" s="4" t="n">
        <f aca="false">D7*F7</f>
        <v>2601242.73935677</v>
      </c>
      <c r="H7" s="4" t="n">
        <f aca="false">Sources_Assumptions!C8</f>
        <v>16677694</v>
      </c>
    </row>
    <row r="8" customFormat="false" ht="15" hidden="false" customHeight="false" outlineLevel="0" collapsed="false">
      <c r="A8" s="3" t="n">
        <v>5</v>
      </c>
      <c r="B8" s="4" t="n">
        <f aca="false">CFADS!H8</f>
        <v>6734823.86568037</v>
      </c>
      <c r="C8" s="12" t="n">
        <f aca="false">Sources_Assumptions!C24</f>
        <v>1.5</v>
      </c>
      <c r="D8" s="4" t="n">
        <f aca="false">IFERROR(B8/C8,0)</f>
        <v>4489882.57712024</v>
      </c>
      <c r="E8" s="5" t="n">
        <f aca="false">Sources_Assumptions!C28</f>
        <v>0.08</v>
      </c>
      <c r="F8" s="3" t="n">
        <f aca="false">1/(1+E8)^A8</f>
        <v>0.680583197033753</v>
      </c>
      <c r="G8" s="4" t="n">
        <f aca="false">D8*F8</f>
        <v>3055738.63864264</v>
      </c>
      <c r="H8" s="3" t="s">
        <v>25</v>
      </c>
    </row>
    <row r="9" customFormat="false" ht="15" hidden="false" customHeight="false" outlineLevel="0" collapsed="false">
      <c r="A9" s="3" t="n">
        <v>6</v>
      </c>
      <c r="B9" s="4" t="n">
        <f aca="false">CFADS!H9</f>
        <v>7636768.46842009</v>
      </c>
      <c r="C9" s="12" t="n">
        <f aca="false">Sources_Assumptions!C24</f>
        <v>1.5</v>
      </c>
      <c r="D9" s="4" t="n">
        <f aca="false">IFERROR(B9/C9,0)</f>
        <v>5091178.97894673</v>
      </c>
      <c r="E9" s="5" t="n">
        <f aca="false">Sources_Assumptions!C28</f>
        <v>0.08</v>
      </c>
      <c r="F9" s="3" t="n">
        <f aca="false">1/(1+E9)^A9</f>
        <v>0.630169626883105</v>
      </c>
      <c r="G9" s="4" t="n">
        <f aca="false">D9*F9</f>
        <v>3208306.35755796</v>
      </c>
      <c r="H9" s="4" t="n">
        <f aca="false">H4-H7</f>
        <v>12472525.4160237</v>
      </c>
    </row>
    <row r="10" customFormat="false" ht="15" hidden="false" customHeight="false" outlineLevel="0" collapsed="false">
      <c r="A10" s="3" t="n">
        <v>7</v>
      </c>
      <c r="B10" s="4" t="n">
        <f aca="false">CFADS!H10</f>
        <v>7749106.75773516</v>
      </c>
      <c r="C10" s="12" t="n">
        <f aca="false">Sources_Assumptions!C24</f>
        <v>1.5</v>
      </c>
      <c r="D10" s="4" t="n">
        <f aca="false">IFERROR(B10/C10,0)</f>
        <v>5166071.17182344</v>
      </c>
      <c r="E10" s="5" t="n">
        <f aca="false">Sources_Assumptions!C28</f>
        <v>0.08</v>
      </c>
      <c r="F10" s="3" t="n">
        <f aca="false">1/(1+E10)^A10</f>
        <v>0.583490395262134</v>
      </c>
      <c r="G10" s="4" t="n">
        <f aca="false">D10*F10</f>
        <v>3014352.90999957</v>
      </c>
    </row>
    <row r="11" customFormat="false" ht="15" hidden="false" customHeight="false" outlineLevel="0" collapsed="false">
      <c r="A11" s="3" t="n">
        <v>8</v>
      </c>
      <c r="B11" s="4" t="n">
        <f aca="false">CFADS!H11</f>
        <v>7863691.81283653</v>
      </c>
      <c r="C11" s="12" t="n">
        <f aca="false">Sources_Assumptions!C24</f>
        <v>1.5</v>
      </c>
      <c r="D11" s="4" t="n">
        <f aca="false">IFERROR(B11/C11,0)</f>
        <v>5242461.20855769</v>
      </c>
      <c r="E11" s="5" t="n">
        <f aca="false">Sources_Assumptions!C28</f>
        <v>0.08</v>
      </c>
      <c r="F11" s="3" t="n">
        <f aca="false">1/(1+E11)^A11</f>
        <v>0.540268884501976</v>
      </c>
      <c r="G11" s="4" t="n">
        <f aca="false">D11*F11</f>
        <v>2832338.66919234</v>
      </c>
    </row>
    <row r="12" customFormat="false" ht="15" hidden="false" customHeight="false" outlineLevel="0" collapsed="false">
      <c r="A12" s="3" t="n">
        <v>9</v>
      </c>
      <c r="B12" s="4" t="n">
        <f aca="false">CFADS!H12</f>
        <v>7980568.56903993</v>
      </c>
      <c r="C12" s="12" t="n">
        <f aca="false">Sources_Assumptions!C24</f>
        <v>1.5</v>
      </c>
      <c r="D12" s="4" t="n">
        <f aca="false">IFERROR(B12/C12,0)</f>
        <v>5320379.04602662</v>
      </c>
      <c r="E12" s="5" t="n">
        <f aca="false">Sources_Assumptions!C28</f>
        <v>0.08</v>
      </c>
      <c r="F12" s="3" t="n">
        <f aca="false">1/(1+E12)^A12</f>
        <v>0.500248967131459</v>
      </c>
      <c r="G12" s="4" t="n">
        <f aca="false">D12*F12</f>
        <v>2661514.12252267</v>
      </c>
    </row>
    <row r="13" customFormat="false" ht="15" hidden="false" customHeight="false" outlineLevel="0" collapsed="false">
      <c r="A13" s="3" t="n">
        <v>10</v>
      </c>
      <c r="B13" s="4" t="n">
        <f aca="false">CFADS!H13</f>
        <v>8099782.86036739</v>
      </c>
      <c r="C13" s="12" t="n">
        <f aca="false">Sources_Assumptions!C24</f>
        <v>1.5</v>
      </c>
      <c r="D13" s="4" t="n">
        <f aca="false">IFERROR(B13/C13,0)</f>
        <v>5399855.24024493</v>
      </c>
      <c r="E13" s="5" t="n">
        <f aca="false">Sources_Assumptions!C28</f>
        <v>0.08</v>
      </c>
      <c r="F13" s="3" t="n">
        <f aca="false">1/(1+E13)^A13</f>
        <v>0.463193488084684</v>
      </c>
      <c r="G13" s="4" t="n">
        <f aca="false">D13*F13</f>
        <v>2501177.78388141</v>
      </c>
    </row>
    <row r="14" customFormat="false" ht="15" hidden="false" customHeight="false" outlineLevel="0" collapsed="false">
      <c r="A14" s="3" t="n">
        <v>11</v>
      </c>
      <c r="B14" s="4" t="n">
        <f aca="false">CFADS!H14</f>
        <v>8221381.43752141</v>
      </c>
      <c r="C14" s="12" t="n">
        <f aca="false">Sources_Assumptions!C24</f>
        <v>1.5</v>
      </c>
      <c r="D14" s="4" t="n">
        <f aca="false">IFERROR(B14/C14,0)</f>
        <v>5480920.95834761</v>
      </c>
      <c r="E14" s="5" t="n">
        <f aca="false">Sources_Assumptions!C28</f>
        <v>0.08</v>
      </c>
      <c r="F14" s="3" t="n">
        <f aca="false">1/(1+E14)^A14</f>
        <v>0.428882859337671</v>
      </c>
      <c r="G14" s="4" t="n">
        <f aca="false">D14*F14</f>
        <v>2350673.05241989</v>
      </c>
    </row>
    <row r="15" customFormat="false" ht="15" hidden="false" customHeight="false" outlineLevel="0" collapsed="false">
      <c r="A15" s="3" t="n">
        <v>12</v>
      </c>
      <c r="B15" s="4" t="n">
        <f aca="false">CFADS!H15</f>
        <v>8345411.97359394</v>
      </c>
      <c r="C15" s="12" t="n">
        <f aca="false">Sources_Assumptions!C24</f>
        <v>1.5</v>
      </c>
      <c r="D15" s="4" t="n">
        <f aca="false">IFERROR(B15/C15,0)</f>
        <v>5563607.98239596</v>
      </c>
      <c r="E15" s="5" t="n">
        <f aca="false">Sources_Assumptions!C28</f>
        <v>0.08</v>
      </c>
      <c r="F15" s="3" t="n">
        <f aca="false">1/(1+E15)^A15</f>
        <v>0.397113758645991</v>
      </c>
      <c r="G15" s="4" t="n">
        <f aca="false">D15*F15</f>
        <v>2209385.2775221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27"/>
    <col collapsed="false" customWidth="true" hidden="false" outlineLevel="0" max="4" min="4" style="0" width="11"/>
    <col collapsed="false" customWidth="true" hidden="false" outlineLevel="0" max="5" min="5" style="0" width="42"/>
    <col collapsed="false" customWidth="true" hidden="false" outlineLevel="0" max="7" min="6" style="0" width="18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29"/>
  </cols>
  <sheetData>
    <row r="1" customFormat="false" ht="17.35" hidden="false" customHeight="false" outlineLevel="0" collapsed="false">
      <c r="A1" s="10" t="s">
        <v>131</v>
      </c>
    </row>
    <row r="3" customFormat="false" ht="15" hidden="false" customHeight="false" outlineLevel="0" collapsed="false">
      <c r="A3" s="2" t="s">
        <v>46</v>
      </c>
      <c r="B3" s="2" t="s">
        <v>132</v>
      </c>
      <c r="C3" s="2" t="s">
        <v>133</v>
      </c>
      <c r="D3" s="2" t="s">
        <v>134</v>
      </c>
      <c r="E3" s="2" t="s">
        <v>135</v>
      </c>
      <c r="F3" s="2" t="s">
        <v>136</v>
      </c>
      <c r="G3" s="2" t="s">
        <v>137</v>
      </c>
      <c r="H3" s="2" t="s">
        <v>116</v>
      </c>
      <c r="I3" s="2" t="s">
        <v>138</v>
      </c>
      <c r="J3" s="2" t="s">
        <v>139</v>
      </c>
    </row>
    <row r="4" customFormat="false" ht="15" hidden="false" customHeight="false" outlineLevel="0" collapsed="false">
      <c r="A4" s="3" t="n">
        <v>1</v>
      </c>
      <c r="B4" s="4" t="n">
        <f aca="false">Sources_Assumptions!C8+Sources_Assumptions!C10</f>
        <v>17709273</v>
      </c>
      <c r="C4" s="5" t="n">
        <f aca="false">Sources_Assumptions!C21</f>
        <v>0.065</v>
      </c>
      <c r="D4" s="4" t="n">
        <f aca="false">B4*C4</f>
        <v>1151102.745</v>
      </c>
      <c r="E4" s="4" t="n">
        <f aca="false">IF(A4&gt;Sources_Assumptions!C22,0,IF(A4&lt;=Sources_Assumptions!C23,D4,MIN(Debt_Sizing!D4,B4+D4)))</f>
        <v>1151102.745</v>
      </c>
      <c r="F4" s="4" t="n">
        <f aca="false">MAX(0,E4-D4)</f>
        <v>0</v>
      </c>
      <c r="G4" s="4" t="n">
        <f aca="false">MAX(0,B4-F4)</f>
        <v>17709273</v>
      </c>
      <c r="H4" s="4" t="n">
        <f aca="false">CFADS!H4</f>
        <v>1366008.57351598</v>
      </c>
      <c r="I4" s="12" t="n">
        <f aca="false">IF(E4=0,"",H4/E4)</f>
        <v>1.18669560944882</v>
      </c>
      <c r="J4" s="3" t="s">
        <v>140</v>
      </c>
    </row>
    <row r="5" customFormat="false" ht="15" hidden="false" customHeight="false" outlineLevel="0" collapsed="false">
      <c r="A5" s="3" t="n">
        <v>2</v>
      </c>
      <c r="B5" s="4" t="n">
        <f aca="false">G4</f>
        <v>17709273</v>
      </c>
      <c r="C5" s="5" t="n">
        <f aca="false">Sources_Assumptions!C21</f>
        <v>0.065</v>
      </c>
      <c r="D5" s="4" t="n">
        <f aca="false">B5*C5</f>
        <v>1151102.745</v>
      </c>
      <c r="E5" s="4" t="n">
        <f aca="false">IF(A5&gt;Sources_Assumptions!C22,0,IF(A5&lt;=Sources_Assumptions!C23,D5,MIN(Debt_Sizing!D5,B5+D5)))</f>
        <v>2006545.59081887</v>
      </c>
      <c r="F5" s="4" t="n">
        <f aca="false">MAX(0,E5-D5)</f>
        <v>855442.845818874</v>
      </c>
      <c r="G5" s="4" t="n">
        <f aca="false">MAX(0,B5-F5)</f>
        <v>16853830.1541811</v>
      </c>
      <c r="H5" s="4" t="n">
        <f aca="false">CFADS!H5</f>
        <v>3009818.38622831</v>
      </c>
      <c r="I5" s="12" t="n">
        <f aca="false">IF(E5=0,"",H5/E5)</f>
        <v>1.5</v>
      </c>
      <c r="J5" s="3" t="s">
        <v>141</v>
      </c>
    </row>
    <row r="6" customFormat="false" ht="15" hidden="false" customHeight="false" outlineLevel="0" collapsed="false">
      <c r="A6" s="3" t="n">
        <v>3</v>
      </c>
      <c r="B6" s="4" t="n">
        <f aca="false">G5</f>
        <v>16853830.1541811</v>
      </c>
      <c r="C6" s="5" t="n">
        <f aca="false">Sources_Assumptions!C21</f>
        <v>0.065</v>
      </c>
      <c r="D6" s="4" t="n">
        <f aca="false">B6*C6</f>
        <v>1095498.96002177</v>
      </c>
      <c r="E6" s="4" t="n">
        <f aca="false">IF(A6&gt;Sources_Assumptions!C22,0,IF(A6&lt;=Sources_Assumptions!C23,D6,MIN(Debt_Sizing!D6,B6+D6)))</f>
        <v>2710881.66387823</v>
      </c>
      <c r="F6" s="4" t="n">
        <f aca="false">MAX(0,E6-D6)</f>
        <v>1615382.70385646</v>
      </c>
      <c r="G6" s="4" t="n">
        <f aca="false">MAX(0,B6-F6)</f>
        <v>15238447.4503247</v>
      </c>
      <c r="H6" s="4" t="n">
        <f aca="false">CFADS!H6</f>
        <v>4066322.49581735</v>
      </c>
      <c r="I6" s="12" t="n">
        <f aca="false">IF(E6=0,"",H6/E6)</f>
        <v>1.5</v>
      </c>
      <c r="J6" s="3" t="s">
        <v>141</v>
      </c>
    </row>
    <row r="7" customFormat="false" ht="15" hidden="false" customHeight="false" outlineLevel="0" collapsed="false">
      <c r="A7" s="3" t="n">
        <v>4</v>
      </c>
      <c r="B7" s="4" t="n">
        <f aca="false">G6</f>
        <v>15238447.4503247</v>
      </c>
      <c r="C7" s="5" t="n">
        <f aca="false">Sources_Assumptions!C21</f>
        <v>0.065</v>
      </c>
      <c r="D7" s="4" t="n">
        <f aca="false">B7*C7</f>
        <v>990499.084271103</v>
      </c>
      <c r="E7" s="4" t="n">
        <f aca="false">IF(A7&gt;Sources_Assumptions!C22,0,IF(A7&lt;=Sources_Assumptions!C23,D7,MIN(Debt_Sizing!D7,B7+D7)))</f>
        <v>3538962.02917504</v>
      </c>
      <c r="F7" s="4" t="n">
        <f aca="false">MAX(0,E7-D7)</f>
        <v>2548462.94490394</v>
      </c>
      <c r="G7" s="4" t="n">
        <f aca="false">MAX(0,B7-F7)</f>
        <v>12689984.5054207</v>
      </c>
      <c r="H7" s="4" t="n">
        <f aca="false">CFADS!H7</f>
        <v>5308443.04376256</v>
      </c>
      <c r="I7" s="12" t="n">
        <f aca="false">IF(E7=0,"",H7/E7)</f>
        <v>1.5</v>
      </c>
      <c r="J7" s="3" t="s">
        <v>141</v>
      </c>
    </row>
    <row r="8" customFormat="false" ht="15" hidden="false" customHeight="false" outlineLevel="0" collapsed="false">
      <c r="A8" s="3" t="n">
        <v>5</v>
      </c>
      <c r="B8" s="4" t="n">
        <f aca="false">G7</f>
        <v>12689984.5054207</v>
      </c>
      <c r="C8" s="5" t="n">
        <f aca="false">Sources_Assumptions!C21</f>
        <v>0.065</v>
      </c>
      <c r="D8" s="4" t="n">
        <f aca="false">B8*C8</f>
        <v>824848.992852348</v>
      </c>
      <c r="E8" s="4" t="n">
        <f aca="false">IF(A8&gt;Sources_Assumptions!C22,0,IF(A8&lt;=Sources_Assumptions!C23,D8,MIN(Debt_Sizing!D8,B8+D8)))</f>
        <v>4489882.57712024</v>
      </c>
      <c r="F8" s="4" t="n">
        <f aca="false">MAX(0,E8-D8)</f>
        <v>3665033.5842679</v>
      </c>
      <c r="G8" s="4" t="n">
        <f aca="false">MAX(0,B8-F8)</f>
        <v>9024950.92115284</v>
      </c>
      <c r="H8" s="4" t="n">
        <f aca="false">CFADS!H8</f>
        <v>6734823.86568037</v>
      </c>
      <c r="I8" s="12" t="n">
        <f aca="false">IF(E8=0,"",H8/E8)</f>
        <v>1.5</v>
      </c>
      <c r="J8" s="3" t="s">
        <v>141</v>
      </c>
    </row>
    <row r="9" customFormat="false" ht="15" hidden="false" customHeight="false" outlineLevel="0" collapsed="false">
      <c r="A9" s="3" t="n">
        <v>6</v>
      </c>
      <c r="B9" s="4" t="n">
        <f aca="false">G8</f>
        <v>9024950.92115284</v>
      </c>
      <c r="C9" s="5" t="n">
        <f aca="false">Sources_Assumptions!C21</f>
        <v>0.065</v>
      </c>
      <c r="D9" s="4" t="n">
        <f aca="false">B9*C9</f>
        <v>586621.809874934</v>
      </c>
      <c r="E9" s="4" t="n">
        <f aca="false">IF(A9&gt;Sources_Assumptions!C22,0,IF(A9&lt;=Sources_Assumptions!C23,D9,MIN(Debt_Sizing!D9,B9+D9)))</f>
        <v>5091178.97894673</v>
      </c>
      <c r="F9" s="4" t="n">
        <f aca="false">MAX(0,E9-D9)</f>
        <v>4504557.16907179</v>
      </c>
      <c r="G9" s="4" t="n">
        <f aca="false">MAX(0,B9-F9)</f>
        <v>4520393.75208104</v>
      </c>
      <c r="H9" s="4" t="n">
        <f aca="false">CFADS!H9</f>
        <v>7636768.46842009</v>
      </c>
      <c r="I9" s="12" t="n">
        <f aca="false">IF(E9=0,"",H9/E9)</f>
        <v>1.5</v>
      </c>
      <c r="J9" s="3" t="s">
        <v>141</v>
      </c>
    </row>
    <row r="10" customFormat="false" ht="15" hidden="false" customHeight="false" outlineLevel="0" collapsed="false">
      <c r="A10" s="3" t="n">
        <v>7</v>
      </c>
      <c r="B10" s="4" t="n">
        <f aca="false">G9</f>
        <v>4520393.75208104</v>
      </c>
      <c r="C10" s="5" t="n">
        <f aca="false">Sources_Assumptions!C21</f>
        <v>0.065</v>
      </c>
      <c r="D10" s="4" t="n">
        <f aca="false">B10*C10</f>
        <v>293825.593885268</v>
      </c>
      <c r="E10" s="4" t="n">
        <f aca="false">IF(A10&gt;Sources_Assumptions!C22,0,IF(A10&lt;=Sources_Assumptions!C23,D10,MIN(Debt_Sizing!D10,B10+D10)))</f>
        <v>4814219.34596631</v>
      </c>
      <c r="F10" s="4" t="n">
        <f aca="false">MAX(0,E10-D10)</f>
        <v>4520393.75208104</v>
      </c>
      <c r="G10" s="4" t="n">
        <f aca="false">MAX(0,B10-F10)</f>
        <v>0</v>
      </c>
      <c r="H10" s="4" t="n">
        <f aca="false">CFADS!H10</f>
        <v>7749106.75773516</v>
      </c>
      <c r="I10" s="12" t="n">
        <f aca="false">IF(E10=0,"",H10/E10)</f>
        <v>1.60962893479872</v>
      </c>
      <c r="J10" s="3" t="s">
        <v>141</v>
      </c>
    </row>
    <row r="11" customFormat="false" ht="15" hidden="false" customHeight="false" outlineLevel="0" collapsed="false">
      <c r="A11" s="3" t="n">
        <v>8</v>
      </c>
      <c r="B11" s="4" t="n">
        <f aca="false">G10</f>
        <v>0</v>
      </c>
      <c r="C11" s="5" t="n">
        <f aca="false">Sources_Assumptions!C21</f>
        <v>0.065</v>
      </c>
      <c r="D11" s="4" t="n">
        <f aca="false">B11*C11</f>
        <v>0</v>
      </c>
      <c r="E11" s="4" t="n">
        <f aca="false">IF(A11&gt;Sources_Assumptions!C22,0,IF(A11&lt;=Sources_Assumptions!C23,D11,MIN(Debt_Sizing!D11,B11+D11)))</f>
        <v>0</v>
      </c>
      <c r="F11" s="4" t="n">
        <f aca="false">MAX(0,E11-D11)</f>
        <v>0</v>
      </c>
      <c r="G11" s="4" t="n">
        <f aca="false">MAX(0,B11-F11)</f>
        <v>0</v>
      </c>
      <c r="H11" s="4" t="n">
        <f aca="false">CFADS!H11</f>
        <v>7863691.81283653</v>
      </c>
      <c r="I11" s="12" t="str">
        <f aca="false">IF(E11=0,"",H11/E11)</f>
        <v/>
      </c>
      <c r="J11" s="3" t="s">
        <v>141</v>
      </c>
    </row>
    <row r="12" customFormat="false" ht="15" hidden="false" customHeight="false" outlineLevel="0" collapsed="false">
      <c r="A12" s="3" t="n">
        <v>9</v>
      </c>
      <c r="B12" s="4" t="n">
        <f aca="false">G11</f>
        <v>0</v>
      </c>
      <c r="C12" s="5" t="n">
        <f aca="false">Sources_Assumptions!C21</f>
        <v>0.065</v>
      </c>
      <c r="D12" s="4" t="n">
        <f aca="false">B12*C12</f>
        <v>0</v>
      </c>
      <c r="E12" s="4" t="n">
        <f aca="false">IF(A12&gt;Sources_Assumptions!C22,0,IF(A12&lt;=Sources_Assumptions!C23,D12,MIN(Debt_Sizing!D12,B12+D12)))</f>
        <v>0</v>
      </c>
      <c r="F12" s="4" t="n">
        <f aca="false">MAX(0,E12-D12)</f>
        <v>0</v>
      </c>
      <c r="G12" s="4" t="n">
        <f aca="false">MAX(0,B12-F12)</f>
        <v>0</v>
      </c>
      <c r="H12" s="4" t="n">
        <f aca="false">CFADS!H12</f>
        <v>7980568.56903993</v>
      </c>
      <c r="I12" s="12" t="str">
        <f aca="false">IF(E12=0,"",H12/E12)</f>
        <v/>
      </c>
      <c r="J12" s="3" t="s">
        <v>141</v>
      </c>
    </row>
    <row r="13" customFormat="false" ht="15" hidden="false" customHeight="false" outlineLevel="0" collapsed="false">
      <c r="A13" s="3" t="n">
        <v>10</v>
      </c>
      <c r="B13" s="4" t="n">
        <f aca="false">G12</f>
        <v>0</v>
      </c>
      <c r="C13" s="5" t="n">
        <f aca="false">Sources_Assumptions!C21</f>
        <v>0.065</v>
      </c>
      <c r="D13" s="4" t="n">
        <f aca="false">B13*C13</f>
        <v>0</v>
      </c>
      <c r="E13" s="4" t="n">
        <f aca="false">IF(A13&gt;Sources_Assumptions!C22,0,IF(A13&lt;=Sources_Assumptions!C23,D13,MIN(Debt_Sizing!D13,B13+D13)))</f>
        <v>0</v>
      </c>
      <c r="F13" s="4" t="n">
        <f aca="false">MAX(0,E13-D13)</f>
        <v>0</v>
      </c>
      <c r="G13" s="4" t="n">
        <f aca="false">MAX(0,B13-F13)</f>
        <v>0</v>
      </c>
      <c r="H13" s="4" t="n">
        <f aca="false">CFADS!H13</f>
        <v>8099782.86036739</v>
      </c>
      <c r="I13" s="12" t="str">
        <f aca="false">IF(E13=0,"",H13/E13)</f>
        <v/>
      </c>
      <c r="J13" s="3" t="s">
        <v>141</v>
      </c>
    </row>
    <row r="14" customFormat="false" ht="15" hidden="false" customHeight="false" outlineLevel="0" collapsed="false">
      <c r="A14" s="3" t="n">
        <v>11</v>
      </c>
      <c r="B14" s="4" t="n">
        <f aca="false">G13</f>
        <v>0</v>
      </c>
      <c r="C14" s="5" t="n">
        <f aca="false">Sources_Assumptions!C21</f>
        <v>0.065</v>
      </c>
      <c r="D14" s="4" t="n">
        <f aca="false">B14*C14</f>
        <v>0</v>
      </c>
      <c r="E14" s="4" t="n">
        <f aca="false">IF(A14&gt;Sources_Assumptions!C22,0,IF(A14&lt;=Sources_Assumptions!C23,D14,MIN(Debt_Sizing!D14,B14+D14)))</f>
        <v>0</v>
      </c>
      <c r="F14" s="4" t="n">
        <f aca="false">MAX(0,E14-D14)</f>
        <v>0</v>
      </c>
      <c r="G14" s="4" t="n">
        <f aca="false">MAX(0,B14-F14)</f>
        <v>0</v>
      </c>
      <c r="H14" s="4" t="n">
        <f aca="false">CFADS!H14</f>
        <v>8221381.43752141</v>
      </c>
      <c r="I14" s="12" t="str">
        <f aca="false">IF(E14=0,"",H14/E14)</f>
        <v/>
      </c>
      <c r="J14" s="3" t="s">
        <v>141</v>
      </c>
    </row>
    <row r="15" customFormat="false" ht="15" hidden="false" customHeight="false" outlineLevel="0" collapsed="false">
      <c r="A15" s="3" t="n">
        <v>12</v>
      </c>
      <c r="B15" s="4" t="n">
        <f aca="false">G14</f>
        <v>0</v>
      </c>
      <c r="C15" s="5" t="n">
        <f aca="false">Sources_Assumptions!C21</f>
        <v>0.065</v>
      </c>
      <c r="D15" s="4" t="n">
        <f aca="false">B15*C15</f>
        <v>0</v>
      </c>
      <c r="E15" s="4" t="n">
        <f aca="false">IF(A15&gt;Sources_Assumptions!C22,0,IF(A15&lt;=Sources_Assumptions!C23,D15,MIN(Debt_Sizing!D15,B15+D15)))</f>
        <v>0</v>
      </c>
      <c r="F15" s="4" t="n">
        <f aca="false">MAX(0,E15-D15)</f>
        <v>0</v>
      </c>
      <c r="G15" s="4" t="n">
        <f aca="false">MAX(0,B15-F15)</f>
        <v>0</v>
      </c>
      <c r="H15" s="4" t="n">
        <f aca="false">CFADS!H15</f>
        <v>8345411.97359394</v>
      </c>
      <c r="I15" s="12" t="str">
        <f aca="false">IF(E15=0,"",H15/E15)</f>
        <v/>
      </c>
      <c r="J15" s="3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1"/>
    <col collapsed="false" customWidth="true" hidden="false" outlineLevel="0" max="4" min="3" style="0" width="42"/>
    <col collapsed="false" customWidth="true" hidden="false" outlineLevel="0" max="5" min="5" style="0" width="21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9" min="8" style="0" width="42"/>
    <col collapsed="false" customWidth="true" hidden="false" outlineLevel="0" max="10" min="10" style="0" width="22"/>
    <col collapsed="false" customWidth="true" hidden="false" outlineLevel="0" max="11" min="11" style="0" width="42"/>
  </cols>
  <sheetData>
    <row r="1" customFormat="false" ht="17.35" hidden="false" customHeight="false" outlineLevel="0" collapsed="false">
      <c r="A1" s="10" t="s">
        <v>142</v>
      </c>
    </row>
    <row r="3" customFormat="false" ht="15" hidden="false" customHeight="false" outlineLevel="0" collapsed="false">
      <c r="A3" s="2" t="s">
        <v>46</v>
      </c>
      <c r="B3" s="2" t="s">
        <v>138</v>
      </c>
      <c r="C3" s="2" t="s">
        <v>143</v>
      </c>
      <c r="D3" s="2" t="s">
        <v>144</v>
      </c>
      <c r="E3" s="2" t="s">
        <v>132</v>
      </c>
      <c r="F3" s="2" t="s">
        <v>100</v>
      </c>
      <c r="G3" s="2" t="s">
        <v>145</v>
      </c>
      <c r="H3" s="2" t="s">
        <v>146</v>
      </c>
      <c r="I3" s="2" t="s">
        <v>147</v>
      </c>
      <c r="J3" s="2" t="s">
        <v>148</v>
      </c>
      <c r="K3" s="2" t="s">
        <v>149</v>
      </c>
    </row>
    <row r="4" customFormat="false" ht="15" hidden="false" customHeight="false" outlineLevel="0" collapsed="false">
      <c r="A4" s="3" t="n">
        <v>1</v>
      </c>
      <c r="B4" s="12" t="n">
        <f aca="false">Debt_Schedule!I4</f>
        <v>1.18669560944882</v>
      </c>
      <c r="C4" s="3" t="str">
        <f aca="false">IF(B4="","",IF(B4&gt;=Sources_Assumptions!C24,"OK","BREACH"))</f>
        <v>BREACH</v>
      </c>
      <c r="D4" s="3" t="str">
        <f aca="false">IF(B4="","",IF(B4&gt;=Sources_Assumptions!C25,"OK","LOCK-UP"))</f>
        <v>LOCK-UP</v>
      </c>
      <c r="E4" s="4" t="n">
        <f aca="false">Debt_Schedule!B4</f>
        <v>17709273</v>
      </c>
      <c r="F4" s="4" t="n">
        <f aca="false">CFADS!C4</f>
        <v>960000</v>
      </c>
      <c r="G4" s="12" t="n">
        <f aca="false">IFERROR(E4/F4,0)</f>
        <v>18.447159375</v>
      </c>
      <c r="H4" s="3" t="str">
        <f aca="false">IF(E4=0,"",IF(G4&lt;=Sources_Assumptions!C26,"OK","BREACH"))</f>
        <v>BREACH</v>
      </c>
      <c r="I4" s="4" t="n">
        <f aca="false">NPV(Sources_Assumptions!C28,CFADS!H4:H15)</f>
        <v>43725329.1240356</v>
      </c>
      <c r="J4" s="12" t="n">
        <f aca="false">IF(E4=0,"",IFERROR(I4/E4,0))</f>
        <v>2.46906403916387</v>
      </c>
      <c r="K4" s="3" t="str">
        <f aca="false">IF(J4="","",IF(J4&gt;=Sources_Assumptions!C27,"OK","BREACH"))</f>
        <v>OK</v>
      </c>
    </row>
    <row r="5" customFormat="false" ht="15" hidden="false" customHeight="false" outlineLevel="0" collapsed="false">
      <c r="A5" s="3" t="n">
        <v>2</v>
      </c>
      <c r="B5" s="12" t="n">
        <f aca="false">Debt_Schedule!I5</f>
        <v>1.5</v>
      </c>
      <c r="C5" s="3" t="str">
        <f aca="false">IF(B5="","",IF(B5&gt;=Sources_Assumptions!C24,"OK","BREACH"))</f>
        <v>OK</v>
      </c>
      <c r="D5" s="3" t="str">
        <f aca="false">IF(B5="","",IF(B5&gt;=Sources_Assumptions!C25,"OK","LOCK-UP"))</f>
        <v>OK</v>
      </c>
      <c r="E5" s="4" t="n">
        <f aca="false">Debt_Schedule!B5</f>
        <v>17709273</v>
      </c>
      <c r="F5" s="4" t="n">
        <f aca="false">CFADS!C5</f>
        <v>2080000</v>
      </c>
      <c r="G5" s="12" t="n">
        <f aca="false">IFERROR(E5/F5,0)</f>
        <v>8.51407355769231</v>
      </c>
      <c r="H5" s="3" t="str">
        <f aca="false">IF(E5=0,"",IF(G5&lt;=Sources_Assumptions!C26,"OK","BREACH"))</f>
        <v>BREACH</v>
      </c>
      <c r="I5" s="4" t="n">
        <f aca="false">NPV(Sources_Assumptions!C28,CFADS!H5:H15)</f>
        <v>45857346.8804425</v>
      </c>
      <c r="J5" s="12" t="n">
        <f aca="false">IF(E5=0,"",IFERROR(I5/E5,0))</f>
        <v>2.5894539476828</v>
      </c>
      <c r="K5" s="3" t="str">
        <f aca="false">IF(J5="","",IF(J5&gt;=Sources_Assumptions!C27,"OK","BREACH"))</f>
        <v>OK</v>
      </c>
    </row>
    <row r="6" customFormat="false" ht="15" hidden="false" customHeight="false" outlineLevel="0" collapsed="false">
      <c r="A6" s="3" t="n">
        <v>3</v>
      </c>
      <c r="B6" s="12" t="n">
        <f aca="false">Debt_Schedule!I6</f>
        <v>1.5</v>
      </c>
      <c r="C6" s="3" t="str">
        <f aca="false">IF(B6="","",IF(B6&gt;=Sources_Assumptions!C24,"OK","BREACH"))</f>
        <v>OK</v>
      </c>
      <c r="D6" s="3" t="str">
        <f aca="false">IF(B6="","",IF(B6&gt;=Sources_Assumptions!C25,"OK","LOCK-UP"))</f>
        <v>OK</v>
      </c>
      <c r="E6" s="4" t="n">
        <f aca="false">Debt_Schedule!B6</f>
        <v>16853830.1541811</v>
      </c>
      <c r="F6" s="4" t="n">
        <f aca="false">CFADS!C6</f>
        <v>3240000</v>
      </c>
      <c r="G6" s="12" t="n">
        <f aca="false">IFERROR(E6/F6,0)</f>
        <v>5.20179943030282</v>
      </c>
      <c r="H6" s="3" t="str">
        <f aca="false">IF(E6=0,"",IF(G6&lt;=Sources_Assumptions!C26,"OK","BREACH"))</f>
        <v>BREACH</v>
      </c>
      <c r="I6" s="4" t="n">
        <f aca="false">NPV(Sources_Assumptions!C28,CFADS!H6:H15)</f>
        <v>46516116.2446495</v>
      </c>
      <c r="J6" s="12" t="n">
        <f aca="false">IF(E6=0,"",IFERROR(I6/E6,0))</f>
        <v>2.7599730043031</v>
      </c>
      <c r="K6" s="3" t="str">
        <f aca="false">IF(J6="","",IF(J6&gt;=Sources_Assumptions!C27,"OK","BREACH"))</f>
        <v>OK</v>
      </c>
    </row>
    <row r="7" customFormat="false" ht="15" hidden="false" customHeight="false" outlineLevel="0" collapsed="false">
      <c r="A7" s="3" t="n">
        <v>4</v>
      </c>
      <c r="B7" s="12" t="n">
        <f aca="false">Debt_Schedule!I7</f>
        <v>1.5</v>
      </c>
      <c r="C7" s="3" t="str">
        <f aca="false">IF(B7="","",IF(B7&gt;=Sources_Assumptions!C24,"OK","BREACH"))</f>
        <v>OK</v>
      </c>
      <c r="D7" s="3" t="str">
        <f aca="false">IF(B7="","",IF(B7&gt;=Sources_Assumptions!C25,"OK","LOCK-UP"))</f>
        <v>OK</v>
      </c>
      <c r="E7" s="4" t="n">
        <f aca="false">Debt_Schedule!B7</f>
        <v>15238447.4503247</v>
      </c>
      <c r="F7" s="4" t="n">
        <f aca="false">CFADS!C7</f>
        <v>4600000</v>
      </c>
      <c r="G7" s="12" t="n">
        <f aca="false">IFERROR(E7/F7,0)</f>
        <v>3.31270596746188</v>
      </c>
      <c r="H7" s="3" t="str">
        <f aca="false">IF(E7=0,"",IF(G7&lt;=Sources_Assumptions!C26,"OK","BREACH"))</f>
        <v>OK</v>
      </c>
      <c r="I7" s="4" t="n">
        <f aca="false">NPV(Sources_Assumptions!C28,CFADS!H7:H15)</f>
        <v>46171083.0484042</v>
      </c>
      <c r="J7" s="12" t="n">
        <f aca="false">IF(E7=0,"",IFERROR(I7/E7,0))</f>
        <v>3.02990729199387</v>
      </c>
      <c r="K7" s="3" t="str">
        <f aca="false">IF(J7="","",IF(J7&gt;=Sources_Assumptions!C27,"OK","BREACH"))</f>
        <v>OK</v>
      </c>
    </row>
    <row r="8" customFormat="false" ht="15" hidden="false" customHeight="false" outlineLevel="0" collapsed="false">
      <c r="A8" s="3" t="n">
        <v>5</v>
      </c>
      <c r="B8" s="12" t="n">
        <f aca="false">Debt_Schedule!I8</f>
        <v>1.5</v>
      </c>
      <c r="C8" s="3" t="str">
        <f aca="false">IF(B8="","",IF(B8&gt;=Sources_Assumptions!C24,"OK","BREACH"))</f>
        <v>OK</v>
      </c>
      <c r="D8" s="3" t="str">
        <f aca="false">IF(B8="","",IF(B8&gt;=Sources_Assumptions!C25,"OK","LOCK-UP"))</f>
        <v>OK</v>
      </c>
      <c r="E8" s="4" t="n">
        <f aca="false">Debt_Schedule!B8</f>
        <v>12689984.5054207</v>
      </c>
      <c r="F8" s="4" t="n">
        <f aca="false">CFADS!C8</f>
        <v>6160000</v>
      </c>
      <c r="G8" s="12" t="n">
        <f aca="false">IFERROR(E8/F8,0)</f>
        <v>2.06006241971116</v>
      </c>
      <c r="H8" s="3" t="str">
        <f aca="false">IF(E8=0,"",IF(G8&lt;=Sources_Assumptions!C26,"OK","BREACH"))</f>
        <v>OK</v>
      </c>
      <c r="I8" s="4" t="n">
        <f aca="false">NPV(Sources_Assumptions!C28,CFADS!H8:H15)</f>
        <v>44556326.6485139</v>
      </c>
      <c r="J8" s="12" t="n">
        <f aca="false">IF(E8=0,"",IFERROR(I8/E8,0))</f>
        <v>3.51114113886278</v>
      </c>
      <c r="K8" s="3" t="str">
        <f aca="false">IF(J8="","",IF(J8&gt;=Sources_Assumptions!C27,"OK","BREACH"))</f>
        <v>OK</v>
      </c>
    </row>
    <row r="9" customFormat="false" ht="15" hidden="false" customHeight="false" outlineLevel="0" collapsed="false">
      <c r="A9" s="3" t="n">
        <v>6</v>
      </c>
      <c r="B9" s="12" t="n">
        <f aca="false">Debt_Schedule!I9</f>
        <v>1.5</v>
      </c>
      <c r="C9" s="3" t="str">
        <f aca="false">IF(B9="","",IF(B9&gt;=Sources_Assumptions!C24,"OK","BREACH"))</f>
        <v>OK</v>
      </c>
      <c r="D9" s="3" t="str">
        <f aca="false">IF(B9="","",IF(B9&gt;=Sources_Assumptions!C25,"OK","LOCK-UP"))</f>
        <v>OK</v>
      </c>
      <c r="E9" s="4" t="n">
        <f aca="false">Debt_Schedule!B9</f>
        <v>9024950.92115284</v>
      </c>
      <c r="F9" s="4" t="n">
        <f aca="false">CFADS!C9</f>
        <v>6283200</v>
      </c>
      <c r="G9" s="12" t="n">
        <f aca="false">IFERROR(E9/F9,0)</f>
        <v>1.43636219142361</v>
      </c>
      <c r="H9" s="3" t="str">
        <f aca="false">IF(E9=0,"",IF(G9&lt;=Sources_Assumptions!C26,"OK","BREACH"))</f>
        <v>OK</v>
      </c>
      <c r="I9" s="4" t="n">
        <f aca="false">NPV(Sources_Assumptions!C28,CFADS!H9:H15)</f>
        <v>41386008.9147147</v>
      </c>
      <c r="J9" s="12" t="n">
        <f aca="false">IF(E9=0,"",IFERROR(I9/E9,0))</f>
        <v>4.58573229663925</v>
      </c>
      <c r="K9" s="3" t="str">
        <f aca="false">IF(J9="","",IF(J9&gt;=Sources_Assumptions!C27,"OK","BREACH"))</f>
        <v>OK</v>
      </c>
    </row>
    <row r="10" customFormat="false" ht="15" hidden="false" customHeight="false" outlineLevel="0" collapsed="false">
      <c r="A10" s="3" t="n">
        <v>7</v>
      </c>
      <c r="B10" s="12" t="n">
        <f aca="false">Debt_Schedule!I10</f>
        <v>1.60962893479872</v>
      </c>
      <c r="C10" s="3" t="str">
        <f aca="false">IF(B10="","",IF(B10&gt;=Sources_Assumptions!C24,"OK","BREACH"))</f>
        <v>OK</v>
      </c>
      <c r="D10" s="3" t="str">
        <f aca="false">IF(B10="","",IF(B10&gt;=Sources_Assumptions!C25,"OK","LOCK-UP"))</f>
        <v>OK</v>
      </c>
      <c r="E10" s="4" t="n">
        <f aca="false">Debt_Schedule!B10</f>
        <v>4520393.75208104</v>
      </c>
      <c r="F10" s="4" t="n">
        <f aca="false">CFADS!C10</f>
        <v>6408864</v>
      </c>
      <c r="G10" s="12" t="n">
        <f aca="false">IFERROR(E10/F10,0)</f>
        <v>0.705334635292782</v>
      </c>
      <c r="H10" s="3" t="str">
        <f aca="false">IF(E10=0,"",IF(G10&lt;=Sources_Assumptions!C26,"OK","BREACH"))</f>
        <v>OK</v>
      </c>
      <c r="I10" s="4" t="n">
        <f aca="false">NPV(Sources_Assumptions!C28,CFADS!H10:H15)</f>
        <v>37060121.1594718</v>
      </c>
      <c r="J10" s="12" t="n">
        <f aca="false">IF(E10=0,"",IFERROR(I10/E10,0))</f>
        <v>8.19842765741601</v>
      </c>
      <c r="K10" s="3" t="str">
        <f aca="false">IF(J10="","",IF(J10&gt;=Sources_Assumptions!C27,"OK","BREACH"))</f>
        <v>OK</v>
      </c>
    </row>
    <row r="11" customFormat="false" ht="15" hidden="false" customHeight="false" outlineLevel="0" collapsed="false">
      <c r="A11" s="3" t="n">
        <v>8</v>
      </c>
      <c r="B11" s="12" t="str">
        <f aca="false">Debt_Schedule!I11</f>
        <v/>
      </c>
      <c r="C11" s="3" t="str">
        <f aca="false">IF(B11="","",IF(B11&gt;=Sources_Assumptions!C24,"OK","BREACH"))</f>
        <v/>
      </c>
      <c r="D11" s="3" t="str">
        <f aca="false">IF(B11="","",IF(B11&gt;=Sources_Assumptions!C25,"OK","LOCK-UP"))</f>
        <v/>
      </c>
      <c r="E11" s="4" t="n">
        <f aca="false">Debt_Schedule!B11</f>
        <v>0</v>
      </c>
      <c r="F11" s="4" t="n">
        <f aca="false">CFADS!C11</f>
        <v>6537041.28</v>
      </c>
      <c r="G11" s="12" t="n">
        <f aca="false">IFERROR(E11/F11,0)</f>
        <v>0</v>
      </c>
      <c r="H11" s="3" t="str">
        <f aca="false">IF(E11=0,"",IF(G11&lt;=Sources_Assumptions!C26,"OK","BREACH"))</f>
        <v/>
      </c>
      <c r="I11" s="4" t="n">
        <f aca="false">NPV(Sources_Assumptions!C28,CFADS!H11:H15)</f>
        <v>32275824.0944944</v>
      </c>
      <c r="J11" s="12" t="str">
        <f aca="false">IF(E11=0,"",IFERROR(I11/E11,0))</f>
        <v/>
      </c>
      <c r="K11" s="3" t="str">
        <f aca="false">IF(J11="","",IF(J11&gt;=Sources_Assumptions!C27,"OK","BREACH"))</f>
        <v/>
      </c>
    </row>
    <row r="12" customFormat="false" ht="15" hidden="false" customHeight="false" outlineLevel="0" collapsed="false">
      <c r="A12" s="3" t="n">
        <v>9</v>
      </c>
      <c r="B12" s="12" t="str">
        <f aca="false">Debt_Schedule!I12</f>
        <v/>
      </c>
      <c r="C12" s="3" t="str">
        <f aca="false">IF(B12="","",IF(B12&gt;=Sources_Assumptions!C24,"OK","BREACH"))</f>
        <v/>
      </c>
      <c r="D12" s="3" t="str">
        <f aca="false">IF(B12="","",IF(B12&gt;=Sources_Assumptions!C25,"OK","LOCK-UP"))</f>
        <v/>
      </c>
      <c r="E12" s="4" t="n">
        <f aca="false">Debt_Schedule!B12</f>
        <v>0</v>
      </c>
      <c r="F12" s="4" t="n">
        <f aca="false">CFADS!C12</f>
        <v>6667782.1056</v>
      </c>
      <c r="G12" s="12" t="n">
        <f aca="false">IFERROR(E12/F12,0)</f>
        <v>0</v>
      </c>
      <c r="H12" s="3" t="str">
        <f aca="false">IF(E12=0,"",IF(G12&lt;=Sources_Assumptions!C26,"OK","BREACH"))</f>
        <v/>
      </c>
      <c r="I12" s="4" t="n">
        <f aca="false">NPV(Sources_Assumptions!C28,CFADS!H12:H15)</f>
        <v>26994198.2092174</v>
      </c>
      <c r="J12" s="12" t="str">
        <f aca="false">IF(E12=0,"",IFERROR(I12/E12,0))</f>
        <v/>
      </c>
      <c r="K12" s="3" t="str">
        <f aca="false">IF(J12="","",IF(J12&gt;=Sources_Assumptions!C27,"OK","BREACH"))</f>
        <v/>
      </c>
    </row>
    <row r="13" customFormat="false" ht="15" hidden="false" customHeight="false" outlineLevel="0" collapsed="false">
      <c r="A13" s="3" t="n">
        <v>10</v>
      </c>
      <c r="B13" s="12" t="str">
        <f aca="false">Debt_Schedule!I13</f>
        <v/>
      </c>
      <c r="C13" s="3" t="str">
        <f aca="false">IF(B13="","",IF(B13&gt;=Sources_Assumptions!C24,"OK","BREACH"))</f>
        <v/>
      </c>
      <c r="D13" s="3" t="str">
        <f aca="false">IF(B13="","",IF(B13&gt;=Sources_Assumptions!C25,"OK","LOCK-UP"))</f>
        <v/>
      </c>
      <c r="E13" s="4" t="n">
        <f aca="false">Debt_Schedule!B13</f>
        <v>0</v>
      </c>
      <c r="F13" s="4" t="n">
        <f aca="false">CFADS!C13</f>
        <v>6801137.747712</v>
      </c>
      <c r="G13" s="12" t="n">
        <f aca="false">IFERROR(E13/F13,0)</f>
        <v>0</v>
      </c>
      <c r="H13" s="3" t="str">
        <f aca="false">IF(E13=0,"",IF(G13&lt;=Sources_Assumptions!C26,"OK","BREACH"))</f>
        <v/>
      </c>
      <c r="I13" s="4" t="n">
        <f aca="false">NPV(Sources_Assumptions!C28,CFADS!H13:H15)</f>
        <v>21173165.4969148</v>
      </c>
      <c r="J13" s="12" t="str">
        <f aca="false">IF(E13=0,"",IFERROR(I13/E13,0))</f>
        <v/>
      </c>
      <c r="K13" s="3" t="str">
        <f aca="false">IF(J13="","",IF(J13&gt;=Sources_Assumptions!C27,"OK","BREACH"))</f>
        <v/>
      </c>
    </row>
    <row r="14" customFormat="false" ht="15" hidden="false" customHeight="false" outlineLevel="0" collapsed="false">
      <c r="A14" s="3" t="n">
        <v>11</v>
      </c>
      <c r="B14" s="12" t="str">
        <f aca="false">Debt_Schedule!I14</f>
        <v/>
      </c>
      <c r="C14" s="3" t="str">
        <f aca="false">IF(B14="","",IF(B14&gt;=Sources_Assumptions!C24,"OK","BREACH"))</f>
        <v/>
      </c>
      <c r="D14" s="3" t="str">
        <f aca="false">IF(B14="","",IF(B14&gt;=Sources_Assumptions!C25,"OK","LOCK-UP"))</f>
        <v/>
      </c>
      <c r="E14" s="4" t="n">
        <f aca="false">Debt_Schedule!B14</f>
        <v>0</v>
      </c>
      <c r="F14" s="4" t="n">
        <f aca="false">CFADS!C14</f>
        <v>6937160.50266624</v>
      </c>
      <c r="G14" s="12" t="n">
        <f aca="false">IFERROR(E14/F14,0)</f>
        <v>0</v>
      </c>
      <c r="H14" s="3" t="str">
        <f aca="false">IF(E14=0,"",IF(G14&lt;=Sources_Assumptions!C26,"OK","BREACH"))</f>
        <v/>
      </c>
      <c r="I14" s="4" t="n">
        <f aca="false">NPV(Sources_Assumptions!C28,CFADS!H14:H15)</f>
        <v>14767235.8763006</v>
      </c>
      <c r="J14" s="12" t="str">
        <f aca="false">IF(E14=0,"",IFERROR(I14/E14,0))</f>
        <v/>
      </c>
      <c r="K14" s="3" t="str">
        <f aca="false">IF(J14="","",IF(J14&gt;=Sources_Assumptions!C27,"OK","BREACH"))</f>
        <v/>
      </c>
    </row>
    <row r="15" customFormat="false" ht="15" hidden="false" customHeight="false" outlineLevel="0" collapsed="false">
      <c r="A15" s="3" t="n">
        <v>12</v>
      </c>
      <c r="B15" s="12" t="str">
        <f aca="false">Debt_Schedule!I15</f>
        <v/>
      </c>
      <c r="C15" s="3" t="str">
        <f aca="false">IF(B15="","",IF(B15&gt;=Sources_Assumptions!C24,"OK","BREACH"))</f>
        <v/>
      </c>
      <c r="D15" s="3" t="str">
        <f aca="false">IF(B15="","",IF(B15&gt;=Sources_Assumptions!C25,"OK","LOCK-UP"))</f>
        <v/>
      </c>
      <c r="E15" s="4" t="n">
        <f aca="false">Debt_Schedule!B15</f>
        <v>0</v>
      </c>
      <c r="F15" s="4" t="n">
        <f aca="false">CFADS!C15</f>
        <v>7075903.56</v>
      </c>
      <c r="G15" s="12" t="n">
        <f aca="false">IFERROR(E15/F15,0)</f>
        <v>0</v>
      </c>
      <c r="H15" s="3" t="str">
        <f aca="false">IF(E15=0,"",IF(G15&lt;=Sources_Assumptions!C26,"OK","BREACH"))</f>
        <v/>
      </c>
      <c r="I15" s="4" t="n">
        <f aca="false">NPV(Sources_Assumptions!C28,CFADS!H15)</f>
        <v>7727233.30888328</v>
      </c>
      <c r="J15" s="12" t="str">
        <f aca="false">IF(E15=0,"",IFERROR(I15/E15,0))</f>
        <v/>
      </c>
      <c r="K15" s="3" t="str">
        <f aca="false">IF(J15="","",IF(J15&gt;=Sources_Assumptions!C27,"OK","BREACH"))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6" min="5" style="0" width="42"/>
  </cols>
  <sheetData>
    <row r="1" customFormat="false" ht="17.35" hidden="false" customHeight="false" outlineLevel="0" collapsed="false">
      <c r="A1" s="10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153</v>
      </c>
      <c r="D3" s="2" t="s">
        <v>26</v>
      </c>
      <c r="E3" s="2" t="s">
        <v>154</v>
      </c>
      <c r="F3" s="2" t="s">
        <v>38</v>
      </c>
    </row>
    <row r="4" customFormat="false" ht="15" hidden="false" customHeight="false" outlineLevel="0" collapsed="false">
      <c r="A4" s="3" t="s">
        <v>155</v>
      </c>
      <c r="B4" s="4" t="n">
        <f aca="false">-Sources_Uses!B8</f>
        <v>-28827735</v>
      </c>
      <c r="C4" s="4" t="n">
        <f aca="false">B4</f>
        <v>-28827735</v>
      </c>
      <c r="D4" s="5" t="n">
        <f aca="false">IRR(B4:B16)</f>
        <v>0.150482523859641</v>
      </c>
      <c r="E4" s="3" t="s">
        <v>156</v>
      </c>
      <c r="F4" s="3" t="s">
        <v>157</v>
      </c>
    </row>
    <row r="5" customFormat="false" ht="15" hidden="false" customHeight="false" outlineLevel="0" collapsed="false">
      <c r="A5" s="3" t="s">
        <v>158</v>
      </c>
      <c r="B5" s="4" t="n">
        <f aca="false">CFADS!H4</f>
        <v>1366008.57351598</v>
      </c>
      <c r="C5" s="4" t="n">
        <f aca="false">C4+B5</f>
        <v>-27461726.426484</v>
      </c>
    </row>
    <row r="6" customFormat="false" ht="15" hidden="false" customHeight="false" outlineLevel="0" collapsed="false">
      <c r="A6" s="3" t="s">
        <v>159</v>
      </c>
      <c r="B6" s="4" t="n">
        <f aca="false">CFADS!H5</f>
        <v>3009818.38622831</v>
      </c>
      <c r="C6" s="4" t="n">
        <f aca="false">C5+B6</f>
        <v>-24451908.0402557</v>
      </c>
    </row>
    <row r="7" customFormat="false" ht="15" hidden="false" customHeight="false" outlineLevel="0" collapsed="false">
      <c r="A7" s="3" t="s">
        <v>160</v>
      </c>
      <c r="B7" s="4" t="n">
        <f aca="false">CFADS!H6</f>
        <v>4066322.49581735</v>
      </c>
      <c r="C7" s="4" t="n">
        <f aca="false">C6+B7</f>
        <v>-20385585.5444384</v>
      </c>
    </row>
    <row r="8" customFormat="false" ht="15" hidden="false" customHeight="false" outlineLevel="0" collapsed="false">
      <c r="A8" s="3" t="s">
        <v>161</v>
      </c>
      <c r="B8" s="4" t="n">
        <f aca="false">CFADS!H7</f>
        <v>5308443.04376256</v>
      </c>
      <c r="C8" s="4" t="n">
        <f aca="false">C7+B8</f>
        <v>-15077142.5006758</v>
      </c>
    </row>
    <row r="9" customFormat="false" ht="15" hidden="false" customHeight="false" outlineLevel="0" collapsed="false">
      <c r="A9" s="3" t="s">
        <v>162</v>
      </c>
      <c r="B9" s="4" t="n">
        <f aca="false">CFADS!H8</f>
        <v>6734823.86568037</v>
      </c>
      <c r="C9" s="4" t="n">
        <f aca="false">C8+B9</f>
        <v>-8342318.63499543</v>
      </c>
    </row>
    <row r="10" customFormat="false" ht="15" hidden="false" customHeight="false" outlineLevel="0" collapsed="false">
      <c r="A10" s="3" t="s">
        <v>163</v>
      </c>
      <c r="B10" s="4" t="n">
        <f aca="false">CFADS!H9</f>
        <v>7636768.46842009</v>
      </c>
      <c r="C10" s="4" t="n">
        <f aca="false">C9+B10</f>
        <v>-705550.166575342</v>
      </c>
    </row>
    <row r="11" customFormat="false" ht="15" hidden="false" customHeight="false" outlineLevel="0" collapsed="false">
      <c r="A11" s="3" t="s">
        <v>164</v>
      </c>
      <c r="B11" s="4" t="n">
        <f aca="false">CFADS!H10</f>
        <v>7749106.75773516</v>
      </c>
      <c r="C11" s="4" t="n">
        <f aca="false">C10+B11</f>
        <v>7043556.59115982</v>
      </c>
    </row>
    <row r="12" customFormat="false" ht="15" hidden="false" customHeight="false" outlineLevel="0" collapsed="false">
      <c r="A12" s="3" t="s">
        <v>165</v>
      </c>
      <c r="B12" s="4" t="n">
        <f aca="false">CFADS!H11</f>
        <v>7863691.81283653</v>
      </c>
      <c r="C12" s="4" t="n">
        <f aca="false">C11+B12</f>
        <v>14907248.4039963</v>
      </c>
    </row>
    <row r="13" customFormat="false" ht="15" hidden="false" customHeight="false" outlineLevel="0" collapsed="false">
      <c r="A13" s="3" t="s">
        <v>166</v>
      </c>
      <c r="B13" s="4" t="n">
        <f aca="false">CFADS!H12</f>
        <v>7980568.56903993</v>
      </c>
      <c r="C13" s="4" t="n">
        <f aca="false">C12+B13</f>
        <v>22887816.9730363</v>
      </c>
    </row>
    <row r="14" customFormat="false" ht="15" hidden="false" customHeight="false" outlineLevel="0" collapsed="false">
      <c r="A14" s="3" t="s">
        <v>167</v>
      </c>
      <c r="B14" s="4" t="n">
        <f aca="false">CFADS!H13</f>
        <v>8099782.86036739</v>
      </c>
      <c r="C14" s="4" t="n">
        <f aca="false">C13+B14</f>
        <v>30987599.8334037</v>
      </c>
    </row>
    <row r="15" customFormat="false" ht="15" hidden="false" customHeight="false" outlineLevel="0" collapsed="false">
      <c r="A15" s="3" t="s">
        <v>168</v>
      </c>
      <c r="B15" s="4" t="n">
        <f aca="false">CFADS!H14</f>
        <v>8221381.43752141</v>
      </c>
      <c r="C15" s="4" t="n">
        <f aca="false">C14+B15</f>
        <v>39208981.2709251</v>
      </c>
    </row>
    <row r="16" customFormat="false" ht="15" hidden="false" customHeight="false" outlineLevel="0" collapsed="false">
      <c r="A16" s="3" t="s">
        <v>169</v>
      </c>
      <c r="B16" s="4" t="n">
        <f aca="false">CFADS!H15</f>
        <v>8345411.97359394</v>
      </c>
      <c r="C16" s="4" t="n">
        <f aca="false">C15+B16</f>
        <v>47554393.244519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2026-03-24T23:04:51Z</dcterms:created>
  <dc:creator>openpyxl</dc:creator>
  <dc:description/>
  <dc:language>en-US</dc:language>
  <cp:lastModifiedBy/>
  <dcterms:modified xsi:type="dcterms:W3CDTF">2026-03-24T23:06:17Z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