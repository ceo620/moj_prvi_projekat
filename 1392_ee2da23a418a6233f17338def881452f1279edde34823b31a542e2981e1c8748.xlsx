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_Index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rivers_Assumptions" sheetId="3" state="visible" r:id="rId3"/>
    <sheet xmlns:r="http://schemas.openxmlformats.org/officeDocument/2006/relationships" name="CAPEX_Master" sheetId="4" state="visible" r:id="rId4"/>
    <sheet xmlns:r="http://schemas.openxmlformats.org/officeDocument/2006/relationships" name="OPEX_Master" sheetId="5" state="visible" r:id="rId5"/>
    <sheet xmlns:r="http://schemas.openxmlformats.org/officeDocument/2006/relationships" name="Revenue_Schedule" sheetId="6" state="visible" r:id="rId6"/>
    <sheet xmlns:r="http://schemas.openxmlformats.org/officeDocument/2006/relationships" name="Debt_Schedule" sheetId="7" state="visible" r:id="rId7"/>
    <sheet xmlns:r="http://schemas.openxmlformats.org/officeDocument/2006/relationships" name="Equity_Grant_Schedule" sheetId="8" state="visible" r:id="rId8"/>
    <sheet xmlns:r="http://schemas.openxmlformats.org/officeDocument/2006/relationships" name="Cash_Flow" sheetId="9" state="visible" r:id="rId9"/>
    <sheet xmlns:r="http://schemas.openxmlformats.org/officeDocument/2006/relationships" name="EBITDA_PnL" sheetId="10" state="visible" r:id="rId10"/>
    <sheet xmlns:r="http://schemas.openxmlformats.org/officeDocument/2006/relationships" name="Balance_Sheet" sheetId="11" state="visible" r:id="rId11"/>
    <sheet xmlns:r="http://schemas.openxmlformats.org/officeDocument/2006/relationships" name="KPIs_Metrics" sheetId="12" state="visible" r:id="rId12"/>
    <sheet xmlns:r="http://schemas.openxmlformats.org/officeDocument/2006/relationships" name="Checks_Aud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02060"/>
      <sz val="16"/>
    </font>
    <font>
      <name val="Arial"/>
      <b val="1"/>
      <color rgb="00FFFFFF"/>
    </font>
    <font>
      <name val="Calibri"/>
      <family val="2"/>
      <color theme="10"/>
      <sz val="12"/>
      <scheme val="minor"/>
    </font>
    <font>
      <name val="Arial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B4C7E7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1"/>
    <xf numFmtId="0" fontId="0" fillId="0" borderId="1" pivotButton="0" quotePrefix="0" xfId="0"/>
    <xf numFmtId="0" fontId="3" fillId="0" borderId="0" pivotButton="0" quotePrefix="0" xfId="1"/>
    <xf numFmtId="0" fontId="4" fillId="0" borderId="1" pivotButton="0" quotePrefix="0" xfId="0"/>
    <xf numFmtId="4" fontId="4" fillId="3" borderId="1" pivotButton="0" quotePrefix="0" xfId="0"/>
    <xf numFmtId="164" fontId="4" fillId="3" borderId="1" pivotButton="0" quotePrefix="0" xfId="0"/>
    <xf numFmtId="4" fontId="0" fillId="3" borderId="1" pivotButton="0" quotePrefix="0" xfId="0"/>
    <xf numFmtId="4" fontId="0" fillId="4" borderId="1" pivotButton="0" quotePrefix="0" xfId="0"/>
    <xf numFmtId="0" fontId="5" fillId="5" borderId="1" pivotButton="0" quotePrefix="0" xfId="0"/>
    <xf numFmtId="4" fontId="5" fillId="5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6" borderId="1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'EBITDA_PnL'!$B$1:$K$1</f>
            </numRef>
          </cat>
          <val>
            <numRef>
              <f>'EBITDA_PnL'!$B$2:$K$2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'EBITDA_PnL'!$B$1:$K$1</f>
            </numRef>
          </cat>
          <val>
            <numRef>
              <f>'EBITDA_PnL'!$B$3:$K$3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'EBITDA_PnL'!$B$1:$K$1</f>
            </numRef>
          </cat>
          <val>
            <numRef>
              <f>'EBITDA_PnL'!$B$4:$K$4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puts" displayName="tblInputs" ref="A1:H13" headerRowCount="1">
  <autoFilter ref="A1:H13"/>
  <tableColumns count="8">
    <tableColumn id="1" name="Category"/>
    <tableColumn id="2" name="Parameter"/>
    <tableColumn id="3" name="Value"/>
    <tableColumn id="4" name="Unit"/>
    <tableColumn id="5" name="Type"/>
    <tableColumn id="6" name="Source"/>
    <tableColumn id="7" name="Frequency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Inputs!A1" TargetMode="External" Id="rId1"/><Relationship Type="http://schemas.openxmlformats.org/officeDocument/2006/relationships/hyperlink" Target="#Drivers_Assumptions!A1" TargetMode="External" Id="rId2"/><Relationship Type="http://schemas.openxmlformats.org/officeDocument/2006/relationships/hyperlink" Target="#CAPEX_Master!A1" TargetMode="External" Id="rId3"/><Relationship Type="http://schemas.openxmlformats.org/officeDocument/2006/relationships/hyperlink" Target="#OPEX_Master!A1" TargetMode="External" Id="rId4"/><Relationship Type="http://schemas.openxmlformats.org/officeDocument/2006/relationships/hyperlink" Target="#Revenue_Schedule!A1" TargetMode="External" Id="rId5"/><Relationship Type="http://schemas.openxmlformats.org/officeDocument/2006/relationships/hyperlink" Target="#Debt_Schedule!A1" TargetMode="External" Id="rId6"/><Relationship Type="http://schemas.openxmlformats.org/officeDocument/2006/relationships/hyperlink" Target="#Equity_Grant_Schedule!A1" TargetMode="External" Id="rId7"/><Relationship Type="http://schemas.openxmlformats.org/officeDocument/2006/relationships/hyperlink" Target="#Cash_Flow!A1" TargetMode="External" Id="rId8"/><Relationship Type="http://schemas.openxmlformats.org/officeDocument/2006/relationships/hyperlink" Target="#EBITDA_PnL!A1" TargetMode="External" Id="rId9"/><Relationship Type="http://schemas.openxmlformats.org/officeDocument/2006/relationships/hyperlink" Target="#Balance_Sheet!A1" TargetMode="External" Id="rId10"/><Relationship Type="http://schemas.openxmlformats.org/officeDocument/2006/relationships/hyperlink" Target="#KPIs_Metrics!A1" TargetMode="External" Id="rId11"/><Relationship Type="http://schemas.openxmlformats.org/officeDocument/2006/relationships/hyperlink" Target="#Checks_Audit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Navigation_Index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Navigation_Index!A1" TargetMode="External" Id="rId1"/><Relationship Type="http://schemas.openxmlformats.org/officeDocument/2006/relationships/drawing" Target="/xl/drawings/drawing1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Navigation_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BANK-GRADE FINANCIAL MODEL TEMPLATE</t>
        </is>
      </c>
    </row>
    <row r="2"/>
    <row r="3">
      <c r="A3" s="2" t="inlineStr">
        <is>
          <t>Sheet</t>
        </is>
      </c>
      <c r="B3" s="2" t="inlineStr">
        <is>
          <t>Purpose</t>
        </is>
      </c>
    </row>
    <row r="4">
      <c r="A4" s="3" t="inlineStr">
        <is>
          <t>Inputs</t>
        </is>
      </c>
      <c r="B4" s="4" t="inlineStr">
        <is>
          <t>Core user inputs only</t>
        </is>
      </c>
    </row>
    <row r="5">
      <c r="A5" s="3" t="inlineStr">
        <is>
          <t>Drivers_Assumptions</t>
        </is>
      </c>
      <c r="B5" s="4" t="inlineStr">
        <is>
          <t>Operational and macro drivers</t>
        </is>
      </c>
    </row>
    <row r="6">
      <c r="A6" s="3" t="inlineStr">
        <is>
          <t>CAPEX_Master</t>
        </is>
      </c>
      <c r="B6" s="4" t="inlineStr">
        <is>
          <t>CAPEX phasing and totals</t>
        </is>
      </c>
    </row>
    <row r="7">
      <c r="A7" s="3" t="inlineStr">
        <is>
          <t>OPEX_Master</t>
        </is>
      </c>
      <c r="B7" s="4" t="inlineStr">
        <is>
          <t>Operating cost build-up</t>
        </is>
      </c>
    </row>
    <row r="8">
      <c r="A8" s="3" t="inlineStr">
        <is>
          <t>Revenue_Schedule</t>
        </is>
      </c>
      <c r="B8" s="4" t="inlineStr">
        <is>
          <t>Volume x price revenue model</t>
        </is>
      </c>
    </row>
    <row r="9">
      <c r="A9" s="3" t="inlineStr">
        <is>
          <t>Debt_Schedule</t>
        </is>
      </c>
      <c r="B9" s="4" t="inlineStr">
        <is>
          <t>Debt drawdown, interest, repayment, DSCR debt service</t>
        </is>
      </c>
    </row>
    <row r="10">
      <c r="A10" s="3" t="inlineStr">
        <is>
          <t>Equity_Grant_Schedule</t>
        </is>
      </c>
      <c r="B10" s="4" t="inlineStr">
        <is>
          <t>Funding sources timing</t>
        </is>
      </c>
    </row>
    <row r="11">
      <c r="A11" s="3" t="inlineStr">
        <is>
          <t>Cash_Flow</t>
        </is>
      </c>
      <c r="B11" s="4" t="inlineStr">
        <is>
          <t>Unlevered and levered cash flow</t>
        </is>
      </c>
    </row>
    <row r="12">
      <c r="A12" s="3" t="inlineStr">
        <is>
          <t>EBITDA_PnL</t>
        </is>
      </c>
      <c r="B12" s="4" t="inlineStr">
        <is>
          <t>P&amp;L bridge and EBITDA</t>
        </is>
      </c>
    </row>
    <row r="13">
      <c r="A13" s="3" t="inlineStr">
        <is>
          <t>Balance_Sheet</t>
        </is>
      </c>
      <c r="B13" s="4" t="inlineStr">
        <is>
          <t>Simplified balance sheet</t>
        </is>
      </c>
    </row>
    <row r="14">
      <c r="A14" s="3" t="inlineStr">
        <is>
          <t>KPIs_Metrics</t>
        </is>
      </c>
      <c r="B14" s="4" t="inlineStr">
        <is>
          <t>Headline KPIs and dashboard</t>
        </is>
      </c>
    </row>
    <row r="15">
      <c r="A15" s="3" t="inlineStr">
        <is>
          <t>Checks_Audit</t>
        </is>
      </c>
      <c r="B15" s="4" t="inlineStr">
        <is>
          <t>Error checks and integrity controls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2" customWidth="1" min="7" max="7"/>
    <col width="28" customWidth="1" min="8" max="8"/>
  </cols>
  <sheetData>
    <row r="1">
      <c r="A1" s="2" t="inlineStr">
        <is>
          <t>Category</t>
        </is>
      </c>
      <c r="B1" s="2" t="inlineStr">
        <is>
          <t>Parameter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Type</t>
        </is>
      </c>
      <c r="F1" s="2" t="inlineStr">
        <is>
          <t>Source</t>
        </is>
      </c>
      <c r="G1" s="2" t="inlineStr">
        <is>
          <t>Frequency</t>
        </is>
      </c>
      <c r="H1" s="2" t="inlineStr">
        <is>
          <t>Notes</t>
        </is>
      </c>
      <c r="N1" s="5" t="inlineStr">
        <is>
          <t>Back to Index</t>
        </is>
      </c>
    </row>
    <row r="2">
      <c r="A2" s="6" t="inlineStr">
        <is>
          <t>General</t>
        </is>
      </c>
      <c r="B2" s="6" t="inlineStr">
        <is>
          <t>Start Year</t>
        </is>
      </c>
      <c r="C2" s="7" t="n">
        <v>2026</v>
      </c>
      <c r="D2" s="6" t="inlineStr">
        <is>
          <t>year</t>
        </is>
      </c>
      <c r="E2" s="6" t="inlineStr">
        <is>
          <t>Input</t>
        </is>
      </c>
      <c r="F2" s="6" t="inlineStr">
        <is>
          <t>Management</t>
        </is>
      </c>
      <c r="G2" s="6" t="inlineStr">
        <is>
          <t>Once</t>
        </is>
      </c>
      <c r="H2" s="6" t="inlineStr">
        <is>
          <t>Base year</t>
        </is>
      </c>
    </row>
    <row r="3">
      <c r="A3" s="6" t="inlineStr">
        <is>
          <t>General</t>
        </is>
      </c>
      <c r="B3" s="6" t="inlineStr">
        <is>
          <t>Tax Rate</t>
        </is>
      </c>
      <c r="C3" s="8" t="n">
        <v>0.09</v>
      </c>
      <c r="D3" s="6" t="inlineStr">
        <is>
          <t>%</t>
        </is>
      </c>
      <c r="E3" s="6" t="inlineStr">
        <is>
          <t>Input</t>
        </is>
      </c>
      <c r="F3" s="6" t="inlineStr">
        <is>
          <t>Management</t>
        </is>
      </c>
      <c r="G3" s="6" t="inlineStr">
        <is>
          <t>Annual</t>
        </is>
      </c>
      <c r="H3" s="6" t="inlineStr">
        <is>
          <t>Corporate tax</t>
        </is>
      </c>
    </row>
    <row r="4">
      <c r="A4" s="6" t="inlineStr">
        <is>
          <t>General</t>
        </is>
      </c>
      <c r="B4" s="6" t="inlineStr">
        <is>
          <t>Discount Rate / WACC</t>
        </is>
      </c>
      <c r="C4" s="8" t="n">
        <v>0.12</v>
      </c>
      <c r="D4" s="6" t="inlineStr">
        <is>
          <t>%</t>
        </is>
      </c>
      <c r="E4" s="6" t="inlineStr">
        <is>
          <t>Input</t>
        </is>
      </c>
      <c r="F4" s="6" t="inlineStr">
        <is>
          <t>Management</t>
        </is>
      </c>
      <c r="G4" s="6" t="inlineStr">
        <is>
          <t>Annual</t>
        </is>
      </c>
      <c r="H4" s="6" t="inlineStr">
        <is>
          <t>For NPV</t>
        </is>
      </c>
    </row>
    <row r="5">
      <c r="A5" s="6" t="inlineStr">
        <is>
          <t>Revenue</t>
        </is>
      </c>
      <c r="B5" s="6" t="inlineStr">
        <is>
          <t>Base Volume Y1</t>
        </is>
      </c>
      <c r="C5" s="7" t="n">
        <v>1000</v>
      </c>
      <c r="D5" s="6" t="inlineStr">
        <is>
          <t>units</t>
        </is>
      </c>
      <c r="E5" s="6" t="inlineStr">
        <is>
          <t>Input</t>
        </is>
      </c>
      <c r="F5" s="6" t="inlineStr">
        <is>
          <t>Commercial</t>
        </is>
      </c>
      <c r="G5" s="6" t="inlineStr">
        <is>
          <t>Annual</t>
        </is>
      </c>
      <c r="H5" s="6" t="inlineStr">
        <is>
          <t>Starting volume</t>
        </is>
      </c>
    </row>
    <row r="6">
      <c r="A6" s="6" t="inlineStr">
        <is>
          <t>Revenue</t>
        </is>
      </c>
      <c r="B6" s="6" t="inlineStr">
        <is>
          <t>Base Price Y1</t>
        </is>
      </c>
      <c r="C6" s="7" t="n">
        <v>1500</v>
      </c>
      <c r="D6" s="6" t="inlineStr">
        <is>
          <t>EUR/unit</t>
        </is>
      </c>
      <c r="E6" s="6" t="inlineStr">
        <is>
          <t>Input</t>
        </is>
      </c>
      <c r="F6" s="6" t="inlineStr">
        <is>
          <t>Commercial</t>
        </is>
      </c>
      <c r="G6" s="6" t="inlineStr">
        <is>
          <t>Annual</t>
        </is>
      </c>
      <c r="H6" s="6" t="inlineStr">
        <is>
          <t>Average sales price</t>
        </is>
      </c>
    </row>
    <row r="7">
      <c r="A7" s="6" t="inlineStr">
        <is>
          <t>Costs</t>
        </is>
      </c>
      <c r="B7" s="6" t="inlineStr">
        <is>
          <t>Base OPEX Y1</t>
        </is>
      </c>
      <c r="C7" s="7" t="n">
        <v>900000</v>
      </c>
      <c r="D7" s="6" t="inlineStr">
        <is>
          <t>EUR</t>
        </is>
      </c>
      <c r="E7" s="6" t="inlineStr">
        <is>
          <t>Input</t>
        </is>
      </c>
      <c r="F7" s="6" t="inlineStr">
        <is>
          <t>Operations</t>
        </is>
      </c>
      <c r="G7" s="6" t="inlineStr">
        <is>
          <t>Annual</t>
        </is>
      </c>
      <c r="H7" s="6" t="inlineStr">
        <is>
          <t>Base operating cost</t>
        </is>
      </c>
    </row>
    <row r="8">
      <c r="A8" s="6" t="inlineStr">
        <is>
          <t>CAPEX</t>
        </is>
      </c>
      <c r="B8" s="6" t="inlineStr">
        <is>
          <t>Total CAPEX Budget</t>
        </is>
      </c>
      <c r="C8" s="7" t="n">
        <v>5000000</v>
      </c>
      <c r="D8" s="6" t="inlineStr">
        <is>
          <t>EUR</t>
        </is>
      </c>
      <c r="E8" s="6" t="inlineStr">
        <is>
          <t>Input</t>
        </is>
      </c>
      <c r="F8" s="6" t="inlineStr">
        <is>
          <t>Engineering</t>
        </is>
      </c>
      <c r="G8" s="6" t="inlineStr">
        <is>
          <t>Once</t>
        </is>
      </c>
      <c r="H8" s="6" t="inlineStr">
        <is>
          <t>Total development cost</t>
        </is>
      </c>
    </row>
    <row r="9">
      <c r="A9" s="6" t="inlineStr">
        <is>
          <t>Financing</t>
        </is>
      </c>
      <c r="B9" s="6" t="inlineStr">
        <is>
          <t>Debt Share</t>
        </is>
      </c>
      <c r="C9" s="8" t="n">
        <v>0.6</v>
      </c>
      <c r="D9" s="6" t="inlineStr">
        <is>
          <t>%</t>
        </is>
      </c>
      <c r="E9" s="6" t="inlineStr">
        <is>
          <t>Input</t>
        </is>
      </c>
      <c r="F9" s="6" t="inlineStr">
        <is>
          <t>Finance</t>
        </is>
      </c>
      <c r="G9" s="6" t="inlineStr">
        <is>
          <t>Once</t>
        </is>
      </c>
      <c r="H9" s="6" t="inlineStr">
        <is>
          <t>Senior debt share</t>
        </is>
      </c>
    </row>
    <row r="10">
      <c r="A10" s="6" t="inlineStr">
        <is>
          <t>Financing</t>
        </is>
      </c>
      <c r="B10" s="6" t="inlineStr">
        <is>
          <t>Grant Share</t>
        </is>
      </c>
      <c r="C10" s="8" t="n">
        <v>0.1</v>
      </c>
      <c r="D10" s="6" t="inlineStr">
        <is>
          <t>%</t>
        </is>
      </c>
      <c r="E10" s="6" t="inlineStr">
        <is>
          <t>Input</t>
        </is>
      </c>
      <c r="F10" s="6" t="inlineStr">
        <is>
          <t>Finance</t>
        </is>
      </c>
      <c r="G10" s="6" t="inlineStr">
        <is>
          <t>Once</t>
        </is>
      </c>
      <c r="H10" s="6" t="inlineStr">
        <is>
          <t>Grant share of uses</t>
        </is>
      </c>
    </row>
    <row r="11">
      <c r="A11" s="6" t="inlineStr">
        <is>
          <t>Financing</t>
        </is>
      </c>
      <c r="B11" s="6" t="inlineStr">
        <is>
          <t>Interest Rate</t>
        </is>
      </c>
      <c r="C11" s="8" t="n">
        <v>0.065</v>
      </c>
      <c r="D11" s="6" t="inlineStr">
        <is>
          <t>%</t>
        </is>
      </c>
      <c r="E11" s="6" t="inlineStr">
        <is>
          <t>Input</t>
        </is>
      </c>
      <c r="F11" s="6" t="inlineStr">
        <is>
          <t>Finance</t>
        </is>
      </c>
      <c r="G11" s="6" t="inlineStr">
        <is>
          <t>Annual</t>
        </is>
      </c>
      <c r="H11" s="6" t="inlineStr">
        <is>
          <t>Senior debt cost</t>
        </is>
      </c>
    </row>
    <row r="12">
      <c r="A12" s="6" t="inlineStr">
        <is>
          <t>Financing</t>
        </is>
      </c>
      <c r="B12" s="6" t="inlineStr">
        <is>
          <t>Debt Tenor</t>
        </is>
      </c>
      <c r="C12" s="7" t="n">
        <v>8</v>
      </c>
      <c r="D12" s="6" t="inlineStr">
        <is>
          <t>years</t>
        </is>
      </c>
      <c r="E12" s="6" t="inlineStr">
        <is>
          <t>Input</t>
        </is>
      </c>
      <c r="F12" s="6" t="inlineStr">
        <is>
          <t>Finance</t>
        </is>
      </c>
      <c r="G12" s="6" t="inlineStr">
        <is>
          <t>Once</t>
        </is>
      </c>
      <c r="H12" s="6" t="inlineStr">
        <is>
          <t>Amortisation tenor</t>
        </is>
      </c>
    </row>
    <row r="13">
      <c r="A13" s="6" t="inlineStr">
        <is>
          <t>Financing</t>
        </is>
      </c>
      <c r="B13" s="6" t="inlineStr">
        <is>
          <t>Grace Period</t>
        </is>
      </c>
      <c r="C13" s="7" t="n">
        <v>2</v>
      </c>
      <c r="D13" s="6" t="inlineStr">
        <is>
          <t>years</t>
        </is>
      </c>
      <c r="E13" s="6" t="inlineStr">
        <is>
          <t>Input</t>
        </is>
      </c>
      <c r="F13" s="6" t="inlineStr">
        <is>
          <t>Finance</t>
        </is>
      </c>
      <c r="G13" s="6" t="inlineStr">
        <is>
          <t>Once</t>
        </is>
      </c>
      <c r="H13" s="6" t="inlineStr">
        <is>
          <t>Construction/grace</t>
        </is>
      </c>
    </row>
  </sheetData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28" customWidth="1" min="13" max="13"/>
  </cols>
  <sheetData>
    <row r="1">
      <c r="A1" s="2" t="inlineStr">
        <is>
          <t>Driver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Unit</t>
        </is>
      </c>
      <c r="M1" s="2" t="inlineStr">
        <is>
          <t>Notes</t>
        </is>
      </c>
      <c r="N1" s="5" t="inlineStr">
        <is>
          <t>Back to Index</t>
        </is>
      </c>
    </row>
    <row r="2">
      <c r="A2" s="4" t="inlineStr">
        <is>
          <t>Revenue growth</t>
        </is>
      </c>
      <c r="B2" s="9" t="n">
        <v>0</v>
      </c>
      <c r="C2" s="9" t="n">
        <v>0.05</v>
      </c>
      <c r="D2" s="9" t="n">
        <v>0.05</v>
      </c>
      <c r="E2" s="9" t="n">
        <v>0.04</v>
      </c>
      <c r="F2" s="9" t="n">
        <v>0.04</v>
      </c>
      <c r="G2" s="9" t="n">
        <v>0.03</v>
      </c>
      <c r="H2" s="9" t="n">
        <v>0.03</v>
      </c>
      <c r="I2" s="9" t="n">
        <v>0.03</v>
      </c>
      <c r="J2" s="9" t="n">
        <v>0.03</v>
      </c>
      <c r="K2" s="9" t="n">
        <v>0.03</v>
      </c>
      <c r="L2" s="4" t="inlineStr">
        <is>
          <t>%</t>
        </is>
      </c>
      <c r="M2" s="4" t="inlineStr">
        <is>
          <t>Price escalation</t>
        </is>
      </c>
    </row>
    <row r="3">
      <c r="A3" s="4" t="inlineStr">
        <is>
          <t>Volume growth</t>
        </is>
      </c>
      <c r="B3" s="9" t="n">
        <v>0</v>
      </c>
      <c r="C3" s="9" t="n">
        <v>0.2</v>
      </c>
      <c r="D3" s="9" t="n">
        <v>0.15</v>
      </c>
      <c r="E3" s="9" t="n">
        <v>0.1</v>
      </c>
      <c r="F3" s="9" t="n">
        <v>0.05</v>
      </c>
      <c r="G3" s="9" t="n">
        <v>0.03</v>
      </c>
      <c r="H3" s="9" t="n">
        <v>0.03</v>
      </c>
      <c r="I3" s="9" t="n">
        <v>0.02</v>
      </c>
      <c r="J3" s="9" t="n">
        <v>0.02</v>
      </c>
      <c r="K3" s="9" t="n">
        <v>0.02</v>
      </c>
      <c r="L3" s="4" t="inlineStr">
        <is>
          <t>%</t>
        </is>
      </c>
      <c r="M3" s="4" t="inlineStr">
        <is>
          <t>Ramp-up</t>
        </is>
      </c>
    </row>
    <row r="4">
      <c r="A4" s="4" t="inlineStr">
        <is>
          <t>OPEX growth</t>
        </is>
      </c>
      <c r="B4" s="9" t="n">
        <v>0</v>
      </c>
      <c r="C4" s="9" t="n">
        <v>0.04</v>
      </c>
      <c r="D4" s="9" t="n">
        <v>0.04</v>
      </c>
      <c r="E4" s="9" t="n">
        <v>0.03</v>
      </c>
      <c r="F4" s="9" t="n">
        <v>0.03</v>
      </c>
      <c r="G4" s="9" t="n">
        <v>0.03</v>
      </c>
      <c r="H4" s="9" t="n">
        <v>0.03</v>
      </c>
      <c r="I4" s="9" t="n">
        <v>0.03</v>
      </c>
      <c r="J4" s="9" t="n">
        <v>0.03</v>
      </c>
      <c r="K4" s="9" t="n">
        <v>0.03</v>
      </c>
      <c r="L4" s="4" t="inlineStr">
        <is>
          <t>%</t>
        </is>
      </c>
      <c r="M4" s="4" t="inlineStr">
        <is>
          <t>Inflation</t>
        </is>
      </c>
    </row>
    <row r="5">
      <c r="A5" s="4" t="inlineStr">
        <is>
          <t>Maintenance capex</t>
        </is>
      </c>
      <c r="B5" s="9" t="n">
        <v>0.01</v>
      </c>
      <c r="C5" s="9" t="n">
        <v>0.01</v>
      </c>
      <c r="D5" s="9" t="n">
        <v>0.01</v>
      </c>
      <c r="E5" s="9" t="n">
        <v>0.01</v>
      </c>
      <c r="F5" s="9" t="n">
        <v>0.01</v>
      </c>
      <c r="G5" s="9" t="n">
        <v>0.01</v>
      </c>
      <c r="H5" s="9" t="n">
        <v>0.01</v>
      </c>
      <c r="I5" s="9" t="n">
        <v>0.01</v>
      </c>
      <c r="J5" s="9" t="n">
        <v>0.01</v>
      </c>
      <c r="K5" s="9" t="n">
        <v>0.01</v>
      </c>
      <c r="L5" s="4" t="inlineStr">
        <is>
          <t>% of sales</t>
        </is>
      </c>
      <c r="M5" s="4" t="inlineStr">
        <is>
          <t>Recurring reinvestment</t>
        </is>
      </c>
    </row>
    <row r="6">
      <c r="A6" s="4" t="inlineStr">
        <is>
          <t>Working capital</t>
        </is>
      </c>
      <c r="B6" s="9" t="n">
        <v>0.08</v>
      </c>
      <c r="C6" s="9" t="n">
        <v>0.08</v>
      </c>
      <c r="D6" s="9" t="n">
        <v>0.08</v>
      </c>
      <c r="E6" s="9" t="n">
        <v>0.08</v>
      </c>
      <c r="F6" s="9" t="n">
        <v>0.08</v>
      </c>
      <c r="G6" s="9" t="n">
        <v>0.08</v>
      </c>
      <c r="H6" s="9" t="n">
        <v>0.08</v>
      </c>
      <c r="I6" s="9" t="n">
        <v>0.08</v>
      </c>
      <c r="J6" s="9" t="n">
        <v>0.08</v>
      </c>
      <c r="K6" s="9" t="n">
        <v>0.08</v>
      </c>
      <c r="L6" s="4" t="inlineStr">
        <is>
          <t>% of revenue</t>
        </is>
      </c>
      <c r="M6" s="4" t="inlineStr">
        <is>
          <t>Net WC as % sales</t>
        </is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CAPEX Item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Land</t>
        </is>
      </c>
      <c r="B2" s="9" t="n">
        <v>500000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10">
        <f>SUM(B2:K2)</f>
        <v/>
      </c>
    </row>
    <row r="3">
      <c r="A3" s="4" t="inlineStr">
        <is>
          <t>Building</t>
        </is>
      </c>
      <c r="B3" s="9" t="n">
        <v>1000000</v>
      </c>
      <c r="C3" s="9" t="n">
        <v>1200000</v>
      </c>
      <c r="D3" s="9" t="n">
        <v>800000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10">
        <f>SUM(B3:K3)</f>
        <v/>
      </c>
    </row>
    <row r="4">
      <c r="A4" s="4" t="inlineStr">
        <is>
          <t>Machinery</t>
        </is>
      </c>
      <c r="B4" s="9" t="n">
        <v>600000</v>
      </c>
      <c r="C4" s="9" t="n">
        <v>900000</v>
      </c>
      <c r="D4" s="9" t="n">
        <v>700000</v>
      </c>
      <c r="E4" s="9" t="n">
        <v>300000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10">
        <f>SUM(B4:K4)</f>
        <v/>
      </c>
    </row>
    <row r="5">
      <c r="A5" s="4" t="inlineStr">
        <is>
          <t>Engineering</t>
        </is>
      </c>
      <c r="B5" s="9" t="n">
        <v>200000</v>
      </c>
      <c r="C5" s="9" t="n">
        <v>150000</v>
      </c>
      <c r="D5" s="9" t="n">
        <v>50000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10">
        <f>SUM(B5:K5)</f>
        <v/>
      </c>
    </row>
    <row r="6">
      <c r="A6" s="4" t="inlineStr">
        <is>
          <t>Contingency</t>
        </is>
      </c>
      <c r="B6" s="9" t="n">
        <v>230000</v>
      </c>
      <c r="C6" s="9" t="n">
        <v>225000</v>
      </c>
      <c r="D6" s="9" t="n">
        <v>155000</v>
      </c>
      <c r="E6" s="9" t="n">
        <v>30000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>
        <f>SUM(B6:K6)</f>
        <v/>
      </c>
    </row>
    <row r="7">
      <c r="A7" s="11" t="inlineStr">
        <is>
          <t>Total CAPEX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OPEX Item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Payroll</t>
        </is>
      </c>
      <c r="B2" s="13">
        <f>280000</f>
        <v/>
      </c>
      <c r="C2" s="13">
        <f>B2*(1+Drivers_Assumptions!C$4)</f>
        <v/>
      </c>
      <c r="D2" s="13">
        <f>C2*(1+Drivers_Assumptions!D$4)</f>
        <v/>
      </c>
      <c r="E2" s="13">
        <f>D2*(1+Drivers_Assumptions!E$4)</f>
        <v/>
      </c>
      <c r="F2" s="13">
        <f>E2*(1+Drivers_Assumptions!F$4)</f>
        <v/>
      </c>
      <c r="G2" s="13">
        <f>F2*(1+Drivers_Assumptions!G$4)</f>
        <v/>
      </c>
      <c r="H2" s="13">
        <f>G2*(1+Drivers_Assumptions!H$4)</f>
        <v/>
      </c>
      <c r="I2" s="13">
        <f>H2*(1+Drivers_Assumptions!I$4)</f>
        <v/>
      </c>
      <c r="J2" s="13">
        <f>I2*(1+Drivers_Assumptions!J$4)</f>
        <v/>
      </c>
      <c r="K2" s="13">
        <f>J2*(1+Drivers_Assumptions!K$4)</f>
        <v/>
      </c>
      <c r="L2" s="13">
        <f>SUM(B2:K2)</f>
        <v/>
      </c>
    </row>
    <row r="3">
      <c r="A3" s="4" t="inlineStr">
        <is>
          <t>Utilities</t>
        </is>
      </c>
      <c r="B3" s="13">
        <f>180000</f>
        <v/>
      </c>
      <c r="C3" s="13">
        <f>B3*(1+Drivers_Assumptions!C$4)</f>
        <v/>
      </c>
      <c r="D3" s="13">
        <f>C3*(1+Drivers_Assumptions!D$4)</f>
        <v/>
      </c>
      <c r="E3" s="13">
        <f>D3*(1+Drivers_Assumptions!E$4)</f>
        <v/>
      </c>
      <c r="F3" s="13">
        <f>E3*(1+Drivers_Assumptions!F$4)</f>
        <v/>
      </c>
      <c r="G3" s="13">
        <f>F3*(1+Drivers_Assumptions!G$4)</f>
        <v/>
      </c>
      <c r="H3" s="13">
        <f>G3*(1+Drivers_Assumptions!H$4)</f>
        <v/>
      </c>
      <c r="I3" s="13">
        <f>H3*(1+Drivers_Assumptions!I$4)</f>
        <v/>
      </c>
      <c r="J3" s="13">
        <f>I3*(1+Drivers_Assumptions!J$4)</f>
        <v/>
      </c>
      <c r="K3" s="13">
        <f>J3*(1+Drivers_Assumptions!K$4)</f>
        <v/>
      </c>
      <c r="L3" s="13">
        <f>SUM(B3:K3)</f>
        <v/>
      </c>
    </row>
    <row r="4">
      <c r="A4" s="4" t="inlineStr">
        <is>
          <t>Maintenance</t>
        </is>
      </c>
      <c r="B4" s="13">
        <f>90000</f>
        <v/>
      </c>
      <c r="C4" s="13">
        <f>B4*(1+Drivers_Assumptions!C$4)</f>
        <v/>
      </c>
      <c r="D4" s="13">
        <f>C4*(1+Drivers_Assumptions!D$4)</f>
        <v/>
      </c>
      <c r="E4" s="13">
        <f>D4*(1+Drivers_Assumptions!E$4)</f>
        <v/>
      </c>
      <c r="F4" s="13">
        <f>E4*(1+Drivers_Assumptions!F$4)</f>
        <v/>
      </c>
      <c r="G4" s="13">
        <f>F4*(1+Drivers_Assumptions!G$4)</f>
        <v/>
      </c>
      <c r="H4" s="13">
        <f>G4*(1+Drivers_Assumptions!H$4)</f>
        <v/>
      </c>
      <c r="I4" s="13">
        <f>H4*(1+Drivers_Assumptions!I$4)</f>
        <v/>
      </c>
      <c r="J4" s="13">
        <f>I4*(1+Drivers_Assumptions!J$4)</f>
        <v/>
      </c>
      <c r="K4" s="13">
        <f>J4*(1+Drivers_Assumptions!K$4)</f>
        <v/>
      </c>
      <c r="L4" s="13">
        <f>SUM(B4:K4)</f>
        <v/>
      </c>
    </row>
    <row r="5">
      <c r="A5" s="4" t="inlineStr">
        <is>
          <t>SG&amp;A</t>
        </is>
      </c>
      <c r="B5" s="13">
        <f>120000</f>
        <v/>
      </c>
      <c r="C5" s="13">
        <f>B5*(1+Drivers_Assumptions!C$4)</f>
        <v/>
      </c>
      <c r="D5" s="13">
        <f>C5*(1+Drivers_Assumptions!D$4)</f>
        <v/>
      </c>
      <c r="E5" s="13">
        <f>D5*(1+Drivers_Assumptions!E$4)</f>
        <v/>
      </c>
      <c r="F5" s="13">
        <f>E5*(1+Drivers_Assumptions!F$4)</f>
        <v/>
      </c>
      <c r="G5" s="13">
        <f>F5*(1+Drivers_Assumptions!G$4)</f>
        <v/>
      </c>
      <c r="H5" s="13">
        <f>G5*(1+Drivers_Assumptions!H$4)</f>
        <v/>
      </c>
      <c r="I5" s="13">
        <f>H5*(1+Drivers_Assumptions!I$4)</f>
        <v/>
      </c>
      <c r="J5" s="13">
        <f>I5*(1+Drivers_Assumptions!J$4)</f>
        <v/>
      </c>
      <c r="K5" s="13">
        <f>J5*(1+Drivers_Assumptions!K$4)</f>
        <v/>
      </c>
      <c r="L5" s="13">
        <f>SUM(B5:K5)</f>
        <v/>
      </c>
    </row>
    <row r="6">
      <c r="A6" s="4" t="inlineStr">
        <is>
          <t>Insurance</t>
        </is>
      </c>
      <c r="B6" s="13">
        <f>40000</f>
        <v/>
      </c>
      <c r="C6" s="13">
        <f>B6*(1+Drivers_Assumptions!C$4)</f>
        <v/>
      </c>
      <c r="D6" s="13">
        <f>C6*(1+Drivers_Assumptions!D$4)</f>
        <v/>
      </c>
      <c r="E6" s="13">
        <f>D6*(1+Drivers_Assumptions!E$4)</f>
        <v/>
      </c>
      <c r="F6" s="13">
        <f>E6*(1+Drivers_Assumptions!F$4)</f>
        <v/>
      </c>
      <c r="G6" s="13">
        <f>F6*(1+Drivers_Assumptions!G$4)</f>
        <v/>
      </c>
      <c r="H6" s="13">
        <f>G6*(1+Drivers_Assumptions!H$4)</f>
        <v/>
      </c>
      <c r="I6" s="13">
        <f>H6*(1+Drivers_Assumptions!I$4)</f>
        <v/>
      </c>
      <c r="J6" s="13">
        <f>I6*(1+Drivers_Assumptions!J$4)</f>
        <v/>
      </c>
      <c r="K6" s="13">
        <f>J6*(1+Drivers_Assumptions!K$4)</f>
        <v/>
      </c>
      <c r="L6" s="13">
        <f>SUM(B6:K6)</f>
        <v/>
      </c>
    </row>
    <row r="7">
      <c r="A7" s="11" t="inlineStr">
        <is>
          <t>Total OPEX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Metric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Volume</t>
        </is>
      </c>
      <c r="B2" s="13">
        <f>Inputs!$C$5</f>
        <v/>
      </c>
      <c r="C2" s="13">
        <f>B2*(1+Drivers_Assumptions!C$3)</f>
        <v/>
      </c>
      <c r="D2" s="13">
        <f>C2*(1+Drivers_Assumptions!D$3)</f>
        <v/>
      </c>
      <c r="E2" s="13">
        <f>D2*(1+Drivers_Assumptions!E$3)</f>
        <v/>
      </c>
      <c r="F2" s="13">
        <f>E2*(1+Drivers_Assumptions!F$3)</f>
        <v/>
      </c>
      <c r="G2" s="13">
        <f>F2*(1+Drivers_Assumptions!G$3)</f>
        <v/>
      </c>
      <c r="H2" s="13">
        <f>G2*(1+Drivers_Assumptions!H$3)</f>
        <v/>
      </c>
      <c r="I2" s="13">
        <f>H2*(1+Drivers_Assumptions!I$3)</f>
        <v/>
      </c>
      <c r="J2" s="13">
        <f>I2*(1+Drivers_Assumptions!J$3)</f>
        <v/>
      </c>
      <c r="K2" s="13">
        <f>J2*(1+Drivers_Assumptions!K$3)</f>
        <v/>
      </c>
      <c r="L2" s="13">
        <f>SUM(B2:K2)</f>
        <v/>
      </c>
    </row>
    <row r="3">
      <c r="A3" s="4" t="inlineStr">
        <is>
          <t>Price</t>
        </is>
      </c>
      <c r="B3" s="13">
        <f>Inputs!$C$6</f>
        <v/>
      </c>
      <c r="C3" s="13">
        <f>B3*(1+Drivers_Assumptions!C$2)</f>
        <v/>
      </c>
      <c r="D3" s="13">
        <f>C3*(1+Drivers_Assumptions!D$2)</f>
        <v/>
      </c>
      <c r="E3" s="13">
        <f>D3*(1+Drivers_Assumptions!E$2)</f>
        <v/>
      </c>
      <c r="F3" s="13">
        <f>E3*(1+Drivers_Assumptions!F$2)</f>
        <v/>
      </c>
      <c r="G3" s="13">
        <f>F3*(1+Drivers_Assumptions!G$2)</f>
        <v/>
      </c>
      <c r="H3" s="13">
        <f>G3*(1+Drivers_Assumptions!H$2)</f>
        <v/>
      </c>
      <c r="I3" s="13">
        <f>H3*(1+Drivers_Assumptions!I$2)</f>
        <v/>
      </c>
      <c r="J3" s="13">
        <f>I3*(1+Drivers_Assumptions!J$2)</f>
        <v/>
      </c>
      <c r="K3" s="13">
        <f>J3*(1+Drivers_Assumptions!K$2)</f>
        <v/>
      </c>
      <c r="L3" s="13">
        <f>SUM(B3:K3)</f>
        <v/>
      </c>
    </row>
    <row r="4">
      <c r="A4" s="4" t="inlineStr">
        <is>
          <t>Revenue</t>
        </is>
      </c>
      <c r="B4" s="13">
        <f>B2*B3</f>
        <v/>
      </c>
      <c r="C4" s="13">
        <f>C2*C3</f>
        <v/>
      </c>
      <c r="D4" s="13">
        <f>D2*D3</f>
        <v/>
      </c>
      <c r="E4" s="13">
        <f>E2*E3</f>
        <v/>
      </c>
      <c r="F4" s="13">
        <f>F2*F3</f>
        <v/>
      </c>
      <c r="G4" s="13">
        <f>G2*G3</f>
        <v/>
      </c>
      <c r="H4" s="13">
        <f>H2*H3</f>
        <v/>
      </c>
      <c r="I4" s="13">
        <f>I2*I3</f>
        <v/>
      </c>
      <c r="J4" s="13">
        <f>J2*J3</f>
        <v/>
      </c>
      <c r="K4" s="13">
        <f>K2*K3</f>
        <v/>
      </c>
      <c r="L4" s="13">
        <f>SUM(B4:K4)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Metric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Opening Debt</t>
        </is>
      </c>
      <c r="B2" s="14" t="n">
        <v>0</v>
      </c>
      <c r="C2" s="14">
        <f>B7</f>
        <v/>
      </c>
      <c r="D2" s="14">
        <f>C7</f>
        <v/>
      </c>
      <c r="E2" s="14">
        <f>D7</f>
        <v/>
      </c>
      <c r="F2" s="14">
        <f>E7</f>
        <v/>
      </c>
      <c r="G2" s="14">
        <f>F7</f>
        <v/>
      </c>
      <c r="H2" s="14">
        <f>G7</f>
        <v/>
      </c>
      <c r="I2" s="14">
        <f>H7</f>
        <v/>
      </c>
      <c r="J2" s="14">
        <f>I7</f>
        <v/>
      </c>
      <c r="K2" s="14">
        <f>J7</f>
        <v/>
      </c>
      <c r="L2" s="13">
        <f>SUM(B2:K2)</f>
        <v/>
      </c>
    </row>
    <row r="3">
      <c r="A3" s="4" t="inlineStr">
        <is>
          <t>Drawdown</t>
        </is>
      </c>
      <c r="B3" s="14">
        <f>IF(COLUMN()&lt;=5,CAPEX_Master!B$7*Inputs!$C$8,0)</f>
        <v/>
      </c>
      <c r="C3" s="14">
        <f>IF(COLUMN()&lt;=5,CAPEX_Master!C$7*Inputs!$C$8,0)</f>
        <v/>
      </c>
      <c r="D3" s="14">
        <f>IF(COLUMN()&lt;=5,CAPEX_Master!D$7*Inputs!$C$8,0)</f>
        <v/>
      </c>
      <c r="E3" s="14">
        <f>IF(COLUMN()&lt;=5,CAPEX_Master!E$7*Inputs!$C$8,0)</f>
        <v/>
      </c>
      <c r="F3" s="14">
        <f>IF(COLUMN()&lt;=5,CAPEX_Master!F$7*Inputs!$C$8,0)</f>
        <v/>
      </c>
      <c r="G3" s="14">
        <f>IF(COLUMN()&lt;=5,CAPEX_Master!G$7*Inputs!$C$8,0)</f>
        <v/>
      </c>
      <c r="H3" s="14">
        <f>IF(COLUMN()&lt;=5,CAPEX_Master!H$7*Inputs!$C$8,0)</f>
        <v/>
      </c>
      <c r="I3" s="14">
        <f>IF(COLUMN()&lt;=5,CAPEX_Master!I$7*Inputs!$C$8,0)</f>
        <v/>
      </c>
      <c r="J3" s="14">
        <f>IF(COLUMN()&lt;=5,CAPEX_Master!J$7*Inputs!$C$8,0)</f>
        <v/>
      </c>
      <c r="K3" s="14">
        <f>IF(COLUMN()&lt;=5,CAPEX_Master!K$7*Inputs!$C$8,0)</f>
        <v/>
      </c>
      <c r="L3" s="13">
        <f>SUM(B3:K3)</f>
        <v/>
      </c>
    </row>
    <row r="4">
      <c r="A4" s="4" t="inlineStr">
        <is>
          <t>Interest</t>
        </is>
      </c>
      <c r="B4" s="14">
        <f>(B2+B3)*Inputs!$C$10</f>
        <v/>
      </c>
      <c r="C4" s="14">
        <f>(C2+C3)*Inputs!$C$10</f>
        <v/>
      </c>
      <c r="D4" s="14">
        <f>(D2+D3)*Inputs!$C$10</f>
        <v/>
      </c>
      <c r="E4" s="14">
        <f>(E2+E3)*Inputs!$C$10</f>
        <v/>
      </c>
      <c r="F4" s="14">
        <f>(F2+F3)*Inputs!$C$10</f>
        <v/>
      </c>
      <c r="G4" s="14">
        <f>(G2+G3)*Inputs!$C$10</f>
        <v/>
      </c>
      <c r="H4" s="14">
        <f>(H2+H3)*Inputs!$C$10</f>
        <v/>
      </c>
      <c r="I4" s="14">
        <f>(I2+I3)*Inputs!$C$10</f>
        <v/>
      </c>
      <c r="J4" s="14">
        <f>(J2+J3)*Inputs!$C$10</f>
        <v/>
      </c>
      <c r="K4" s="14">
        <f>(K2+K3)*Inputs!$C$10</f>
        <v/>
      </c>
      <c r="L4" s="13">
        <f>SUM(B4:K4)</f>
        <v/>
      </c>
    </row>
    <row r="5">
      <c r="A5" s="4" t="inlineStr">
        <is>
          <t>Principal Repayment</t>
        </is>
      </c>
      <c r="B5" s="14">
        <f>IF(COLUMN()&lt;=3+Inputs!$C$11+Inputs!$C$12,0,(B2+B3)/MAX(1,Inputs!$C$11))</f>
        <v/>
      </c>
      <c r="C5" s="14">
        <f>IF(COLUMN()&lt;=3+Inputs!$C$11+Inputs!$C$12,0,(C2+C3)/MAX(1,Inputs!$C$11))</f>
        <v/>
      </c>
      <c r="D5" s="14">
        <f>IF(COLUMN()&lt;=3+Inputs!$C$11+Inputs!$C$12,0,(D2+D3)/MAX(1,Inputs!$C$11))</f>
        <v/>
      </c>
      <c r="E5" s="14">
        <f>IF(COLUMN()&lt;=3+Inputs!$C$11+Inputs!$C$12,0,(E2+E3)/MAX(1,Inputs!$C$11))</f>
        <v/>
      </c>
      <c r="F5" s="14">
        <f>IF(COLUMN()&lt;=3+Inputs!$C$11+Inputs!$C$12,0,(F2+F3)/MAX(1,Inputs!$C$11))</f>
        <v/>
      </c>
      <c r="G5" s="14">
        <f>IF(COLUMN()&lt;=3+Inputs!$C$11+Inputs!$C$12,0,(G2+G3)/MAX(1,Inputs!$C$11))</f>
        <v/>
      </c>
      <c r="H5" s="14">
        <f>IF(COLUMN()&lt;=3+Inputs!$C$11+Inputs!$C$12,0,(H2+H3)/MAX(1,Inputs!$C$11))</f>
        <v/>
      </c>
      <c r="I5" s="14">
        <f>IF(COLUMN()&lt;=3+Inputs!$C$11+Inputs!$C$12,0,(I2+I3)/MAX(1,Inputs!$C$11))</f>
        <v/>
      </c>
      <c r="J5" s="14">
        <f>IF(COLUMN()&lt;=3+Inputs!$C$11+Inputs!$C$12,0,(J2+J3)/MAX(1,Inputs!$C$11))</f>
        <v/>
      </c>
      <c r="K5" s="14">
        <f>IF(COLUMN()&lt;=3+Inputs!$C$11+Inputs!$C$12,0,(K2+K3)/MAX(1,Inputs!$C$11))</f>
        <v/>
      </c>
      <c r="L5" s="13">
        <f>SUM(B5:K5)</f>
        <v/>
      </c>
    </row>
    <row r="6">
      <c r="A6" s="4" t="inlineStr">
        <is>
          <t>Debt Service</t>
        </is>
      </c>
      <c r="B6" s="14">
        <f>B4+B5</f>
        <v/>
      </c>
      <c r="C6" s="14">
        <f>C4+C5</f>
        <v/>
      </c>
      <c r="D6" s="14">
        <f>D4+D5</f>
        <v/>
      </c>
      <c r="E6" s="14">
        <f>E4+E5</f>
        <v/>
      </c>
      <c r="F6" s="14">
        <f>F4+F5</f>
        <v/>
      </c>
      <c r="G6" s="14">
        <f>G4+G5</f>
        <v/>
      </c>
      <c r="H6" s="14">
        <f>H4+H5</f>
        <v/>
      </c>
      <c r="I6" s="14">
        <f>I4+I5</f>
        <v/>
      </c>
      <c r="J6" s="14">
        <f>J4+J5</f>
        <v/>
      </c>
      <c r="K6" s="14">
        <f>K4+K5</f>
        <v/>
      </c>
      <c r="L6" s="13">
        <f>SUM(B6:K6)</f>
        <v/>
      </c>
    </row>
    <row r="7">
      <c r="A7" s="4" t="inlineStr">
        <is>
          <t>Closing Debt</t>
        </is>
      </c>
      <c r="B7" s="14">
        <f>MAX(0,B2+B3-B5)</f>
        <v/>
      </c>
      <c r="C7" s="14">
        <f>MAX(0,C2+C3-C5)</f>
        <v/>
      </c>
      <c r="D7" s="14">
        <f>MAX(0,D2+D3-D5)</f>
        <v/>
      </c>
      <c r="E7" s="14">
        <f>MAX(0,E2+E3-E5)</f>
        <v/>
      </c>
      <c r="F7" s="14">
        <f>MAX(0,F2+F3-F5)</f>
        <v/>
      </c>
      <c r="G7" s="14">
        <f>MAX(0,G2+G3-G5)</f>
        <v/>
      </c>
      <c r="H7" s="14">
        <f>MAX(0,H2+H3-H5)</f>
        <v/>
      </c>
      <c r="I7" s="14">
        <f>MAX(0,I2+I3-I5)</f>
        <v/>
      </c>
      <c r="J7" s="14">
        <f>MAX(0,J2+J3-J5)</f>
        <v/>
      </c>
      <c r="K7" s="14">
        <f>MAX(0,K2+K3-K5)</f>
        <v/>
      </c>
      <c r="L7" s="13">
        <f>SUM(B7:K7)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Metric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Total Uses</t>
        </is>
      </c>
      <c r="B2" s="14">
        <f>CAPEX_Master!B$7</f>
        <v/>
      </c>
      <c r="C2" s="14">
        <f>CAPEX_Master!C$7</f>
        <v/>
      </c>
      <c r="D2" s="14">
        <f>CAPEX_Master!D$7</f>
        <v/>
      </c>
      <c r="E2" s="14">
        <f>CAPEX_Master!E$7</f>
        <v/>
      </c>
      <c r="F2" s="14">
        <f>CAPEX_Master!F$7</f>
        <v/>
      </c>
      <c r="G2" s="14">
        <f>CAPEX_Master!G$7</f>
        <v/>
      </c>
      <c r="H2" s="14">
        <f>CAPEX_Master!H$7</f>
        <v/>
      </c>
      <c r="I2" s="14">
        <f>CAPEX_Master!I$7</f>
        <v/>
      </c>
      <c r="J2" s="14">
        <f>CAPEX_Master!J$7</f>
        <v/>
      </c>
      <c r="K2" s="14">
        <f>CAPEX_Master!K$7</f>
        <v/>
      </c>
      <c r="L2" s="13">
        <f>SUM(B2:K2)</f>
        <v/>
      </c>
    </row>
    <row r="3">
      <c r="A3" s="4" t="inlineStr">
        <is>
          <t>Debt</t>
        </is>
      </c>
      <c r="B3" s="14">
        <f>Debt_Schedule!B$3</f>
        <v/>
      </c>
      <c r="C3" s="14">
        <f>Debt_Schedule!C$3</f>
        <v/>
      </c>
      <c r="D3" s="14">
        <f>Debt_Schedule!D$3</f>
        <v/>
      </c>
      <c r="E3" s="14">
        <f>Debt_Schedule!E$3</f>
        <v/>
      </c>
      <c r="F3" s="14">
        <f>Debt_Schedule!F$3</f>
        <v/>
      </c>
      <c r="G3" s="14">
        <f>Debt_Schedule!G$3</f>
        <v/>
      </c>
      <c r="H3" s="14">
        <f>Debt_Schedule!H$3</f>
        <v/>
      </c>
      <c r="I3" s="14">
        <f>Debt_Schedule!I$3</f>
        <v/>
      </c>
      <c r="J3" s="14">
        <f>Debt_Schedule!J$3</f>
        <v/>
      </c>
      <c r="K3" s="14">
        <f>Debt_Schedule!K$3</f>
        <v/>
      </c>
      <c r="L3" s="13">
        <f>SUM(B3:K3)</f>
        <v/>
      </c>
    </row>
    <row r="4">
      <c r="A4" s="4" t="inlineStr">
        <is>
          <t>Grant</t>
        </is>
      </c>
      <c r="B4" s="14">
        <f>Inputs!$C$9*B2</f>
        <v/>
      </c>
      <c r="C4" s="14">
        <f>Inputs!$C$9*C2</f>
        <v/>
      </c>
      <c r="D4" s="14">
        <f>Inputs!$C$9*D2</f>
        <v/>
      </c>
      <c r="E4" s="14">
        <f>Inputs!$C$9*E2</f>
        <v/>
      </c>
      <c r="F4" s="14">
        <f>Inputs!$C$9*F2</f>
        <v/>
      </c>
      <c r="G4" s="14">
        <f>Inputs!$C$9*G2</f>
        <v/>
      </c>
      <c r="H4" s="14">
        <f>Inputs!$C$9*H2</f>
        <v/>
      </c>
      <c r="I4" s="14">
        <f>Inputs!$C$9*I2</f>
        <v/>
      </c>
      <c r="J4" s="14">
        <f>Inputs!$C$9*J2</f>
        <v/>
      </c>
      <c r="K4" s="14">
        <f>Inputs!$C$9*K2</f>
        <v/>
      </c>
      <c r="L4" s="13">
        <f>SUM(B4:K4)</f>
        <v/>
      </c>
    </row>
    <row r="5">
      <c r="A5" s="4" t="inlineStr">
        <is>
          <t>Equity</t>
        </is>
      </c>
      <c r="B5" s="14">
        <f>MAX(0,B2-B3-B4)</f>
        <v/>
      </c>
      <c r="C5" s="14">
        <f>MAX(0,C2-C3-C4)</f>
        <v/>
      </c>
      <c r="D5" s="14">
        <f>MAX(0,D2-D3-D4)</f>
        <v/>
      </c>
      <c r="E5" s="14">
        <f>MAX(0,E2-E3-E4)</f>
        <v/>
      </c>
      <c r="F5" s="14">
        <f>MAX(0,F2-F3-F4)</f>
        <v/>
      </c>
      <c r="G5" s="14">
        <f>MAX(0,G2-G3-G4)</f>
        <v/>
      </c>
      <c r="H5" s="14">
        <f>MAX(0,H2-H3-H4)</f>
        <v/>
      </c>
      <c r="I5" s="14">
        <f>MAX(0,I2-I3-I4)</f>
        <v/>
      </c>
      <c r="J5" s="14">
        <f>MAX(0,J2-J3-J4)</f>
        <v/>
      </c>
      <c r="K5" s="14">
        <f>MAX(0,K2-K3-K4)</f>
        <v/>
      </c>
      <c r="L5" s="13">
        <f>SUM(B5:K5)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Metric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EBITDA</t>
        </is>
      </c>
      <c r="B2" s="14">
        <f>EBITDA_PnL!B$4</f>
        <v/>
      </c>
      <c r="C2" s="14">
        <f>EBITDA_PnL!C$4</f>
        <v/>
      </c>
      <c r="D2" s="14">
        <f>EBITDA_PnL!D$4</f>
        <v/>
      </c>
      <c r="E2" s="14">
        <f>EBITDA_PnL!E$4</f>
        <v/>
      </c>
      <c r="F2" s="14">
        <f>EBITDA_PnL!F$4</f>
        <v/>
      </c>
      <c r="G2" s="14">
        <f>EBITDA_PnL!G$4</f>
        <v/>
      </c>
      <c r="H2" s="14">
        <f>EBITDA_PnL!H$4</f>
        <v/>
      </c>
      <c r="I2" s="14">
        <f>EBITDA_PnL!I$4</f>
        <v/>
      </c>
      <c r="J2" s="14">
        <f>EBITDA_PnL!J$4</f>
        <v/>
      </c>
      <c r="K2" s="14">
        <f>EBITDA_PnL!K$4</f>
        <v/>
      </c>
      <c r="L2" s="13">
        <f>SUM(B2:K2)</f>
        <v/>
      </c>
    </row>
    <row r="3">
      <c r="A3" s="4" t="inlineStr">
        <is>
          <t>Taxes</t>
        </is>
      </c>
      <c r="B3" s="14">
        <f>EBITDA_PnL!B$7</f>
        <v/>
      </c>
      <c r="C3" s="14">
        <f>EBITDA_PnL!C$7</f>
        <v/>
      </c>
      <c r="D3" s="14">
        <f>EBITDA_PnL!D$7</f>
        <v/>
      </c>
      <c r="E3" s="14">
        <f>EBITDA_PnL!E$7</f>
        <v/>
      </c>
      <c r="F3" s="14">
        <f>EBITDA_PnL!F$7</f>
        <v/>
      </c>
      <c r="G3" s="14">
        <f>EBITDA_PnL!G$7</f>
        <v/>
      </c>
      <c r="H3" s="14">
        <f>EBITDA_PnL!H$7</f>
        <v/>
      </c>
      <c r="I3" s="14">
        <f>EBITDA_PnL!I$7</f>
        <v/>
      </c>
      <c r="J3" s="14">
        <f>EBITDA_PnL!J$7</f>
        <v/>
      </c>
      <c r="K3" s="14">
        <f>EBITDA_PnL!K$7</f>
        <v/>
      </c>
      <c r="L3" s="13">
        <f>SUM(B3:K3)</f>
        <v/>
      </c>
    </row>
    <row r="4">
      <c r="A4" s="4" t="inlineStr">
        <is>
          <t>CAPEX</t>
        </is>
      </c>
      <c r="B4" s="14">
        <f>-CAPEX_Master!B$7</f>
        <v/>
      </c>
      <c r="C4" s="14">
        <f>-CAPEX_Master!C$7</f>
        <v/>
      </c>
      <c r="D4" s="14">
        <f>-CAPEX_Master!D$7</f>
        <v/>
      </c>
      <c r="E4" s="14">
        <f>-CAPEX_Master!E$7</f>
        <v/>
      </c>
      <c r="F4" s="14">
        <f>-CAPEX_Master!F$7</f>
        <v/>
      </c>
      <c r="G4" s="14">
        <f>-CAPEX_Master!G$7</f>
        <v/>
      </c>
      <c r="H4" s="14">
        <f>-CAPEX_Master!H$7</f>
        <v/>
      </c>
      <c r="I4" s="14">
        <f>-CAPEX_Master!I$7</f>
        <v/>
      </c>
      <c r="J4" s="14">
        <f>-CAPEX_Master!J$7</f>
        <v/>
      </c>
      <c r="K4" s="14">
        <f>-CAPEX_Master!K$7</f>
        <v/>
      </c>
      <c r="L4" s="13">
        <f>SUM(B4:K4)</f>
        <v/>
      </c>
    </row>
    <row r="5">
      <c r="A5" s="4" t="inlineStr">
        <is>
          <t>Change in Working Capital</t>
        </is>
      </c>
      <c r="B5" s="14">
        <f>-(Revenue_Schedule!B$4*Drivers_Assumptions!B$6)</f>
        <v/>
      </c>
      <c r="C5" s="14">
        <f>-(Revenue_Schedule!C$4*Drivers_Assumptions!C$6- Revenue_Schedule!B$4*Drivers_Assumptions!B$6)</f>
        <v/>
      </c>
      <c r="D5" s="14">
        <f>-(Revenue_Schedule!D$4*Drivers_Assumptions!D$6- Revenue_Schedule!C$4*Drivers_Assumptions!C$6)</f>
        <v/>
      </c>
      <c r="E5" s="14">
        <f>-(Revenue_Schedule!E$4*Drivers_Assumptions!E$6- Revenue_Schedule!D$4*Drivers_Assumptions!D$6)</f>
        <v/>
      </c>
      <c r="F5" s="14">
        <f>-(Revenue_Schedule!F$4*Drivers_Assumptions!F$6- Revenue_Schedule!E$4*Drivers_Assumptions!E$6)</f>
        <v/>
      </c>
      <c r="G5" s="14">
        <f>-(Revenue_Schedule!G$4*Drivers_Assumptions!G$6- Revenue_Schedule!F$4*Drivers_Assumptions!F$6)</f>
        <v/>
      </c>
      <c r="H5" s="14">
        <f>-(Revenue_Schedule!H$4*Drivers_Assumptions!H$6- Revenue_Schedule!G$4*Drivers_Assumptions!G$6)</f>
        <v/>
      </c>
      <c r="I5" s="14">
        <f>-(Revenue_Schedule!I$4*Drivers_Assumptions!I$6- Revenue_Schedule!H$4*Drivers_Assumptions!H$6)</f>
        <v/>
      </c>
      <c r="J5" s="14">
        <f>-(Revenue_Schedule!J$4*Drivers_Assumptions!J$6- Revenue_Schedule!I$4*Drivers_Assumptions!I$6)</f>
        <v/>
      </c>
      <c r="K5" s="14">
        <f>-(Revenue_Schedule!K$4*Drivers_Assumptions!K$6- Revenue_Schedule!J$4*Drivers_Assumptions!J$6)</f>
        <v/>
      </c>
      <c r="L5" s="13">
        <f>SUM(B5:K5)</f>
        <v/>
      </c>
    </row>
    <row r="6">
      <c r="A6" s="4" t="inlineStr">
        <is>
          <t>Operating Cash Flow</t>
        </is>
      </c>
      <c r="B6" s="14">
        <f>SUM(B2:B5)</f>
        <v/>
      </c>
      <c r="C6" s="14">
        <f>SUM(C2:C5)</f>
        <v/>
      </c>
      <c r="D6" s="14">
        <f>SUM(D2:D5)</f>
        <v/>
      </c>
      <c r="E6" s="14">
        <f>SUM(E2:E5)</f>
        <v/>
      </c>
      <c r="F6" s="14">
        <f>SUM(F2:F5)</f>
        <v/>
      </c>
      <c r="G6" s="14">
        <f>SUM(G2:G5)</f>
        <v/>
      </c>
      <c r="H6" s="14">
        <f>SUM(H2:H5)</f>
        <v/>
      </c>
      <c r="I6" s="14">
        <f>SUM(I2:I5)</f>
        <v/>
      </c>
      <c r="J6" s="14">
        <f>SUM(J2:J5)</f>
        <v/>
      </c>
      <c r="K6" s="14">
        <f>SUM(K2:K5)</f>
        <v/>
      </c>
      <c r="L6" s="13">
        <f>SUM(B6:K6)</f>
        <v/>
      </c>
    </row>
    <row r="7">
      <c r="A7" s="4" t="inlineStr">
        <is>
          <t>Debt Service</t>
        </is>
      </c>
      <c r="B7" s="14">
        <f>-Debt_Schedule!B$6</f>
        <v/>
      </c>
      <c r="C7" s="14">
        <f>-Debt_Schedule!C$6</f>
        <v/>
      </c>
      <c r="D7" s="14">
        <f>-Debt_Schedule!D$6</f>
        <v/>
      </c>
      <c r="E7" s="14">
        <f>-Debt_Schedule!E$6</f>
        <v/>
      </c>
      <c r="F7" s="14">
        <f>-Debt_Schedule!F$6</f>
        <v/>
      </c>
      <c r="G7" s="14">
        <f>-Debt_Schedule!G$6</f>
        <v/>
      </c>
      <c r="H7" s="14">
        <f>-Debt_Schedule!H$6</f>
        <v/>
      </c>
      <c r="I7" s="14">
        <f>-Debt_Schedule!I$6</f>
        <v/>
      </c>
      <c r="J7" s="14">
        <f>-Debt_Schedule!J$6</f>
        <v/>
      </c>
      <c r="K7" s="14">
        <f>-Debt_Schedule!K$6</f>
        <v/>
      </c>
      <c r="L7" s="13">
        <f>SUM(B7:K7)</f>
        <v/>
      </c>
    </row>
    <row r="8">
      <c r="A8" s="4" t="inlineStr">
        <is>
          <t>Equity Injection</t>
        </is>
      </c>
      <c r="B8" s="14">
        <f>Equity_Grant_Schedule!B$5</f>
        <v/>
      </c>
      <c r="C8" s="14">
        <f>Equity_Grant_Schedule!C$5</f>
        <v/>
      </c>
      <c r="D8" s="14">
        <f>Equity_Grant_Schedule!D$5</f>
        <v/>
      </c>
      <c r="E8" s="14">
        <f>Equity_Grant_Schedule!E$5</f>
        <v/>
      </c>
      <c r="F8" s="14">
        <f>Equity_Grant_Schedule!F$5</f>
        <v/>
      </c>
      <c r="G8" s="14">
        <f>Equity_Grant_Schedule!G$5</f>
        <v/>
      </c>
      <c r="H8" s="14">
        <f>Equity_Grant_Schedule!H$5</f>
        <v/>
      </c>
      <c r="I8" s="14">
        <f>Equity_Grant_Schedule!I$5</f>
        <v/>
      </c>
      <c r="J8" s="14">
        <f>Equity_Grant_Schedule!J$5</f>
        <v/>
      </c>
      <c r="K8" s="14">
        <f>Equity_Grant_Schedule!K$5</f>
        <v/>
      </c>
      <c r="L8" s="13">
        <f>SUM(B8:K8)</f>
        <v/>
      </c>
    </row>
    <row r="9">
      <c r="A9" s="4" t="inlineStr">
        <is>
          <t>Grant Inflow</t>
        </is>
      </c>
      <c r="B9" s="14">
        <f>Equity_Grant_Schedule!B$4</f>
        <v/>
      </c>
      <c r="C9" s="14">
        <f>Equity_Grant_Schedule!C$4</f>
        <v/>
      </c>
      <c r="D9" s="14">
        <f>Equity_Grant_Schedule!D$4</f>
        <v/>
      </c>
      <c r="E9" s="14">
        <f>Equity_Grant_Schedule!E$4</f>
        <v/>
      </c>
      <c r="F9" s="14">
        <f>Equity_Grant_Schedule!F$4</f>
        <v/>
      </c>
      <c r="G9" s="14">
        <f>Equity_Grant_Schedule!G$4</f>
        <v/>
      </c>
      <c r="H9" s="14">
        <f>Equity_Grant_Schedule!H$4</f>
        <v/>
      </c>
      <c r="I9" s="14">
        <f>Equity_Grant_Schedule!I$4</f>
        <v/>
      </c>
      <c r="J9" s="14">
        <f>Equity_Grant_Schedule!J$4</f>
        <v/>
      </c>
      <c r="K9" s="14">
        <f>Equity_Grant_Schedule!K$4</f>
        <v/>
      </c>
      <c r="L9" s="13">
        <f>SUM(B9:K9)</f>
        <v/>
      </c>
    </row>
    <row r="10">
      <c r="A10" s="4" t="inlineStr">
        <is>
          <t>Net Cash Flow</t>
        </is>
      </c>
      <c r="B10" s="14">
        <f>SUM(B6:B9)</f>
        <v/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  <c r="I10" s="14">
        <f>SUM(I6:I9)</f>
        <v/>
      </c>
      <c r="J10" s="14">
        <f>SUM(J6:J9)</f>
        <v/>
      </c>
      <c r="K10" s="14">
        <f>SUM(K6:K9)</f>
        <v/>
      </c>
      <c r="L10" s="13">
        <f>SUM(B10:K10)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Metric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Revenue</t>
        </is>
      </c>
      <c r="B2" s="14">
        <f>Revenue_Schedule!B$4</f>
        <v/>
      </c>
      <c r="C2" s="14">
        <f>Revenue_Schedule!C$4</f>
        <v/>
      </c>
      <c r="D2" s="14">
        <f>Revenue_Schedule!D$4</f>
        <v/>
      </c>
      <c r="E2" s="14">
        <f>Revenue_Schedule!E$4</f>
        <v/>
      </c>
      <c r="F2" s="14">
        <f>Revenue_Schedule!F$4</f>
        <v/>
      </c>
      <c r="G2" s="14">
        <f>Revenue_Schedule!G$4</f>
        <v/>
      </c>
      <c r="H2" s="14">
        <f>Revenue_Schedule!H$4</f>
        <v/>
      </c>
      <c r="I2" s="14">
        <f>Revenue_Schedule!I$4</f>
        <v/>
      </c>
      <c r="J2" s="14">
        <f>Revenue_Schedule!J$4</f>
        <v/>
      </c>
      <c r="K2" s="14">
        <f>Revenue_Schedule!K$4</f>
        <v/>
      </c>
      <c r="L2" s="13">
        <f>SUM(B2:K2)</f>
        <v/>
      </c>
    </row>
    <row r="3">
      <c r="A3" s="4" t="inlineStr">
        <is>
          <t>OPEX</t>
        </is>
      </c>
      <c r="B3" s="14">
        <f>OPEX_Master!B$7</f>
        <v/>
      </c>
      <c r="C3" s="14">
        <f>OPEX_Master!C$7</f>
        <v/>
      </c>
      <c r="D3" s="14">
        <f>OPEX_Master!D$7</f>
        <v/>
      </c>
      <c r="E3" s="14">
        <f>OPEX_Master!E$7</f>
        <v/>
      </c>
      <c r="F3" s="14">
        <f>OPEX_Master!F$7</f>
        <v/>
      </c>
      <c r="G3" s="14">
        <f>OPEX_Master!G$7</f>
        <v/>
      </c>
      <c r="H3" s="14">
        <f>OPEX_Master!H$7</f>
        <v/>
      </c>
      <c r="I3" s="14">
        <f>OPEX_Master!I$7</f>
        <v/>
      </c>
      <c r="J3" s="14">
        <f>OPEX_Master!J$7</f>
        <v/>
      </c>
      <c r="K3" s="14">
        <f>OPEX_Master!K$7</f>
        <v/>
      </c>
      <c r="L3" s="13">
        <f>SUM(B3:K3)</f>
        <v/>
      </c>
    </row>
    <row r="4">
      <c r="A4" s="4" t="inlineStr">
        <is>
          <t>EBITDA</t>
        </is>
      </c>
      <c r="B4" s="14">
        <f>B2-B3</f>
        <v/>
      </c>
      <c r="C4" s="14">
        <f>C2-C3</f>
        <v/>
      </c>
      <c r="D4" s="14">
        <f>D2-D3</f>
        <v/>
      </c>
      <c r="E4" s="14">
        <f>E2-E3</f>
        <v/>
      </c>
      <c r="F4" s="14">
        <f>F2-F3</f>
        <v/>
      </c>
      <c r="G4" s="14">
        <f>G2-G3</f>
        <v/>
      </c>
      <c r="H4" s="14">
        <f>H2-H3</f>
        <v/>
      </c>
      <c r="I4" s="14">
        <f>I2-I3</f>
        <v/>
      </c>
      <c r="J4" s="14">
        <f>J2-J3</f>
        <v/>
      </c>
      <c r="K4" s="14">
        <f>K2-K3</f>
        <v/>
      </c>
      <c r="L4" s="13">
        <f>SUM(B4:K4)</f>
        <v/>
      </c>
    </row>
    <row r="5">
      <c r="A5" s="4" t="inlineStr">
        <is>
          <t>Depreciation</t>
        </is>
      </c>
      <c r="B5" s="14">
        <f>CAPEX_Master!$L$7/10</f>
        <v/>
      </c>
      <c r="C5" s="14">
        <f>CAPEX_Master!$L$7/10</f>
        <v/>
      </c>
      <c r="D5" s="14">
        <f>CAPEX_Master!$L$7/10</f>
        <v/>
      </c>
      <c r="E5" s="14">
        <f>CAPEX_Master!$L$7/10</f>
        <v/>
      </c>
      <c r="F5" s="14">
        <f>CAPEX_Master!$L$7/10</f>
        <v/>
      </c>
      <c r="G5" s="14">
        <f>CAPEX_Master!$L$7/10</f>
        <v/>
      </c>
      <c r="H5" s="14">
        <f>CAPEX_Master!$L$7/10</f>
        <v/>
      </c>
      <c r="I5" s="14">
        <f>CAPEX_Master!$L$7/10</f>
        <v/>
      </c>
      <c r="J5" s="14">
        <f>CAPEX_Master!$L$7/10</f>
        <v/>
      </c>
      <c r="K5" s="14">
        <f>CAPEX_Master!$L$7/10</f>
        <v/>
      </c>
      <c r="L5" s="13">
        <f>SUM(B5:K5)</f>
        <v/>
      </c>
    </row>
    <row r="6">
      <c r="A6" s="4" t="inlineStr">
        <is>
          <t>EBIT</t>
        </is>
      </c>
      <c r="B6" s="14">
        <f>B4-B5</f>
        <v/>
      </c>
      <c r="C6" s="14">
        <f>C4-C5</f>
        <v/>
      </c>
      <c r="D6" s="14">
        <f>D4-D5</f>
        <v/>
      </c>
      <c r="E6" s="14">
        <f>E4-E5</f>
        <v/>
      </c>
      <c r="F6" s="14">
        <f>F4-F5</f>
        <v/>
      </c>
      <c r="G6" s="14">
        <f>G4-G5</f>
        <v/>
      </c>
      <c r="H6" s="14">
        <f>H4-H5</f>
        <v/>
      </c>
      <c r="I6" s="14">
        <f>I4-I5</f>
        <v/>
      </c>
      <c r="J6" s="14">
        <f>J4-J5</f>
        <v/>
      </c>
      <c r="K6" s="14">
        <f>K4-K5</f>
        <v/>
      </c>
      <c r="L6" s="13">
        <f>SUM(B6:K6)</f>
        <v/>
      </c>
    </row>
    <row r="7">
      <c r="A7" s="4" t="inlineStr">
        <is>
          <t>Tax</t>
        </is>
      </c>
      <c r="B7" s="14">
        <f>MAX(0,B6*Inputs!$C$3)</f>
        <v/>
      </c>
      <c r="C7" s="14">
        <f>MAX(0,C6*Inputs!$C$3)</f>
        <v/>
      </c>
      <c r="D7" s="14">
        <f>MAX(0,D6*Inputs!$C$3)</f>
        <v/>
      </c>
      <c r="E7" s="14">
        <f>MAX(0,E6*Inputs!$C$3)</f>
        <v/>
      </c>
      <c r="F7" s="14">
        <f>MAX(0,F6*Inputs!$C$3)</f>
        <v/>
      </c>
      <c r="G7" s="14">
        <f>MAX(0,G6*Inputs!$C$3)</f>
        <v/>
      </c>
      <c r="H7" s="14">
        <f>MAX(0,H6*Inputs!$C$3)</f>
        <v/>
      </c>
      <c r="I7" s="14">
        <f>MAX(0,I6*Inputs!$C$3)</f>
        <v/>
      </c>
      <c r="J7" s="14">
        <f>MAX(0,J6*Inputs!$C$3)</f>
        <v/>
      </c>
      <c r="K7" s="14">
        <f>MAX(0,K6*Inputs!$C$3)</f>
        <v/>
      </c>
      <c r="L7" s="13">
        <f>SUM(B7:K7)</f>
        <v/>
      </c>
    </row>
    <row r="8">
      <c r="A8" s="4" t="inlineStr">
        <is>
          <t>Net Income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  <c r="I8" s="14">
        <f>I6-I7</f>
        <v/>
      </c>
      <c r="J8" s="14">
        <f>J6-J7</f>
        <v/>
      </c>
      <c r="K8" s="14">
        <f>K6-K7</f>
        <v/>
      </c>
      <c r="L8" s="13">
        <f>SUM(B8:K8)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Metric</t>
        </is>
      </c>
      <c r="B1" s="2" t="inlineStr">
        <is>
          <t>Y1</t>
        </is>
      </c>
      <c r="C1" s="2" t="inlineStr">
        <is>
          <t>Y2</t>
        </is>
      </c>
      <c r="D1" s="2" t="inlineStr">
        <is>
          <t>Y3</t>
        </is>
      </c>
      <c r="E1" s="2" t="inlineStr">
        <is>
          <t>Y4</t>
        </is>
      </c>
      <c r="F1" s="2" t="inlineStr">
        <is>
          <t>Y5</t>
        </is>
      </c>
      <c r="G1" s="2" t="inlineStr">
        <is>
          <t>Y6</t>
        </is>
      </c>
      <c r="H1" s="2" t="inlineStr">
        <is>
          <t>Y7</t>
        </is>
      </c>
      <c r="I1" s="2" t="inlineStr">
        <is>
          <t>Y8</t>
        </is>
      </c>
      <c r="J1" s="2" t="inlineStr">
        <is>
          <t>Y9</t>
        </is>
      </c>
      <c r="K1" s="2" t="inlineStr">
        <is>
          <t>Y10</t>
        </is>
      </c>
      <c r="L1" s="2" t="inlineStr">
        <is>
          <t>Total</t>
        </is>
      </c>
      <c r="N1" s="5" t="inlineStr">
        <is>
          <t>Back to Index</t>
        </is>
      </c>
    </row>
    <row r="2">
      <c r="A2" s="4" t="inlineStr">
        <is>
          <t>Net Fixed Assets</t>
        </is>
      </c>
      <c r="B2" s="14">
        <f>CAPEX_Master!B$7-EBITDA_PnL!B$5</f>
        <v/>
      </c>
      <c r="C2" s="14">
        <f>B2+CAPEX_Master!C$7-EBITDA_PnL!C$5</f>
        <v/>
      </c>
      <c r="D2" s="14">
        <f>C2+CAPEX_Master!D$7-EBITDA_PnL!D$5</f>
        <v/>
      </c>
      <c r="E2" s="14">
        <f>D2+CAPEX_Master!E$7-EBITDA_PnL!E$5</f>
        <v/>
      </c>
      <c r="F2" s="14">
        <f>E2+CAPEX_Master!F$7-EBITDA_PnL!F$5</f>
        <v/>
      </c>
      <c r="G2" s="14">
        <f>F2+CAPEX_Master!G$7-EBITDA_PnL!G$5</f>
        <v/>
      </c>
      <c r="H2" s="14">
        <f>G2+CAPEX_Master!H$7-EBITDA_PnL!H$5</f>
        <v/>
      </c>
      <c r="I2" s="14">
        <f>H2+CAPEX_Master!I$7-EBITDA_PnL!I$5</f>
        <v/>
      </c>
      <c r="J2" s="14">
        <f>I2+CAPEX_Master!J$7-EBITDA_PnL!J$5</f>
        <v/>
      </c>
      <c r="K2" s="14">
        <f>J2+CAPEX_Master!K$7-EBITDA_PnL!K$5</f>
        <v/>
      </c>
      <c r="L2" s="13">
        <f>SUM(B2:K2)</f>
        <v/>
      </c>
    </row>
    <row r="3">
      <c r="A3" s="4" t="inlineStr">
        <is>
          <t>Working Capital</t>
        </is>
      </c>
      <c r="B3" s="14">
        <f>Revenue_Schedule!B$4*Drivers_Assumptions!B$6</f>
        <v/>
      </c>
      <c r="C3" s="14">
        <f>Revenue_Schedule!C$4*Drivers_Assumptions!C$6</f>
        <v/>
      </c>
      <c r="D3" s="14">
        <f>Revenue_Schedule!D$4*Drivers_Assumptions!D$6</f>
        <v/>
      </c>
      <c r="E3" s="14">
        <f>Revenue_Schedule!E$4*Drivers_Assumptions!E$6</f>
        <v/>
      </c>
      <c r="F3" s="14">
        <f>Revenue_Schedule!F$4*Drivers_Assumptions!F$6</f>
        <v/>
      </c>
      <c r="G3" s="14">
        <f>Revenue_Schedule!G$4*Drivers_Assumptions!G$6</f>
        <v/>
      </c>
      <c r="H3" s="14">
        <f>Revenue_Schedule!H$4*Drivers_Assumptions!H$6</f>
        <v/>
      </c>
      <c r="I3" s="14">
        <f>Revenue_Schedule!I$4*Drivers_Assumptions!I$6</f>
        <v/>
      </c>
      <c r="J3" s="14">
        <f>Revenue_Schedule!J$4*Drivers_Assumptions!J$6</f>
        <v/>
      </c>
      <c r="K3" s="14">
        <f>Revenue_Schedule!K$4*Drivers_Assumptions!K$6</f>
        <v/>
      </c>
      <c r="L3" s="13">
        <f>SUM(B3:K3)</f>
        <v/>
      </c>
    </row>
    <row r="4">
      <c r="A4" s="4" t="inlineStr">
        <is>
          <t>Cash</t>
        </is>
      </c>
      <c r="B4" s="14">
        <f>Cash_Flow!B$10</f>
        <v/>
      </c>
      <c r="C4" s="14">
        <f>MAX(0,B4+Cash_Flow!C$10)</f>
        <v/>
      </c>
      <c r="D4" s="14">
        <f>MAX(0,C4+Cash_Flow!D$10)</f>
        <v/>
      </c>
      <c r="E4" s="14">
        <f>MAX(0,D4+Cash_Flow!E$10)</f>
        <v/>
      </c>
      <c r="F4" s="14">
        <f>MAX(0,E4+Cash_Flow!F$10)</f>
        <v/>
      </c>
      <c r="G4" s="14">
        <f>MAX(0,F4+Cash_Flow!G$10)</f>
        <v/>
      </c>
      <c r="H4" s="14">
        <f>MAX(0,G4+Cash_Flow!H$10)</f>
        <v/>
      </c>
      <c r="I4" s="14">
        <f>MAX(0,H4+Cash_Flow!I$10)</f>
        <v/>
      </c>
      <c r="J4" s="14">
        <f>MAX(0,I4+Cash_Flow!J$10)</f>
        <v/>
      </c>
      <c r="K4" s="14">
        <f>MAX(0,J4+Cash_Flow!K$10)</f>
        <v/>
      </c>
      <c r="L4" s="13">
        <f>SUM(B4:K4)</f>
        <v/>
      </c>
    </row>
    <row r="5">
      <c r="A5" s="4" t="inlineStr">
        <is>
          <t>Debt</t>
        </is>
      </c>
      <c r="B5" s="14">
        <f>Debt_Schedule!B$7</f>
        <v/>
      </c>
      <c r="C5" s="14">
        <f>Debt_Schedule!C$7</f>
        <v/>
      </c>
      <c r="D5" s="14">
        <f>Debt_Schedule!D$7</f>
        <v/>
      </c>
      <c r="E5" s="14">
        <f>Debt_Schedule!E$7</f>
        <v/>
      </c>
      <c r="F5" s="14">
        <f>Debt_Schedule!F$7</f>
        <v/>
      </c>
      <c r="G5" s="14">
        <f>Debt_Schedule!G$7</f>
        <v/>
      </c>
      <c r="H5" s="14">
        <f>Debt_Schedule!H$7</f>
        <v/>
      </c>
      <c r="I5" s="14">
        <f>Debt_Schedule!I$7</f>
        <v/>
      </c>
      <c r="J5" s="14">
        <f>Debt_Schedule!J$7</f>
        <v/>
      </c>
      <c r="K5" s="14">
        <f>Debt_Schedule!K$7</f>
        <v/>
      </c>
      <c r="L5" s="13">
        <f>SUM(B5:K5)</f>
        <v/>
      </c>
    </row>
    <row r="6">
      <c r="A6" s="4" t="inlineStr">
        <is>
          <t>Equity</t>
        </is>
      </c>
      <c r="B6" s="14">
        <f>Equity_Grant_Schedule!B$5+EBITDA_PnL!B$8</f>
        <v/>
      </c>
      <c r="C6" s="14">
        <f>B6+Equity_Grant_Schedule!C$5+EBITDA_PnL!C$8</f>
        <v/>
      </c>
      <c r="D6" s="14">
        <f>C6+Equity_Grant_Schedule!D$5+EBITDA_PnL!D$8</f>
        <v/>
      </c>
      <c r="E6" s="14">
        <f>D6+Equity_Grant_Schedule!E$5+EBITDA_PnL!E$8</f>
        <v/>
      </c>
      <c r="F6" s="14">
        <f>E6+Equity_Grant_Schedule!F$5+EBITDA_PnL!F$8</f>
        <v/>
      </c>
      <c r="G6" s="14">
        <f>F6+Equity_Grant_Schedule!G$5+EBITDA_PnL!G$8</f>
        <v/>
      </c>
      <c r="H6" s="14">
        <f>G6+Equity_Grant_Schedule!H$5+EBITDA_PnL!H$8</f>
        <v/>
      </c>
      <c r="I6" s="14">
        <f>H6+Equity_Grant_Schedule!I$5+EBITDA_PnL!I$8</f>
        <v/>
      </c>
      <c r="J6" s="14">
        <f>I6+Equity_Grant_Schedule!J$5+EBITDA_PnL!J$8</f>
        <v/>
      </c>
      <c r="K6" s="14">
        <f>J6+Equity_Grant_Schedule!K$5+EBITDA_PnL!K$8</f>
        <v/>
      </c>
      <c r="L6" s="13">
        <f>SUM(B6:K6)</f>
        <v/>
      </c>
    </row>
    <row r="7">
      <c r="A7" s="4" t="inlineStr">
        <is>
          <t>Check Balance</t>
        </is>
      </c>
      <c r="B7" s="14">
        <f>(B2+B3+B4)-(B5+B6)</f>
        <v/>
      </c>
      <c r="C7" s="14">
        <f>(C2+C3+C4)-(C5+C6)</f>
        <v/>
      </c>
      <c r="D7" s="14">
        <f>(D2+D3+D4)-(D5+D6)</f>
        <v/>
      </c>
      <c r="E7" s="14">
        <f>(E2+E3+E4)-(E5+E6)</f>
        <v/>
      </c>
      <c r="F7" s="14">
        <f>(F2+F3+F4)-(F5+F6)</f>
        <v/>
      </c>
      <c r="G7" s="14">
        <f>(G2+G3+G4)-(G5+G6)</f>
        <v/>
      </c>
      <c r="H7" s="14">
        <f>(H2+H3+H4)-(H5+H6)</f>
        <v/>
      </c>
      <c r="I7" s="14">
        <f>(I2+I3+I4)-(I5+I6)</f>
        <v/>
      </c>
      <c r="J7" s="14">
        <f>(J2+J3+J4)-(J5+J6)</f>
        <v/>
      </c>
      <c r="K7" s="14">
        <f>(K2+K3+K4)-(K5+K6)</f>
        <v/>
      </c>
      <c r="L7" s="13">
        <f>SUM(B7:K7)</f>
        <v/>
      </c>
    </row>
  </sheetData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Status</t>
        </is>
      </c>
      <c r="E1" t="inlineStr">
        <is>
          <t>DSCR by Year</t>
        </is>
      </c>
      <c r="F1" s="15" t="inlineStr">
        <is>
          <t>Y1</t>
        </is>
      </c>
      <c r="G1" s="15" t="inlineStr">
        <is>
          <t>Y2</t>
        </is>
      </c>
      <c r="H1" s="15" t="inlineStr">
        <is>
          <t>Y3</t>
        </is>
      </c>
      <c r="I1" s="15" t="inlineStr">
        <is>
          <t>Y4</t>
        </is>
      </c>
      <c r="J1" s="15" t="inlineStr">
        <is>
          <t>Y5</t>
        </is>
      </c>
      <c r="K1" s="15" t="inlineStr">
        <is>
          <t>Y6</t>
        </is>
      </c>
      <c r="L1" s="15" t="inlineStr">
        <is>
          <t>Y7</t>
        </is>
      </c>
      <c r="M1" s="15" t="inlineStr">
        <is>
          <t>Y8</t>
        </is>
      </c>
      <c r="N1" s="5" t="inlineStr">
        <is>
          <t>Back to Index</t>
        </is>
      </c>
      <c r="O1" s="15" t="inlineStr">
        <is>
          <t>Y10</t>
        </is>
      </c>
    </row>
    <row r="2">
      <c r="A2" s="4" t="inlineStr">
        <is>
          <t>Project IRR</t>
        </is>
      </c>
      <c r="B2" s="16">
        <f>IRR(Cash_Flow!B10:K10)</f>
        <v/>
      </c>
      <c r="C2" s="13">
        <f>IF(B2&gt;=0.15,"PASS","WATCH")</f>
        <v/>
      </c>
      <c r="E2" s="4" t="inlineStr">
        <is>
          <t>CFADS</t>
        </is>
      </c>
      <c r="F2" s="13">
        <f>Cash_Flow!B6</f>
        <v/>
      </c>
      <c r="G2" s="13">
        <f>Cash_Flow!C6</f>
        <v/>
      </c>
      <c r="H2" s="13">
        <f>Cash_Flow!D6</f>
        <v/>
      </c>
      <c r="I2" s="13">
        <f>Cash_Flow!E6</f>
        <v/>
      </c>
      <c r="J2" s="13">
        <f>Cash_Flow!F6</f>
        <v/>
      </c>
      <c r="K2" s="13">
        <f>Cash_Flow!G6</f>
        <v/>
      </c>
      <c r="L2" s="13">
        <f>Cash_Flow!H6</f>
        <v/>
      </c>
      <c r="M2" s="13">
        <f>Cash_Flow!I6</f>
        <v/>
      </c>
      <c r="N2" s="13">
        <f>Cash_Flow!J6</f>
        <v/>
      </c>
      <c r="O2" s="13">
        <f>Cash_Flow!K6</f>
        <v/>
      </c>
    </row>
    <row r="3">
      <c r="A3" s="4" t="inlineStr">
        <is>
          <t>NPV</t>
        </is>
      </c>
      <c r="B3" s="16">
        <f>NPV(Inputs!$C$4,Cash_Flow!C10:K10)+Cash_Flow!B10</f>
        <v/>
      </c>
      <c r="C3" s="13">
        <f>IF(B3&gt;0,"INFO","CHECK")</f>
        <v/>
      </c>
      <c r="E3" s="4" t="inlineStr">
        <is>
          <t>Debt Service</t>
        </is>
      </c>
      <c r="F3" s="13">
        <f>Debt_Schedule!B6</f>
        <v/>
      </c>
      <c r="G3" s="13">
        <f>Debt_Schedule!C6</f>
        <v/>
      </c>
      <c r="H3" s="13">
        <f>Debt_Schedule!D6</f>
        <v/>
      </c>
      <c r="I3" s="13">
        <f>Debt_Schedule!E6</f>
        <v/>
      </c>
      <c r="J3" s="13">
        <f>Debt_Schedule!F6</f>
        <v/>
      </c>
      <c r="K3" s="13">
        <f>Debt_Schedule!G6</f>
        <v/>
      </c>
      <c r="L3" s="13">
        <f>Debt_Schedule!H6</f>
        <v/>
      </c>
      <c r="M3" s="13">
        <f>Debt_Schedule!I6</f>
        <v/>
      </c>
      <c r="N3" s="13">
        <f>Debt_Schedule!J6</f>
        <v/>
      </c>
      <c r="O3" s="13">
        <f>Debt_Schedule!K6</f>
        <v/>
      </c>
    </row>
    <row r="4">
      <c r="A4" s="4" t="inlineStr">
        <is>
          <t>Avg DSCR</t>
        </is>
      </c>
      <c r="B4" s="16">
        <f>AVERAGE(B8:K8)</f>
        <v/>
      </c>
      <c r="C4" s="13">
        <f>IF(B4&gt;=1.30,"PASS","FAIL")</f>
        <v/>
      </c>
      <c r="E4" s="4" t="inlineStr">
        <is>
          <t>DSCR</t>
        </is>
      </c>
      <c r="F4" s="13">
        <f>IFERROR(F2/F3,0)</f>
        <v/>
      </c>
      <c r="G4" s="13">
        <f>IFERROR(G2/G3,0)</f>
        <v/>
      </c>
      <c r="H4" s="13">
        <f>IFERROR(H2/H3,0)</f>
        <v/>
      </c>
      <c r="I4" s="13">
        <f>IFERROR(I2/I3,0)</f>
        <v/>
      </c>
      <c r="J4" s="13">
        <f>IFERROR(J2/J3,0)</f>
        <v/>
      </c>
      <c r="K4" s="13">
        <f>IFERROR(K2/K3,0)</f>
        <v/>
      </c>
      <c r="L4" s="13">
        <f>IFERROR(L2/L3,0)</f>
        <v/>
      </c>
      <c r="M4" s="13">
        <f>IFERROR(M2/M3,0)</f>
        <v/>
      </c>
      <c r="N4" s="13">
        <f>IFERROR(N2/N3,0)</f>
        <v/>
      </c>
      <c r="O4" s="13">
        <f>IFERROR(O2/O3,0)</f>
        <v/>
      </c>
    </row>
    <row r="5">
      <c r="A5" s="4" t="inlineStr">
        <is>
          <t>Min DSCR</t>
        </is>
      </c>
      <c r="B5" s="16">
        <f>MIN(B8:K8)</f>
        <v/>
      </c>
      <c r="C5" s="13">
        <f>IF(B5&gt;=1.15,"PASS","FAIL")</f>
        <v/>
      </c>
    </row>
    <row r="6">
      <c r="A6" s="4" t="inlineStr">
        <is>
          <t>EBITDA Margin Y1</t>
        </is>
      </c>
      <c r="B6" s="16">
        <f>EBITDA_PnL!B4/EBITDA_PnL!B2</f>
        <v/>
      </c>
      <c r="C6" s="13">
        <f>IF(B6&gt;=0.20,"PASS","WATCH")</f>
        <v/>
      </c>
    </row>
  </sheetData>
  <conditionalFormatting sqref="C2:C6">
    <cfRule type="cellIs" priority="1" operator="equal" dxfId="0">
      <formula>"FAIL"</formula>
    </cfRule>
    <cfRule type="cellIs" priority="2" operator="equal" dxfId="1">
      <formula>"WATCH"</formula>
    </cfRule>
    <cfRule type="cellIs" priority="3" operator="equal" dxfId="2">
      <formula>"PASS"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2" customWidth="1" min="4" max="4"/>
    <col width="24" customWidth="1" min="5" max="5"/>
  </cols>
  <sheetData>
    <row r="1">
      <c r="A1" s="2" t="inlineStr">
        <is>
          <t>Check</t>
        </is>
      </c>
      <c r="B1" s="2" t="inlineStr">
        <is>
          <t>Formula / Logic</t>
        </is>
      </c>
      <c r="C1" s="2" t="inlineStr">
        <is>
          <t>Result</t>
        </is>
      </c>
      <c r="D1" s="2" t="inlineStr">
        <is>
          <t>Status</t>
        </is>
      </c>
      <c r="E1" s="2" t="inlineStr">
        <is>
          <t>Comment</t>
        </is>
      </c>
      <c r="N1" s="5" t="inlineStr">
        <is>
          <t>Back to Index</t>
        </is>
      </c>
    </row>
    <row r="2">
      <c r="A2" s="4" t="inlineStr">
        <is>
          <t>Sources equal uses total</t>
        </is>
      </c>
      <c r="B2" s="13">
        <f>Equity_Grant_Schedule!L3+Equity_Grant_Schedule!L4+Equity_Grant_Schedule!L5-Equity_Grant_Schedule!L2</f>
        <v/>
      </c>
      <c r="C2" s="13">
        <f>Equity_Grant_Schedule!L3+Equity_Grant_Schedule!L4+Equity_Grant_Schedule!L5-Equity_Grant_Schedule!L2</f>
        <v/>
      </c>
      <c r="D2" s="13">
        <f>IF(OR(AND(A2="Sources equal uses total",ABS(C2)&lt;0.01),AND(A2="Balance sheet closes total",ABS(C2)&lt;0.01),AND(A2&lt;&gt;"Sources equal uses total",A2&lt;&gt;"Balance sheet closes total",C2&gt;=0)),"PASS","FAIL")</f>
        <v/>
      </c>
      <c r="E2" s="4" t="inlineStr">
        <is>
          <t>Should equal 0</t>
        </is>
      </c>
    </row>
    <row r="3">
      <c r="A3" s="4" t="inlineStr">
        <is>
          <t>Balance sheet closes total</t>
        </is>
      </c>
      <c r="B3" s="13">
        <f>ABS(Balance_Sheet!L7)</f>
        <v/>
      </c>
      <c r="C3" s="13">
        <f>ABS(Balance_Sheet!L7)</f>
        <v/>
      </c>
      <c r="D3" s="13">
        <f>IF(OR(AND(A3="Sources equal uses total",ABS(C3)&lt;0.01),AND(A3="Balance sheet closes total",ABS(C3)&lt;0.01),AND(A3&lt;&gt;"Sources equal uses total",A3&lt;&gt;"Balance sheet closes total",C3&gt;=0)),"PASS","FAIL")</f>
        <v/>
      </c>
      <c r="E3" s="4" t="inlineStr">
        <is>
          <t>Should equal 0</t>
        </is>
      </c>
    </row>
    <row r="4">
      <c r="A4" s="4" t="inlineStr">
        <is>
          <t>Min DSCR threshold</t>
        </is>
      </c>
      <c r="B4" s="13">
        <f>KPIs_Metrics!B5-1.15</f>
        <v/>
      </c>
      <c r="C4" s="13">
        <f>KPIs_Metrics!B5-1.15</f>
        <v/>
      </c>
      <c r="D4" s="13">
        <f>IF(OR(AND(A4="Sources equal uses total",ABS(C4)&lt;0.01),AND(A4="Balance sheet closes total",ABS(C4)&lt;0.01),AND(A4&lt;&gt;"Sources equal uses total",A4&lt;&gt;"Balance sheet closes total",C4&gt;=0)),"PASS","FAIL")</f>
        <v/>
      </c>
      <c r="E4" s="4" t="inlineStr">
        <is>
          <t>Should be &gt;=0</t>
        </is>
      </c>
    </row>
    <row r="5">
      <c r="A5" s="4" t="inlineStr">
        <is>
          <t>No negative closing debt</t>
        </is>
      </c>
      <c r="B5" s="13">
        <f>MIN(Debt_Schedule!B7:K7)</f>
        <v/>
      </c>
      <c r="C5" s="13">
        <f>MIN(Debt_Schedule!B7:K7)</f>
        <v/>
      </c>
      <c r="D5" s="13">
        <f>IF(OR(AND(A5="Sources equal uses total",ABS(C5)&lt;0.01),AND(A5="Balance sheet closes total",ABS(C5)&lt;0.01),AND(A5&lt;&gt;"Sources equal uses total",A5&lt;&gt;"Balance sheet closes total",C5&gt;=0)),"PASS","FAIL")</f>
        <v/>
      </c>
      <c r="E5" s="4" t="inlineStr">
        <is>
          <t>Should be &gt;=0</t>
        </is>
      </c>
    </row>
    <row r="6">
      <c r="A6" s="4" t="inlineStr">
        <is>
          <t>No negative cash</t>
        </is>
      </c>
      <c r="B6" s="13">
        <f>MIN(Balance_Sheet!B4:K4)</f>
        <v/>
      </c>
      <c r="C6" s="13">
        <f>MIN(Balance_Sheet!B4:K4)</f>
        <v/>
      </c>
      <c r="D6" s="13">
        <f>IF(OR(AND(A6="Sources equal uses total",ABS(C6)&lt;0.01),AND(A6="Balance sheet closes total",ABS(C6)&lt;0.01),AND(A6&lt;&gt;"Sources equal uses total",A6&lt;&gt;"Balance sheet closes total",C6&gt;=0)),"PASS","FAIL")</f>
        <v/>
      </c>
      <c r="E6" s="4" t="inlineStr">
        <is>
          <t>Should be &gt;=0</t>
        </is>
      </c>
    </row>
  </sheetData>
  <conditionalFormatting sqref="D2:D6">
    <cfRule type="cellIs" priority="1" operator="equal" dxfId="0">
      <formula>"FAIL"</formula>
    </cfRule>
    <cfRule type="cellIs" priority="2" operator="equal" dxfId="2">
      <formula>"PASS"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2026-03-23T04:32:10Z</dcterms:created>
  <dcterms:modified xmlns:dcterms="http://purl.org/dc/terms/" xmlns:xsi="http://www.w3.org/2001/XMLSchema-instance" xsi:type="dcterms:W3CDTF">2026-03-23T04:32:10Z</dcterms:modified>
</cp:coreProperties>
</file>