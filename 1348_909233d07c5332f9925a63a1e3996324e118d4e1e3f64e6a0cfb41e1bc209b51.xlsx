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GMENT_CANONICAL" sheetId="3" state="visible" r:id="rId3"/>
    <sheet xmlns:r="http://schemas.openxmlformats.org/officeDocument/2006/relationships" name="YEARLY_CAPEX" sheetId="4" state="visible" r:id="rId4"/>
    <sheet xmlns:r="http://schemas.openxmlformats.org/officeDocument/2006/relationships" name="S_CURVE" sheetId="5" state="visible" r:id="rId5"/>
    <sheet xmlns:r="http://schemas.openxmlformats.org/officeDocument/2006/relationships" name="CAPEX_MONTHLY" sheetId="6" state="visible" r:id="rId6"/>
    <sheet xmlns:r="http://schemas.openxmlformats.org/officeDocument/2006/relationships" name="FUNDING_DRAWS" sheetId="7" state="visible" r:id="rId7"/>
    <sheet xmlns:r="http://schemas.openxmlformats.org/officeDocument/2006/relationships" name="DSCR_SCHEDULE" sheetId="8" state="visible" r:id="rId8"/>
    <sheet xmlns:r="http://schemas.openxmlformats.org/officeDocument/2006/relationships" name="MC_SEEDS" sheetId="9" state="hidden" r:id="rId9"/>
    <sheet xmlns:r="http://schemas.openxmlformats.org/officeDocument/2006/relationships" name="MONTE_CARLO" sheetId="10" state="visible" r:id="rId10"/>
    <sheet xmlns:r="http://schemas.openxmlformats.org/officeDocument/2006/relationships" name="DASHBOARD" sheetId="11" state="visible" r:id="rId1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"/>
    <numFmt numFmtId="166" formatCode="0.00x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000FF"/>
    </font>
    <font>
      <color rgb="00000000"/>
    </font>
    <font>
      <color rgb="00008000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6FA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EADCF8"/>
      </patternFill>
    </fill>
    <fill>
      <patternFill patternType="solid">
        <fgColor rgb="00FCE5CD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bottom style="medium">
        <color rgb="001F4E78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5" borderId="0" pivotButton="0" quotePrefix="0" xfId="0"/>
    <xf numFmtId="164" fontId="3" fillId="5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4" fontId="3" fillId="5" borderId="0" pivotButton="0" quotePrefix="0" xfId="0"/>
    <xf numFmtId="165" fontId="4" fillId="0" borderId="0" pivotButton="0" quotePrefix="0" xfId="0"/>
    <xf numFmtId="165" fontId="3" fillId="5" borderId="0" pivotButton="0" quotePrefix="0" xfId="0"/>
    <xf numFmtId="166" fontId="3" fillId="5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2" fillId="0" borderId="2" pivotButton="0" quotePrefix="0" xfId="0"/>
    <xf numFmtId="164" fontId="2" fillId="0" borderId="2" pivotButton="0" quotePrefix="0" xfId="0"/>
    <xf numFmtId="164" fontId="5" fillId="0" borderId="0" pivotButton="0" quotePrefix="0" xfId="0"/>
    <xf numFmtId="17" fontId="4" fillId="0" borderId="0" pivotButton="0" quotePrefix="0" xfId="0"/>
    <xf numFmtId="17" fontId="0" fillId="0" borderId="0" pivotButton="0" quotePrefix="0" xfId="0"/>
    <xf numFmtId="165" fontId="5" fillId="0" borderId="0" pivotButton="0" quotePrefix="0" xfId="0"/>
    <xf numFmtId="1" fontId="4" fillId="0" borderId="0" pivotButton="0" quotePrefix="0" xfId="0"/>
    <xf numFmtId="166" fontId="4" fillId="0" borderId="0" pivotButton="0" quotePrefix="0" xfId="0"/>
    <xf numFmtId="164" fontId="2" fillId="3" borderId="1" applyAlignment="1" pivotButton="0" quotePrefix="0" xfId="0">
      <alignment horizontal="center" vertical="center"/>
    </xf>
    <xf numFmtId="166" fontId="0" fillId="0" borderId="0" pivotButton="0" quotePrefix="0" xfId="0"/>
    <xf numFmtId="165" fontId="0" fillId="0" borderId="0" pivotButton="0" quotePrefix="0" xfId="0"/>
    <xf numFmtId="2" fontId="4" fillId="0" borderId="0" pivotButton="0" quotePrefix="0" xfId="0"/>
    <xf numFmtId="0" fontId="1" fillId="2" borderId="0" pivotButton="0" quotePrefix="0" xfId="0"/>
    <xf numFmtId="164" fontId="6" fillId="6" borderId="0" applyAlignment="1" pivotButton="0" quotePrefix="0" xfId="0">
      <alignment horizontal="center" vertical="center"/>
    </xf>
    <xf numFmtId="164" fontId="6" fillId="7" borderId="0" applyAlignment="1" pivotButton="0" quotePrefix="0" xfId="0">
      <alignment horizontal="center" vertical="center"/>
    </xf>
    <xf numFmtId="164" fontId="6" fillId="5" borderId="0" applyAlignment="1" pivotButton="0" quotePrefix="0" xfId="0">
      <alignment horizontal="center" vertical="center"/>
    </xf>
    <xf numFmtId="166" fontId="6" fillId="8" borderId="0" applyAlignment="1" pivotButton="0" quotePrefix="0" xfId="0">
      <alignment horizontal="center" vertical="center"/>
    </xf>
    <xf numFmtId="164" fontId="6" fillId="8" borderId="0" applyAlignment="1" pivotButton="0" quotePrefix="0" xfId="0">
      <alignment horizontal="center" vertical="center"/>
    </xf>
    <xf numFmtId="165" fontId="6" fillId="8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CAPEX Draw</a:t>
            </a:r>
          </a:p>
        </rich>
      </tx>
    </title>
    <plotArea>
      <lineChart>
        <grouping val="standard"/>
        <ser>
          <idx val="0"/>
          <order val="0"/>
          <tx>
            <strRef>
              <f>'CAPEX_MONTHLY'!F11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'CAPEX_MONTHLY'!$A$13:$A$60</f>
            </numRef>
          </cat>
          <val>
            <numRef>
              <f>'CAPEX_MONTHLY'!$F$12:$F$60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S-Curve by Year</a:t>
            </a:r>
          </a:p>
        </rich>
      </tx>
    </title>
    <plotArea>
      <lineChart>
        <grouping val="standard"/>
        <ser>
          <idx val="0"/>
          <order val="0"/>
          <tx>
            <strRef>
              <f>'S_CURVE'!B18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'S_CURVE'!$A$19:$A$30</f>
            </numRef>
          </cat>
          <val>
            <numRef>
              <f>'S_CURVE'!$B$19:$B$30</f>
            </numRef>
          </val>
        </ser>
        <ser>
          <idx val="1"/>
          <order val="1"/>
          <tx>
            <strRef>
              <f>'S_CURVE'!C18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'S_CURVE'!$A$19:$A$30</f>
            </numRef>
          </cat>
          <val>
            <numRef>
              <f>'S_CURVE'!$C$19:$C$30</f>
            </numRef>
          </val>
        </ser>
        <ser>
          <idx val="2"/>
          <order val="2"/>
          <tx>
            <strRef>
              <f>'S_CURVE'!D18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'S_CURVE'!$A$19:$A$30</f>
            </numRef>
          </cat>
          <val>
            <numRef>
              <f>'S_CURVE'!$D$19:$D$30</f>
            </numRef>
          </val>
        </ser>
        <ser>
          <idx val="3"/>
          <order val="3"/>
          <tx>
            <strRef>
              <f>'S_CURVE'!E18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'S_CURVE'!$A$19:$A$30</f>
            </numRef>
          </cat>
          <val>
            <numRef>
              <f>'S_CURVE'!$E$19:$E$30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Funding Sources by Year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'FUNDING_DRAWS'!C3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'FUNDING_DRAWS'!$A$4:$A$7</f>
            </numRef>
          </cat>
          <val>
            <numRef>
              <f>'FUNDING_DRAWS'!$C$4:$C$7</f>
            </numRef>
          </val>
        </ser>
        <ser>
          <idx val="1"/>
          <order val="1"/>
          <tx>
            <strRef>
              <f>'FUNDING_DRAWS'!D3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'FUNDING_DRAWS'!$A$4:$A$7</f>
            </numRef>
          </cat>
          <val>
            <numRef>
              <f>'FUNDING_DRAWS'!$D$4:$D$7</f>
            </numRef>
          </val>
        </ser>
        <ser>
          <idx val="2"/>
          <order val="2"/>
          <tx>
            <strRef>
              <f>'FUNDING_DRAWS'!E3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'FUNDING_DRAWS'!$A$4:$A$7</f>
            </numRef>
          </cat>
          <val>
            <numRef>
              <f>'FUNDING_DRAWS'!$E$4:$E$7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DSCR by Operating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'DSCR_SCHEDULE'!J9</f>
            </strRef>
          </tx>
          <spPr>
            <a:ln xmlns:a="http://schemas.openxmlformats.org/drawingml/2006/main">
              <a:prstDash val="solid"/>
            </a:ln>
          </spPr>
          <cat>
            <numRef>
              <f>'DSCR_SCHEDULE'!$A$10:$A$21</f>
            </numRef>
          </cat>
          <val>
            <numRef>
              <f>'DSCR_SCHEDULE'!$J$10:$J$21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B13" authorId="0" shapeId="0">
      <text>
        <t>Source: User-provided CAPEX_TIMELINE_001; normalized to canonical segment breakdown.</t>
      </text>
    </comment>
    <comment ref="G13" authorId="0" shapeId="0">
      <text>
        <t>Illustrative leverage split. Replace with lender term sheet.</t>
      </text>
    </comment>
    <comment ref="B14" authorId="0" shapeId="0">
      <text>
        <t>Source: User-provided CAPEX_TIMELINE_001; normalized to canonical segment breakdown.</t>
      </text>
    </comment>
    <comment ref="G14" authorId="0" shapeId="0">
      <text>
        <t>Illustrative sponsor equity share.</t>
      </text>
    </comment>
    <comment ref="B15" authorId="0" shapeId="0">
      <text>
        <t>Source: User-provided CAPEX_TIMELINE_001; normalized to canonical segment breakdown.</t>
      </text>
    </comment>
    <comment ref="G15" authorId="0" shapeId="0">
      <text>
        <t>Illustrative grants share. Adjust for actual eligible CAPEX.</t>
      </text>
    </comment>
    <comment ref="B16" authorId="0" shapeId="0">
      <text>
        <t>Source: User-provided CAPEX_TIMELINE_001; normalized to canonical segment breakdown.</t>
      </text>
    </comment>
    <comment ref="G17" authorId="0" shapeId="0">
      <text>
        <t>Illustrative all-in annual debt rate.</t>
      </text>
    </comment>
    <comment ref="I23" authorId="0" shapeId="0">
      <text>
        <t>Placeholder CFADS for DSCR testing only.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15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30</row>
      <rowOff>0</rowOff>
    </from>
    <ext cx="43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90" customWidth="1" min="3" max="3"/>
  </cols>
  <sheetData>
    <row r="1">
      <c r="A1" s="1" t="inlineStr">
        <is>
          <t>UNI-MAK CANONICAL MEMORY / BANK-GRADE CAPEX MODEL</t>
        </is>
      </c>
    </row>
    <row r="2">
      <c r="A2" s="2" t="inlineStr">
        <is>
          <t>Section</t>
        </is>
      </c>
      <c r="B2" s="2" t="inlineStr">
        <is>
          <t>Value</t>
        </is>
      </c>
      <c r="C2" s="2" t="inlineStr">
        <is>
          <t>Comment</t>
        </is>
      </c>
    </row>
    <row r="3">
      <c r="A3" s="3" t="inlineStr">
        <is>
          <t>Model status</t>
        </is>
      </c>
      <c r="B3" s="4" t="inlineStr">
        <is>
          <t>Working bank-grade model</t>
        </is>
      </c>
      <c r="C3" s="5" t="inlineStr">
        <is>
          <t>Canonical baseline set to segment breakdown total of €67.5m.</t>
        </is>
      </c>
    </row>
    <row r="4">
      <c r="A4" s="3" t="inlineStr">
        <is>
          <t>Workbook purpose</t>
        </is>
      </c>
      <c r="B4" s="4" t="inlineStr">
        <is>
          <t>Working bank-grade model</t>
        </is>
      </c>
      <c r="C4" s="5" t="inlineStr">
        <is>
          <t>Canonical baseline set to annual phasing implied by segment-by-year memory: €68.3m.</t>
        </is>
      </c>
    </row>
    <row r="5">
      <c r="A5" s="3" t="inlineStr">
        <is>
          <t>Core assumptions</t>
        </is>
      </c>
      <c r="B5" s="4" t="inlineStr">
        <is>
          <t>Construction + funding + DSCR + risk</t>
        </is>
      </c>
      <c r="C5" s="5" t="inlineStr">
        <is>
          <t>Supports CAPEX phasing, S-curve monthly cash flow, debt/equity/grant draw schedule, DSCR-ready debt service view, Monte Carlo contingency analytics, and dashboard.</t>
        </is>
      </c>
    </row>
    <row r="6">
      <c r="A6" s="3" t="inlineStr">
        <is>
          <t>Debt structure</t>
        </is>
      </c>
      <c r="B6" s="4" t="inlineStr">
        <is>
          <t>Illustrative</t>
        </is>
      </c>
      <c r="C6" s="5" t="inlineStr">
        <is>
          <t>Debt share 55%, Equity 35%, Grants 10%, interest 7.0%, repayment tenor 8 years, first repayment in 2030. Replace with term sheet once available.</t>
        </is>
      </c>
    </row>
    <row r="7">
      <c r="A7" s="3" t="inlineStr">
        <is>
          <t>CFADS</t>
        </is>
      </c>
      <c r="B7" s="4" t="inlineStr">
        <is>
          <t>Illustrative placeholder</t>
        </is>
      </c>
      <c r="C7" s="5" t="inlineStr">
        <is>
          <t>2030-2037 CFADS assumptions are placeholders for DSCR testing and should be replaced with operating model outputs.</t>
        </is>
      </c>
    </row>
    <row r="8">
      <c r="A8" s="3" t="inlineStr">
        <is>
          <t>Monte Carlo</t>
        </is>
      </c>
      <c r="B8" s="4" t="inlineStr">
        <is>
          <t>500 trials</t>
        </is>
      </c>
      <c r="C8" s="5" t="inlineStr">
        <is>
          <t>Deterministic random seeds are embedded for reproducibility. Excel recalc still works on formulas tied to the seed sheet.</t>
        </is>
      </c>
    </row>
    <row r="12">
      <c r="A12" s="3" t="inlineStr">
        <is>
          <t>Sheet map</t>
        </is>
      </c>
    </row>
    <row r="13">
      <c r="A13" s="2" t="inlineStr">
        <is>
          <t>Sheet</t>
        </is>
      </c>
      <c r="B13" s="2" t="inlineStr">
        <is>
          <t>Use</t>
        </is>
      </c>
    </row>
    <row r="14">
      <c r="A14" s="3" t="inlineStr">
        <is>
          <t>INPUTS</t>
        </is>
      </c>
      <c r="B14" s="6" t="inlineStr">
        <is>
          <t>Project assumptions, annual CAPEX, funding, DSCR, S-curve and Monte Carlo drivers</t>
        </is>
      </c>
    </row>
    <row r="15">
      <c r="A15" s="3" t="inlineStr">
        <is>
          <t>SEGMENT_CANONICAL</t>
        </is>
      </c>
      <c r="B15" s="6" t="inlineStr">
        <is>
          <t>Canonical segment x year memory retained from previous consistency cleanup</t>
        </is>
      </c>
    </row>
    <row r="16">
      <c r="A16" s="3" t="inlineStr">
        <is>
          <t>YEARLY_CAPEX</t>
        </is>
      </c>
      <c r="B16" s="6" t="inlineStr">
        <is>
          <t>Annual phasing and year-over-year profile</t>
        </is>
      </c>
    </row>
    <row r="17">
      <c r="A17" s="3" t="inlineStr">
        <is>
          <t>S_CURVE</t>
        </is>
      </c>
      <c r="B17" s="6" t="inlineStr">
        <is>
          <t>Monthly within-year weights using blended logistic + Gompertz curves</t>
        </is>
      </c>
    </row>
    <row r="18">
      <c r="A18" s="3" t="inlineStr">
        <is>
          <t>CAPEX_MONTHLY</t>
        </is>
      </c>
      <c r="B18" s="6" t="inlineStr">
        <is>
          <t>48-month cash flow profile and cumulative S-curve</t>
        </is>
      </c>
    </row>
    <row r="19">
      <c r="A19" s="3" t="inlineStr">
        <is>
          <t>FUNDING_DRAWS</t>
        </is>
      </c>
      <c r="B19" s="6" t="inlineStr">
        <is>
          <t>Monthly debt/equity/grant schedule with IDC and annual funding summary</t>
        </is>
      </c>
    </row>
    <row r="20">
      <c r="A20" s="3" t="inlineStr">
        <is>
          <t>DSCR_SCHEDULE</t>
        </is>
      </c>
      <c r="B20" s="6" t="inlineStr">
        <is>
          <t>Construction debt bridge into annual debt service / DSCR view</t>
        </is>
      </c>
    </row>
    <row r="21">
      <c r="A21" s="3" t="inlineStr">
        <is>
          <t>MONTE_CARLO</t>
        </is>
      </c>
      <c r="B21" s="6" t="inlineStr">
        <is>
          <t>Contingency stress test with percentile outputs</t>
        </is>
      </c>
    </row>
    <row r="22">
      <c r="A22" s="3" t="inlineStr">
        <is>
          <t>DASHBOARD</t>
        </is>
      </c>
      <c r="B22" s="6" t="inlineStr">
        <is>
          <t>Management control tower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MODEL INPUTS / ASSUMPTIONS</t>
        </is>
      </c>
    </row>
    <row r="3">
      <c r="A3" s="2" t="inlineStr">
        <is>
          <t>Item</t>
        </is>
      </c>
      <c r="B3" s="2" t="inlineStr">
        <is>
          <t>Value</t>
        </is>
      </c>
      <c r="C3" s="2" t="inlineStr">
        <is>
          <t>Units</t>
        </is>
      </c>
      <c r="D3" s="2" t="inlineStr">
        <is>
          <t>Comment</t>
        </is>
      </c>
    </row>
    <row r="4">
      <c r="A4" s="3" t="inlineStr">
        <is>
          <t>Project</t>
        </is>
      </c>
      <c r="B4" s="7" t="inlineStr">
        <is>
          <t>Transformer Plant - Phase Implementation</t>
        </is>
      </c>
      <c r="D4" s="6" t="inlineStr">
        <is>
          <t>User-provided CAPEX_TIMELINE_001.</t>
        </is>
      </c>
    </row>
    <row r="5">
      <c r="A5" s="3" t="inlineStr">
        <is>
          <t>Currency</t>
        </is>
      </c>
      <c r="B5" s="7" t="inlineStr">
        <is>
          <t>EUR</t>
        </is>
      </c>
      <c r="D5" s="6" t="inlineStr">
        <is>
          <t>Presentation currency.</t>
        </is>
      </c>
    </row>
    <row r="6">
      <c r="A6" s="3" t="inlineStr">
        <is>
          <t>Base total CAPEX</t>
        </is>
      </c>
      <c r="B6" s="8">
        <f>SEGMENT_CANONICAL!F16</f>
        <v/>
      </c>
      <c r="C6" t="inlineStr">
        <is>
          <t>EUR</t>
        </is>
      </c>
      <c r="D6" s="6" t="inlineStr">
        <is>
          <t>Canonical baseline from segment breakdown.</t>
        </is>
      </c>
    </row>
    <row r="7">
      <c r="A7" s="3" t="inlineStr">
        <is>
          <t>Base contingency</t>
        </is>
      </c>
      <c r="B7" s="9">
        <f>SEGMENT_CANONICAL!F15</f>
        <v/>
      </c>
      <c r="C7" t="inlineStr">
        <is>
          <t>EUR</t>
        </is>
      </c>
      <c r="D7" s="6" t="inlineStr">
        <is>
          <t>Source: segment breakdown / Contingency total.</t>
        </is>
      </c>
    </row>
    <row r="8">
      <c r="A8" s="3" t="inlineStr">
        <is>
          <t>CAPEX ex contingency</t>
        </is>
      </c>
      <c r="B8" s="9">
        <f>B6-B7</f>
        <v/>
      </c>
      <c r="C8" t="inlineStr">
        <is>
          <t>EUR</t>
        </is>
      </c>
      <c r="D8" s="6" t="inlineStr">
        <is>
          <t>Derived.</t>
        </is>
      </c>
    </row>
    <row r="9">
      <c r="A9" s="3" t="inlineStr">
        <is>
          <t>COD / repayment start</t>
        </is>
      </c>
      <c r="B9" s="7" t="n">
        <v>2030</v>
      </c>
      <c r="C9" t="inlineStr">
        <is>
          <t>Year</t>
        </is>
      </c>
      <c r="D9" s="6" t="inlineStr">
        <is>
          <t>Illustrative; update when term sheet is fixed.</t>
        </is>
      </c>
    </row>
    <row r="12">
      <c r="A12" s="2" t="inlineStr">
        <is>
          <t>Year</t>
        </is>
      </c>
      <c r="B12" s="2" t="inlineStr">
        <is>
          <t>Annual CAPEX</t>
        </is>
      </c>
      <c r="C12" s="2" t="inlineStr">
        <is>
          <t>% of Total</t>
        </is>
      </c>
      <c r="D12" s="2" t="inlineStr">
        <is>
          <t>Comment</t>
        </is>
      </c>
      <c r="F12" s="2" t="inlineStr">
        <is>
          <t>Funding assumption</t>
        </is>
      </c>
      <c r="G12" s="2" t="inlineStr">
        <is>
          <t>Value</t>
        </is>
      </c>
      <c r="H12" s="2" t="inlineStr">
        <is>
          <t>Units</t>
        </is>
      </c>
      <c r="I12" s="2" t="inlineStr">
        <is>
          <t>Comment</t>
        </is>
      </c>
    </row>
    <row r="13">
      <c r="A13" t="n">
        <v>2026</v>
      </c>
      <c r="B13" s="10">
        <f>SEGMENT_CANONICAL!B16</f>
        <v/>
      </c>
      <c r="C13" s="11">
        <f>B13/$B$6</f>
        <v/>
      </c>
      <c r="D13" s="6" t="inlineStr">
        <is>
          <t>Canonical annual phasing from segment-by-year cleanup.</t>
        </is>
      </c>
      <c r="F13" s="3" t="inlineStr">
        <is>
          <t>Debt share</t>
        </is>
      </c>
      <c r="G13" s="12" t="n">
        <v>0.55</v>
      </c>
      <c r="H13" t="inlineStr">
        <is>
          <t>%</t>
        </is>
      </c>
      <c r="I13" s="6" t="inlineStr">
        <is>
          <t>Senior debt share of total CAPEX.</t>
        </is>
      </c>
    </row>
    <row r="14">
      <c r="A14" t="n">
        <v>2027</v>
      </c>
      <c r="B14" s="10">
        <f>SEGMENT_CANONICAL!C16</f>
        <v/>
      </c>
      <c r="C14" s="11">
        <f>B14/$B$6</f>
        <v/>
      </c>
      <c r="D14" s="6" t="inlineStr">
        <is>
          <t>Canonical annual phasing from segment-by-year cleanup.</t>
        </is>
      </c>
      <c r="F14" s="3" t="inlineStr">
        <is>
          <t>Equity share</t>
        </is>
      </c>
      <c r="G14" s="12" t="n">
        <v>0.35</v>
      </c>
      <c r="H14" t="inlineStr">
        <is>
          <t>%</t>
        </is>
      </c>
      <c r="I14" s="6" t="inlineStr">
        <is>
          <t>Sponsor equity share of total CAPEX.</t>
        </is>
      </c>
    </row>
    <row r="15">
      <c r="A15" t="n">
        <v>2028</v>
      </c>
      <c r="B15" s="10">
        <f>SEGMENT_CANONICAL!D16</f>
        <v/>
      </c>
      <c r="C15" s="11">
        <f>B15/$B$6</f>
        <v/>
      </c>
      <c r="D15" s="6" t="inlineStr">
        <is>
          <t>Canonical annual phasing from segment-by-year cleanup.</t>
        </is>
      </c>
      <c r="F15" s="3" t="inlineStr">
        <is>
          <t>Grant share</t>
        </is>
      </c>
      <c r="G15" s="12" t="n">
        <v>0.1</v>
      </c>
      <c r="H15" t="inlineStr">
        <is>
          <t>%</t>
        </is>
      </c>
      <c r="I15" s="6" t="inlineStr">
        <is>
          <t>Grant share of total CAPEX.</t>
        </is>
      </c>
    </row>
    <row r="16">
      <c r="A16" t="n">
        <v>2029</v>
      </c>
      <c r="B16" s="10">
        <f>SEGMENT_CANONICAL!E16</f>
        <v/>
      </c>
      <c r="C16" s="11">
        <f>B16/$B$6</f>
        <v/>
      </c>
      <c r="D16" s="6" t="inlineStr">
        <is>
          <t>Canonical annual phasing from segment-by-year cleanup.</t>
        </is>
      </c>
      <c r="F16" s="3" t="inlineStr">
        <is>
          <t>Funding share check</t>
        </is>
      </c>
      <c r="G16" s="11">
        <f>SUM(G13:G15)</f>
        <v/>
      </c>
      <c r="H16" t="inlineStr">
        <is>
          <t>%</t>
        </is>
      </c>
      <c r="I16" s="6" t="inlineStr">
        <is>
          <t>Must equal 100.0%.</t>
        </is>
      </c>
    </row>
    <row r="17">
      <c r="F17" s="3" t="inlineStr">
        <is>
          <t>Annual debt interest</t>
        </is>
      </c>
      <c r="G17" s="12" t="n">
        <v>0.07000000000000001</v>
      </c>
      <c r="H17" t="inlineStr">
        <is>
          <t>%</t>
        </is>
      </c>
      <c r="I17" s="6" t="inlineStr">
        <is>
          <t>Construction and operating debt rate.</t>
        </is>
      </c>
    </row>
    <row r="18">
      <c r="F18" s="3" t="inlineStr">
        <is>
          <t>Repayment tenor</t>
        </is>
      </c>
      <c r="G18" s="7" t="n">
        <v>8</v>
      </c>
      <c r="H18" t="inlineStr">
        <is>
          <t>Years</t>
        </is>
      </c>
      <c r="I18" s="6" t="inlineStr">
        <is>
          <t>Fixed annuity assumption.</t>
        </is>
      </c>
    </row>
    <row r="19">
      <c r="F19" s="3" t="inlineStr">
        <is>
          <t>Minimum DSCR</t>
        </is>
      </c>
      <c r="G19" s="13" t="n">
        <v>1.25</v>
      </c>
      <c r="H19" t="inlineStr">
        <is>
          <t>x</t>
        </is>
      </c>
      <c r="I19" s="6" t="inlineStr">
        <is>
          <t>Bank covenant test.</t>
        </is>
      </c>
    </row>
    <row r="22">
      <c r="A22" s="2" t="inlineStr">
        <is>
          <t>Year</t>
        </is>
      </c>
      <c r="B22" s="2" t="inlineStr">
        <is>
          <t>Blend α</t>
        </is>
      </c>
      <c r="C22" s="2" t="inlineStr">
        <is>
          <t>Logistic k</t>
        </is>
      </c>
      <c r="D22" s="2" t="inlineStr">
        <is>
          <t>Logistic x0</t>
        </is>
      </c>
      <c r="E22" s="2" t="inlineStr">
        <is>
          <t>Gompertz b</t>
        </is>
      </c>
      <c r="F22" s="2" t="inlineStr">
        <is>
          <t>Gompertz c</t>
        </is>
      </c>
      <c r="H22" s="2" t="inlineStr">
        <is>
          <t>Ops Year</t>
        </is>
      </c>
      <c r="I22" s="2" t="inlineStr">
        <is>
          <t>CFADS</t>
        </is>
      </c>
      <c r="J22" s="2" t="inlineStr">
        <is>
          <t>Comment</t>
        </is>
      </c>
    </row>
    <row r="23">
      <c r="A23" s="3" t="n">
        <v>2026</v>
      </c>
      <c r="B23" s="12" t="n">
        <v>0.45</v>
      </c>
      <c r="C23" s="7" t="n">
        <v>0.65</v>
      </c>
      <c r="D23" s="7" t="n">
        <v>7</v>
      </c>
      <c r="E23" s="7" t="n">
        <v>0.42</v>
      </c>
      <c r="F23" s="7" t="n">
        <v>7.8</v>
      </c>
      <c r="H23" s="3" t="n">
        <v>2030</v>
      </c>
      <c r="I23" s="10" t="n">
        <v>7000000</v>
      </c>
      <c r="J23" s="6" t="inlineStr">
        <is>
          <t>Illustrative placeholder; replace with operating model.</t>
        </is>
      </c>
    </row>
    <row r="24">
      <c r="A24" s="3" t="n">
        <v>2027</v>
      </c>
      <c r="B24" s="12" t="n">
        <v>0.6</v>
      </c>
      <c r="C24" s="7" t="n">
        <v>0.8</v>
      </c>
      <c r="D24" s="7" t="n">
        <v>6</v>
      </c>
      <c r="E24" s="7" t="n">
        <v>0.55</v>
      </c>
      <c r="F24" s="7" t="n">
        <v>6</v>
      </c>
      <c r="H24" s="3" t="n">
        <v>2031</v>
      </c>
      <c r="I24" s="10" t="n">
        <v>8500000</v>
      </c>
      <c r="J24" s="6" t="inlineStr">
        <is>
          <t>Illustrative placeholder; replace with operating model.</t>
        </is>
      </c>
    </row>
    <row r="25">
      <c r="A25" s="3" t="n">
        <v>2028</v>
      </c>
      <c r="B25" s="12" t="n">
        <v>0.35</v>
      </c>
      <c r="C25" s="7" t="n">
        <v>0.7</v>
      </c>
      <c r="D25" s="7" t="n">
        <v>7</v>
      </c>
      <c r="E25" s="7" t="n">
        <v>0.5</v>
      </c>
      <c r="F25" s="7" t="n">
        <v>7.5</v>
      </c>
      <c r="H25" s="3" t="n">
        <v>2032</v>
      </c>
      <c r="I25" s="10" t="n">
        <v>10500000</v>
      </c>
      <c r="J25" s="6" t="inlineStr">
        <is>
          <t>Illustrative placeholder; replace with operating model.</t>
        </is>
      </c>
    </row>
    <row r="26">
      <c r="A26" s="3" t="n">
        <v>2029</v>
      </c>
      <c r="B26" s="12" t="n">
        <v>0.5</v>
      </c>
      <c r="C26" s="7" t="n">
        <v>0.75</v>
      </c>
      <c r="D26" s="7" t="n">
        <v>6.5</v>
      </c>
      <c r="E26" s="7" t="n">
        <v>0.5</v>
      </c>
      <c r="F26" s="7" t="n">
        <v>7</v>
      </c>
      <c r="H26" s="3" t="n">
        <v>2033</v>
      </c>
      <c r="I26" s="10" t="n">
        <v>12000000</v>
      </c>
      <c r="J26" s="6" t="inlineStr">
        <is>
          <t>Illustrative placeholder; replace with operating model.</t>
        </is>
      </c>
    </row>
    <row r="27">
      <c r="H27" s="3" t="n">
        <v>2034</v>
      </c>
      <c r="I27" s="10" t="n">
        <v>13500000</v>
      </c>
      <c r="J27" s="6" t="inlineStr">
        <is>
          <t>Illustrative placeholder; replace with operating model.</t>
        </is>
      </c>
    </row>
    <row r="28">
      <c r="H28" s="3" t="n">
        <v>2035</v>
      </c>
      <c r="I28" s="10" t="n">
        <v>14500000</v>
      </c>
      <c r="J28" s="6" t="inlineStr">
        <is>
          <t>Illustrative placeholder; replace with operating model.</t>
        </is>
      </c>
    </row>
    <row r="29">
      <c r="H29" s="3" t="n">
        <v>2036</v>
      </c>
      <c r="I29" s="10" t="n">
        <v>15000000</v>
      </c>
      <c r="J29" s="6" t="inlineStr">
        <is>
          <t>Illustrative placeholder; replace with operating model.</t>
        </is>
      </c>
    </row>
    <row r="30">
      <c r="H30" s="3" t="n">
        <v>2037</v>
      </c>
      <c r="I30" s="10" t="n">
        <v>15000000</v>
      </c>
      <c r="J30" s="6" t="inlineStr">
        <is>
          <t>Illustrative placeholder; replace with operating model.</t>
        </is>
      </c>
    </row>
    <row r="32">
      <c r="F32" s="2" t="inlineStr">
        <is>
          <t>Monte Carlo input</t>
        </is>
      </c>
      <c r="G32" s="2" t="inlineStr">
        <is>
          <t>Value</t>
        </is>
      </c>
      <c r="H32" s="2" t="inlineStr">
        <is>
          <t>Units</t>
        </is>
      </c>
      <c r="I32" s="2" t="inlineStr">
        <is>
          <t>Comment</t>
        </is>
      </c>
    </row>
    <row r="33">
      <c r="F33" s="3" t="inlineStr">
        <is>
          <t>Trials</t>
        </is>
      </c>
      <c r="G33" s="7" t="n">
        <v>500</v>
      </c>
      <c r="H33" t="inlineStr">
        <is>
          <t>count</t>
        </is>
      </c>
      <c r="I33" s="6" t="inlineStr">
        <is>
          <t>Deterministic seeds embedded in hidden sheet.</t>
        </is>
      </c>
    </row>
    <row r="34">
      <c r="F34" s="3" t="inlineStr">
        <is>
          <t>Delay max months</t>
        </is>
      </c>
      <c r="G34" s="7" t="n">
        <v>6</v>
      </c>
      <c r="H34" t="inlineStr">
        <is>
          <t>months</t>
        </is>
      </c>
      <c r="I34" s="6" t="inlineStr">
        <is>
          <t>Permit / contractor delay stress.</t>
        </is>
      </c>
    </row>
    <row r="35">
      <c r="F35" s="3" t="inlineStr">
        <is>
          <t>Delay cost / month</t>
        </is>
      </c>
      <c r="G35" s="12" t="n">
        <v>0.0035</v>
      </c>
      <c r="H35" t="inlineStr">
        <is>
          <t>%</t>
        </is>
      </c>
      <c r="I35" s="6" t="inlineStr">
        <is>
          <t>Applies to civil exposure.</t>
        </is>
      </c>
    </row>
    <row r="36">
      <c r="F36" s="3" t="inlineStr">
        <is>
          <t>Materials mean shock</t>
        </is>
      </c>
      <c r="G36" s="12" t="n">
        <v>0.04</v>
      </c>
      <c r="H36" t="inlineStr">
        <is>
          <t>%</t>
        </is>
      </c>
      <c r="I36" s="6" t="inlineStr">
        <is>
          <t>Normal shock mean.</t>
        </is>
      </c>
    </row>
    <row r="37">
      <c r="F37" s="3" t="inlineStr">
        <is>
          <t>Materials std dev</t>
        </is>
      </c>
      <c r="G37" s="12" t="n">
        <v>0.03</v>
      </c>
      <c r="H37" t="inlineStr">
        <is>
          <t>%</t>
        </is>
      </c>
      <c r="I37" s="6" t="inlineStr">
        <is>
          <t>Normal shock sigma.</t>
        </is>
      </c>
    </row>
    <row r="38">
      <c r="F38" s="3" t="inlineStr">
        <is>
          <t>Lead-time event probability</t>
        </is>
      </c>
      <c r="G38" s="12" t="n">
        <v>0.3</v>
      </c>
      <c r="H38" t="inlineStr">
        <is>
          <t>%</t>
        </is>
      </c>
      <c r="I38" s="6" t="inlineStr">
        <is>
          <t>Equipment procurement event.</t>
        </is>
      </c>
    </row>
    <row r="39">
      <c r="F39" s="3" t="inlineStr">
        <is>
          <t>Lead-time event impact</t>
        </is>
      </c>
      <c r="G39" s="12" t="n">
        <v>0.06</v>
      </c>
      <c r="H39" t="inlineStr">
        <is>
          <t>%</t>
        </is>
      </c>
      <c r="I39" s="6" t="inlineStr">
        <is>
          <t>Applies to equipment exposure.</t>
        </is>
      </c>
    </row>
    <row r="40">
      <c r="F40" s="3" t="inlineStr">
        <is>
          <t>Commissioning probability</t>
        </is>
      </c>
      <c r="G40" s="12" t="n">
        <v>0.25</v>
      </c>
      <c r="H40" t="inlineStr">
        <is>
          <t>%</t>
        </is>
      </c>
      <c r="I40" s="6" t="inlineStr">
        <is>
          <t>Commissioning event.</t>
        </is>
      </c>
    </row>
    <row r="41">
      <c r="F41" s="3" t="inlineStr">
        <is>
          <t>Commissioning impact</t>
        </is>
      </c>
      <c r="G41" s="12" t="n">
        <v>0.04</v>
      </c>
      <c r="H41" t="inlineStr">
        <is>
          <t>%</t>
        </is>
      </c>
      <c r="I41" s="6" t="inlineStr">
        <is>
          <t>Applies to commissioning exposure.</t>
        </is>
      </c>
    </row>
    <row r="42">
      <c r="F42" s="3" t="inlineStr">
        <is>
          <t>Civil exposure</t>
        </is>
      </c>
      <c r="G42" s="12" t="n">
        <v>0.35</v>
      </c>
      <c r="H42" t="inlineStr">
        <is>
          <t>%</t>
        </is>
      </c>
      <c r="I42" s="6" t="inlineStr">
        <is>
          <t>Share of CAPEX exposed to civil risk.</t>
        </is>
      </c>
    </row>
    <row r="43">
      <c r="F43" s="3" t="inlineStr">
        <is>
          <t>Equipment exposure</t>
        </is>
      </c>
      <c r="G43" s="12" t="n">
        <v>0.4</v>
      </c>
      <c r="H43" t="inlineStr">
        <is>
          <t>%</t>
        </is>
      </c>
      <c r="I43" s="6" t="inlineStr">
        <is>
          <t>Share of CAPEX exposed to equipment risk.</t>
        </is>
      </c>
    </row>
    <row r="44">
      <c r="F44" s="3" t="inlineStr">
        <is>
          <t>Commissioning exposure</t>
        </is>
      </c>
      <c r="G44" s="12" t="n">
        <v>0.1</v>
      </c>
      <c r="H44" t="inlineStr">
        <is>
          <t>%</t>
        </is>
      </c>
      <c r="I44" s="6" t="inlineStr">
        <is>
          <t>Share of CAPEX exposed to commissioning risk.</t>
        </is>
      </c>
    </row>
    <row r="46">
      <c r="F46" s="3" t="inlineStr">
        <is>
          <t>Funding share status</t>
        </is>
      </c>
      <c r="G46" s="14">
        <f>IF(ABS(G16-1)&lt;0.0001,"OK","ERROR")</f>
        <v/>
      </c>
    </row>
    <row r="47">
      <c r="F47" s="3" t="inlineStr">
        <is>
          <t>Canonical total check</t>
        </is>
      </c>
      <c r="G47" s="14">
        <f>IF(B6=SEGMENT_CANONICAL!F16,"OK","CHECK")</f>
        <v/>
      </c>
    </row>
  </sheetData>
  <mergeCells count="1">
    <mergeCell ref="A1:J1"/>
  </mergeCells>
  <conditionalFormatting sqref="G46:G47">
    <cfRule type="cellIs" priority="1" operator="equal" dxfId="0">
      <formula>"ERROR"</formula>
    </cfRule>
    <cfRule type="cellIs" priority="2" operator="equal" dxfId="1">
      <formula>"CHECK"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CANONICAL SEGMENT PHASING MEMORY</t>
        </is>
      </c>
    </row>
    <row r="3">
      <c r="A3" s="2" t="inlineStr">
        <is>
          <t>Segment</t>
        </is>
      </c>
      <c r="B3" s="2" t="inlineStr">
        <is>
          <t>2026</t>
        </is>
      </c>
      <c r="C3" s="2" t="inlineStr">
        <is>
          <t>2027</t>
        </is>
      </c>
      <c r="D3" s="2" t="inlineStr">
        <is>
          <t>2028</t>
        </is>
      </c>
      <c r="E3" s="2" t="inlineStr">
        <is>
          <t>2029</t>
        </is>
      </c>
      <c r="F3" s="2" t="inlineStr">
        <is>
          <t>Total</t>
        </is>
      </c>
      <c r="G3" s="2" t="inlineStr">
        <is>
          <t>Comment</t>
        </is>
      </c>
    </row>
    <row r="4">
      <c r="A4" s="3" t="inlineStr">
        <is>
          <t>Civil works</t>
        </is>
      </c>
      <c r="B4" s="10" t="n">
        <v>1000000</v>
      </c>
      <c r="C4" s="10" t="n">
        <v>14000000</v>
      </c>
      <c r="D4" s="10" t="n">
        <v>2000000</v>
      </c>
      <c r="E4" s="10" t="n">
        <v>1255000</v>
      </c>
      <c r="F4" s="15">
        <f>SUM(B4:E4)</f>
        <v/>
      </c>
      <c r="G4" s="6" t="inlineStr">
        <is>
          <t>Canonical memory retained from segment-led normalization.</t>
        </is>
      </c>
    </row>
    <row r="5">
      <c r="A5" s="3" t="inlineStr">
        <is>
          <t>Production equipment</t>
        </is>
      </c>
      <c r="B5" s="10" t="n">
        <v>0</v>
      </c>
      <c r="C5" s="10" t="n">
        <v>0</v>
      </c>
      <c r="D5" s="10" t="n">
        <v>8000000</v>
      </c>
      <c r="E5" s="10" t="n">
        <v>2000000</v>
      </c>
      <c r="F5" s="15">
        <f>SUM(B5:E5)</f>
        <v/>
      </c>
      <c r="G5" s="6" t="inlineStr">
        <is>
          <t>Canonical memory retained from segment-led normalization.</t>
        </is>
      </c>
    </row>
    <row r="6">
      <c r="A6" s="3" t="inlineStr">
        <is>
          <t>Testing hall</t>
        </is>
      </c>
      <c r="B6" s="10" t="n">
        <v>0</v>
      </c>
      <c r="C6" s="10" t="n">
        <v>0</v>
      </c>
      <c r="D6" s="10" t="n">
        <v>4000000</v>
      </c>
      <c r="E6" s="10" t="n">
        <v>1000000</v>
      </c>
      <c r="F6" s="15">
        <f>SUM(B6:E6)</f>
        <v/>
      </c>
      <c r="G6" s="6" t="inlineStr">
        <is>
          <t>Canonical memory retained from segment-led normalization.</t>
        </is>
      </c>
    </row>
    <row r="7">
      <c r="A7" s="3" t="inlineStr">
        <is>
          <t>Drying systems</t>
        </is>
      </c>
      <c r="B7" s="10" t="n">
        <v>0</v>
      </c>
      <c r="C7" s="10" t="n">
        <v>0</v>
      </c>
      <c r="D7" s="10" t="n">
        <v>1500000</v>
      </c>
      <c r="E7" s="10" t="n">
        <v>500000</v>
      </c>
      <c r="F7" s="15">
        <f>SUM(B7:E7)</f>
        <v/>
      </c>
      <c r="G7" s="6" t="inlineStr">
        <is>
          <t>Canonical memory retained from segment-led normalization.</t>
        </is>
      </c>
    </row>
    <row r="8">
      <c r="A8" s="3" t="inlineStr">
        <is>
          <t>Utilities</t>
        </is>
      </c>
      <c r="B8" s="10" t="n">
        <v>0</v>
      </c>
      <c r="C8" s="10" t="n">
        <v>2000000</v>
      </c>
      <c r="D8" s="10" t="n">
        <v>2000000</v>
      </c>
      <c r="E8" s="10" t="n">
        <v>625000</v>
      </c>
      <c r="F8" s="15">
        <f>SUM(B8:E8)</f>
        <v/>
      </c>
      <c r="G8" s="6" t="inlineStr">
        <is>
          <t>Canonical memory retained from segment-led normalization.</t>
        </is>
      </c>
    </row>
    <row r="9">
      <c r="A9" s="3" t="inlineStr">
        <is>
          <t>Logistics</t>
        </is>
      </c>
      <c r="B9" s="10" t="n">
        <v>0</v>
      </c>
      <c r="C9" s="10" t="n">
        <v>3000000</v>
      </c>
      <c r="D9" s="10" t="n">
        <v>10000000</v>
      </c>
      <c r="E9" s="10" t="n">
        <v>2445000</v>
      </c>
      <c r="F9" s="15">
        <f>SUM(B9:E9)</f>
        <v/>
      </c>
      <c r="G9" s="6" t="inlineStr">
        <is>
          <t>Canonical memory retained from segment-led normalization.</t>
        </is>
      </c>
    </row>
    <row r="10">
      <c r="A10" s="3" t="inlineStr">
        <is>
          <t>IT</t>
        </is>
      </c>
      <c r="B10" s="10" t="n">
        <v>100000</v>
      </c>
      <c r="C10" s="10" t="n">
        <v>200000</v>
      </c>
      <c r="D10" s="10" t="n">
        <v>1500000</v>
      </c>
      <c r="E10" s="10" t="n">
        <v>292000</v>
      </c>
      <c r="F10" s="15">
        <f>SUM(B10:E10)</f>
        <v/>
      </c>
      <c r="G10" s="6" t="inlineStr">
        <is>
          <t>Canonical memory retained from segment-led normalization.</t>
        </is>
      </c>
    </row>
    <row r="11">
      <c r="A11" s="3" t="inlineStr">
        <is>
          <t>Engineering</t>
        </is>
      </c>
      <c r="B11" s="10" t="n">
        <v>625000</v>
      </c>
      <c r="C11" s="10" t="n">
        <v>0</v>
      </c>
      <c r="D11" s="10" t="n">
        <v>0</v>
      </c>
      <c r="E11" s="10" t="n">
        <v>0</v>
      </c>
      <c r="F11" s="15">
        <f>SUM(B11:E11)</f>
        <v/>
      </c>
      <c r="G11" s="6" t="inlineStr">
        <is>
          <t>Canonical memory retained from segment-led normalization.</t>
        </is>
      </c>
    </row>
    <row r="12">
      <c r="A12" s="3" t="inlineStr">
        <is>
          <t>Project management</t>
        </is>
      </c>
      <c r="B12" s="10" t="n">
        <v>500000</v>
      </c>
      <c r="C12" s="10" t="n">
        <v>500000</v>
      </c>
      <c r="D12" s="10" t="n">
        <v>500000</v>
      </c>
      <c r="E12" s="10" t="n">
        <v>500000</v>
      </c>
      <c r="F12" s="15">
        <f>SUM(B12:E12)</f>
        <v/>
      </c>
      <c r="G12" s="6" t="inlineStr">
        <is>
          <t>Canonical memory retained from segment-led normalization.</t>
        </is>
      </c>
    </row>
    <row r="13">
      <c r="A13" s="3" t="inlineStr">
        <is>
          <t>Renewables</t>
        </is>
      </c>
      <c r="B13" s="10" t="n">
        <v>0</v>
      </c>
      <c r="C13" s="10" t="n">
        <v>0</v>
      </c>
      <c r="D13" s="10" t="n">
        <v>1000000</v>
      </c>
      <c r="E13" s="10" t="n">
        <v>0</v>
      </c>
      <c r="F13" s="15">
        <f>SUM(B13:E13)</f>
        <v/>
      </c>
      <c r="G13" s="6" t="inlineStr">
        <is>
          <t>Canonical memory retained from segment-led normalization.</t>
        </is>
      </c>
    </row>
    <row r="14">
      <c r="A14" s="3" t="inlineStr">
        <is>
          <t>QA / transport / security</t>
        </is>
      </c>
      <c r="B14" s="10" t="n">
        <v>0</v>
      </c>
      <c r="C14" s="10" t="n">
        <v>0</v>
      </c>
      <c r="D14" s="10" t="n">
        <v>500000</v>
      </c>
      <c r="E14" s="10" t="n">
        <v>1500000</v>
      </c>
      <c r="F14" s="15">
        <f>SUM(B14:E14)</f>
        <v/>
      </c>
      <c r="G14" s="6" t="inlineStr">
        <is>
          <t>Canonical memory retained from segment-led normalization.</t>
        </is>
      </c>
    </row>
    <row r="15">
      <c r="A15" s="3" t="inlineStr">
        <is>
          <t>Contingency</t>
        </is>
      </c>
      <c r="B15" s="10" t="n">
        <v>1000000</v>
      </c>
      <c r="C15" s="10" t="n">
        <v>3000000</v>
      </c>
      <c r="D15" s="10" t="n">
        <v>1000000</v>
      </c>
      <c r="E15" s="10" t="n">
        <v>258000</v>
      </c>
      <c r="F15" s="15">
        <f>SUM(B15:E15)</f>
        <v/>
      </c>
      <c r="G15" s="6" t="inlineStr">
        <is>
          <t>Canonical memory retained from segment-led normalization.</t>
        </is>
      </c>
    </row>
    <row r="16">
      <c r="A16" s="16" t="inlineStr">
        <is>
          <t>TOTAL</t>
        </is>
      </c>
      <c r="B16" s="17">
        <f>SUM(B4:B15)</f>
        <v/>
      </c>
      <c r="C16" s="17">
        <f>SUM(C4:C15)</f>
        <v/>
      </c>
      <c r="D16" s="17">
        <f>SUM(D4:D15)</f>
        <v/>
      </c>
      <c r="E16" s="17">
        <f>SUM(E4:E15)</f>
        <v/>
      </c>
      <c r="F16" s="17">
        <f>SUM(F4:F15)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CAPEX PHASING</t>
        </is>
      </c>
    </row>
    <row r="3">
      <c r="A3" s="2" t="inlineStr">
        <is>
          <t>Year</t>
        </is>
      </c>
      <c r="B3" s="2" t="inlineStr">
        <is>
          <t>Annual CAPEX</t>
        </is>
      </c>
      <c r="C3" s="2" t="inlineStr">
        <is>
          <t>% Total</t>
        </is>
      </c>
      <c r="D3" s="2" t="inlineStr">
        <is>
          <t>YoY Change</t>
        </is>
      </c>
      <c r="E3" s="2" t="inlineStr">
        <is>
          <t>Cumulative CAPEX</t>
        </is>
      </c>
      <c r="F3" s="2" t="inlineStr">
        <is>
          <t>Cumulative %</t>
        </is>
      </c>
    </row>
    <row r="4">
      <c r="A4" s="3" t="n">
        <v>2026</v>
      </c>
      <c r="B4" s="18">
        <f>INDEX(INPUTS!$B$13:$B$16,MATCH(A4,INPUTS!$A$13:$A$16,0))</f>
        <v/>
      </c>
      <c r="C4" s="11">
        <f>B4/INPUTS!$B$6</f>
        <v/>
      </c>
      <c r="D4" s="11" t="inlineStr"/>
      <c r="E4" s="15">
        <f>SUM($B$4:B4)</f>
        <v/>
      </c>
      <c r="F4" s="11">
        <f>E4/INPUTS!$B$6</f>
        <v/>
      </c>
    </row>
    <row r="5">
      <c r="A5" s="3" t="n">
        <v>2027</v>
      </c>
      <c r="B5" s="18">
        <f>INDEX(INPUTS!$B$13:$B$16,MATCH(A5,INPUTS!$A$13:$A$16,0))</f>
        <v/>
      </c>
      <c r="C5" s="11">
        <f>B5/INPUTS!$B$6</f>
        <v/>
      </c>
      <c r="D5" s="11">
        <f>B5/B4-1</f>
        <v/>
      </c>
      <c r="E5" s="15">
        <f>SUM($B$4:B5)</f>
        <v/>
      </c>
      <c r="F5" s="11">
        <f>E5/INPUTS!$B$6</f>
        <v/>
      </c>
    </row>
    <row r="6">
      <c r="A6" s="3" t="n">
        <v>2028</v>
      </c>
      <c r="B6" s="18">
        <f>INDEX(INPUTS!$B$13:$B$16,MATCH(A6,INPUTS!$A$13:$A$16,0))</f>
        <v/>
      </c>
      <c r="C6" s="11">
        <f>B6/INPUTS!$B$6</f>
        <v/>
      </c>
      <c r="D6" s="11">
        <f>B6/B5-1</f>
        <v/>
      </c>
      <c r="E6" s="15">
        <f>SUM($B$4:B6)</f>
        <v/>
      </c>
      <c r="F6" s="11">
        <f>E6/INPUTS!$B$6</f>
        <v/>
      </c>
    </row>
    <row r="7">
      <c r="A7" s="3" t="n">
        <v>2029</v>
      </c>
      <c r="B7" s="18">
        <f>INDEX(INPUTS!$B$13:$B$16,MATCH(A7,INPUTS!$A$13:$A$16,0))</f>
        <v/>
      </c>
      <c r="C7" s="11">
        <f>B7/INPUTS!$B$6</f>
        <v/>
      </c>
      <c r="D7" s="11">
        <f>B7/B6-1</f>
        <v/>
      </c>
      <c r="E7" s="15">
        <f>SUM($B$4:B7)</f>
        <v/>
      </c>
      <c r="F7" s="11">
        <f>E7/INPUTS!$B$6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BLENDED MONTHLY CAPEX S-CURVE (LOGISTIC + GOMPERTZ)</t>
        </is>
      </c>
    </row>
    <row r="3">
      <c r="A3" s="2" t="inlineStr">
        <is>
          <t>Month #</t>
        </is>
      </c>
      <c r="B3" s="2" t="n">
        <v>2026</v>
      </c>
      <c r="C3" s="2" t="n">
        <v>2027</v>
      </c>
      <c r="D3" s="2" t="n">
        <v>2028</v>
      </c>
      <c r="E3" s="2" t="n">
        <v>2029</v>
      </c>
    </row>
    <row r="4">
      <c r="A4" t="n">
        <v>1</v>
      </c>
      <c r="B4" s="11">
        <f>(INPUTS!$B$23*(((1/(1+EXP(-INPUTS!$C$23*(1-INPUTS!$D$23))))-(1/(1+EXP(-INPUTS!$C$23*(0-INPUTS!$D$23)))))/((1/(1+EXP(-INPUTS!$C$23*(12-INPUTS!$D$23))))-(1/(1+EXP(-INPUTS!$C$23*(0-INPUTS!$D$23))))))+(1-INPUTS!$B$23)*(((EXP(-EXP(-INPUTS!$E$23*(1-INPUTS!$F$23))))-(EXP(-EXP(-INPUTS!$E$23*(0-INPUTS!$F$23)))))/((EXP(-EXP(-INPUTS!$E$23*(12-INPUTS!$F$23))))-(EXP(-EXP(-INPUTS!$E$23*(0-INPUTS!$F$23)))))))</f>
        <v/>
      </c>
      <c r="C4" s="11">
        <f>(INPUTS!$B$24*(((1/(1+EXP(-INPUTS!$C$24*(1-INPUTS!$D$24))))-(1/(1+EXP(-INPUTS!$C$24*(0-INPUTS!$D$24)))))/((1/(1+EXP(-INPUTS!$C$24*(12-INPUTS!$D$24))))-(1/(1+EXP(-INPUTS!$C$24*(0-INPUTS!$D$24))))))+(1-INPUTS!$B$24)*(((EXP(-EXP(-INPUTS!$E$24*(1-INPUTS!$F$24))))-(EXP(-EXP(-INPUTS!$E$24*(0-INPUTS!$F$24)))))/((EXP(-EXP(-INPUTS!$E$24*(12-INPUTS!$F$24))))-(EXP(-EXP(-INPUTS!$E$24*(0-INPUTS!$F$24)))))))</f>
        <v/>
      </c>
      <c r="D4" s="11">
        <f>(INPUTS!$B$25*(((1/(1+EXP(-INPUTS!$C$25*(1-INPUTS!$D$25))))-(1/(1+EXP(-INPUTS!$C$25*(0-INPUTS!$D$25)))))/((1/(1+EXP(-INPUTS!$C$25*(12-INPUTS!$D$25))))-(1/(1+EXP(-INPUTS!$C$25*(0-INPUTS!$D$25))))))+(1-INPUTS!$B$25)*(((EXP(-EXP(-INPUTS!$E$25*(1-INPUTS!$F$25))))-(EXP(-EXP(-INPUTS!$E$25*(0-INPUTS!$F$25)))))/((EXP(-EXP(-INPUTS!$E$25*(12-INPUTS!$F$25))))-(EXP(-EXP(-INPUTS!$E$25*(0-INPUTS!$F$25)))))))</f>
        <v/>
      </c>
      <c r="E4" s="11">
        <f>(INPUTS!$B$26*(((1/(1+EXP(-INPUTS!$C$26*(1-INPUTS!$D$26))))-(1/(1+EXP(-INPUTS!$C$26*(0-INPUTS!$D$26)))))/((1/(1+EXP(-INPUTS!$C$26*(12-INPUTS!$D$26))))-(1/(1+EXP(-INPUTS!$C$26*(0-INPUTS!$D$26))))))+(1-INPUTS!$B$26)*(((EXP(-EXP(-INPUTS!$E$26*(1-INPUTS!$F$26))))-(EXP(-EXP(-INPUTS!$E$26*(0-INPUTS!$F$26)))))/((EXP(-EXP(-INPUTS!$E$26*(12-INPUTS!$F$26))))-(EXP(-EXP(-INPUTS!$E$26*(0-INPUTS!$F$26)))))))</f>
        <v/>
      </c>
    </row>
    <row r="5">
      <c r="A5" t="n">
        <v>2</v>
      </c>
      <c r="B5" s="11">
        <f>(INPUTS!$B$23*(((1/(1+EXP(-INPUTS!$C$23*(2-INPUTS!$D$23))))-(1/(1+EXP(-INPUTS!$C$23*(1-INPUTS!$D$23)))))/((1/(1+EXP(-INPUTS!$C$23*(12-INPUTS!$D$23))))-(1/(1+EXP(-INPUTS!$C$23*(0-INPUTS!$D$23))))))+(1-INPUTS!$B$23)*(((EXP(-EXP(-INPUTS!$E$23*(2-INPUTS!$F$23))))-(EXP(-EXP(-INPUTS!$E$23*(1-INPUTS!$F$23)))))/((EXP(-EXP(-INPUTS!$E$23*(12-INPUTS!$F$23))))-(EXP(-EXP(-INPUTS!$E$23*(0-INPUTS!$F$23)))))))</f>
        <v/>
      </c>
      <c r="C5" s="11">
        <f>(INPUTS!$B$24*(((1/(1+EXP(-INPUTS!$C$24*(2-INPUTS!$D$24))))-(1/(1+EXP(-INPUTS!$C$24*(1-INPUTS!$D$24)))))/((1/(1+EXP(-INPUTS!$C$24*(12-INPUTS!$D$24))))-(1/(1+EXP(-INPUTS!$C$24*(0-INPUTS!$D$24))))))+(1-INPUTS!$B$24)*(((EXP(-EXP(-INPUTS!$E$24*(2-INPUTS!$F$24))))-(EXP(-EXP(-INPUTS!$E$24*(1-INPUTS!$F$24)))))/((EXP(-EXP(-INPUTS!$E$24*(12-INPUTS!$F$24))))-(EXP(-EXP(-INPUTS!$E$24*(0-INPUTS!$F$24)))))))</f>
        <v/>
      </c>
      <c r="D5" s="11">
        <f>(INPUTS!$B$25*(((1/(1+EXP(-INPUTS!$C$25*(2-INPUTS!$D$25))))-(1/(1+EXP(-INPUTS!$C$25*(1-INPUTS!$D$25)))))/((1/(1+EXP(-INPUTS!$C$25*(12-INPUTS!$D$25))))-(1/(1+EXP(-INPUTS!$C$25*(0-INPUTS!$D$25))))))+(1-INPUTS!$B$25)*(((EXP(-EXP(-INPUTS!$E$25*(2-INPUTS!$F$25))))-(EXP(-EXP(-INPUTS!$E$25*(1-INPUTS!$F$25)))))/((EXP(-EXP(-INPUTS!$E$25*(12-INPUTS!$F$25))))-(EXP(-EXP(-INPUTS!$E$25*(0-INPUTS!$F$25)))))))</f>
        <v/>
      </c>
      <c r="E5" s="11">
        <f>(INPUTS!$B$26*(((1/(1+EXP(-INPUTS!$C$26*(2-INPUTS!$D$26))))-(1/(1+EXP(-INPUTS!$C$26*(1-INPUTS!$D$26)))))/((1/(1+EXP(-INPUTS!$C$26*(12-INPUTS!$D$26))))-(1/(1+EXP(-INPUTS!$C$26*(0-INPUTS!$D$26))))))+(1-INPUTS!$B$26)*(((EXP(-EXP(-INPUTS!$E$26*(2-INPUTS!$F$26))))-(EXP(-EXP(-INPUTS!$E$26*(1-INPUTS!$F$26)))))/((EXP(-EXP(-INPUTS!$E$26*(12-INPUTS!$F$26))))-(EXP(-EXP(-INPUTS!$E$26*(0-INPUTS!$F$26)))))))</f>
        <v/>
      </c>
    </row>
    <row r="6">
      <c r="A6" t="n">
        <v>3</v>
      </c>
      <c r="B6" s="11">
        <f>(INPUTS!$B$23*(((1/(1+EXP(-INPUTS!$C$23*(3-INPUTS!$D$23))))-(1/(1+EXP(-INPUTS!$C$23*(2-INPUTS!$D$23)))))/((1/(1+EXP(-INPUTS!$C$23*(12-INPUTS!$D$23))))-(1/(1+EXP(-INPUTS!$C$23*(0-INPUTS!$D$23))))))+(1-INPUTS!$B$23)*(((EXP(-EXP(-INPUTS!$E$23*(3-INPUTS!$F$23))))-(EXP(-EXP(-INPUTS!$E$23*(2-INPUTS!$F$23)))))/((EXP(-EXP(-INPUTS!$E$23*(12-INPUTS!$F$23))))-(EXP(-EXP(-INPUTS!$E$23*(0-INPUTS!$F$23)))))))</f>
        <v/>
      </c>
      <c r="C6" s="11">
        <f>(INPUTS!$B$24*(((1/(1+EXP(-INPUTS!$C$24*(3-INPUTS!$D$24))))-(1/(1+EXP(-INPUTS!$C$24*(2-INPUTS!$D$24)))))/((1/(1+EXP(-INPUTS!$C$24*(12-INPUTS!$D$24))))-(1/(1+EXP(-INPUTS!$C$24*(0-INPUTS!$D$24))))))+(1-INPUTS!$B$24)*(((EXP(-EXP(-INPUTS!$E$24*(3-INPUTS!$F$24))))-(EXP(-EXP(-INPUTS!$E$24*(2-INPUTS!$F$24)))))/((EXP(-EXP(-INPUTS!$E$24*(12-INPUTS!$F$24))))-(EXP(-EXP(-INPUTS!$E$24*(0-INPUTS!$F$24)))))))</f>
        <v/>
      </c>
      <c r="D6" s="11">
        <f>(INPUTS!$B$25*(((1/(1+EXP(-INPUTS!$C$25*(3-INPUTS!$D$25))))-(1/(1+EXP(-INPUTS!$C$25*(2-INPUTS!$D$25)))))/((1/(1+EXP(-INPUTS!$C$25*(12-INPUTS!$D$25))))-(1/(1+EXP(-INPUTS!$C$25*(0-INPUTS!$D$25))))))+(1-INPUTS!$B$25)*(((EXP(-EXP(-INPUTS!$E$25*(3-INPUTS!$F$25))))-(EXP(-EXP(-INPUTS!$E$25*(2-INPUTS!$F$25)))))/((EXP(-EXP(-INPUTS!$E$25*(12-INPUTS!$F$25))))-(EXP(-EXP(-INPUTS!$E$25*(0-INPUTS!$F$25)))))))</f>
        <v/>
      </c>
      <c r="E6" s="11">
        <f>(INPUTS!$B$26*(((1/(1+EXP(-INPUTS!$C$26*(3-INPUTS!$D$26))))-(1/(1+EXP(-INPUTS!$C$26*(2-INPUTS!$D$26)))))/((1/(1+EXP(-INPUTS!$C$26*(12-INPUTS!$D$26))))-(1/(1+EXP(-INPUTS!$C$26*(0-INPUTS!$D$26))))))+(1-INPUTS!$B$26)*(((EXP(-EXP(-INPUTS!$E$26*(3-INPUTS!$F$26))))-(EXP(-EXP(-INPUTS!$E$26*(2-INPUTS!$F$26)))))/((EXP(-EXP(-INPUTS!$E$26*(12-INPUTS!$F$26))))-(EXP(-EXP(-INPUTS!$E$26*(0-INPUTS!$F$26)))))))</f>
        <v/>
      </c>
    </row>
    <row r="7">
      <c r="A7" t="n">
        <v>4</v>
      </c>
      <c r="B7" s="11">
        <f>(INPUTS!$B$23*(((1/(1+EXP(-INPUTS!$C$23*(4-INPUTS!$D$23))))-(1/(1+EXP(-INPUTS!$C$23*(3-INPUTS!$D$23)))))/((1/(1+EXP(-INPUTS!$C$23*(12-INPUTS!$D$23))))-(1/(1+EXP(-INPUTS!$C$23*(0-INPUTS!$D$23))))))+(1-INPUTS!$B$23)*(((EXP(-EXP(-INPUTS!$E$23*(4-INPUTS!$F$23))))-(EXP(-EXP(-INPUTS!$E$23*(3-INPUTS!$F$23)))))/((EXP(-EXP(-INPUTS!$E$23*(12-INPUTS!$F$23))))-(EXP(-EXP(-INPUTS!$E$23*(0-INPUTS!$F$23)))))))</f>
        <v/>
      </c>
      <c r="C7" s="11">
        <f>(INPUTS!$B$24*(((1/(1+EXP(-INPUTS!$C$24*(4-INPUTS!$D$24))))-(1/(1+EXP(-INPUTS!$C$24*(3-INPUTS!$D$24)))))/((1/(1+EXP(-INPUTS!$C$24*(12-INPUTS!$D$24))))-(1/(1+EXP(-INPUTS!$C$24*(0-INPUTS!$D$24))))))+(1-INPUTS!$B$24)*(((EXP(-EXP(-INPUTS!$E$24*(4-INPUTS!$F$24))))-(EXP(-EXP(-INPUTS!$E$24*(3-INPUTS!$F$24)))))/((EXP(-EXP(-INPUTS!$E$24*(12-INPUTS!$F$24))))-(EXP(-EXP(-INPUTS!$E$24*(0-INPUTS!$F$24)))))))</f>
        <v/>
      </c>
      <c r="D7" s="11">
        <f>(INPUTS!$B$25*(((1/(1+EXP(-INPUTS!$C$25*(4-INPUTS!$D$25))))-(1/(1+EXP(-INPUTS!$C$25*(3-INPUTS!$D$25)))))/((1/(1+EXP(-INPUTS!$C$25*(12-INPUTS!$D$25))))-(1/(1+EXP(-INPUTS!$C$25*(0-INPUTS!$D$25))))))+(1-INPUTS!$B$25)*(((EXP(-EXP(-INPUTS!$E$25*(4-INPUTS!$F$25))))-(EXP(-EXP(-INPUTS!$E$25*(3-INPUTS!$F$25)))))/((EXP(-EXP(-INPUTS!$E$25*(12-INPUTS!$F$25))))-(EXP(-EXP(-INPUTS!$E$25*(0-INPUTS!$F$25)))))))</f>
        <v/>
      </c>
      <c r="E7" s="11">
        <f>(INPUTS!$B$26*(((1/(1+EXP(-INPUTS!$C$26*(4-INPUTS!$D$26))))-(1/(1+EXP(-INPUTS!$C$26*(3-INPUTS!$D$26)))))/((1/(1+EXP(-INPUTS!$C$26*(12-INPUTS!$D$26))))-(1/(1+EXP(-INPUTS!$C$26*(0-INPUTS!$D$26))))))+(1-INPUTS!$B$26)*(((EXP(-EXP(-INPUTS!$E$26*(4-INPUTS!$F$26))))-(EXP(-EXP(-INPUTS!$E$26*(3-INPUTS!$F$26)))))/((EXP(-EXP(-INPUTS!$E$26*(12-INPUTS!$F$26))))-(EXP(-EXP(-INPUTS!$E$26*(0-INPUTS!$F$26)))))))</f>
        <v/>
      </c>
    </row>
    <row r="8">
      <c r="A8" t="n">
        <v>5</v>
      </c>
      <c r="B8" s="11">
        <f>(INPUTS!$B$23*(((1/(1+EXP(-INPUTS!$C$23*(5-INPUTS!$D$23))))-(1/(1+EXP(-INPUTS!$C$23*(4-INPUTS!$D$23)))))/((1/(1+EXP(-INPUTS!$C$23*(12-INPUTS!$D$23))))-(1/(1+EXP(-INPUTS!$C$23*(0-INPUTS!$D$23))))))+(1-INPUTS!$B$23)*(((EXP(-EXP(-INPUTS!$E$23*(5-INPUTS!$F$23))))-(EXP(-EXP(-INPUTS!$E$23*(4-INPUTS!$F$23)))))/((EXP(-EXP(-INPUTS!$E$23*(12-INPUTS!$F$23))))-(EXP(-EXP(-INPUTS!$E$23*(0-INPUTS!$F$23)))))))</f>
        <v/>
      </c>
      <c r="C8" s="11">
        <f>(INPUTS!$B$24*(((1/(1+EXP(-INPUTS!$C$24*(5-INPUTS!$D$24))))-(1/(1+EXP(-INPUTS!$C$24*(4-INPUTS!$D$24)))))/((1/(1+EXP(-INPUTS!$C$24*(12-INPUTS!$D$24))))-(1/(1+EXP(-INPUTS!$C$24*(0-INPUTS!$D$24))))))+(1-INPUTS!$B$24)*(((EXP(-EXP(-INPUTS!$E$24*(5-INPUTS!$F$24))))-(EXP(-EXP(-INPUTS!$E$24*(4-INPUTS!$F$24)))))/((EXP(-EXP(-INPUTS!$E$24*(12-INPUTS!$F$24))))-(EXP(-EXP(-INPUTS!$E$24*(0-INPUTS!$F$24)))))))</f>
        <v/>
      </c>
      <c r="D8" s="11">
        <f>(INPUTS!$B$25*(((1/(1+EXP(-INPUTS!$C$25*(5-INPUTS!$D$25))))-(1/(1+EXP(-INPUTS!$C$25*(4-INPUTS!$D$25)))))/((1/(1+EXP(-INPUTS!$C$25*(12-INPUTS!$D$25))))-(1/(1+EXP(-INPUTS!$C$25*(0-INPUTS!$D$25))))))+(1-INPUTS!$B$25)*(((EXP(-EXP(-INPUTS!$E$25*(5-INPUTS!$F$25))))-(EXP(-EXP(-INPUTS!$E$25*(4-INPUTS!$F$25)))))/((EXP(-EXP(-INPUTS!$E$25*(12-INPUTS!$F$25))))-(EXP(-EXP(-INPUTS!$E$25*(0-INPUTS!$F$25)))))))</f>
        <v/>
      </c>
      <c r="E8" s="11">
        <f>(INPUTS!$B$26*(((1/(1+EXP(-INPUTS!$C$26*(5-INPUTS!$D$26))))-(1/(1+EXP(-INPUTS!$C$26*(4-INPUTS!$D$26)))))/((1/(1+EXP(-INPUTS!$C$26*(12-INPUTS!$D$26))))-(1/(1+EXP(-INPUTS!$C$26*(0-INPUTS!$D$26))))))+(1-INPUTS!$B$26)*(((EXP(-EXP(-INPUTS!$E$26*(5-INPUTS!$F$26))))-(EXP(-EXP(-INPUTS!$E$26*(4-INPUTS!$F$26)))))/((EXP(-EXP(-INPUTS!$E$26*(12-INPUTS!$F$26))))-(EXP(-EXP(-INPUTS!$E$26*(0-INPUTS!$F$26)))))))</f>
        <v/>
      </c>
    </row>
    <row r="9">
      <c r="A9" t="n">
        <v>6</v>
      </c>
      <c r="B9" s="11">
        <f>(INPUTS!$B$23*(((1/(1+EXP(-INPUTS!$C$23*(6-INPUTS!$D$23))))-(1/(1+EXP(-INPUTS!$C$23*(5-INPUTS!$D$23)))))/((1/(1+EXP(-INPUTS!$C$23*(12-INPUTS!$D$23))))-(1/(1+EXP(-INPUTS!$C$23*(0-INPUTS!$D$23))))))+(1-INPUTS!$B$23)*(((EXP(-EXP(-INPUTS!$E$23*(6-INPUTS!$F$23))))-(EXP(-EXP(-INPUTS!$E$23*(5-INPUTS!$F$23)))))/((EXP(-EXP(-INPUTS!$E$23*(12-INPUTS!$F$23))))-(EXP(-EXP(-INPUTS!$E$23*(0-INPUTS!$F$23)))))))</f>
        <v/>
      </c>
      <c r="C9" s="11">
        <f>(INPUTS!$B$24*(((1/(1+EXP(-INPUTS!$C$24*(6-INPUTS!$D$24))))-(1/(1+EXP(-INPUTS!$C$24*(5-INPUTS!$D$24)))))/((1/(1+EXP(-INPUTS!$C$24*(12-INPUTS!$D$24))))-(1/(1+EXP(-INPUTS!$C$24*(0-INPUTS!$D$24))))))+(1-INPUTS!$B$24)*(((EXP(-EXP(-INPUTS!$E$24*(6-INPUTS!$F$24))))-(EXP(-EXP(-INPUTS!$E$24*(5-INPUTS!$F$24)))))/((EXP(-EXP(-INPUTS!$E$24*(12-INPUTS!$F$24))))-(EXP(-EXP(-INPUTS!$E$24*(0-INPUTS!$F$24)))))))</f>
        <v/>
      </c>
      <c r="D9" s="11">
        <f>(INPUTS!$B$25*(((1/(1+EXP(-INPUTS!$C$25*(6-INPUTS!$D$25))))-(1/(1+EXP(-INPUTS!$C$25*(5-INPUTS!$D$25)))))/((1/(1+EXP(-INPUTS!$C$25*(12-INPUTS!$D$25))))-(1/(1+EXP(-INPUTS!$C$25*(0-INPUTS!$D$25))))))+(1-INPUTS!$B$25)*(((EXP(-EXP(-INPUTS!$E$25*(6-INPUTS!$F$25))))-(EXP(-EXP(-INPUTS!$E$25*(5-INPUTS!$F$25)))))/((EXP(-EXP(-INPUTS!$E$25*(12-INPUTS!$F$25))))-(EXP(-EXP(-INPUTS!$E$25*(0-INPUTS!$F$25)))))))</f>
        <v/>
      </c>
      <c r="E9" s="11">
        <f>(INPUTS!$B$26*(((1/(1+EXP(-INPUTS!$C$26*(6-INPUTS!$D$26))))-(1/(1+EXP(-INPUTS!$C$26*(5-INPUTS!$D$26)))))/((1/(1+EXP(-INPUTS!$C$26*(12-INPUTS!$D$26))))-(1/(1+EXP(-INPUTS!$C$26*(0-INPUTS!$D$26))))))+(1-INPUTS!$B$26)*(((EXP(-EXP(-INPUTS!$E$26*(6-INPUTS!$F$26))))-(EXP(-EXP(-INPUTS!$E$26*(5-INPUTS!$F$26)))))/((EXP(-EXP(-INPUTS!$E$26*(12-INPUTS!$F$26))))-(EXP(-EXP(-INPUTS!$E$26*(0-INPUTS!$F$26)))))))</f>
        <v/>
      </c>
    </row>
    <row r="10">
      <c r="A10" t="n">
        <v>7</v>
      </c>
      <c r="B10" s="11">
        <f>(INPUTS!$B$23*(((1/(1+EXP(-INPUTS!$C$23*(7-INPUTS!$D$23))))-(1/(1+EXP(-INPUTS!$C$23*(6-INPUTS!$D$23)))))/((1/(1+EXP(-INPUTS!$C$23*(12-INPUTS!$D$23))))-(1/(1+EXP(-INPUTS!$C$23*(0-INPUTS!$D$23))))))+(1-INPUTS!$B$23)*(((EXP(-EXP(-INPUTS!$E$23*(7-INPUTS!$F$23))))-(EXP(-EXP(-INPUTS!$E$23*(6-INPUTS!$F$23)))))/((EXP(-EXP(-INPUTS!$E$23*(12-INPUTS!$F$23))))-(EXP(-EXP(-INPUTS!$E$23*(0-INPUTS!$F$23)))))))</f>
        <v/>
      </c>
      <c r="C10" s="11">
        <f>(INPUTS!$B$24*(((1/(1+EXP(-INPUTS!$C$24*(7-INPUTS!$D$24))))-(1/(1+EXP(-INPUTS!$C$24*(6-INPUTS!$D$24)))))/((1/(1+EXP(-INPUTS!$C$24*(12-INPUTS!$D$24))))-(1/(1+EXP(-INPUTS!$C$24*(0-INPUTS!$D$24))))))+(1-INPUTS!$B$24)*(((EXP(-EXP(-INPUTS!$E$24*(7-INPUTS!$F$24))))-(EXP(-EXP(-INPUTS!$E$24*(6-INPUTS!$F$24)))))/((EXP(-EXP(-INPUTS!$E$24*(12-INPUTS!$F$24))))-(EXP(-EXP(-INPUTS!$E$24*(0-INPUTS!$F$24)))))))</f>
        <v/>
      </c>
      <c r="D10" s="11">
        <f>(INPUTS!$B$25*(((1/(1+EXP(-INPUTS!$C$25*(7-INPUTS!$D$25))))-(1/(1+EXP(-INPUTS!$C$25*(6-INPUTS!$D$25)))))/((1/(1+EXP(-INPUTS!$C$25*(12-INPUTS!$D$25))))-(1/(1+EXP(-INPUTS!$C$25*(0-INPUTS!$D$25))))))+(1-INPUTS!$B$25)*(((EXP(-EXP(-INPUTS!$E$25*(7-INPUTS!$F$25))))-(EXP(-EXP(-INPUTS!$E$25*(6-INPUTS!$F$25)))))/((EXP(-EXP(-INPUTS!$E$25*(12-INPUTS!$F$25))))-(EXP(-EXP(-INPUTS!$E$25*(0-INPUTS!$F$25)))))))</f>
        <v/>
      </c>
      <c r="E10" s="11">
        <f>(INPUTS!$B$26*(((1/(1+EXP(-INPUTS!$C$26*(7-INPUTS!$D$26))))-(1/(1+EXP(-INPUTS!$C$26*(6-INPUTS!$D$26)))))/((1/(1+EXP(-INPUTS!$C$26*(12-INPUTS!$D$26))))-(1/(1+EXP(-INPUTS!$C$26*(0-INPUTS!$D$26))))))+(1-INPUTS!$B$26)*(((EXP(-EXP(-INPUTS!$E$26*(7-INPUTS!$F$26))))-(EXP(-EXP(-INPUTS!$E$26*(6-INPUTS!$F$26)))))/((EXP(-EXP(-INPUTS!$E$26*(12-INPUTS!$F$26))))-(EXP(-EXP(-INPUTS!$E$26*(0-INPUTS!$F$26)))))))</f>
        <v/>
      </c>
    </row>
    <row r="11">
      <c r="A11" t="n">
        <v>8</v>
      </c>
      <c r="B11" s="11">
        <f>(INPUTS!$B$23*(((1/(1+EXP(-INPUTS!$C$23*(8-INPUTS!$D$23))))-(1/(1+EXP(-INPUTS!$C$23*(7-INPUTS!$D$23)))))/((1/(1+EXP(-INPUTS!$C$23*(12-INPUTS!$D$23))))-(1/(1+EXP(-INPUTS!$C$23*(0-INPUTS!$D$23))))))+(1-INPUTS!$B$23)*(((EXP(-EXP(-INPUTS!$E$23*(8-INPUTS!$F$23))))-(EXP(-EXP(-INPUTS!$E$23*(7-INPUTS!$F$23)))))/((EXP(-EXP(-INPUTS!$E$23*(12-INPUTS!$F$23))))-(EXP(-EXP(-INPUTS!$E$23*(0-INPUTS!$F$23)))))))</f>
        <v/>
      </c>
      <c r="C11" s="11">
        <f>(INPUTS!$B$24*(((1/(1+EXP(-INPUTS!$C$24*(8-INPUTS!$D$24))))-(1/(1+EXP(-INPUTS!$C$24*(7-INPUTS!$D$24)))))/((1/(1+EXP(-INPUTS!$C$24*(12-INPUTS!$D$24))))-(1/(1+EXP(-INPUTS!$C$24*(0-INPUTS!$D$24))))))+(1-INPUTS!$B$24)*(((EXP(-EXP(-INPUTS!$E$24*(8-INPUTS!$F$24))))-(EXP(-EXP(-INPUTS!$E$24*(7-INPUTS!$F$24)))))/((EXP(-EXP(-INPUTS!$E$24*(12-INPUTS!$F$24))))-(EXP(-EXP(-INPUTS!$E$24*(0-INPUTS!$F$24)))))))</f>
        <v/>
      </c>
      <c r="D11" s="11">
        <f>(INPUTS!$B$25*(((1/(1+EXP(-INPUTS!$C$25*(8-INPUTS!$D$25))))-(1/(1+EXP(-INPUTS!$C$25*(7-INPUTS!$D$25)))))/((1/(1+EXP(-INPUTS!$C$25*(12-INPUTS!$D$25))))-(1/(1+EXP(-INPUTS!$C$25*(0-INPUTS!$D$25))))))+(1-INPUTS!$B$25)*(((EXP(-EXP(-INPUTS!$E$25*(8-INPUTS!$F$25))))-(EXP(-EXP(-INPUTS!$E$25*(7-INPUTS!$F$25)))))/((EXP(-EXP(-INPUTS!$E$25*(12-INPUTS!$F$25))))-(EXP(-EXP(-INPUTS!$E$25*(0-INPUTS!$F$25)))))))</f>
        <v/>
      </c>
      <c r="E11" s="11">
        <f>(INPUTS!$B$26*(((1/(1+EXP(-INPUTS!$C$26*(8-INPUTS!$D$26))))-(1/(1+EXP(-INPUTS!$C$26*(7-INPUTS!$D$26)))))/((1/(1+EXP(-INPUTS!$C$26*(12-INPUTS!$D$26))))-(1/(1+EXP(-INPUTS!$C$26*(0-INPUTS!$D$26))))))+(1-INPUTS!$B$26)*(((EXP(-EXP(-INPUTS!$E$26*(8-INPUTS!$F$26))))-(EXP(-EXP(-INPUTS!$E$26*(7-INPUTS!$F$26)))))/((EXP(-EXP(-INPUTS!$E$26*(12-INPUTS!$F$26))))-(EXP(-EXP(-INPUTS!$E$26*(0-INPUTS!$F$26)))))))</f>
        <v/>
      </c>
    </row>
    <row r="12">
      <c r="A12" t="n">
        <v>9</v>
      </c>
      <c r="B12" s="11">
        <f>(INPUTS!$B$23*(((1/(1+EXP(-INPUTS!$C$23*(9-INPUTS!$D$23))))-(1/(1+EXP(-INPUTS!$C$23*(8-INPUTS!$D$23)))))/((1/(1+EXP(-INPUTS!$C$23*(12-INPUTS!$D$23))))-(1/(1+EXP(-INPUTS!$C$23*(0-INPUTS!$D$23))))))+(1-INPUTS!$B$23)*(((EXP(-EXP(-INPUTS!$E$23*(9-INPUTS!$F$23))))-(EXP(-EXP(-INPUTS!$E$23*(8-INPUTS!$F$23)))))/((EXP(-EXP(-INPUTS!$E$23*(12-INPUTS!$F$23))))-(EXP(-EXP(-INPUTS!$E$23*(0-INPUTS!$F$23)))))))</f>
        <v/>
      </c>
      <c r="C12" s="11">
        <f>(INPUTS!$B$24*(((1/(1+EXP(-INPUTS!$C$24*(9-INPUTS!$D$24))))-(1/(1+EXP(-INPUTS!$C$24*(8-INPUTS!$D$24)))))/((1/(1+EXP(-INPUTS!$C$24*(12-INPUTS!$D$24))))-(1/(1+EXP(-INPUTS!$C$24*(0-INPUTS!$D$24))))))+(1-INPUTS!$B$24)*(((EXP(-EXP(-INPUTS!$E$24*(9-INPUTS!$F$24))))-(EXP(-EXP(-INPUTS!$E$24*(8-INPUTS!$F$24)))))/((EXP(-EXP(-INPUTS!$E$24*(12-INPUTS!$F$24))))-(EXP(-EXP(-INPUTS!$E$24*(0-INPUTS!$F$24)))))))</f>
        <v/>
      </c>
      <c r="D12" s="11">
        <f>(INPUTS!$B$25*(((1/(1+EXP(-INPUTS!$C$25*(9-INPUTS!$D$25))))-(1/(1+EXP(-INPUTS!$C$25*(8-INPUTS!$D$25)))))/((1/(1+EXP(-INPUTS!$C$25*(12-INPUTS!$D$25))))-(1/(1+EXP(-INPUTS!$C$25*(0-INPUTS!$D$25))))))+(1-INPUTS!$B$25)*(((EXP(-EXP(-INPUTS!$E$25*(9-INPUTS!$F$25))))-(EXP(-EXP(-INPUTS!$E$25*(8-INPUTS!$F$25)))))/((EXP(-EXP(-INPUTS!$E$25*(12-INPUTS!$F$25))))-(EXP(-EXP(-INPUTS!$E$25*(0-INPUTS!$F$25)))))))</f>
        <v/>
      </c>
      <c r="E12" s="11">
        <f>(INPUTS!$B$26*(((1/(1+EXP(-INPUTS!$C$26*(9-INPUTS!$D$26))))-(1/(1+EXP(-INPUTS!$C$26*(8-INPUTS!$D$26)))))/((1/(1+EXP(-INPUTS!$C$26*(12-INPUTS!$D$26))))-(1/(1+EXP(-INPUTS!$C$26*(0-INPUTS!$D$26))))))+(1-INPUTS!$B$26)*(((EXP(-EXP(-INPUTS!$E$26*(9-INPUTS!$F$26))))-(EXP(-EXP(-INPUTS!$E$26*(8-INPUTS!$F$26)))))/((EXP(-EXP(-INPUTS!$E$26*(12-INPUTS!$F$26))))-(EXP(-EXP(-INPUTS!$E$26*(0-INPUTS!$F$26)))))))</f>
        <v/>
      </c>
    </row>
    <row r="13">
      <c r="A13" t="n">
        <v>10</v>
      </c>
      <c r="B13" s="11">
        <f>(INPUTS!$B$23*(((1/(1+EXP(-INPUTS!$C$23*(10-INPUTS!$D$23))))-(1/(1+EXP(-INPUTS!$C$23*(9-INPUTS!$D$23)))))/((1/(1+EXP(-INPUTS!$C$23*(12-INPUTS!$D$23))))-(1/(1+EXP(-INPUTS!$C$23*(0-INPUTS!$D$23))))))+(1-INPUTS!$B$23)*(((EXP(-EXP(-INPUTS!$E$23*(10-INPUTS!$F$23))))-(EXP(-EXP(-INPUTS!$E$23*(9-INPUTS!$F$23)))))/((EXP(-EXP(-INPUTS!$E$23*(12-INPUTS!$F$23))))-(EXP(-EXP(-INPUTS!$E$23*(0-INPUTS!$F$23)))))))</f>
        <v/>
      </c>
      <c r="C13" s="11">
        <f>(INPUTS!$B$24*(((1/(1+EXP(-INPUTS!$C$24*(10-INPUTS!$D$24))))-(1/(1+EXP(-INPUTS!$C$24*(9-INPUTS!$D$24)))))/((1/(1+EXP(-INPUTS!$C$24*(12-INPUTS!$D$24))))-(1/(1+EXP(-INPUTS!$C$24*(0-INPUTS!$D$24))))))+(1-INPUTS!$B$24)*(((EXP(-EXP(-INPUTS!$E$24*(10-INPUTS!$F$24))))-(EXP(-EXP(-INPUTS!$E$24*(9-INPUTS!$F$24)))))/((EXP(-EXP(-INPUTS!$E$24*(12-INPUTS!$F$24))))-(EXP(-EXP(-INPUTS!$E$24*(0-INPUTS!$F$24)))))))</f>
        <v/>
      </c>
      <c r="D13" s="11">
        <f>(INPUTS!$B$25*(((1/(1+EXP(-INPUTS!$C$25*(10-INPUTS!$D$25))))-(1/(1+EXP(-INPUTS!$C$25*(9-INPUTS!$D$25)))))/((1/(1+EXP(-INPUTS!$C$25*(12-INPUTS!$D$25))))-(1/(1+EXP(-INPUTS!$C$25*(0-INPUTS!$D$25))))))+(1-INPUTS!$B$25)*(((EXP(-EXP(-INPUTS!$E$25*(10-INPUTS!$F$25))))-(EXP(-EXP(-INPUTS!$E$25*(9-INPUTS!$F$25)))))/((EXP(-EXP(-INPUTS!$E$25*(12-INPUTS!$F$25))))-(EXP(-EXP(-INPUTS!$E$25*(0-INPUTS!$F$25)))))))</f>
        <v/>
      </c>
      <c r="E13" s="11">
        <f>(INPUTS!$B$26*(((1/(1+EXP(-INPUTS!$C$26*(10-INPUTS!$D$26))))-(1/(1+EXP(-INPUTS!$C$26*(9-INPUTS!$D$26)))))/((1/(1+EXP(-INPUTS!$C$26*(12-INPUTS!$D$26))))-(1/(1+EXP(-INPUTS!$C$26*(0-INPUTS!$D$26))))))+(1-INPUTS!$B$26)*(((EXP(-EXP(-INPUTS!$E$26*(10-INPUTS!$F$26))))-(EXP(-EXP(-INPUTS!$E$26*(9-INPUTS!$F$26)))))/((EXP(-EXP(-INPUTS!$E$26*(12-INPUTS!$F$26))))-(EXP(-EXP(-INPUTS!$E$26*(0-INPUTS!$F$26)))))))</f>
        <v/>
      </c>
    </row>
    <row r="14">
      <c r="A14" t="n">
        <v>11</v>
      </c>
      <c r="B14" s="11">
        <f>(INPUTS!$B$23*(((1/(1+EXP(-INPUTS!$C$23*(11-INPUTS!$D$23))))-(1/(1+EXP(-INPUTS!$C$23*(10-INPUTS!$D$23)))))/((1/(1+EXP(-INPUTS!$C$23*(12-INPUTS!$D$23))))-(1/(1+EXP(-INPUTS!$C$23*(0-INPUTS!$D$23))))))+(1-INPUTS!$B$23)*(((EXP(-EXP(-INPUTS!$E$23*(11-INPUTS!$F$23))))-(EXP(-EXP(-INPUTS!$E$23*(10-INPUTS!$F$23)))))/((EXP(-EXP(-INPUTS!$E$23*(12-INPUTS!$F$23))))-(EXP(-EXP(-INPUTS!$E$23*(0-INPUTS!$F$23)))))))</f>
        <v/>
      </c>
      <c r="C14" s="11">
        <f>(INPUTS!$B$24*(((1/(1+EXP(-INPUTS!$C$24*(11-INPUTS!$D$24))))-(1/(1+EXP(-INPUTS!$C$24*(10-INPUTS!$D$24)))))/((1/(1+EXP(-INPUTS!$C$24*(12-INPUTS!$D$24))))-(1/(1+EXP(-INPUTS!$C$24*(0-INPUTS!$D$24))))))+(1-INPUTS!$B$24)*(((EXP(-EXP(-INPUTS!$E$24*(11-INPUTS!$F$24))))-(EXP(-EXP(-INPUTS!$E$24*(10-INPUTS!$F$24)))))/((EXP(-EXP(-INPUTS!$E$24*(12-INPUTS!$F$24))))-(EXP(-EXP(-INPUTS!$E$24*(0-INPUTS!$F$24)))))))</f>
        <v/>
      </c>
      <c r="D14" s="11">
        <f>(INPUTS!$B$25*(((1/(1+EXP(-INPUTS!$C$25*(11-INPUTS!$D$25))))-(1/(1+EXP(-INPUTS!$C$25*(10-INPUTS!$D$25)))))/((1/(1+EXP(-INPUTS!$C$25*(12-INPUTS!$D$25))))-(1/(1+EXP(-INPUTS!$C$25*(0-INPUTS!$D$25))))))+(1-INPUTS!$B$25)*(((EXP(-EXP(-INPUTS!$E$25*(11-INPUTS!$F$25))))-(EXP(-EXP(-INPUTS!$E$25*(10-INPUTS!$F$25)))))/((EXP(-EXP(-INPUTS!$E$25*(12-INPUTS!$F$25))))-(EXP(-EXP(-INPUTS!$E$25*(0-INPUTS!$F$25)))))))</f>
        <v/>
      </c>
      <c r="E14" s="11">
        <f>(INPUTS!$B$26*(((1/(1+EXP(-INPUTS!$C$26*(11-INPUTS!$D$26))))-(1/(1+EXP(-INPUTS!$C$26*(10-INPUTS!$D$26)))))/((1/(1+EXP(-INPUTS!$C$26*(12-INPUTS!$D$26))))-(1/(1+EXP(-INPUTS!$C$26*(0-INPUTS!$D$26))))))+(1-INPUTS!$B$26)*(((EXP(-EXP(-INPUTS!$E$26*(11-INPUTS!$F$26))))-(EXP(-EXP(-INPUTS!$E$26*(10-INPUTS!$F$26)))))/((EXP(-EXP(-INPUTS!$E$26*(12-INPUTS!$F$26))))-(EXP(-EXP(-INPUTS!$E$26*(0-INPUTS!$F$26)))))))</f>
        <v/>
      </c>
    </row>
    <row r="15">
      <c r="A15" t="n">
        <v>12</v>
      </c>
      <c r="B15" s="11">
        <f>(INPUTS!$B$23*(((1/(1+EXP(-INPUTS!$C$23*(12-INPUTS!$D$23))))-(1/(1+EXP(-INPUTS!$C$23*(11-INPUTS!$D$23)))))/((1/(1+EXP(-INPUTS!$C$23*(12-INPUTS!$D$23))))-(1/(1+EXP(-INPUTS!$C$23*(0-INPUTS!$D$23))))))+(1-INPUTS!$B$23)*(((EXP(-EXP(-INPUTS!$E$23*(12-INPUTS!$F$23))))-(EXP(-EXP(-INPUTS!$E$23*(11-INPUTS!$F$23)))))/((EXP(-EXP(-INPUTS!$E$23*(12-INPUTS!$F$23))))-(EXP(-EXP(-INPUTS!$E$23*(0-INPUTS!$F$23)))))))</f>
        <v/>
      </c>
      <c r="C15" s="11">
        <f>(INPUTS!$B$24*(((1/(1+EXP(-INPUTS!$C$24*(12-INPUTS!$D$24))))-(1/(1+EXP(-INPUTS!$C$24*(11-INPUTS!$D$24)))))/((1/(1+EXP(-INPUTS!$C$24*(12-INPUTS!$D$24))))-(1/(1+EXP(-INPUTS!$C$24*(0-INPUTS!$D$24))))))+(1-INPUTS!$B$24)*(((EXP(-EXP(-INPUTS!$E$24*(12-INPUTS!$F$24))))-(EXP(-EXP(-INPUTS!$E$24*(11-INPUTS!$F$24)))))/((EXP(-EXP(-INPUTS!$E$24*(12-INPUTS!$F$24))))-(EXP(-EXP(-INPUTS!$E$24*(0-INPUTS!$F$24)))))))</f>
        <v/>
      </c>
      <c r="D15" s="11">
        <f>(INPUTS!$B$25*(((1/(1+EXP(-INPUTS!$C$25*(12-INPUTS!$D$25))))-(1/(1+EXP(-INPUTS!$C$25*(11-INPUTS!$D$25)))))/((1/(1+EXP(-INPUTS!$C$25*(12-INPUTS!$D$25))))-(1/(1+EXP(-INPUTS!$C$25*(0-INPUTS!$D$25))))))+(1-INPUTS!$B$25)*(((EXP(-EXP(-INPUTS!$E$25*(12-INPUTS!$F$25))))-(EXP(-EXP(-INPUTS!$E$25*(11-INPUTS!$F$25)))))/((EXP(-EXP(-INPUTS!$E$25*(12-INPUTS!$F$25))))-(EXP(-EXP(-INPUTS!$E$25*(0-INPUTS!$F$25)))))))</f>
        <v/>
      </c>
      <c r="E15" s="11">
        <f>(INPUTS!$B$26*(((1/(1+EXP(-INPUTS!$C$26*(12-INPUTS!$D$26))))-(1/(1+EXP(-INPUTS!$C$26*(11-INPUTS!$D$26)))))/((1/(1+EXP(-INPUTS!$C$26*(12-INPUTS!$D$26))))-(1/(1+EXP(-INPUTS!$C$26*(0-INPUTS!$D$26))))))+(1-INPUTS!$B$26)*(((EXP(-EXP(-INPUTS!$E$26*(12-INPUTS!$F$26))))-(EXP(-EXP(-INPUTS!$E$26*(11-INPUTS!$F$26)))))/((EXP(-EXP(-INPUTS!$E$26*(12-INPUTS!$F$26))))-(EXP(-EXP(-INPUTS!$E$26*(0-INPUTS!$F$26)))))))</f>
        <v/>
      </c>
    </row>
    <row r="18">
      <c r="A18" s="2" t="inlineStr">
        <is>
          <t>Cumulative</t>
        </is>
      </c>
      <c r="B18" s="2" t="n">
        <v>2026</v>
      </c>
      <c r="C18" s="2" t="n">
        <v>2027</v>
      </c>
      <c r="D18" s="2" t="n">
        <v>2028</v>
      </c>
      <c r="E18" s="2" t="n">
        <v>2029</v>
      </c>
    </row>
    <row r="19">
      <c r="A19" t="n">
        <v>1</v>
      </c>
      <c r="B19" s="11">
        <f>B4</f>
        <v/>
      </c>
      <c r="C19" s="11">
        <f>C4</f>
        <v/>
      </c>
      <c r="D19" s="11">
        <f>D4</f>
        <v/>
      </c>
      <c r="E19" s="11">
        <f>E4</f>
        <v/>
      </c>
    </row>
    <row r="20">
      <c r="A20" t="n">
        <v>2</v>
      </c>
      <c r="B20" s="11">
        <f>B19+B5</f>
        <v/>
      </c>
      <c r="C20" s="11">
        <f>C19+C5</f>
        <v/>
      </c>
      <c r="D20" s="11">
        <f>D19+D5</f>
        <v/>
      </c>
      <c r="E20" s="11">
        <f>E19+E5</f>
        <v/>
      </c>
    </row>
    <row r="21">
      <c r="A21" t="n">
        <v>3</v>
      </c>
      <c r="B21" s="11">
        <f>B20+B6</f>
        <v/>
      </c>
      <c r="C21" s="11">
        <f>C20+C6</f>
        <v/>
      </c>
      <c r="D21" s="11">
        <f>D20+D6</f>
        <v/>
      </c>
      <c r="E21" s="11">
        <f>E20+E6</f>
        <v/>
      </c>
    </row>
    <row r="22">
      <c r="A22" t="n">
        <v>4</v>
      </c>
      <c r="B22" s="11">
        <f>B21+B7</f>
        <v/>
      </c>
      <c r="C22" s="11">
        <f>C21+C7</f>
        <v/>
      </c>
      <c r="D22" s="11">
        <f>D21+D7</f>
        <v/>
      </c>
      <c r="E22" s="11">
        <f>E21+E7</f>
        <v/>
      </c>
    </row>
    <row r="23">
      <c r="A23" t="n">
        <v>5</v>
      </c>
      <c r="B23" s="11">
        <f>B22+B8</f>
        <v/>
      </c>
      <c r="C23" s="11">
        <f>C22+C8</f>
        <v/>
      </c>
      <c r="D23" s="11">
        <f>D22+D8</f>
        <v/>
      </c>
      <c r="E23" s="11">
        <f>E22+E8</f>
        <v/>
      </c>
    </row>
    <row r="24">
      <c r="A24" t="n">
        <v>6</v>
      </c>
      <c r="B24" s="11">
        <f>B23+B9</f>
        <v/>
      </c>
      <c r="C24" s="11">
        <f>C23+C9</f>
        <v/>
      </c>
      <c r="D24" s="11">
        <f>D23+D9</f>
        <v/>
      </c>
      <c r="E24" s="11">
        <f>E23+E9</f>
        <v/>
      </c>
    </row>
    <row r="25">
      <c r="A25" t="n">
        <v>7</v>
      </c>
      <c r="B25" s="11">
        <f>B24+B10</f>
        <v/>
      </c>
      <c r="C25" s="11">
        <f>C24+C10</f>
        <v/>
      </c>
      <c r="D25" s="11">
        <f>D24+D10</f>
        <v/>
      </c>
      <c r="E25" s="11">
        <f>E24+E10</f>
        <v/>
      </c>
    </row>
    <row r="26">
      <c r="A26" t="n">
        <v>8</v>
      </c>
      <c r="B26" s="11">
        <f>B25+B11</f>
        <v/>
      </c>
      <c r="C26" s="11">
        <f>C25+C11</f>
        <v/>
      </c>
      <c r="D26" s="11">
        <f>D25+D11</f>
        <v/>
      </c>
      <c r="E26" s="11">
        <f>E25+E11</f>
        <v/>
      </c>
    </row>
    <row r="27">
      <c r="A27" t="n">
        <v>9</v>
      </c>
      <c r="B27" s="11">
        <f>B26+B12</f>
        <v/>
      </c>
      <c r="C27" s="11">
        <f>C26+C12</f>
        <v/>
      </c>
      <c r="D27" s="11">
        <f>D26+D12</f>
        <v/>
      </c>
      <c r="E27" s="11">
        <f>E26+E12</f>
        <v/>
      </c>
    </row>
    <row r="28">
      <c r="A28" t="n">
        <v>10</v>
      </c>
      <c r="B28" s="11">
        <f>B27+B13</f>
        <v/>
      </c>
      <c r="C28" s="11">
        <f>C27+C13</f>
        <v/>
      </c>
      <c r="D28" s="11">
        <f>D27+D13</f>
        <v/>
      </c>
      <c r="E28" s="11">
        <f>E27+E13</f>
        <v/>
      </c>
    </row>
    <row r="29">
      <c r="A29" t="n">
        <v>11</v>
      </c>
      <c r="B29" s="11">
        <f>B28+B14</f>
        <v/>
      </c>
      <c r="C29" s="11">
        <f>C28+C14</f>
        <v/>
      </c>
      <c r="D29" s="11">
        <f>D28+D14</f>
        <v/>
      </c>
      <c r="E29" s="11">
        <f>E28+E14</f>
        <v/>
      </c>
    </row>
    <row r="30">
      <c r="A30" t="n">
        <v>12</v>
      </c>
      <c r="B30" s="11">
        <f>B29+B15</f>
        <v/>
      </c>
      <c r="C30" s="11">
        <f>C29+C15</f>
        <v/>
      </c>
      <c r="D30" s="11">
        <f>D29+D15</f>
        <v/>
      </c>
      <c r="E30" s="11">
        <f>E29+E15</f>
        <v/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1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14" customWidth="1" min="5" max="5"/>
    <col width="18" customWidth="1" min="6" max="6"/>
    <col width="18" customWidth="1" min="7" max="7"/>
    <col width="14" customWidth="1" min="8" max="8"/>
    <col width="18" customWidth="1" min="9" max="9"/>
  </cols>
  <sheetData>
    <row r="1">
      <c r="A1" s="1" t="inlineStr">
        <is>
          <t>MONTHLY CAPEX CASH FLOW</t>
        </is>
      </c>
    </row>
    <row r="3">
      <c r="A3" s="2" t="inlineStr">
        <is>
          <t>KPI</t>
        </is>
      </c>
      <c r="B3" s="2" t="inlineStr">
        <is>
          <t>Value</t>
        </is>
      </c>
      <c r="C3" s="2" t="inlineStr">
        <is>
          <t>Units</t>
        </is>
      </c>
      <c r="D3" s="2" t="inlineStr">
        <is>
          <t>Comment</t>
        </is>
      </c>
    </row>
    <row r="4">
      <c r="A4" s="3" t="inlineStr">
        <is>
          <t>Total CAPEX</t>
        </is>
      </c>
      <c r="B4" s="15">
        <f>SUM(F13:F60)</f>
        <v/>
      </c>
      <c r="C4" t="inlineStr">
        <is>
          <t>EUR</t>
        </is>
      </c>
      <c r="D4" s="6" t="inlineStr">
        <is>
          <t>Should match canonical total.</t>
        </is>
      </c>
    </row>
    <row r="5">
      <c r="A5" s="3" t="inlineStr">
        <is>
          <t>Peak monthly draw</t>
        </is>
      </c>
      <c r="B5" s="15">
        <f>MAX(F13:F60)</f>
        <v/>
      </c>
      <c r="C5" t="inlineStr">
        <is>
          <t>EUR</t>
        </is>
      </c>
      <c r="D5" s="6" t="inlineStr">
        <is>
          <t>Peak cash requirement.</t>
        </is>
      </c>
    </row>
    <row r="6">
      <c r="A6" s="3" t="inlineStr">
        <is>
          <t>Peak month</t>
        </is>
      </c>
      <c r="B6" s="19">
        <f>INDEX(A13:A60,MATCH(MAX(F13:F60),F13:F60,0))</f>
        <v/>
      </c>
      <c r="D6" s="6" t="inlineStr">
        <is>
          <t>Date of peak draw.</t>
        </is>
      </c>
    </row>
    <row r="11">
      <c r="A11" s="2" t="inlineStr">
        <is>
          <t>Date</t>
        </is>
      </c>
      <c r="B11" s="2" t="inlineStr">
        <is>
          <t>Year</t>
        </is>
      </c>
      <c r="C11" s="2" t="inlineStr">
        <is>
          <t>Month #</t>
        </is>
      </c>
      <c r="D11" s="2" t="inlineStr">
        <is>
          <t>Annual CAPEX</t>
        </is>
      </c>
      <c r="E11" s="2" t="inlineStr">
        <is>
          <t>Weight</t>
        </is>
      </c>
      <c r="F11" s="2" t="inlineStr">
        <is>
          <t>Monthly CAPEX</t>
        </is>
      </c>
      <c r="G11" s="2" t="inlineStr">
        <is>
          <t>Cumulative CAPEX</t>
        </is>
      </c>
      <c r="H11" s="2" t="inlineStr">
        <is>
          <t>Cumulative %</t>
        </is>
      </c>
      <c r="I11" s="2" t="inlineStr">
        <is>
          <t>Year-to-date CAPEX</t>
        </is>
      </c>
    </row>
    <row r="13">
      <c r="A13" s="20" t="n">
        <v>46023</v>
      </c>
      <c r="B13" t="n">
        <v>2026</v>
      </c>
      <c r="C13" t="n">
        <v>1</v>
      </c>
      <c r="D13" s="18">
        <f>INDEX(INPUTS!$B$13:$B$16,MATCH(B13,INPUTS!$A$13:$A$16,0))</f>
        <v/>
      </c>
      <c r="E13" s="21">
        <f>INDEX(S_CURVE!$B$4:$E$15,C13,MATCH(B13,S_CURVE!$B$3:$E$3,0))</f>
        <v/>
      </c>
      <c r="F13" s="15">
        <f>D13*E13</f>
        <v/>
      </c>
      <c r="G13" s="15">
        <f>F13</f>
        <v/>
      </c>
      <c r="H13" s="11">
        <f>G13/INPUTS!$B$6</f>
        <v/>
      </c>
      <c r="I13" s="15">
        <f>F13</f>
        <v/>
      </c>
    </row>
    <row r="14">
      <c r="A14" s="20" t="n">
        <v>46054</v>
      </c>
      <c r="B14" t="n">
        <v>2026</v>
      </c>
      <c r="C14" t="n">
        <v>2</v>
      </c>
      <c r="D14" s="18">
        <f>INDEX(INPUTS!$B$13:$B$16,MATCH(B14,INPUTS!$A$13:$A$16,0))</f>
        <v/>
      </c>
      <c r="E14" s="21">
        <f>INDEX(S_CURVE!$B$4:$E$15,C14,MATCH(B14,S_CURVE!$B$3:$E$3,0))</f>
        <v/>
      </c>
      <c r="F14" s="15">
        <f>D14*E14</f>
        <v/>
      </c>
      <c r="G14" s="15">
        <f>G13+F14</f>
        <v/>
      </c>
      <c r="H14" s="11">
        <f>G14/INPUTS!$B$6</f>
        <v/>
      </c>
      <c r="I14" s="15">
        <f>IF(B14=B13,I13+F14,F14)</f>
        <v/>
      </c>
    </row>
    <row r="15">
      <c r="A15" s="20" t="n">
        <v>46082</v>
      </c>
      <c r="B15" t="n">
        <v>2026</v>
      </c>
      <c r="C15" t="n">
        <v>3</v>
      </c>
      <c r="D15" s="18">
        <f>INDEX(INPUTS!$B$13:$B$16,MATCH(B15,INPUTS!$A$13:$A$16,0))</f>
        <v/>
      </c>
      <c r="E15" s="21">
        <f>INDEX(S_CURVE!$B$4:$E$15,C15,MATCH(B15,S_CURVE!$B$3:$E$3,0))</f>
        <v/>
      </c>
      <c r="F15" s="15">
        <f>D15*E15</f>
        <v/>
      </c>
      <c r="G15" s="15">
        <f>G14+F15</f>
        <v/>
      </c>
      <c r="H15" s="11">
        <f>G15/INPUTS!$B$6</f>
        <v/>
      </c>
      <c r="I15" s="15">
        <f>IF(B15=B14,I14+F15,F15)</f>
        <v/>
      </c>
    </row>
    <row r="16">
      <c r="A16" s="20" t="n">
        <v>46113</v>
      </c>
      <c r="B16" t="n">
        <v>2026</v>
      </c>
      <c r="C16" t="n">
        <v>4</v>
      </c>
      <c r="D16" s="18">
        <f>INDEX(INPUTS!$B$13:$B$16,MATCH(B16,INPUTS!$A$13:$A$16,0))</f>
        <v/>
      </c>
      <c r="E16" s="21">
        <f>INDEX(S_CURVE!$B$4:$E$15,C16,MATCH(B16,S_CURVE!$B$3:$E$3,0))</f>
        <v/>
      </c>
      <c r="F16" s="15">
        <f>D16*E16</f>
        <v/>
      </c>
      <c r="G16" s="15">
        <f>G15+F16</f>
        <v/>
      </c>
      <c r="H16" s="11">
        <f>G16/INPUTS!$B$6</f>
        <v/>
      </c>
      <c r="I16" s="15">
        <f>IF(B16=B15,I15+F16,F16)</f>
        <v/>
      </c>
    </row>
    <row r="17">
      <c r="A17" s="20" t="n">
        <v>46143</v>
      </c>
      <c r="B17" t="n">
        <v>2026</v>
      </c>
      <c r="C17" t="n">
        <v>5</v>
      </c>
      <c r="D17" s="18">
        <f>INDEX(INPUTS!$B$13:$B$16,MATCH(B17,INPUTS!$A$13:$A$16,0))</f>
        <v/>
      </c>
      <c r="E17" s="21">
        <f>INDEX(S_CURVE!$B$4:$E$15,C17,MATCH(B17,S_CURVE!$B$3:$E$3,0))</f>
        <v/>
      </c>
      <c r="F17" s="15">
        <f>D17*E17</f>
        <v/>
      </c>
      <c r="G17" s="15">
        <f>G16+F17</f>
        <v/>
      </c>
      <c r="H17" s="11">
        <f>G17/INPUTS!$B$6</f>
        <v/>
      </c>
      <c r="I17" s="15">
        <f>IF(B17=B16,I16+F17,F17)</f>
        <v/>
      </c>
    </row>
    <row r="18">
      <c r="A18" s="20" t="n">
        <v>46174</v>
      </c>
      <c r="B18" t="n">
        <v>2026</v>
      </c>
      <c r="C18" t="n">
        <v>6</v>
      </c>
      <c r="D18" s="18">
        <f>INDEX(INPUTS!$B$13:$B$16,MATCH(B18,INPUTS!$A$13:$A$16,0))</f>
        <v/>
      </c>
      <c r="E18" s="21">
        <f>INDEX(S_CURVE!$B$4:$E$15,C18,MATCH(B18,S_CURVE!$B$3:$E$3,0))</f>
        <v/>
      </c>
      <c r="F18" s="15">
        <f>D18*E18</f>
        <v/>
      </c>
      <c r="G18" s="15">
        <f>G17+F18</f>
        <v/>
      </c>
      <c r="H18" s="11">
        <f>G18/INPUTS!$B$6</f>
        <v/>
      </c>
      <c r="I18" s="15">
        <f>IF(B18=B17,I17+F18,F18)</f>
        <v/>
      </c>
    </row>
    <row r="19">
      <c r="A19" s="20" t="n">
        <v>46204</v>
      </c>
      <c r="B19" t="n">
        <v>2026</v>
      </c>
      <c r="C19" t="n">
        <v>7</v>
      </c>
      <c r="D19" s="18">
        <f>INDEX(INPUTS!$B$13:$B$16,MATCH(B19,INPUTS!$A$13:$A$16,0))</f>
        <v/>
      </c>
      <c r="E19" s="21">
        <f>INDEX(S_CURVE!$B$4:$E$15,C19,MATCH(B19,S_CURVE!$B$3:$E$3,0))</f>
        <v/>
      </c>
      <c r="F19" s="15">
        <f>D19*E19</f>
        <v/>
      </c>
      <c r="G19" s="15">
        <f>G18+F19</f>
        <v/>
      </c>
      <c r="H19" s="11">
        <f>G19/INPUTS!$B$6</f>
        <v/>
      </c>
      <c r="I19" s="15">
        <f>IF(B19=B18,I18+F19,F19)</f>
        <v/>
      </c>
    </row>
    <row r="20">
      <c r="A20" s="20" t="n">
        <v>46235</v>
      </c>
      <c r="B20" t="n">
        <v>2026</v>
      </c>
      <c r="C20" t="n">
        <v>8</v>
      </c>
      <c r="D20" s="18">
        <f>INDEX(INPUTS!$B$13:$B$16,MATCH(B20,INPUTS!$A$13:$A$16,0))</f>
        <v/>
      </c>
      <c r="E20" s="21">
        <f>INDEX(S_CURVE!$B$4:$E$15,C20,MATCH(B20,S_CURVE!$B$3:$E$3,0))</f>
        <v/>
      </c>
      <c r="F20" s="15">
        <f>D20*E20</f>
        <v/>
      </c>
      <c r="G20" s="15">
        <f>G19+F20</f>
        <v/>
      </c>
      <c r="H20" s="11">
        <f>G20/INPUTS!$B$6</f>
        <v/>
      </c>
      <c r="I20" s="15">
        <f>IF(B20=B19,I19+F20,F20)</f>
        <v/>
      </c>
    </row>
    <row r="21">
      <c r="A21" s="20" t="n">
        <v>46266</v>
      </c>
      <c r="B21" t="n">
        <v>2026</v>
      </c>
      <c r="C21" t="n">
        <v>9</v>
      </c>
      <c r="D21" s="18">
        <f>INDEX(INPUTS!$B$13:$B$16,MATCH(B21,INPUTS!$A$13:$A$16,0))</f>
        <v/>
      </c>
      <c r="E21" s="21">
        <f>INDEX(S_CURVE!$B$4:$E$15,C21,MATCH(B21,S_CURVE!$B$3:$E$3,0))</f>
        <v/>
      </c>
      <c r="F21" s="15">
        <f>D21*E21</f>
        <v/>
      </c>
      <c r="G21" s="15">
        <f>G20+F21</f>
        <v/>
      </c>
      <c r="H21" s="11">
        <f>G21/INPUTS!$B$6</f>
        <v/>
      </c>
      <c r="I21" s="15">
        <f>IF(B21=B20,I20+F21,F21)</f>
        <v/>
      </c>
    </row>
    <row r="22">
      <c r="A22" s="20" t="n">
        <v>46296</v>
      </c>
      <c r="B22" t="n">
        <v>2026</v>
      </c>
      <c r="C22" t="n">
        <v>10</v>
      </c>
      <c r="D22" s="18">
        <f>INDEX(INPUTS!$B$13:$B$16,MATCH(B22,INPUTS!$A$13:$A$16,0))</f>
        <v/>
      </c>
      <c r="E22" s="21">
        <f>INDEX(S_CURVE!$B$4:$E$15,C22,MATCH(B22,S_CURVE!$B$3:$E$3,0))</f>
        <v/>
      </c>
      <c r="F22" s="15">
        <f>D22*E22</f>
        <v/>
      </c>
      <c r="G22" s="15">
        <f>G21+F22</f>
        <v/>
      </c>
      <c r="H22" s="11">
        <f>G22/INPUTS!$B$6</f>
        <v/>
      </c>
      <c r="I22" s="15">
        <f>IF(B22=B21,I21+F22,F22)</f>
        <v/>
      </c>
    </row>
    <row r="23">
      <c r="A23" s="20" t="n">
        <v>46327</v>
      </c>
      <c r="B23" t="n">
        <v>2026</v>
      </c>
      <c r="C23" t="n">
        <v>11</v>
      </c>
      <c r="D23" s="18">
        <f>INDEX(INPUTS!$B$13:$B$16,MATCH(B23,INPUTS!$A$13:$A$16,0))</f>
        <v/>
      </c>
      <c r="E23" s="21">
        <f>INDEX(S_CURVE!$B$4:$E$15,C23,MATCH(B23,S_CURVE!$B$3:$E$3,0))</f>
        <v/>
      </c>
      <c r="F23" s="15">
        <f>D23*E23</f>
        <v/>
      </c>
      <c r="G23" s="15">
        <f>G22+F23</f>
        <v/>
      </c>
      <c r="H23" s="11">
        <f>G23/INPUTS!$B$6</f>
        <v/>
      </c>
      <c r="I23" s="15">
        <f>IF(B23=B22,I22+F23,F23)</f>
        <v/>
      </c>
    </row>
    <row r="24">
      <c r="A24" s="20" t="n">
        <v>46357</v>
      </c>
      <c r="B24" t="n">
        <v>2026</v>
      </c>
      <c r="C24" t="n">
        <v>12</v>
      </c>
      <c r="D24" s="18">
        <f>INDEX(INPUTS!$B$13:$B$16,MATCH(B24,INPUTS!$A$13:$A$16,0))</f>
        <v/>
      </c>
      <c r="E24" s="21">
        <f>INDEX(S_CURVE!$B$4:$E$15,C24,MATCH(B24,S_CURVE!$B$3:$E$3,0))</f>
        <v/>
      </c>
      <c r="F24" s="15">
        <f>D24*E24</f>
        <v/>
      </c>
      <c r="G24" s="15">
        <f>G23+F24</f>
        <v/>
      </c>
      <c r="H24" s="11">
        <f>G24/INPUTS!$B$6</f>
        <v/>
      </c>
      <c r="I24" s="15">
        <f>IF(B24=B23,I23+F24,F24)</f>
        <v/>
      </c>
    </row>
    <row r="25">
      <c r="A25" s="20" t="n">
        <v>46388</v>
      </c>
      <c r="B25" t="n">
        <v>2027</v>
      </c>
      <c r="C25" t="n">
        <v>1</v>
      </c>
      <c r="D25" s="18">
        <f>INDEX(INPUTS!$B$13:$B$16,MATCH(B25,INPUTS!$A$13:$A$16,0))</f>
        <v/>
      </c>
      <c r="E25" s="21">
        <f>INDEX(S_CURVE!$B$4:$E$15,C25,MATCH(B25,S_CURVE!$B$3:$E$3,0))</f>
        <v/>
      </c>
      <c r="F25" s="15">
        <f>D25*E25</f>
        <v/>
      </c>
      <c r="G25" s="15">
        <f>G24+F25</f>
        <v/>
      </c>
      <c r="H25" s="11">
        <f>G25/INPUTS!$B$6</f>
        <v/>
      </c>
      <c r="I25" s="15">
        <f>IF(B25=B24,I24+F25,F25)</f>
        <v/>
      </c>
    </row>
    <row r="26">
      <c r="A26" s="20" t="n">
        <v>46419</v>
      </c>
      <c r="B26" t="n">
        <v>2027</v>
      </c>
      <c r="C26" t="n">
        <v>2</v>
      </c>
      <c r="D26" s="18">
        <f>INDEX(INPUTS!$B$13:$B$16,MATCH(B26,INPUTS!$A$13:$A$16,0))</f>
        <v/>
      </c>
      <c r="E26" s="21">
        <f>INDEX(S_CURVE!$B$4:$E$15,C26,MATCH(B26,S_CURVE!$B$3:$E$3,0))</f>
        <v/>
      </c>
      <c r="F26" s="15">
        <f>D26*E26</f>
        <v/>
      </c>
      <c r="G26" s="15">
        <f>G25+F26</f>
        <v/>
      </c>
      <c r="H26" s="11">
        <f>G26/INPUTS!$B$6</f>
        <v/>
      </c>
      <c r="I26" s="15">
        <f>IF(B26=B25,I25+F26,F26)</f>
        <v/>
      </c>
    </row>
    <row r="27">
      <c r="A27" s="20" t="n">
        <v>46447</v>
      </c>
      <c r="B27" t="n">
        <v>2027</v>
      </c>
      <c r="C27" t="n">
        <v>3</v>
      </c>
      <c r="D27" s="18">
        <f>INDEX(INPUTS!$B$13:$B$16,MATCH(B27,INPUTS!$A$13:$A$16,0))</f>
        <v/>
      </c>
      <c r="E27" s="21">
        <f>INDEX(S_CURVE!$B$4:$E$15,C27,MATCH(B27,S_CURVE!$B$3:$E$3,0))</f>
        <v/>
      </c>
      <c r="F27" s="15">
        <f>D27*E27</f>
        <v/>
      </c>
      <c r="G27" s="15">
        <f>G26+F27</f>
        <v/>
      </c>
      <c r="H27" s="11">
        <f>G27/INPUTS!$B$6</f>
        <v/>
      </c>
      <c r="I27" s="15">
        <f>IF(B27=B26,I26+F27,F27)</f>
        <v/>
      </c>
    </row>
    <row r="28">
      <c r="A28" s="20" t="n">
        <v>46478</v>
      </c>
      <c r="B28" t="n">
        <v>2027</v>
      </c>
      <c r="C28" t="n">
        <v>4</v>
      </c>
      <c r="D28" s="18">
        <f>INDEX(INPUTS!$B$13:$B$16,MATCH(B28,INPUTS!$A$13:$A$16,0))</f>
        <v/>
      </c>
      <c r="E28" s="21">
        <f>INDEX(S_CURVE!$B$4:$E$15,C28,MATCH(B28,S_CURVE!$B$3:$E$3,0))</f>
        <v/>
      </c>
      <c r="F28" s="15">
        <f>D28*E28</f>
        <v/>
      </c>
      <c r="G28" s="15">
        <f>G27+F28</f>
        <v/>
      </c>
      <c r="H28" s="11">
        <f>G28/INPUTS!$B$6</f>
        <v/>
      </c>
      <c r="I28" s="15">
        <f>IF(B28=B27,I27+F28,F28)</f>
        <v/>
      </c>
    </row>
    <row r="29">
      <c r="A29" s="20" t="n">
        <v>46508</v>
      </c>
      <c r="B29" t="n">
        <v>2027</v>
      </c>
      <c r="C29" t="n">
        <v>5</v>
      </c>
      <c r="D29" s="18">
        <f>INDEX(INPUTS!$B$13:$B$16,MATCH(B29,INPUTS!$A$13:$A$16,0))</f>
        <v/>
      </c>
      <c r="E29" s="21">
        <f>INDEX(S_CURVE!$B$4:$E$15,C29,MATCH(B29,S_CURVE!$B$3:$E$3,0))</f>
        <v/>
      </c>
      <c r="F29" s="15">
        <f>D29*E29</f>
        <v/>
      </c>
      <c r="G29" s="15">
        <f>G28+F29</f>
        <v/>
      </c>
      <c r="H29" s="11">
        <f>G29/INPUTS!$B$6</f>
        <v/>
      </c>
      <c r="I29" s="15">
        <f>IF(B29=B28,I28+F29,F29)</f>
        <v/>
      </c>
    </row>
    <row r="30">
      <c r="A30" s="20" t="n">
        <v>46539</v>
      </c>
      <c r="B30" t="n">
        <v>2027</v>
      </c>
      <c r="C30" t="n">
        <v>6</v>
      </c>
      <c r="D30" s="18">
        <f>INDEX(INPUTS!$B$13:$B$16,MATCH(B30,INPUTS!$A$13:$A$16,0))</f>
        <v/>
      </c>
      <c r="E30" s="21">
        <f>INDEX(S_CURVE!$B$4:$E$15,C30,MATCH(B30,S_CURVE!$B$3:$E$3,0))</f>
        <v/>
      </c>
      <c r="F30" s="15">
        <f>D30*E30</f>
        <v/>
      </c>
      <c r="G30" s="15">
        <f>G29+F30</f>
        <v/>
      </c>
      <c r="H30" s="11">
        <f>G30/INPUTS!$B$6</f>
        <v/>
      </c>
      <c r="I30" s="15">
        <f>IF(B30=B29,I29+F30,F30)</f>
        <v/>
      </c>
    </row>
    <row r="31">
      <c r="A31" s="20" t="n">
        <v>46569</v>
      </c>
      <c r="B31" t="n">
        <v>2027</v>
      </c>
      <c r="C31" t="n">
        <v>7</v>
      </c>
      <c r="D31" s="18">
        <f>INDEX(INPUTS!$B$13:$B$16,MATCH(B31,INPUTS!$A$13:$A$16,0))</f>
        <v/>
      </c>
      <c r="E31" s="21">
        <f>INDEX(S_CURVE!$B$4:$E$15,C31,MATCH(B31,S_CURVE!$B$3:$E$3,0))</f>
        <v/>
      </c>
      <c r="F31" s="15">
        <f>D31*E31</f>
        <v/>
      </c>
      <c r="G31" s="15">
        <f>G30+F31</f>
        <v/>
      </c>
      <c r="H31" s="11">
        <f>G31/INPUTS!$B$6</f>
        <v/>
      </c>
      <c r="I31" s="15">
        <f>IF(B31=B30,I30+F31,F31)</f>
        <v/>
      </c>
    </row>
    <row r="32">
      <c r="A32" s="20" t="n">
        <v>46600</v>
      </c>
      <c r="B32" t="n">
        <v>2027</v>
      </c>
      <c r="C32" t="n">
        <v>8</v>
      </c>
      <c r="D32" s="18">
        <f>INDEX(INPUTS!$B$13:$B$16,MATCH(B32,INPUTS!$A$13:$A$16,0))</f>
        <v/>
      </c>
      <c r="E32" s="21">
        <f>INDEX(S_CURVE!$B$4:$E$15,C32,MATCH(B32,S_CURVE!$B$3:$E$3,0))</f>
        <v/>
      </c>
      <c r="F32" s="15">
        <f>D32*E32</f>
        <v/>
      </c>
      <c r="G32" s="15">
        <f>G31+F32</f>
        <v/>
      </c>
      <c r="H32" s="11">
        <f>G32/INPUTS!$B$6</f>
        <v/>
      </c>
      <c r="I32" s="15">
        <f>IF(B32=B31,I31+F32,F32)</f>
        <v/>
      </c>
    </row>
    <row r="33">
      <c r="A33" s="20" t="n">
        <v>46631</v>
      </c>
      <c r="B33" t="n">
        <v>2027</v>
      </c>
      <c r="C33" t="n">
        <v>9</v>
      </c>
      <c r="D33" s="18">
        <f>INDEX(INPUTS!$B$13:$B$16,MATCH(B33,INPUTS!$A$13:$A$16,0))</f>
        <v/>
      </c>
      <c r="E33" s="21">
        <f>INDEX(S_CURVE!$B$4:$E$15,C33,MATCH(B33,S_CURVE!$B$3:$E$3,0))</f>
        <v/>
      </c>
      <c r="F33" s="15">
        <f>D33*E33</f>
        <v/>
      </c>
      <c r="G33" s="15">
        <f>G32+F33</f>
        <v/>
      </c>
      <c r="H33" s="11">
        <f>G33/INPUTS!$B$6</f>
        <v/>
      </c>
      <c r="I33" s="15">
        <f>IF(B33=B32,I32+F33,F33)</f>
        <v/>
      </c>
    </row>
    <row r="34">
      <c r="A34" s="20" t="n">
        <v>46661</v>
      </c>
      <c r="B34" t="n">
        <v>2027</v>
      </c>
      <c r="C34" t="n">
        <v>10</v>
      </c>
      <c r="D34" s="18">
        <f>INDEX(INPUTS!$B$13:$B$16,MATCH(B34,INPUTS!$A$13:$A$16,0))</f>
        <v/>
      </c>
      <c r="E34" s="21">
        <f>INDEX(S_CURVE!$B$4:$E$15,C34,MATCH(B34,S_CURVE!$B$3:$E$3,0))</f>
        <v/>
      </c>
      <c r="F34" s="15">
        <f>D34*E34</f>
        <v/>
      </c>
      <c r="G34" s="15">
        <f>G33+F34</f>
        <v/>
      </c>
      <c r="H34" s="11">
        <f>G34/INPUTS!$B$6</f>
        <v/>
      </c>
      <c r="I34" s="15">
        <f>IF(B34=B33,I33+F34,F34)</f>
        <v/>
      </c>
    </row>
    <row r="35">
      <c r="A35" s="20" t="n">
        <v>46692</v>
      </c>
      <c r="B35" t="n">
        <v>2027</v>
      </c>
      <c r="C35" t="n">
        <v>11</v>
      </c>
      <c r="D35" s="18">
        <f>INDEX(INPUTS!$B$13:$B$16,MATCH(B35,INPUTS!$A$13:$A$16,0))</f>
        <v/>
      </c>
      <c r="E35" s="21">
        <f>INDEX(S_CURVE!$B$4:$E$15,C35,MATCH(B35,S_CURVE!$B$3:$E$3,0))</f>
        <v/>
      </c>
      <c r="F35" s="15">
        <f>D35*E35</f>
        <v/>
      </c>
      <c r="G35" s="15">
        <f>G34+F35</f>
        <v/>
      </c>
      <c r="H35" s="11">
        <f>G35/INPUTS!$B$6</f>
        <v/>
      </c>
      <c r="I35" s="15">
        <f>IF(B35=B34,I34+F35,F35)</f>
        <v/>
      </c>
    </row>
    <row r="36">
      <c r="A36" s="20" t="n">
        <v>46722</v>
      </c>
      <c r="B36" t="n">
        <v>2027</v>
      </c>
      <c r="C36" t="n">
        <v>12</v>
      </c>
      <c r="D36" s="18">
        <f>INDEX(INPUTS!$B$13:$B$16,MATCH(B36,INPUTS!$A$13:$A$16,0))</f>
        <v/>
      </c>
      <c r="E36" s="21">
        <f>INDEX(S_CURVE!$B$4:$E$15,C36,MATCH(B36,S_CURVE!$B$3:$E$3,0))</f>
        <v/>
      </c>
      <c r="F36" s="15">
        <f>D36*E36</f>
        <v/>
      </c>
      <c r="G36" s="15">
        <f>G35+F36</f>
        <v/>
      </c>
      <c r="H36" s="11">
        <f>G36/INPUTS!$B$6</f>
        <v/>
      </c>
      <c r="I36" s="15">
        <f>IF(B36=B35,I35+F36,F36)</f>
        <v/>
      </c>
    </row>
    <row r="37">
      <c r="A37" s="20" t="n">
        <v>46753</v>
      </c>
      <c r="B37" t="n">
        <v>2028</v>
      </c>
      <c r="C37" t="n">
        <v>1</v>
      </c>
      <c r="D37" s="18">
        <f>INDEX(INPUTS!$B$13:$B$16,MATCH(B37,INPUTS!$A$13:$A$16,0))</f>
        <v/>
      </c>
      <c r="E37" s="21">
        <f>INDEX(S_CURVE!$B$4:$E$15,C37,MATCH(B37,S_CURVE!$B$3:$E$3,0))</f>
        <v/>
      </c>
      <c r="F37" s="15">
        <f>D37*E37</f>
        <v/>
      </c>
      <c r="G37" s="15">
        <f>G36+F37</f>
        <v/>
      </c>
      <c r="H37" s="11">
        <f>G37/INPUTS!$B$6</f>
        <v/>
      </c>
      <c r="I37" s="15">
        <f>IF(B37=B36,I36+F37,F37)</f>
        <v/>
      </c>
    </row>
    <row r="38">
      <c r="A38" s="20" t="n">
        <v>46784</v>
      </c>
      <c r="B38" t="n">
        <v>2028</v>
      </c>
      <c r="C38" t="n">
        <v>2</v>
      </c>
      <c r="D38" s="18">
        <f>INDEX(INPUTS!$B$13:$B$16,MATCH(B38,INPUTS!$A$13:$A$16,0))</f>
        <v/>
      </c>
      <c r="E38" s="21">
        <f>INDEX(S_CURVE!$B$4:$E$15,C38,MATCH(B38,S_CURVE!$B$3:$E$3,0))</f>
        <v/>
      </c>
      <c r="F38" s="15">
        <f>D38*E38</f>
        <v/>
      </c>
      <c r="G38" s="15">
        <f>G37+F38</f>
        <v/>
      </c>
      <c r="H38" s="11">
        <f>G38/INPUTS!$B$6</f>
        <v/>
      </c>
      <c r="I38" s="15">
        <f>IF(B38=B37,I37+F38,F38)</f>
        <v/>
      </c>
    </row>
    <row r="39">
      <c r="A39" s="20" t="n">
        <v>46813</v>
      </c>
      <c r="B39" t="n">
        <v>2028</v>
      </c>
      <c r="C39" t="n">
        <v>3</v>
      </c>
      <c r="D39" s="18">
        <f>INDEX(INPUTS!$B$13:$B$16,MATCH(B39,INPUTS!$A$13:$A$16,0))</f>
        <v/>
      </c>
      <c r="E39" s="21">
        <f>INDEX(S_CURVE!$B$4:$E$15,C39,MATCH(B39,S_CURVE!$B$3:$E$3,0))</f>
        <v/>
      </c>
      <c r="F39" s="15">
        <f>D39*E39</f>
        <v/>
      </c>
      <c r="G39" s="15">
        <f>G38+F39</f>
        <v/>
      </c>
      <c r="H39" s="11">
        <f>G39/INPUTS!$B$6</f>
        <v/>
      </c>
      <c r="I39" s="15">
        <f>IF(B39=B38,I38+F39,F39)</f>
        <v/>
      </c>
    </row>
    <row r="40">
      <c r="A40" s="20" t="n">
        <v>46844</v>
      </c>
      <c r="B40" t="n">
        <v>2028</v>
      </c>
      <c r="C40" t="n">
        <v>4</v>
      </c>
      <c r="D40" s="18">
        <f>INDEX(INPUTS!$B$13:$B$16,MATCH(B40,INPUTS!$A$13:$A$16,0))</f>
        <v/>
      </c>
      <c r="E40" s="21">
        <f>INDEX(S_CURVE!$B$4:$E$15,C40,MATCH(B40,S_CURVE!$B$3:$E$3,0))</f>
        <v/>
      </c>
      <c r="F40" s="15">
        <f>D40*E40</f>
        <v/>
      </c>
      <c r="G40" s="15">
        <f>G39+F40</f>
        <v/>
      </c>
      <c r="H40" s="11">
        <f>G40/INPUTS!$B$6</f>
        <v/>
      </c>
      <c r="I40" s="15">
        <f>IF(B40=B39,I39+F40,F40)</f>
        <v/>
      </c>
    </row>
    <row r="41">
      <c r="A41" s="20" t="n">
        <v>46874</v>
      </c>
      <c r="B41" t="n">
        <v>2028</v>
      </c>
      <c r="C41" t="n">
        <v>5</v>
      </c>
      <c r="D41" s="18">
        <f>INDEX(INPUTS!$B$13:$B$16,MATCH(B41,INPUTS!$A$13:$A$16,0))</f>
        <v/>
      </c>
      <c r="E41" s="21">
        <f>INDEX(S_CURVE!$B$4:$E$15,C41,MATCH(B41,S_CURVE!$B$3:$E$3,0))</f>
        <v/>
      </c>
      <c r="F41" s="15">
        <f>D41*E41</f>
        <v/>
      </c>
      <c r="G41" s="15">
        <f>G40+F41</f>
        <v/>
      </c>
      <c r="H41" s="11">
        <f>G41/INPUTS!$B$6</f>
        <v/>
      </c>
      <c r="I41" s="15">
        <f>IF(B41=B40,I40+F41,F41)</f>
        <v/>
      </c>
    </row>
    <row r="42">
      <c r="A42" s="20" t="n">
        <v>46905</v>
      </c>
      <c r="B42" t="n">
        <v>2028</v>
      </c>
      <c r="C42" t="n">
        <v>6</v>
      </c>
      <c r="D42" s="18">
        <f>INDEX(INPUTS!$B$13:$B$16,MATCH(B42,INPUTS!$A$13:$A$16,0))</f>
        <v/>
      </c>
      <c r="E42" s="21">
        <f>INDEX(S_CURVE!$B$4:$E$15,C42,MATCH(B42,S_CURVE!$B$3:$E$3,0))</f>
        <v/>
      </c>
      <c r="F42" s="15">
        <f>D42*E42</f>
        <v/>
      </c>
      <c r="G42" s="15">
        <f>G41+F42</f>
        <v/>
      </c>
      <c r="H42" s="11">
        <f>G42/INPUTS!$B$6</f>
        <v/>
      </c>
      <c r="I42" s="15">
        <f>IF(B42=B41,I41+F42,F42)</f>
        <v/>
      </c>
    </row>
    <row r="43">
      <c r="A43" s="20" t="n">
        <v>46935</v>
      </c>
      <c r="B43" t="n">
        <v>2028</v>
      </c>
      <c r="C43" t="n">
        <v>7</v>
      </c>
      <c r="D43" s="18">
        <f>INDEX(INPUTS!$B$13:$B$16,MATCH(B43,INPUTS!$A$13:$A$16,0))</f>
        <v/>
      </c>
      <c r="E43" s="21">
        <f>INDEX(S_CURVE!$B$4:$E$15,C43,MATCH(B43,S_CURVE!$B$3:$E$3,0))</f>
        <v/>
      </c>
      <c r="F43" s="15">
        <f>D43*E43</f>
        <v/>
      </c>
      <c r="G43" s="15">
        <f>G42+F43</f>
        <v/>
      </c>
      <c r="H43" s="11">
        <f>G43/INPUTS!$B$6</f>
        <v/>
      </c>
      <c r="I43" s="15">
        <f>IF(B43=B42,I42+F43,F43)</f>
        <v/>
      </c>
    </row>
    <row r="44">
      <c r="A44" s="20" t="n">
        <v>46966</v>
      </c>
      <c r="B44" t="n">
        <v>2028</v>
      </c>
      <c r="C44" t="n">
        <v>8</v>
      </c>
      <c r="D44" s="18">
        <f>INDEX(INPUTS!$B$13:$B$16,MATCH(B44,INPUTS!$A$13:$A$16,0))</f>
        <v/>
      </c>
      <c r="E44" s="21">
        <f>INDEX(S_CURVE!$B$4:$E$15,C44,MATCH(B44,S_CURVE!$B$3:$E$3,0))</f>
        <v/>
      </c>
      <c r="F44" s="15">
        <f>D44*E44</f>
        <v/>
      </c>
      <c r="G44" s="15">
        <f>G43+F44</f>
        <v/>
      </c>
      <c r="H44" s="11">
        <f>G44/INPUTS!$B$6</f>
        <v/>
      </c>
      <c r="I44" s="15">
        <f>IF(B44=B43,I43+F44,F44)</f>
        <v/>
      </c>
    </row>
    <row r="45">
      <c r="A45" s="20" t="n">
        <v>46997</v>
      </c>
      <c r="B45" t="n">
        <v>2028</v>
      </c>
      <c r="C45" t="n">
        <v>9</v>
      </c>
      <c r="D45" s="18">
        <f>INDEX(INPUTS!$B$13:$B$16,MATCH(B45,INPUTS!$A$13:$A$16,0))</f>
        <v/>
      </c>
      <c r="E45" s="21">
        <f>INDEX(S_CURVE!$B$4:$E$15,C45,MATCH(B45,S_CURVE!$B$3:$E$3,0))</f>
        <v/>
      </c>
      <c r="F45" s="15">
        <f>D45*E45</f>
        <v/>
      </c>
      <c r="G45" s="15">
        <f>G44+F45</f>
        <v/>
      </c>
      <c r="H45" s="11">
        <f>G45/INPUTS!$B$6</f>
        <v/>
      </c>
      <c r="I45" s="15">
        <f>IF(B45=B44,I44+F45,F45)</f>
        <v/>
      </c>
    </row>
    <row r="46">
      <c r="A46" s="20" t="n">
        <v>47027</v>
      </c>
      <c r="B46" t="n">
        <v>2028</v>
      </c>
      <c r="C46" t="n">
        <v>10</v>
      </c>
      <c r="D46" s="18">
        <f>INDEX(INPUTS!$B$13:$B$16,MATCH(B46,INPUTS!$A$13:$A$16,0))</f>
        <v/>
      </c>
      <c r="E46" s="21">
        <f>INDEX(S_CURVE!$B$4:$E$15,C46,MATCH(B46,S_CURVE!$B$3:$E$3,0))</f>
        <v/>
      </c>
      <c r="F46" s="15">
        <f>D46*E46</f>
        <v/>
      </c>
      <c r="G46" s="15">
        <f>G45+F46</f>
        <v/>
      </c>
      <c r="H46" s="11">
        <f>G46/INPUTS!$B$6</f>
        <v/>
      </c>
      <c r="I46" s="15">
        <f>IF(B46=B45,I45+F46,F46)</f>
        <v/>
      </c>
    </row>
    <row r="47">
      <c r="A47" s="20" t="n">
        <v>47058</v>
      </c>
      <c r="B47" t="n">
        <v>2028</v>
      </c>
      <c r="C47" t="n">
        <v>11</v>
      </c>
      <c r="D47" s="18">
        <f>INDEX(INPUTS!$B$13:$B$16,MATCH(B47,INPUTS!$A$13:$A$16,0))</f>
        <v/>
      </c>
      <c r="E47" s="21">
        <f>INDEX(S_CURVE!$B$4:$E$15,C47,MATCH(B47,S_CURVE!$B$3:$E$3,0))</f>
        <v/>
      </c>
      <c r="F47" s="15">
        <f>D47*E47</f>
        <v/>
      </c>
      <c r="G47" s="15">
        <f>G46+F47</f>
        <v/>
      </c>
      <c r="H47" s="11">
        <f>G47/INPUTS!$B$6</f>
        <v/>
      </c>
      <c r="I47" s="15">
        <f>IF(B47=B46,I46+F47,F47)</f>
        <v/>
      </c>
    </row>
    <row r="48">
      <c r="A48" s="20" t="n">
        <v>47088</v>
      </c>
      <c r="B48" t="n">
        <v>2028</v>
      </c>
      <c r="C48" t="n">
        <v>12</v>
      </c>
      <c r="D48" s="18">
        <f>INDEX(INPUTS!$B$13:$B$16,MATCH(B48,INPUTS!$A$13:$A$16,0))</f>
        <v/>
      </c>
      <c r="E48" s="21">
        <f>INDEX(S_CURVE!$B$4:$E$15,C48,MATCH(B48,S_CURVE!$B$3:$E$3,0))</f>
        <v/>
      </c>
      <c r="F48" s="15">
        <f>D48*E48</f>
        <v/>
      </c>
      <c r="G48" s="15">
        <f>G47+F48</f>
        <v/>
      </c>
      <c r="H48" s="11">
        <f>G48/INPUTS!$B$6</f>
        <v/>
      </c>
      <c r="I48" s="15">
        <f>IF(B48=B47,I47+F48,F48)</f>
        <v/>
      </c>
    </row>
    <row r="49">
      <c r="A49" s="20" t="n">
        <v>47119</v>
      </c>
      <c r="B49" t="n">
        <v>2029</v>
      </c>
      <c r="C49" t="n">
        <v>1</v>
      </c>
      <c r="D49" s="18">
        <f>INDEX(INPUTS!$B$13:$B$16,MATCH(B49,INPUTS!$A$13:$A$16,0))</f>
        <v/>
      </c>
      <c r="E49" s="21">
        <f>INDEX(S_CURVE!$B$4:$E$15,C49,MATCH(B49,S_CURVE!$B$3:$E$3,0))</f>
        <v/>
      </c>
      <c r="F49" s="15">
        <f>D49*E49</f>
        <v/>
      </c>
      <c r="G49" s="15">
        <f>G48+F49</f>
        <v/>
      </c>
      <c r="H49" s="11">
        <f>G49/INPUTS!$B$6</f>
        <v/>
      </c>
      <c r="I49" s="15">
        <f>IF(B49=B48,I48+F49,F49)</f>
        <v/>
      </c>
    </row>
    <row r="50">
      <c r="A50" s="20" t="n">
        <v>47150</v>
      </c>
      <c r="B50" t="n">
        <v>2029</v>
      </c>
      <c r="C50" t="n">
        <v>2</v>
      </c>
      <c r="D50" s="18">
        <f>INDEX(INPUTS!$B$13:$B$16,MATCH(B50,INPUTS!$A$13:$A$16,0))</f>
        <v/>
      </c>
      <c r="E50" s="21">
        <f>INDEX(S_CURVE!$B$4:$E$15,C50,MATCH(B50,S_CURVE!$B$3:$E$3,0))</f>
        <v/>
      </c>
      <c r="F50" s="15">
        <f>D50*E50</f>
        <v/>
      </c>
      <c r="G50" s="15">
        <f>G49+F50</f>
        <v/>
      </c>
      <c r="H50" s="11">
        <f>G50/INPUTS!$B$6</f>
        <v/>
      </c>
      <c r="I50" s="15">
        <f>IF(B50=B49,I49+F50,F50)</f>
        <v/>
      </c>
    </row>
    <row r="51">
      <c r="A51" s="20" t="n">
        <v>47178</v>
      </c>
      <c r="B51" t="n">
        <v>2029</v>
      </c>
      <c r="C51" t="n">
        <v>3</v>
      </c>
      <c r="D51" s="18">
        <f>INDEX(INPUTS!$B$13:$B$16,MATCH(B51,INPUTS!$A$13:$A$16,0))</f>
        <v/>
      </c>
      <c r="E51" s="21">
        <f>INDEX(S_CURVE!$B$4:$E$15,C51,MATCH(B51,S_CURVE!$B$3:$E$3,0))</f>
        <v/>
      </c>
      <c r="F51" s="15">
        <f>D51*E51</f>
        <v/>
      </c>
      <c r="G51" s="15">
        <f>G50+F51</f>
        <v/>
      </c>
      <c r="H51" s="11">
        <f>G51/INPUTS!$B$6</f>
        <v/>
      </c>
      <c r="I51" s="15">
        <f>IF(B51=B50,I50+F51,F51)</f>
        <v/>
      </c>
    </row>
    <row r="52">
      <c r="A52" s="20" t="n">
        <v>47209</v>
      </c>
      <c r="B52" t="n">
        <v>2029</v>
      </c>
      <c r="C52" t="n">
        <v>4</v>
      </c>
      <c r="D52" s="18">
        <f>INDEX(INPUTS!$B$13:$B$16,MATCH(B52,INPUTS!$A$13:$A$16,0))</f>
        <v/>
      </c>
      <c r="E52" s="21">
        <f>INDEX(S_CURVE!$B$4:$E$15,C52,MATCH(B52,S_CURVE!$B$3:$E$3,0))</f>
        <v/>
      </c>
      <c r="F52" s="15">
        <f>D52*E52</f>
        <v/>
      </c>
      <c r="G52" s="15">
        <f>G51+F52</f>
        <v/>
      </c>
      <c r="H52" s="11">
        <f>G52/INPUTS!$B$6</f>
        <v/>
      </c>
      <c r="I52" s="15">
        <f>IF(B52=B51,I51+F52,F52)</f>
        <v/>
      </c>
    </row>
    <row r="53">
      <c r="A53" s="20" t="n">
        <v>47239</v>
      </c>
      <c r="B53" t="n">
        <v>2029</v>
      </c>
      <c r="C53" t="n">
        <v>5</v>
      </c>
      <c r="D53" s="18">
        <f>INDEX(INPUTS!$B$13:$B$16,MATCH(B53,INPUTS!$A$13:$A$16,0))</f>
        <v/>
      </c>
      <c r="E53" s="21">
        <f>INDEX(S_CURVE!$B$4:$E$15,C53,MATCH(B53,S_CURVE!$B$3:$E$3,0))</f>
        <v/>
      </c>
      <c r="F53" s="15">
        <f>D53*E53</f>
        <v/>
      </c>
      <c r="G53" s="15">
        <f>G52+F53</f>
        <v/>
      </c>
      <c r="H53" s="11">
        <f>G53/INPUTS!$B$6</f>
        <v/>
      </c>
      <c r="I53" s="15">
        <f>IF(B53=B52,I52+F53,F53)</f>
        <v/>
      </c>
    </row>
    <row r="54">
      <c r="A54" s="20" t="n">
        <v>47270</v>
      </c>
      <c r="B54" t="n">
        <v>2029</v>
      </c>
      <c r="C54" t="n">
        <v>6</v>
      </c>
      <c r="D54" s="18">
        <f>INDEX(INPUTS!$B$13:$B$16,MATCH(B54,INPUTS!$A$13:$A$16,0))</f>
        <v/>
      </c>
      <c r="E54" s="21">
        <f>INDEX(S_CURVE!$B$4:$E$15,C54,MATCH(B54,S_CURVE!$B$3:$E$3,0))</f>
        <v/>
      </c>
      <c r="F54" s="15">
        <f>D54*E54</f>
        <v/>
      </c>
      <c r="G54" s="15">
        <f>G53+F54</f>
        <v/>
      </c>
      <c r="H54" s="11">
        <f>G54/INPUTS!$B$6</f>
        <v/>
      </c>
      <c r="I54" s="15">
        <f>IF(B54=B53,I53+F54,F54)</f>
        <v/>
      </c>
    </row>
    <row r="55">
      <c r="A55" s="20" t="n">
        <v>47300</v>
      </c>
      <c r="B55" t="n">
        <v>2029</v>
      </c>
      <c r="C55" t="n">
        <v>7</v>
      </c>
      <c r="D55" s="18">
        <f>INDEX(INPUTS!$B$13:$B$16,MATCH(B55,INPUTS!$A$13:$A$16,0))</f>
        <v/>
      </c>
      <c r="E55" s="21">
        <f>INDEX(S_CURVE!$B$4:$E$15,C55,MATCH(B55,S_CURVE!$B$3:$E$3,0))</f>
        <v/>
      </c>
      <c r="F55" s="15">
        <f>D55*E55</f>
        <v/>
      </c>
      <c r="G55" s="15">
        <f>G54+F55</f>
        <v/>
      </c>
      <c r="H55" s="11">
        <f>G55/INPUTS!$B$6</f>
        <v/>
      </c>
      <c r="I55" s="15">
        <f>IF(B55=B54,I54+F55,F55)</f>
        <v/>
      </c>
    </row>
    <row r="56">
      <c r="A56" s="20" t="n">
        <v>47331</v>
      </c>
      <c r="B56" t="n">
        <v>2029</v>
      </c>
      <c r="C56" t="n">
        <v>8</v>
      </c>
      <c r="D56" s="18">
        <f>INDEX(INPUTS!$B$13:$B$16,MATCH(B56,INPUTS!$A$13:$A$16,0))</f>
        <v/>
      </c>
      <c r="E56" s="21">
        <f>INDEX(S_CURVE!$B$4:$E$15,C56,MATCH(B56,S_CURVE!$B$3:$E$3,0))</f>
        <v/>
      </c>
      <c r="F56" s="15">
        <f>D56*E56</f>
        <v/>
      </c>
      <c r="G56" s="15">
        <f>G55+F56</f>
        <v/>
      </c>
      <c r="H56" s="11">
        <f>G56/INPUTS!$B$6</f>
        <v/>
      </c>
      <c r="I56" s="15">
        <f>IF(B56=B55,I55+F56,F56)</f>
        <v/>
      </c>
    </row>
    <row r="57">
      <c r="A57" s="20" t="n">
        <v>47362</v>
      </c>
      <c r="B57" t="n">
        <v>2029</v>
      </c>
      <c r="C57" t="n">
        <v>9</v>
      </c>
      <c r="D57" s="18">
        <f>INDEX(INPUTS!$B$13:$B$16,MATCH(B57,INPUTS!$A$13:$A$16,0))</f>
        <v/>
      </c>
      <c r="E57" s="21">
        <f>INDEX(S_CURVE!$B$4:$E$15,C57,MATCH(B57,S_CURVE!$B$3:$E$3,0))</f>
        <v/>
      </c>
      <c r="F57" s="15">
        <f>D57*E57</f>
        <v/>
      </c>
      <c r="G57" s="15">
        <f>G56+F57</f>
        <v/>
      </c>
      <c r="H57" s="11">
        <f>G57/INPUTS!$B$6</f>
        <v/>
      </c>
      <c r="I57" s="15">
        <f>IF(B57=B56,I56+F57,F57)</f>
        <v/>
      </c>
    </row>
    <row r="58">
      <c r="A58" s="20" t="n">
        <v>47392</v>
      </c>
      <c r="B58" t="n">
        <v>2029</v>
      </c>
      <c r="C58" t="n">
        <v>10</v>
      </c>
      <c r="D58" s="18">
        <f>INDEX(INPUTS!$B$13:$B$16,MATCH(B58,INPUTS!$A$13:$A$16,0))</f>
        <v/>
      </c>
      <c r="E58" s="21">
        <f>INDEX(S_CURVE!$B$4:$E$15,C58,MATCH(B58,S_CURVE!$B$3:$E$3,0))</f>
        <v/>
      </c>
      <c r="F58" s="15">
        <f>D58*E58</f>
        <v/>
      </c>
      <c r="G58" s="15">
        <f>G57+F58</f>
        <v/>
      </c>
      <c r="H58" s="11">
        <f>G58/INPUTS!$B$6</f>
        <v/>
      </c>
      <c r="I58" s="15">
        <f>IF(B58=B57,I57+F58,F58)</f>
        <v/>
      </c>
    </row>
    <row r="59">
      <c r="A59" s="20" t="n">
        <v>47423</v>
      </c>
      <c r="B59" t="n">
        <v>2029</v>
      </c>
      <c r="C59" t="n">
        <v>11</v>
      </c>
      <c r="D59" s="18">
        <f>INDEX(INPUTS!$B$13:$B$16,MATCH(B59,INPUTS!$A$13:$A$16,0))</f>
        <v/>
      </c>
      <c r="E59" s="21">
        <f>INDEX(S_CURVE!$B$4:$E$15,C59,MATCH(B59,S_CURVE!$B$3:$E$3,0))</f>
        <v/>
      </c>
      <c r="F59" s="15">
        <f>D59*E59</f>
        <v/>
      </c>
      <c r="G59" s="15">
        <f>G58+F59</f>
        <v/>
      </c>
      <c r="H59" s="11">
        <f>G59/INPUTS!$B$6</f>
        <v/>
      </c>
      <c r="I59" s="15">
        <f>IF(B59=B58,I58+F59,F59)</f>
        <v/>
      </c>
    </row>
    <row r="60">
      <c r="A60" s="20" t="n">
        <v>47453</v>
      </c>
      <c r="B60" t="n">
        <v>2029</v>
      </c>
      <c r="C60" t="n">
        <v>12</v>
      </c>
      <c r="D60" s="18">
        <f>INDEX(INPUTS!$B$13:$B$16,MATCH(B60,INPUTS!$A$13:$A$16,0))</f>
        <v/>
      </c>
      <c r="E60" s="21">
        <f>INDEX(S_CURVE!$B$4:$E$15,C60,MATCH(B60,S_CURVE!$B$3:$E$3,0))</f>
        <v/>
      </c>
      <c r="F60" s="15">
        <f>D60*E60</f>
        <v/>
      </c>
      <c r="G60" s="15">
        <f>G59+F60</f>
        <v/>
      </c>
      <c r="H60" s="11">
        <f>G60/INPUTS!$B$6</f>
        <v/>
      </c>
      <c r="I60" s="15">
        <f>IF(B60=B59,I59+F60,F60)</f>
        <v/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1"/>
  <sheetViews>
    <sheetView showGridLines="1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MONTHLY FUNDING DRAW SCHEDULE</t>
        </is>
      </c>
    </row>
    <row r="3">
      <c r="A3" s="2" t="inlineStr">
        <is>
          <t>Year</t>
        </is>
      </c>
      <c r="B3" s="2" t="inlineStr">
        <is>
          <t>CAPEX</t>
        </is>
      </c>
      <c r="C3" s="2" t="inlineStr">
        <is>
          <t>Grant</t>
        </is>
      </c>
      <c r="D3" s="2" t="inlineStr">
        <is>
          <t>Equity</t>
        </is>
      </c>
      <c r="E3" s="2" t="inlineStr">
        <is>
          <t>Debt</t>
        </is>
      </c>
      <c r="F3" s="2" t="inlineStr">
        <is>
          <t>IDC</t>
        </is>
      </c>
    </row>
    <row r="4">
      <c r="A4" t="n">
        <v>2026</v>
      </c>
      <c r="B4" s="15">
        <f>SUM(B13:B24)</f>
        <v/>
      </c>
      <c r="C4" s="15">
        <f>SUM(C13:C24)</f>
        <v/>
      </c>
      <c r="D4" s="15">
        <f>SUM(E13:E24)</f>
        <v/>
      </c>
      <c r="E4" s="15">
        <f>SUM(F13:F24)</f>
        <v/>
      </c>
      <c r="F4" s="15">
        <f>SUM(H13:H24)</f>
        <v/>
      </c>
    </row>
    <row r="5">
      <c r="A5" t="n">
        <v>2027</v>
      </c>
      <c r="B5" s="15">
        <f>SUM(B25:B36)</f>
        <v/>
      </c>
      <c r="C5" s="15">
        <f>SUM(C25:C36)</f>
        <v/>
      </c>
      <c r="D5" s="15">
        <f>SUM(E25:E36)</f>
        <v/>
      </c>
      <c r="E5" s="15">
        <f>SUM(F25:F36)</f>
        <v/>
      </c>
      <c r="F5" s="15">
        <f>SUM(H25:H36)</f>
        <v/>
      </c>
    </row>
    <row r="6">
      <c r="A6" t="n">
        <v>2028</v>
      </c>
      <c r="B6" s="15">
        <f>SUM(B37:B48)</f>
        <v/>
      </c>
      <c r="C6" s="15">
        <f>SUM(C37:C48)</f>
        <v/>
      </c>
      <c r="D6" s="15">
        <f>SUM(E37:E48)</f>
        <v/>
      </c>
      <c r="E6" s="15">
        <f>SUM(F37:F48)</f>
        <v/>
      </c>
      <c r="F6" s="15">
        <f>SUM(H37:H48)</f>
        <v/>
      </c>
    </row>
    <row r="7">
      <c r="A7" t="n">
        <v>2029</v>
      </c>
      <c r="B7" s="15">
        <f>SUM(B49:B60)</f>
        <v/>
      </c>
      <c r="C7" s="15">
        <f>SUM(C49:C60)</f>
        <v/>
      </c>
      <c r="D7" s="15">
        <f>SUM(E49:E60)</f>
        <v/>
      </c>
      <c r="E7" s="15">
        <f>SUM(F49:F60)</f>
        <v/>
      </c>
      <c r="F7" s="15">
        <f>SUM(H49:H60)</f>
        <v/>
      </c>
    </row>
    <row r="11">
      <c r="A11" s="2" t="inlineStr">
        <is>
          <t>Date</t>
        </is>
      </c>
      <c r="B11" s="2" t="inlineStr">
        <is>
          <t>Direct CAPEX</t>
        </is>
      </c>
      <c r="C11" s="2" t="inlineStr">
        <is>
          <t>Grant Draw</t>
        </is>
      </c>
      <c r="D11" s="2" t="inlineStr">
        <is>
          <t>Net CAPEX</t>
        </is>
      </c>
      <c r="E11" s="2" t="inlineStr">
        <is>
          <t>Equity Draw</t>
        </is>
      </c>
      <c r="F11" s="2" t="inlineStr">
        <is>
          <t>Debt Draw</t>
        </is>
      </c>
      <c r="G11" s="2" t="inlineStr">
        <is>
          <t>Opening Debt</t>
        </is>
      </c>
      <c r="H11" s="2" t="inlineStr">
        <is>
          <t>IDC</t>
        </is>
      </c>
      <c r="I11" s="2" t="inlineStr">
        <is>
          <t>Closing Debt</t>
        </is>
      </c>
      <c r="J11" s="2" t="inlineStr">
        <is>
          <t>Cum Grants</t>
        </is>
      </c>
      <c r="K11" s="2" t="inlineStr">
        <is>
          <t>Cum Equity</t>
        </is>
      </c>
      <c r="L11" s="2" t="inlineStr">
        <is>
          <t>Cum Debt</t>
        </is>
      </c>
    </row>
    <row r="13">
      <c r="A13" s="20" t="n">
        <v>46023</v>
      </c>
      <c r="B13" s="15">
        <f>CAPEX_MONTHLY!F13</f>
        <v/>
      </c>
      <c r="C13" s="15">
        <f>B13*INPUTS!$G$15</f>
        <v/>
      </c>
      <c r="D13" s="15">
        <f>B13-C13</f>
        <v/>
      </c>
      <c r="E13" s="15">
        <f>D13*INPUTS!$G$14/(INPUTS!$G$13+INPUTS!$G$14)</f>
        <v/>
      </c>
      <c r="F13" s="15">
        <f>D13-E13</f>
        <v/>
      </c>
      <c r="G13" s="15" t="n">
        <v>0</v>
      </c>
      <c r="H13" s="15">
        <f>(G13+F13/2)*INPUTS!$G$17/12</f>
        <v/>
      </c>
      <c r="I13" s="15">
        <f>G13+F13+H13</f>
        <v/>
      </c>
      <c r="J13" s="15">
        <f>SUM($C$13:C13)</f>
        <v/>
      </c>
      <c r="K13" s="15">
        <f>SUM($E$13:E13)</f>
        <v/>
      </c>
      <c r="L13" s="15">
        <f>SUM($F$13:F13)</f>
        <v/>
      </c>
    </row>
    <row r="14">
      <c r="A14" s="20" t="n">
        <v>46054</v>
      </c>
      <c r="B14" s="15">
        <f>CAPEX_MONTHLY!F14</f>
        <v/>
      </c>
      <c r="C14" s="15">
        <f>B14*INPUTS!$G$15</f>
        <v/>
      </c>
      <c r="D14" s="15">
        <f>B14-C14</f>
        <v/>
      </c>
      <c r="E14" s="15">
        <f>D14*INPUTS!$G$14/(INPUTS!$G$13+INPUTS!$G$14)</f>
        <v/>
      </c>
      <c r="F14" s="15">
        <f>D14-E14</f>
        <v/>
      </c>
      <c r="G14" s="15">
        <f>I13</f>
        <v/>
      </c>
      <c r="H14" s="15">
        <f>(G14+F14/2)*INPUTS!$G$17/12</f>
        <v/>
      </c>
      <c r="I14" s="15">
        <f>G14+F14+H14</f>
        <v/>
      </c>
      <c r="J14" s="15">
        <f>SUM($C$13:C14)</f>
        <v/>
      </c>
      <c r="K14" s="15">
        <f>SUM($E$13:E14)</f>
        <v/>
      </c>
      <c r="L14" s="15">
        <f>SUM($F$13:F14)</f>
        <v/>
      </c>
    </row>
    <row r="15">
      <c r="A15" s="20" t="n">
        <v>46082</v>
      </c>
      <c r="B15" s="15">
        <f>CAPEX_MONTHLY!F15</f>
        <v/>
      </c>
      <c r="C15" s="15">
        <f>B15*INPUTS!$G$15</f>
        <v/>
      </c>
      <c r="D15" s="15">
        <f>B15-C15</f>
        <v/>
      </c>
      <c r="E15" s="15">
        <f>D15*INPUTS!$G$14/(INPUTS!$G$13+INPUTS!$G$14)</f>
        <v/>
      </c>
      <c r="F15" s="15">
        <f>D15-E15</f>
        <v/>
      </c>
      <c r="G15" s="15">
        <f>I14</f>
        <v/>
      </c>
      <c r="H15" s="15">
        <f>(G15+F15/2)*INPUTS!$G$17/12</f>
        <v/>
      </c>
      <c r="I15" s="15">
        <f>G15+F15+H15</f>
        <v/>
      </c>
      <c r="J15" s="15">
        <f>SUM($C$13:C15)</f>
        <v/>
      </c>
      <c r="K15" s="15">
        <f>SUM($E$13:E15)</f>
        <v/>
      </c>
      <c r="L15" s="15">
        <f>SUM($F$13:F15)</f>
        <v/>
      </c>
    </row>
    <row r="16">
      <c r="A16" s="20" t="n">
        <v>46113</v>
      </c>
      <c r="B16" s="15">
        <f>CAPEX_MONTHLY!F16</f>
        <v/>
      </c>
      <c r="C16" s="15">
        <f>B16*INPUTS!$G$15</f>
        <v/>
      </c>
      <c r="D16" s="15">
        <f>B16-C16</f>
        <v/>
      </c>
      <c r="E16" s="15">
        <f>D16*INPUTS!$G$14/(INPUTS!$G$13+INPUTS!$G$14)</f>
        <v/>
      </c>
      <c r="F16" s="15">
        <f>D16-E16</f>
        <v/>
      </c>
      <c r="G16" s="15">
        <f>I15</f>
        <v/>
      </c>
      <c r="H16" s="15">
        <f>(G16+F16/2)*INPUTS!$G$17/12</f>
        <v/>
      </c>
      <c r="I16" s="15">
        <f>G16+F16+H16</f>
        <v/>
      </c>
      <c r="J16" s="15">
        <f>SUM($C$13:C16)</f>
        <v/>
      </c>
      <c r="K16" s="15">
        <f>SUM($E$13:E16)</f>
        <v/>
      </c>
      <c r="L16" s="15">
        <f>SUM($F$13:F16)</f>
        <v/>
      </c>
    </row>
    <row r="17">
      <c r="A17" s="20" t="n">
        <v>46143</v>
      </c>
      <c r="B17" s="15">
        <f>CAPEX_MONTHLY!F17</f>
        <v/>
      </c>
      <c r="C17" s="15">
        <f>B17*INPUTS!$G$15</f>
        <v/>
      </c>
      <c r="D17" s="15">
        <f>B17-C17</f>
        <v/>
      </c>
      <c r="E17" s="15">
        <f>D17*INPUTS!$G$14/(INPUTS!$G$13+INPUTS!$G$14)</f>
        <v/>
      </c>
      <c r="F17" s="15">
        <f>D17-E17</f>
        <v/>
      </c>
      <c r="G17" s="15">
        <f>I16</f>
        <v/>
      </c>
      <c r="H17" s="15">
        <f>(G17+F17/2)*INPUTS!$G$17/12</f>
        <v/>
      </c>
      <c r="I17" s="15">
        <f>G17+F17+H17</f>
        <v/>
      </c>
      <c r="J17" s="15">
        <f>SUM($C$13:C17)</f>
        <v/>
      </c>
      <c r="K17" s="15">
        <f>SUM($E$13:E17)</f>
        <v/>
      </c>
      <c r="L17" s="15">
        <f>SUM($F$13:F17)</f>
        <v/>
      </c>
    </row>
    <row r="18">
      <c r="A18" s="20" t="n">
        <v>46174</v>
      </c>
      <c r="B18" s="15">
        <f>CAPEX_MONTHLY!F18</f>
        <v/>
      </c>
      <c r="C18" s="15">
        <f>B18*INPUTS!$G$15</f>
        <v/>
      </c>
      <c r="D18" s="15">
        <f>B18-C18</f>
        <v/>
      </c>
      <c r="E18" s="15">
        <f>D18*INPUTS!$G$14/(INPUTS!$G$13+INPUTS!$G$14)</f>
        <v/>
      </c>
      <c r="F18" s="15">
        <f>D18-E18</f>
        <v/>
      </c>
      <c r="G18" s="15">
        <f>I17</f>
        <v/>
      </c>
      <c r="H18" s="15">
        <f>(G18+F18/2)*INPUTS!$G$17/12</f>
        <v/>
      </c>
      <c r="I18" s="15">
        <f>G18+F18+H18</f>
        <v/>
      </c>
      <c r="J18" s="15">
        <f>SUM($C$13:C18)</f>
        <v/>
      </c>
      <c r="K18" s="15">
        <f>SUM($E$13:E18)</f>
        <v/>
      </c>
      <c r="L18" s="15">
        <f>SUM($F$13:F18)</f>
        <v/>
      </c>
    </row>
    <row r="19">
      <c r="A19" s="20" t="n">
        <v>46204</v>
      </c>
      <c r="B19" s="15">
        <f>CAPEX_MONTHLY!F19</f>
        <v/>
      </c>
      <c r="C19" s="15">
        <f>B19*INPUTS!$G$15</f>
        <v/>
      </c>
      <c r="D19" s="15">
        <f>B19-C19</f>
        <v/>
      </c>
      <c r="E19" s="15">
        <f>D19*INPUTS!$G$14/(INPUTS!$G$13+INPUTS!$G$14)</f>
        <v/>
      </c>
      <c r="F19" s="15">
        <f>D19-E19</f>
        <v/>
      </c>
      <c r="G19" s="15">
        <f>I18</f>
        <v/>
      </c>
      <c r="H19" s="15">
        <f>(G19+F19/2)*INPUTS!$G$17/12</f>
        <v/>
      </c>
      <c r="I19" s="15">
        <f>G19+F19+H19</f>
        <v/>
      </c>
      <c r="J19" s="15">
        <f>SUM($C$13:C19)</f>
        <v/>
      </c>
      <c r="K19" s="15">
        <f>SUM($E$13:E19)</f>
        <v/>
      </c>
      <c r="L19" s="15">
        <f>SUM($F$13:F19)</f>
        <v/>
      </c>
    </row>
    <row r="20">
      <c r="A20" s="20" t="n">
        <v>46235</v>
      </c>
      <c r="B20" s="15">
        <f>CAPEX_MONTHLY!F20</f>
        <v/>
      </c>
      <c r="C20" s="15">
        <f>B20*INPUTS!$G$15</f>
        <v/>
      </c>
      <c r="D20" s="15">
        <f>B20-C20</f>
        <v/>
      </c>
      <c r="E20" s="15">
        <f>D20*INPUTS!$G$14/(INPUTS!$G$13+INPUTS!$G$14)</f>
        <v/>
      </c>
      <c r="F20" s="15">
        <f>D20-E20</f>
        <v/>
      </c>
      <c r="G20" s="15">
        <f>I19</f>
        <v/>
      </c>
      <c r="H20" s="15">
        <f>(G20+F20/2)*INPUTS!$G$17/12</f>
        <v/>
      </c>
      <c r="I20" s="15">
        <f>G20+F20+H20</f>
        <v/>
      </c>
      <c r="J20" s="15">
        <f>SUM($C$13:C20)</f>
        <v/>
      </c>
      <c r="K20" s="15">
        <f>SUM($E$13:E20)</f>
        <v/>
      </c>
      <c r="L20" s="15">
        <f>SUM($F$13:F20)</f>
        <v/>
      </c>
    </row>
    <row r="21">
      <c r="A21" s="20" t="n">
        <v>46266</v>
      </c>
      <c r="B21" s="15">
        <f>CAPEX_MONTHLY!F21</f>
        <v/>
      </c>
      <c r="C21" s="15">
        <f>B21*INPUTS!$G$15</f>
        <v/>
      </c>
      <c r="D21" s="15">
        <f>B21-C21</f>
        <v/>
      </c>
      <c r="E21" s="15">
        <f>D21*INPUTS!$G$14/(INPUTS!$G$13+INPUTS!$G$14)</f>
        <v/>
      </c>
      <c r="F21" s="15">
        <f>D21-E21</f>
        <v/>
      </c>
      <c r="G21" s="15">
        <f>I20</f>
        <v/>
      </c>
      <c r="H21" s="15">
        <f>(G21+F21/2)*INPUTS!$G$17/12</f>
        <v/>
      </c>
      <c r="I21" s="15">
        <f>G21+F21+H21</f>
        <v/>
      </c>
      <c r="J21" s="15">
        <f>SUM($C$13:C21)</f>
        <v/>
      </c>
      <c r="K21" s="15">
        <f>SUM($E$13:E21)</f>
        <v/>
      </c>
      <c r="L21" s="15">
        <f>SUM($F$13:F21)</f>
        <v/>
      </c>
    </row>
    <row r="22">
      <c r="A22" s="20" t="n">
        <v>46296</v>
      </c>
      <c r="B22" s="15">
        <f>CAPEX_MONTHLY!F22</f>
        <v/>
      </c>
      <c r="C22" s="15">
        <f>B22*INPUTS!$G$15</f>
        <v/>
      </c>
      <c r="D22" s="15">
        <f>B22-C22</f>
        <v/>
      </c>
      <c r="E22" s="15">
        <f>D22*INPUTS!$G$14/(INPUTS!$G$13+INPUTS!$G$14)</f>
        <v/>
      </c>
      <c r="F22" s="15">
        <f>D22-E22</f>
        <v/>
      </c>
      <c r="G22" s="15">
        <f>I21</f>
        <v/>
      </c>
      <c r="H22" s="15">
        <f>(G22+F22/2)*INPUTS!$G$17/12</f>
        <v/>
      </c>
      <c r="I22" s="15">
        <f>G22+F22+H22</f>
        <v/>
      </c>
      <c r="J22" s="15">
        <f>SUM($C$13:C22)</f>
        <v/>
      </c>
      <c r="K22" s="15">
        <f>SUM($E$13:E22)</f>
        <v/>
      </c>
      <c r="L22" s="15">
        <f>SUM($F$13:F22)</f>
        <v/>
      </c>
    </row>
    <row r="23">
      <c r="A23" s="20" t="n">
        <v>46327</v>
      </c>
      <c r="B23" s="15">
        <f>CAPEX_MONTHLY!F23</f>
        <v/>
      </c>
      <c r="C23" s="15">
        <f>B23*INPUTS!$G$15</f>
        <v/>
      </c>
      <c r="D23" s="15">
        <f>B23-C23</f>
        <v/>
      </c>
      <c r="E23" s="15">
        <f>D23*INPUTS!$G$14/(INPUTS!$G$13+INPUTS!$G$14)</f>
        <v/>
      </c>
      <c r="F23" s="15">
        <f>D23-E23</f>
        <v/>
      </c>
      <c r="G23" s="15">
        <f>I22</f>
        <v/>
      </c>
      <c r="H23" s="15">
        <f>(G23+F23/2)*INPUTS!$G$17/12</f>
        <v/>
      </c>
      <c r="I23" s="15">
        <f>G23+F23+H23</f>
        <v/>
      </c>
      <c r="J23" s="15">
        <f>SUM($C$13:C23)</f>
        <v/>
      </c>
      <c r="K23" s="15">
        <f>SUM($E$13:E23)</f>
        <v/>
      </c>
      <c r="L23" s="15">
        <f>SUM($F$13:F23)</f>
        <v/>
      </c>
    </row>
    <row r="24">
      <c r="A24" s="20" t="n">
        <v>46357</v>
      </c>
      <c r="B24" s="15">
        <f>CAPEX_MONTHLY!F24</f>
        <v/>
      </c>
      <c r="C24" s="15">
        <f>B24*INPUTS!$G$15</f>
        <v/>
      </c>
      <c r="D24" s="15">
        <f>B24-C24</f>
        <v/>
      </c>
      <c r="E24" s="15">
        <f>D24*INPUTS!$G$14/(INPUTS!$G$13+INPUTS!$G$14)</f>
        <v/>
      </c>
      <c r="F24" s="15">
        <f>D24-E24</f>
        <v/>
      </c>
      <c r="G24" s="15">
        <f>I23</f>
        <v/>
      </c>
      <c r="H24" s="15">
        <f>(G24+F24/2)*INPUTS!$G$17/12</f>
        <v/>
      </c>
      <c r="I24" s="15">
        <f>G24+F24+H24</f>
        <v/>
      </c>
      <c r="J24" s="15">
        <f>SUM($C$13:C24)</f>
        <v/>
      </c>
      <c r="K24" s="15">
        <f>SUM($E$13:E24)</f>
        <v/>
      </c>
      <c r="L24" s="15">
        <f>SUM($F$13:F24)</f>
        <v/>
      </c>
    </row>
    <row r="25">
      <c r="A25" s="20" t="n">
        <v>46388</v>
      </c>
      <c r="B25" s="15">
        <f>CAPEX_MONTHLY!F25</f>
        <v/>
      </c>
      <c r="C25" s="15">
        <f>B25*INPUTS!$G$15</f>
        <v/>
      </c>
      <c r="D25" s="15">
        <f>B25-C25</f>
        <v/>
      </c>
      <c r="E25" s="15">
        <f>D25*INPUTS!$G$14/(INPUTS!$G$13+INPUTS!$G$14)</f>
        <v/>
      </c>
      <c r="F25" s="15">
        <f>D25-E25</f>
        <v/>
      </c>
      <c r="G25" s="15">
        <f>I24</f>
        <v/>
      </c>
      <c r="H25" s="15">
        <f>(G25+F25/2)*INPUTS!$G$17/12</f>
        <v/>
      </c>
      <c r="I25" s="15">
        <f>G25+F25+H25</f>
        <v/>
      </c>
      <c r="J25" s="15">
        <f>SUM($C$13:C25)</f>
        <v/>
      </c>
      <c r="K25" s="15">
        <f>SUM($E$13:E25)</f>
        <v/>
      </c>
      <c r="L25" s="15">
        <f>SUM($F$13:F25)</f>
        <v/>
      </c>
    </row>
    <row r="26">
      <c r="A26" s="20" t="n">
        <v>46419</v>
      </c>
      <c r="B26" s="15">
        <f>CAPEX_MONTHLY!F26</f>
        <v/>
      </c>
      <c r="C26" s="15">
        <f>B26*INPUTS!$G$15</f>
        <v/>
      </c>
      <c r="D26" s="15">
        <f>B26-C26</f>
        <v/>
      </c>
      <c r="E26" s="15">
        <f>D26*INPUTS!$G$14/(INPUTS!$G$13+INPUTS!$G$14)</f>
        <v/>
      </c>
      <c r="F26" s="15">
        <f>D26-E26</f>
        <v/>
      </c>
      <c r="G26" s="15">
        <f>I25</f>
        <v/>
      </c>
      <c r="H26" s="15">
        <f>(G26+F26/2)*INPUTS!$G$17/12</f>
        <v/>
      </c>
      <c r="I26" s="15">
        <f>G26+F26+H26</f>
        <v/>
      </c>
      <c r="J26" s="15">
        <f>SUM($C$13:C26)</f>
        <v/>
      </c>
      <c r="K26" s="15">
        <f>SUM($E$13:E26)</f>
        <v/>
      </c>
      <c r="L26" s="15">
        <f>SUM($F$13:F26)</f>
        <v/>
      </c>
    </row>
    <row r="27">
      <c r="A27" s="20" t="n">
        <v>46447</v>
      </c>
      <c r="B27" s="15">
        <f>CAPEX_MONTHLY!F27</f>
        <v/>
      </c>
      <c r="C27" s="15">
        <f>B27*INPUTS!$G$15</f>
        <v/>
      </c>
      <c r="D27" s="15">
        <f>B27-C27</f>
        <v/>
      </c>
      <c r="E27" s="15">
        <f>D27*INPUTS!$G$14/(INPUTS!$G$13+INPUTS!$G$14)</f>
        <v/>
      </c>
      <c r="F27" s="15">
        <f>D27-E27</f>
        <v/>
      </c>
      <c r="G27" s="15">
        <f>I26</f>
        <v/>
      </c>
      <c r="H27" s="15">
        <f>(G27+F27/2)*INPUTS!$G$17/12</f>
        <v/>
      </c>
      <c r="I27" s="15">
        <f>G27+F27+H27</f>
        <v/>
      </c>
      <c r="J27" s="15">
        <f>SUM($C$13:C27)</f>
        <v/>
      </c>
      <c r="K27" s="15">
        <f>SUM($E$13:E27)</f>
        <v/>
      </c>
      <c r="L27" s="15">
        <f>SUM($F$13:F27)</f>
        <v/>
      </c>
    </row>
    <row r="28">
      <c r="A28" s="20" t="n">
        <v>46478</v>
      </c>
      <c r="B28" s="15">
        <f>CAPEX_MONTHLY!F28</f>
        <v/>
      </c>
      <c r="C28" s="15">
        <f>B28*INPUTS!$G$15</f>
        <v/>
      </c>
      <c r="D28" s="15">
        <f>B28-C28</f>
        <v/>
      </c>
      <c r="E28" s="15">
        <f>D28*INPUTS!$G$14/(INPUTS!$G$13+INPUTS!$G$14)</f>
        <v/>
      </c>
      <c r="F28" s="15">
        <f>D28-E28</f>
        <v/>
      </c>
      <c r="G28" s="15">
        <f>I27</f>
        <v/>
      </c>
      <c r="H28" s="15">
        <f>(G28+F28/2)*INPUTS!$G$17/12</f>
        <v/>
      </c>
      <c r="I28" s="15">
        <f>G28+F28+H28</f>
        <v/>
      </c>
      <c r="J28" s="15">
        <f>SUM($C$13:C28)</f>
        <v/>
      </c>
      <c r="K28" s="15">
        <f>SUM($E$13:E28)</f>
        <v/>
      </c>
      <c r="L28" s="15">
        <f>SUM($F$13:F28)</f>
        <v/>
      </c>
    </row>
    <row r="29">
      <c r="A29" s="20" t="n">
        <v>46508</v>
      </c>
      <c r="B29" s="15">
        <f>CAPEX_MONTHLY!F29</f>
        <v/>
      </c>
      <c r="C29" s="15">
        <f>B29*INPUTS!$G$15</f>
        <v/>
      </c>
      <c r="D29" s="15">
        <f>B29-C29</f>
        <v/>
      </c>
      <c r="E29" s="15">
        <f>D29*INPUTS!$G$14/(INPUTS!$G$13+INPUTS!$G$14)</f>
        <v/>
      </c>
      <c r="F29" s="15">
        <f>D29-E29</f>
        <v/>
      </c>
      <c r="G29" s="15">
        <f>I28</f>
        <v/>
      </c>
      <c r="H29" s="15">
        <f>(G29+F29/2)*INPUTS!$G$17/12</f>
        <v/>
      </c>
      <c r="I29" s="15">
        <f>G29+F29+H29</f>
        <v/>
      </c>
      <c r="J29" s="15">
        <f>SUM($C$13:C29)</f>
        <v/>
      </c>
      <c r="K29" s="15">
        <f>SUM($E$13:E29)</f>
        <v/>
      </c>
      <c r="L29" s="15">
        <f>SUM($F$13:F29)</f>
        <v/>
      </c>
    </row>
    <row r="30">
      <c r="A30" s="20" t="n">
        <v>46539</v>
      </c>
      <c r="B30" s="15">
        <f>CAPEX_MONTHLY!F30</f>
        <v/>
      </c>
      <c r="C30" s="15">
        <f>B30*INPUTS!$G$15</f>
        <v/>
      </c>
      <c r="D30" s="15">
        <f>B30-C30</f>
        <v/>
      </c>
      <c r="E30" s="15">
        <f>D30*INPUTS!$G$14/(INPUTS!$G$13+INPUTS!$G$14)</f>
        <v/>
      </c>
      <c r="F30" s="15">
        <f>D30-E30</f>
        <v/>
      </c>
      <c r="G30" s="15">
        <f>I29</f>
        <v/>
      </c>
      <c r="H30" s="15">
        <f>(G30+F30/2)*INPUTS!$G$17/12</f>
        <v/>
      </c>
      <c r="I30" s="15">
        <f>G30+F30+H30</f>
        <v/>
      </c>
      <c r="J30" s="15">
        <f>SUM($C$13:C30)</f>
        <v/>
      </c>
      <c r="K30" s="15">
        <f>SUM($E$13:E30)</f>
        <v/>
      </c>
      <c r="L30" s="15">
        <f>SUM($F$13:F30)</f>
        <v/>
      </c>
    </row>
    <row r="31">
      <c r="A31" s="20" t="n">
        <v>46569</v>
      </c>
      <c r="B31" s="15">
        <f>CAPEX_MONTHLY!F31</f>
        <v/>
      </c>
      <c r="C31" s="15">
        <f>B31*INPUTS!$G$15</f>
        <v/>
      </c>
      <c r="D31" s="15">
        <f>B31-C31</f>
        <v/>
      </c>
      <c r="E31" s="15">
        <f>D31*INPUTS!$G$14/(INPUTS!$G$13+INPUTS!$G$14)</f>
        <v/>
      </c>
      <c r="F31" s="15">
        <f>D31-E31</f>
        <v/>
      </c>
      <c r="G31" s="15">
        <f>I30</f>
        <v/>
      </c>
      <c r="H31" s="15">
        <f>(G31+F31/2)*INPUTS!$G$17/12</f>
        <v/>
      </c>
      <c r="I31" s="15">
        <f>G31+F31+H31</f>
        <v/>
      </c>
      <c r="J31" s="15">
        <f>SUM($C$13:C31)</f>
        <v/>
      </c>
      <c r="K31" s="15">
        <f>SUM($E$13:E31)</f>
        <v/>
      </c>
      <c r="L31" s="15">
        <f>SUM($F$13:F31)</f>
        <v/>
      </c>
    </row>
    <row r="32">
      <c r="A32" s="20" t="n">
        <v>46600</v>
      </c>
      <c r="B32" s="15">
        <f>CAPEX_MONTHLY!F32</f>
        <v/>
      </c>
      <c r="C32" s="15">
        <f>B32*INPUTS!$G$15</f>
        <v/>
      </c>
      <c r="D32" s="15">
        <f>B32-C32</f>
        <v/>
      </c>
      <c r="E32" s="15">
        <f>D32*INPUTS!$G$14/(INPUTS!$G$13+INPUTS!$G$14)</f>
        <v/>
      </c>
      <c r="F32" s="15">
        <f>D32-E32</f>
        <v/>
      </c>
      <c r="G32" s="15">
        <f>I31</f>
        <v/>
      </c>
      <c r="H32" s="15">
        <f>(G32+F32/2)*INPUTS!$G$17/12</f>
        <v/>
      </c>
      <c r="I32" s="15">
        <f>G32+F32+H32</f>
        <v/>
      </c>
      <c r="J32" s="15">
        <f>SUM($C$13:C32)</f>
        <v/>
      </c>
      <c r="K32" s="15">
        <f>SUM($E$13:E32)</f>
        <v/>
      </c>
      <c r="L32" s="15">
        <f>SUM($F$13:F32)</f>
        <v/>
      </c>
    </row>
    <row r="33">
      <c r="A33" s="20" t="n">
        <v>46631</v>
      </c>
      <c r="B33" s="15">
        <f>CAPEX_MONTHLY!F33</f>
        <v/>
      </c>
      <c r="C33" s="15">
        <f>B33*INPUTS!$G$15</f>
        <v/>
      </c>
      <c r="D33" s="15">
        <f>B33-C33</f>
        <v/>
      </c>
      <c r="E33" s="15">
        <f>D33*INPUTS!$G$14/(INPUTS!$G$13+INPUTS!$G$14)</f>
        <v/>
      </c>
      <c r="F33" s="15">
        <f>D33-E33</f>
        <v/>
      </c>
      <c r="G33" s="15">
        <f>I32</f>
        <v/>
      </c>
      <c r="H33" s="15">
        <f>(G33+F33/2)*INPUTS!$G$17/12</f>
        <v/>
      </c>
      <c r="I33" s="15">
        <f>G33+F33+H33</f>
        <v/>
      </c>
      <c r="J33" s="15">
        <f>SUM($C$13:C33)</f>
        <v/>
      </c>
      <c r="K33" s="15">
        <f>SUM($E$13:E33)</f>
        <v/>
      </c>
      <c r="L33" s="15">
        <f>SUM($F$13:F33)</f>
        <v/>
      </c>
    </row>
    <row r="34">
      <c r="A34" s="20" t="n">
        <v>46661</v>
      </c>
      <c r="B34" s="15">
        <f>CAPEX_MONTHLY!F34</f>
        <v/>
      </c>
      <c r="C34" s="15">
        <f>B34*INPUTS!$G$15</f>
        <v/>
      </c>
      <c r="D34" s="15">
        <f>B34-C34</f>
        <v/>
      </c>
      <c r="E34" s="15">
        <f>D34*INPUTS!$G$14/(INPUTS!$G$13+INPUTS!$G$14)</f>
        <v/>
      </c>
      <c r="F34" s="15">
        <f>D34-E34</f>
        <v/>
      </c>
      <c r="G34" s="15">
        <f>I33</f>
        <v/>
      </c>
      <c r="H34" s="15">
        <f>(G34+F34/2)*INPUTS!$G$17/12</f>
        <v/>
      </c>
      <c r="I34" s="15">
        <f>G34+F34+H34</f>
        <v/>
      </c>
      <c r="J34" s="15">
        <f>SUM($C$13:C34)</f>
        <v/>
      </c>
      <c r="K34" s="15">
        <f>SUM($E$13:E34)</f>
        <v/>
      </c>
      <c r="L34" s="15">
        <f>SUM($F$13:F34)</f>
        <v/>
      </c>
    </row>
    <row r="35">
      <c r="A35" s="20" t="n">
        <v>46692</v>
      </c>
      <c r="B35" s="15">
        <f>CAPEX_MONTHLY!F35</f>
        <v/>
      </c>
      <c r="C35" s="15">
        <f>B35*INPUTS!$G$15</f>
        <v/>
      </c>
      <c r="D35" s="15">
        <f>B35-C35</f>
        <v/>
      </c>
      <c r="E35" s="15">
        <f>D35*INPUTS!$G$14/(INPUTS!$G$13+INPUTS!$G$14)</f>
        <v/>
      </c>
      <c r="F35" s="15">
        <f>D35-E35</f>
        <v/>
      </c>
      <c r="G35" s="15">
        <f>I34</f>
        <v/>
      </c>
      <c r="H35" s="15">
        <f>(G35+F35/2)*INPUTS!$G$17/12</f>
        <v/>
      </c>
      <c r="I35" s="15">
        <f>G35+F35+H35</f>
        <v/>
      </c>
      <c r="J35" s="15">
        <f>SUM($C$13:C35)</f>
        <v/>
      </c>
      <c r="K35" s="15">
        <f>SUM($E$13:E35)</f>
        <v/>
      </c>
      <c r="L35" s="15">
        <f>SUM($F$13:F35)</f>
        <v/>
      </c>
    </row>
    <row r="36">
      <c r="A36" s="20" t="n">
        <v>46722</v>
      </c>
      <c r="B36" s="15">
        <f>CAPEX_MONTHLY!F36</f>
        <v/>
      </c>
      <c r="C36" s="15">
        <f>B36*INPUTS!$G$15</f>
        <v/>
      </c>
      <c r="D36" s="15">
        <f>B36-C36</f>
        <v/>
      </c>
      <c r="E36" s="15">
        <f>D36*INPUTS!$G$14/(INPUTS!$G$13+INPUTS!$G$14)</f>
        <v/>
      </c>
      <c r="F36" s="15">
        <f>D36-E36</f>
        <v/>
      </c>
      <c r="G36" s="15">
        <f>I35</f>
        <v/>
      </c>
      <c r="H36" s="15">
        <f>(G36+F36/2)*INPUTS!$G$17/12</f>
        <v/>
      </c>
      <c r="I36" s="15">
        <f>G36+F36+H36</f>
        <v/>
      </c>
      <c r="J36" s="15">
        <f>SUM($C$13:C36)</f>
        <v/>
      </c>
      <c r="K36" s="15">
        <f>SUM($E$13:E36)</f>
        <v/>
      </c>
      <c r="L36" s="15">
        <f>SUM($F$13:F36)</f>
        <v/>
      </c>
    </row>
    <row r="37">
      <c r="A37" s="20" t="n">
        <v>46753</v>
      </c>
      <c r="B37" s="15">
        <f>CAPEX_MONTHLY!F37</f>
        <v/>
      </c>
      <c r="C37" s="15">
        <f>B37*INPUTS!$G$15</f>
        <v/>
      </c>
      <c r="D37" s="15">
        <f>B37-C37</f>
        <v/>
      </c>
      <c r="E37" s="15">
        <f>D37*INPUTS!$G$14/(INPUTS!$G$13+INPUTS!$G$14)</f>
        <v/>
      </c>
      <c r="F37" s="15">
        <f>D37-E37</f>
        <v/>
      </c>
      <c r="G37" s="15">
        <f>I36</f>
        <v/>
      </c>
      <c r="H37" s="15">
        <f>(G37+F37/2)*INPUTS!$G$17/12</f>
        <v/>
      </c>
      <c r="I37" s="15">
        <f>G37+F37+H37</f>
        <v/>
      </c>
      <c r="J37" s="15">
        <f>SUM($C$13:C37)</f>
        <v/>
      </c>
      <c r="K37" s="15">
        <f>SUM($E$13:E37)</f>
        <v/>
      </c>
      <c r="L37" s="15">
        <f>SUM($F$13:F37)</f>
        <v/>
      </c>
    </row>
    <row r="38">
      <c r="A38" s="20" t="n">
        <v>46784</v>
      </c>
      <c r="B38" s="15">
        <f>CAPEX_MONTHLY!F38</f>
        <v/>
      </c>
      <c r="C38" s="15">
        <f>B38*INPUTS!$G$15</f>
        <v/>
      </c>
      <c r="D38" s="15">
        <f>B38-C38</f>
        <v/>
      </c>
      <c r="E38" s="15">
        <f>D38*INPUTS!$G$14/(INPUTS!$G$13+INPUTS!$G$14)</f>
        <v/>
      </c>
      <c r="F38" s="15">
        <f>D38-E38</f>
        <v/>
      </c>
      <c r="G38" s="15">
        <f>I37</f>
        <v/>
      </c>
      <c r="H38" s="15">
        <f>(G38+F38/2)*INPUTS!$G$17/12</f>
        <v/>
      </c>
      <c r="I38" s="15">
        <f>G38+F38+H38</f>
        <v/>
      </c>
      <c r="J38" s="15">
        <f>SUM($C$13:C38)</f>
        <v/>
      </c>
      <c r="K38" s="15">
        <f>SUM($E$13:E38)</f>
        <v/>
      </c>
      <c r="L38" s="15">
        <f>SUM($F$13:F38)</f>
        <v/>
      </c>
    </row>
    <row r="39">
      <c r="A39" s="20" t="n">
        <v>46813</v>
      </c>
      <c r="B39" s="15">
        <f>CAPEX_MONTHLY!F39</f>
        <v/>
      </c>
      <c r="C39" s="15">
        <f>B39*INPUTS!$G$15</f>
        <v/>
      </c>
      <c r="D39" s="15">
        <f>B39-C39</f>
        <v/>
      </c>
      <c r="E39" s="15">
        <f>D39*INPUTS!$G$14/(INPUTS!$G$13+INPUTS!$G$14)</f>
        <v/>
      </c>
      <c r="F39" s="15">
        <f>D39-E39</f>
        <v/>
      </c>
      <c r="G39" s="15">
        <f>I38</f>
        <v/>
      </c>
      <c r="H39" s="15">
        <f>(G39+F39/2)*INPUTS!$G$17/12</f>
        <v/>
      </c>
      <c r="I39" s="15">
        <f>G39+F39+H39</f>
        <v/>
      </c>
      <c r="J39" s="15">
        <f>SUM($C$13:C39)</f>
        <v/>
      </c>
      <c r="K39" s="15">
        <f>SUM($E$13:E39)</f>
        <v/>
      </c>
      <c r="L39" s="15">
        <f>SUM($F$13:F39)</f>
        <v/>
      </c>
    </row>
    <row r="40">
      <c r="A40" s="20" t="n">
        <v>46844</v>
      </c>
      <c r="B40" s="15">
        <f>CAPEX_MONTHLY!F40</f>
        <v/>
      </c>
      <c r="C40" s="15">
        <f>B40*INPUTS!$G$15</f>
        <v/>
      </c>
      <c r="D40" s="15">
        <f>B40-C40</f>
        <v/>
      </c>
      <c r="E40" s="15">
        <f>D40*INPUTS!$G$14/(INPUTS!$G$13+INPUTS!$G$14)</f>
        <v/>
      </c>
      <c r="F40" s="15">
        <f>D40-E40</f>
        <v/>
      </c>
      <c r="G40" s="15">
        <f>I39</f>
        <v/>
      </c>
      <c r="H40" s="15">
        <f>(G40+F40/2)*INPUTS!$G$17/12</f>
        <v/>
      </c>
      <c r="I40" s="15">
        <f>G40+F40+H40</f>
        <v/>
      </c>
      <c r="J40" s="15">
        <f>SUM($C$13:C40)</f>
        <v/>
      </c>
      <c r="K40" s="15">
        <f>SUM($E$13:E40)</f>
        <v/>
      </c>
      <c r="L40" s="15">
        <f>SUM($F$13:F40)</f>
        <v/>
      </c>
    </row>
    <row r="41">
      <c r="A41" s="20" t="n">
        <v>46874</v>
      </c>
      <c r="B41" s="15">
        <f>CAPEX_MONTHLY!F41</f>
        <v/>
      </c>
      <c r="C41" s="15">
        <f>B41*INPUTS!$G$15</f>
        <v/>
      </c>
      <c r="D41" s="15">
        <f>B41-C41</f>
        <v/>
      </c>
      <c r="E41" s="15">
        <f>D41*INPUTS!$G$14/(INPUTS!$G$13+INPUTS!$G$14)</f>
        <v/>
      </c>
      <c r="F41" s="15">
        <f>D41-E41</f>
        <v/>
      </c>
      <c r="G41" s="15">
        <f>I40</f>
        <v/>
      </c>
      <c r="H41" s="15">
        <f>(G41+F41/2)*INPUTS!$G$17/12</f>
        <v/>
      </c>
      <c r="I41" s="15">
        <f>G41+F41+H41</f>
        <v/>
      </c>
      <c r="J41" s="15">
        <f>SUM($C$13:C41)</f>
        <v/>
      </c>
      <c r="K41" s="15">
        <f>SUM($E$13:E41)</f>
        <v/>
      </c>
      <c r="L41" s="15">
        <f>SUM($F$13:F41)</f>
        <v/>
      </c>
    </row>
    <row r="42">
      <c r="A42" s="20" t="n">
        <v>46905</v>
      </c>
      <c r="B42" s="15">
        <f>CAPEX_MONTHLY!F42</f>
        <v/>
      </c>
      <c r="C42" s="15">
        <f>B42*INPUTS!$G$15</f>
        <v/>
      </c>
      <c r="D42" s="15">
        <f>B42-C42</f>
        <v/>
      </c>
      <c r="E42" s="15">
        <f>D42*INPUTS!$G$14/(INPUTS!$G$13+INPUTS!$G$14)</f>
        <v/>
      </c>
      <c r="F42" s="15">
        <f>D42-E42</f>
        <v/>
      </c>
      <c r="G42" s="15">
        <f>I41</f>
        <v/>
      </c>
      <c r="H42" s="15">
        <f>(G42+F42/2)*INPUTS!$G$17/12</f>
        <v/>
      </c>
      <c r="I42" s="15">
        <f>G42+F42+H42</f>
        <v/>
      </c>
      <c r="J42" s="15">
        <f>SUM($C$13:C42)</f>
        <v/>
      </c>
      <c r="K42" s="15">
        <f>SUM($E$13:E42)</f>
        <v/>
      </c>
      <c r="L42" s="15">
        <f>SUM($F$13:F42)</f>
        <v/>
      </c>
    </row>
    <row r="43">
      <c r="A43" s="20" t="n">
        <v>46935</v>
      </c>
      <c r="B43" s="15">
        <f>CAPEX_MONTHLY!F43</f>
        <v/>
      </c>
      <c r="C43" s="15">
        <f>B43*INPUTS!$G$15</f>
        <v/>
      </c>
      <c r="D43" s="15">
        <f>B43-C43</f>
        <v/>
      </c>
      <c r="E43" s="15">
        <f>D43*INPUTS!$G$14/(INPUTS!$G$13+INPUTS!$G$14)</f>
        <v/>
      </c>
      <c r="F43" s="15">
        <f>D43-E43</f>
        <v/>
      </c>
      <c r="G43" s="15">
        <f>I42</f>
        <v/>
      </c>
      <c r="H43" s="15">
        <f>(G43+F43/2)*INPUTS!$G$17/12</f>
        <v/>
      </c>
      <c r="I43" s="15">
        <f>G43+F43+H43</f>
        <v/>
      </c>
      <c r="J43" s="15">
        <f>SUM($C$13:C43)</f>
        <v/>
      </c>
      <c r="K43" s="15">
        <f>SUM($E$13:E43)</f>
        <v/>
      </c>
      <c r="L43" s="15">
        <f>SUM($F$13:F43)</f>
        <v/>
      </c>
    </row>
    <row r="44">
      <c r="A44" s="20" t="n">
        <v>46966</v>
      </c>
      <c r="B44" s="15">
        <f>CAPEX_MONTHLY!F44</f>
        <v/>
      </c>
      <c r="C44" s="15">
        <f>B44*INPUTS!$G$15</f>
        <v/>
      </c>
      <c r="D44" s="15">
        <f>B44-C44</f>
        <v/>
      </c>
      <c r="E44" s="15">
        <f>D44*INPUTS!$G$14/(INPUTS!$G$13+INPUTS!$G$14)</f>
        <v/>
      </c>
      <c r="F44" s="15">
        <f>D44-E44</f>
        <v/>
      </c>
      <c r="G44" s="15">
        <f>I43</f>
        <v/>
      </c>
      <c r="H44" s="15">
        <f>(G44+F44/2)*INPUTS!$G$17/12</f>
        <v/>
      </c>
      <c r="I44" s="15">
        <f>G44+F44+H44</f>
        <v/>
      </c>
      <c r="J44" s="15">
        <f>SUM($C$13:C44)</f>
        <v/>
      </c>
      <c r="K44" s="15">
        <f>SUM($E$13:E44)</f>
        <v/>
      </c>
      <c r="L44" s="15">
        <f>SUM($F$13:F44)</f>
        <v/>
      </c>
    </row>
    <row r="45">
      <c r="A45" s="20" t="n">
        <v>46997</v>
      </c>
      <c r="B45" s="15">
        <f>CAPEX_MONTHLY!F45</f>
        <v/>
      </c>
      <c r="C45" s="15">
        <f>B45*INPUTS!$G$15</f>
        <v/>
      </c>
      <c r="D45" s="15">
        <f>B45-C45</f>
        <v/>
      </c>
      <c r="E45" s="15">
        <f>D45*INPUTS!$G$14/(INPUTS!$G$13+INPUTS!$G$14)</f>
        <v/>
      </c>
      <c r="F45" s="15">
        <f>D45-E45</f>
        <v/>
      </c>
      <c r="G45" s="15">
        <f>I44</f>
        <v/>
      </c>
      <c r="H45" s="15">
        <f>(G45+F45/2)*INPUTS!$G$17/12</f>
        <v/>
      </c>
      <c r="I45" s="15">
        <f>G45+F45+H45</f>
        <v/>
      </c>
      <c r="J45" s="15">
        <f>SUM($C$13:C45)</f>
        <v/>
      </c>
      <c r="K45" s="15">
        <f>SUM($E$13:E45)</f>
        <v/>
      </c>
      <c r="L45" s="15">
        <f>SUM($F$13:F45)</f>
        <v/>
      </c>
    </row>
    <row r="46">
      <c r="A46" s="20" t="n">
        <v>47027</v>
      </c>
      <c r="B46" s="15">
        <f>CAPEX_MONTHLY!F46</f>
        <v/>
      </c>
      <c r="C46" s="15">
        <f>B46*INPUTS!$G$15</f>
        <v/>
      </c>
      <c r="D46" s="15">
        <f>B46-C46</f>
        <v/>
      </c>
      <c r="E46" s="15">
        <f>D46*INPUTS!$G$14/(INPUTS!$G$13+INPUTS!$G$14)</f>
        <v/>
      </c>
      <c r="F46" s="15">
        <f>D46-E46</f>
        <v/>
      </c>
      <c r="G46" s="15">
        <f>I45</f>
        <v/>
      </c>
      <c r="H46" s="15">
        <f>(G46+F46/2)*INPUTS!$G$17/12</f>
        <v/>
      </c>
      <c r="I46" s="15">
        <f>G46+F46+H46</f>
        <v/>
      </c>
      <c r="J46" s="15">
        <f>SUM($C$13:C46)</f>
        <v/>
      </c>
      <c r="K46" s="15">
        <f>SUM($E$13:E46)</f>
        <v/>
      </c>
      <c r="L46" s="15">
        <f>SUM($F$13:F46)</f>
        <v/>
      </c>
    </row>
    <row r="47">
      <c r="A47" s="20" t="n">
        <v>47058</v>
      </c>
      <c r="B47" s="15">
        <f>CAPEX_MONTHLY!F47</f>
        <v/>
      </c>
      <c r="C47" s="15">
        <f>B47*INPUTS!$G$15</f>
        <v/>
      </c>
      <c r="D47" s="15">
        <f>B47-C47</f>
        <v/>
      </c>
      <c r="E47" s="15">
        <f>D47*INPUTS!$G$14/(INPUTS!$G$13+INPUTS!$G$14)</f>
        <v/>
      </c>
      <c r="F47" s="15">
        <f>D47-E47</f>
        <v/>
      </c>
      <c r="G47" s="15">
        <f>I46</f>
        <v/>
      </c>
      <c r="H47" s="15">
        <f>(G47+F47/2)*INPUTS!$G$17/12</f>
        <v/>
      </c>
      <c r="I47" s="15">
        <f>G47+F47+H47</f>
        <v/>
      </c>
      <c r="J47" s="15">
        <f>SUM($C$13:C47)</f>
        <v/>
      </c>
      <c r="K47" s="15">
        <f>SUM($E$13:E47)</f>
        <v/>
      </c>
      <c r="L47" s="15">
        <f>SUM($F$13:F47)</f>
        <v/>
      </c>
    </row>
    <row r="48">
      <c r="A48" s="20" t="n">
        <v>47088</v>
      </c>
      <c r="B48" s="15">
        <f>CAPEX_MONTHLY!F48</f>
        <v/>
      </c>
      <c r="C48" s="15">
        <f>B48*INPUTS!$G$15</f>
        <v/>
      </c>
      <c r="D48" s="15">
        <f>B48-C48</f>
        <v/>
      </c>
      <c r="E48" s="15">
        <f>D48*INPUTS!$G$14/(INPUTS!$G$13+INPUTS!$G$14)</f>
        <v/>
      </c>
      <c r="F48" s="15">
        <f>D48-E48</f>
        <v/>
      </c>
      <c r="G48" s="15">
        <f>I47</f>
        <v/>
      </c>
      <c r="H48" s="15">
        <f>(G48+F48/2)*INPUTS!$G$17/12</f>
        <v/>
      </c>
      <c r="I48" s="15">
        <f>G48+F48+H48</f>
        <v/>
      </c>
      <c r="J48" s="15">
        <f>SUM($C$13:C48)</f>
        <v/>
      </c>
      <c r="K48" s="15">
        <f>SUM($E$13:E48)</f>
        <v/>
      </c>
      <c r="L48" s="15">
        <f>SUM($F$13:F48)</f>
        <v/>
      </c>
    </row>
    <row r="49">
      <c r="A49" s="20" t="n">
        <v>47119</v>
      </c>
      <c r="B49" s="15">
        <f>CAPEX_MONTHLY!F49</f>
        <v/>
      </c>
      <c r="C49" s="15">
        <f>B49*INPUTS!$G$15</f>
        <v/>
      </c>
      <c r="D49" s="15">
        <f>B49-C49</f>
        <v/>
      </c>
      <c r="E49" s="15">
        <f>D49*INPUTS!$G$14/(INPUTS!$G$13+INPUTS!$G$14)</f>
        <v/>
      </c>
      <c r="F49" s="15">
        <f>D49-E49</f>
        <v/>
      </c>
      <c r="G49" s="15">
        <f>I48</f>
        <v/>
      </c>
      <c r="H49" s="15">
        <f>(G49+F49/2)*INPUTS!$G$17/12</f>
        <v/>
      </c>
      <c r="I49" s="15">
        <f>G49+F49+H49</f>
        <v/>
      </c>
      <c r="J49" s="15">
        <f>SUM($C$13:C49)</f>
        <v/>
      </c>
      <c r="K49" s="15">
        <f>SUM($E$13:E49)</f>
        <v/>
      </c>
      <c r="L49" s="15">
        <f>SUM($F$13:F49)</f>
        <v/>
      </c>
    </row>
    <row r="50">
      <c r="A50" s="20" t="n">
        <v>47150</v>
      </c>
      <c r="B50" s="15">
        <f>CAPEX_MONTHLY!F50</f>
        <v/>
      </c>
      <c r="C50" s="15">
        <f>B50*INPUTS!$G$15</f>
        <v/>
      </c>
      <c r="D50" s="15">
        <f>B50-C50</f>
        <v/>
      </c>
      <c r="E50" s="15">
        <f>D50*INPUTS!$G$14/(INPUTS!$G$13+INPUTS!$G$14)</f>
        <v/>
      </c>
      <c r="F50" s="15">
        <f>D50-E50</f>
        <v/>
      </c>
      <c r="G50" s="15">
        <f>I49</f>
        <v/>
      </c>
      <c r="H50" s="15">
        <f>(G50+F50/2)*INPUTS!$G$17/12</f>
        <v/>
      </c>
      <c r="I50" s="15">
        <f>G50+F50+H50</f>
        <v/>
      </c>
      <c r="J50" s="15">
        <f>SUM($C$13:C50)</f>
        <v/>
      </c>
      <c r="K50" s="15">
        <f>SUM($E$13:E50)</f>
        <v/>
      </c>
      <c r="L50" s="15">
        <f>SUM($F$13:F50)</f>
        <v/>
      </c>
    </row>
    <row r="51">
      <c r="A51" s="20" t="n">
        <v>47178</v>
      </c>
      <c r="B51" s="15">
        <f>CAPEX_MONTHLY!F51</f>
        <v/>
      </c>
      <c r="C51" s="15">
        <f>B51*INPUTS!$G$15</f>
        <v/>
      </c>
      <c r="D51" s="15">
        <f>B51-C51</f>
        <v/>
      </c>
      <c r="E51" s="15">
        <f>D51*INPUTS!$G$14/(INPUTS!$G$13+INPUTS!$G$14)</f>
        <v/>
      </c>
      <c r="F51" s="15">
        <f>D51-E51</f>
        <v/>
      </c>
      <c r="G51" s="15">
        <f>I50</f>
        <v/>
      </c>
      <c r="H51" s="15">
        <f>(G51+F51/2)*INPUTS!$G$17/12</f>
        <v/>
      </c>
      <c r="I51" s="15">
        <f>G51+F51+H51</f>
        <v/>
      </c>
      <c r="J51" s="15">
        <f>SUM($C$13:C51)</f>
        <v/>
      </c>
      <c r="K51" s="15">
        <f>SUM($E$13:E51)</f>
        <v/>
      </c>
      <c r="L51" s="15">
        <f>SUM($F$13:F51)</f>
        <v/>
      </c>
    </row>
    <row r="52">
      <c r="A52" s="20" t="n">
        <v>47209</v>
      </c>
      <c r="B52" s="15">
        <f>CAPEX_MONTHLY!F52</f>
        <v/>
      </c>
      <c r="C52" s="15">
        <f>B52*INPUTS!$G$15</f>
        <v/>
      </c>
      <c r="D52" s="15">
        <f>B52-C52</f>
        <v/>
      </c>
      <c r="E52" s="15">
        <f>D52*INPUTS!$G$14/(INPUTS!$G$13+INPUTS!$G$14)</f>
        <v/>
      </c>
      <c r="F52" s="15">
        <f>D52-E52</f>
        <v/>
      </c>
      <c r="G52" s="15">
        <f>I51</f>
        <v/>
      </c>
      <c r="H52" s="15">
        <f>(G52+F52/2)*INPUTS!$G$17/12</f>
        <v/>
      </c>
      <c r="I52" s="15">
        <f>G52+F52+H52</f>
        <v/>
      </c>
      <c r="J52" s="15">
        <f>SUM($C$13:C52)</f>
        <v/>
      </c>
      <c r="K52" s="15">
        <f>SUM($E$13:E52)</f>
        <v/>
      </c>
      <c r="L52" s="15">
        <f>SUM($F$13:F52)</f>
        <v/>
      </c>
    </row>
    <row r="53">
      <c r="A53" s="20" t="n">
        <v>47239</v>
      </c>
      <c r="B53" s="15">
        <f>CAPEX_MONTHLY!F53</f>
        <v/>
      </c>
      <c r="C53" s="15">
        <f>B53*INPUTS!$G$15</f>
        <v/>
      </c>
      <c r="D53" s="15">
        <f>B53-C53</f>
        <v/>
      </c>
      <c r="E53" s="15">
        <f>D53*INPUTS!$G$14/(INPUTS!$G$13+INPUTS!$G$14)</f>
        <v/>
      </c>
      <c r="F53" s="15">
        <f>D53-E53</f>
        <v/>
      </c>
      <c r="G53" s="15">
        <f>I52</f>
        <v/>
      </c>
      <c r="H53" s="15">
        <f>(G53+F53/2)*INPUTS!$G$17/12</f>
        <v/>
      </c>
      <c r="I53" s="15">
        <f>G53+F53+H53</f>
        <v/>
      </c>
      <c r="J53" s="15">
        <f>SUM($C$13:C53)</f>
        <v/>
      </c>
      <c r="K53" s="15">
        <f>SUM($E$13:E53)</f>
        <v/>
      </c>
      <c r="L53" s="15">
        <f>SUM($F$13:F53)</f>
        <v/>
      </c>
    </row>
    <row r="54">
      <c r="A54" s="20" t="n">
        <v>47270</v>
      </c>
      <c r="B54" s="15">
        <f>CAPEX_MONTHLY!F54</f>
        <v/>
      </c>
      <c r="C54" s="15">
        <f>B54*INPUTS!$G$15</f>
        <v/>
      </c>
      <c r="D54" s="15">
        <f>B54-C54</f>
        <v/>
      </c>
      <c r="E54" s="15">
        <f>D54*INPUTS!$G$14/(INPUTS!$G$13+INPUTS!$G$14)</f>
        <v/>
      </c>
      <c r="F54" s="15">
        <f>D54-E54</f>
        <v/>
      </c>
      <c r="G54" s="15">
        <f>I53</f>
        <v/>
      </c>
      <c r="H54" s="15">
        <f>(G54+F54/2)*INPUTS!$G$17/12</f>
        <v/>
      </c>
      <c r="I54" s="15">
        <f>G54+F54+H54</f>
        <v/>
      </c>
      <c r="J54" s="15">
        <f>SUM($C$13:C54)</f>
        <v/>
      </c>
      <c r="K54" s="15">
        <f>SUM($E$13:E54)</f>
        <v/>
      </c>
      <c r="L54" s="15">
        <f>SUM($F$13:F54)</f>
        <v/>
      </c>
    </row>
    <row r="55">
      <c r="A55" s="20" t="n">
        <v>47300</v>
      </c>
      <c r="B55" s="15">
        <f>CAPEX_MONTHLY!F55</f>
        <v/>
      </c>
      <c r="C55" s="15">
        <f>B55*INPUTS!$G$15</f>
        <v/>
      </c>
      <c r="D55" s="15">
        <f>B55-C55</f>
        <v/>
      </c>
      <c r="E55" s="15">
        <f>D55*INPUTS!$G$14/(INPUTS!$G$13+INPUTS!$G$14)</f>
        <v/>
      </c>
      <c r="F55" s="15">
        <f>D55-E55</f>
        <v/>
      </c>
      <c r="G55" s="15">
        <f>I54</f>
        <v/>
      </c>
      <c r="H55" s="15">
        <f>(G55+F55/2)*INPUTS!$G$17/12</f>
        <v/>
      </c>
      <c r="I55" s="15">
        <f>G55+F55+H55</f>
        <v/>
      </c>
      <c r="J55" s="15">
        <f>SUM($C$13:C55)</f>
        <v/>
      </c>
      <c r="K55" s="15">
        <f>SUM($E$13:E55)</f>
        <v/>
      </c>
      <c r="L55" s="15">
        <f>SUM($F$13:F55)</f>
        <v/>
      </c>
    </row>
    <row r="56">
      <c r="A56" s="20" t="n">
        <v>47331</v>
      </c>
      <c r="B56" s="15">
        <f>CAPEX_MONTHLY!F56</f>
        <v/>
      </c>
      <c r="C56" s="15">
        <f>B56*INPUTS!$G$15</f>
        <v/>
      </c>
      <c r="D56" s="15">
        <f>B56-C56</f>
        <v/>
      </c>
      <c r="E56" s="15">
        <f>D56*INPUTS!$G$14/(INPUTS!$G$13+INPUTS!$G$14)</f>
        <v/>
      </c>
      <c r="F56" s="15">
        <f>D56-E56</f>
        <v/>
      </c>
      <c r="G56" s="15">
        <f>I55</f>
        <v/>
      </c>
      <c r="H56" s="15">
        <f>(G56+F56/2)*INPUTS!$G$17/12</f>
        <v/>
      </c>
      <c r="I56" s="15">
        <f>G56+F56+H56</f>
        <v/>
      </c>
      <c r="J56" s="15">
        <f>SUM($C$13:C56)</f>
        <v/>
      </c>
      <c r="K56" s="15">
        <f>SUM($E$13:E56)</f>
        <v/>
      </c>
      <c r="L56" s="15">
        <f>SUM($F$13:F56)</f>
        <v/>
      </c>
    </row>
    <row r="57">
      <c r="A57" s="20" t="n">
        <v>47362</v>
      </c>
      <c r="B57" s="15">
        <f>CAPEX_MONTHLY!F57</f>
        <v/>
      </c>
      <c r="C57" s="15">
        <f>B57*INPUTS!$G$15</f>
        <v/>
      </c>
      <c r="D57" s="15">
        <f>B57-C57</f>
        <v/>
      </c>
      <c r="E57" s="15">
        <f>D57*INPUTS!$G$14/(INPUTS!$G$13+INPUTS!$G$14)</f>
        <v/>
      </c>
      <c r="F57" s="15">
        <f>D57-E57</f>
        <v/>
      </c>
      <c r="G57" s="15">
        <f>I56</f>
        <v/>
      </c>
      <c r="H57" s="15">
        <f>(G57+F57/2)*INPUTS!$G$17/12</f>
        <v/>
      </c>
      <c r="I57" s="15">
        <f>G57+F57+H57</f>
        <v/>
      </c>
      <c r="J57" s="15">
        <f>SUM($C$13:C57)</f>
        <v/>
      </c>
      <c r="K57" s="15">
        <f>SUM($E$13:E57)</f>
        <v/>
      </c>
      <c r="L57" s="15">
        <f>SUM($F$13:F57)</f>
        <v/>
      </c>
    </row>
    <row r="58">
      <c r="A58" s="20" t="n">
        <v>47392</v>
      </c>
      <c r="B58" s="15">
        <f>CAPEX_MONTHLY!F58</f>
        <v/>
      </c>
      <c r="C58" s="15">
        <f>B58*INPUTS!$G$15</f>
        <v/>
      </c>
      <c r="D58" s="15">
        <f>B58-C58</f>
        <v/>
      </c>
      <c r="E58" s="15">
        <f>D58*INPUTS!$G$14/(INPUTS!$G$13+INPUTS!$G$14)</f>
        <v/>
      </c>
      <c r="F58" s="15">
        <f>D58-E58</f>
        <v/>
      </c>
      <c r="G58" s="15">
        <f>I57</f>
        <v/>
      </c>
      <c r="H58" s="15">
        <f>(G58+F58/2)*INPUTS!$G$17/12</f>
        <v/>
      </c>
      <c r="I58" s="15">
        <f>G58+F58+H58</f>
        <v/>
      </c>
      <c r="J58" s="15">
        <f>SUM($C$13:C58)</f>
        <v/>
      </c>
      <c r="K58" s="15">
        <f>SUM($E$13:E58)</f>
        <v/>
      </c>
      <c r="L58" s="15">
        <f>SUM($F$13:F58)</f>
        <v/>
      </c>
    </row>
    <row r="59">
      <c r="A59" s="20" t="n">
        <v>47423</v>
      </c>
      <c r="B59" s="15">
        <f>CAPEX_MONTHLY!F59</f>
        <v/>
      </c>
      <c r="C59" s="15">
        <f>B59*INPUTS!$G$15</f>
        <v/>
      </c>
      <c r="D59" s="15">
        <f>B59-C59</f>
        <v/>
      </c>
      <c r="E59" s="15">
        <f>D59*INPUTS!$G$14/(INPUTS!$G$13+INPUTS!$G$14)</f>
        <v/>
      </c>
      <c r="F59" s="15">
        <f>D59-E59</f>
        <v/>
      </c>
      <c r="G59" s="15">
        <f>I58</f>
        <v/>
      </c>
      <c r="H59" s="15">
        <f>(G59+F59/2)*INPUTS!$G$17/12</f>
        <v/>
      </c>
      <c r="I59" s="15">
        <f>G59+F59+H59</f>
        <v/>
      </c>
      <c r="J59" s="15">
        <f>SUM($C$13:C59)</f>
        <v/>
      </c>
      <c r="K59" s="15">
        <f>SUM($E$13:E59)</f>
        <v/>
      </c>
      <c r="L59" s="15">
        <f>SUM($F$13:F59)</f>
        <v/>
      </c>
    </row>
    <row r="60">
      <c r="A60" s="20" t="n">
        <v>47453</v>
      </c>
      <c r="B60" s="15">
        <f>CAPEX_MONTHLY!F60</f>
        <v/>
      </c>
      <c r="C60" s="15">
        <f>B60*INPUTS!$G$15</f>
        <v/>
      </c>
      <c r="D60" s="15">
        <f>B60-C60</f>
        <v/>
      </c>
      <c r="E60" s="15">
        <f>D60*INPUTS!$G$14/(INPUTS!$G$13+INPUTS!$G$14)</f>
        <v/>
      </c>
      <c r="F60" s="15">
        <f>D60-E60</f>
        <v/>
      </c>
      <c r="G60" s="15">
        <f>I59</f>
        <v/>
      </c>
      <c r="H60" s="15">
        <f>(G60+F60/2)*INPUTS!$G$17/12</f>
        <v/>
      </c>
      <c r="I60" s="15">
        <f>G60+F60+H60</f>
        <v/>
      </c>
      <c r="J60" s="15">
        <f>SUM($C$13:C60)</f>
        <v/>
      </c>
      <c r="K60" s="15">
        <f>SUM($E$13:E60)</f>
        <v/>
      </c>
      <c r="L60" s="15">
        <f>SUM($F$13:F60)</f>
        <v/>
      </c>
    </row>
    <row r="61">
      <c r="A61" t="inlineStr">
        <is>
          <t>TOTAL</t>
        </is>
      </c>
      <c r="B61" s="17">
        <f>SUM(B13:B60)</f>
        <v/>
      </c>
      <c r="C61" s="17">
        <f>SUM(C13:C60)</f>
        <v/>
      </c>
      <c r="D61" s="17">
        <f>SUM(D13:D60)</f>
        <v/>
      </c>
      <c r="E61" s="17">
        <f>SUM(E13:E60)</f>
        <v/>
      </c>
      <c r="F61" s="17">
        <f>SUM(F13:F60)</f>
        <v/>
      </c>
      <c r="G61" s="17">
        <f>SUM(G13:G60)</f>
        <v/>
      </c>
      <c r="H61" s="17">
        <f>SUM(H13:H60)</f>
        <v/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12" customWidth="1" min="12" max="12"/>
  </cols>
  <sheetData>
    <row r="1">
      <c r="A1" s="1" t="inlineStr">
        <is>
          <t>DSCR-READY DEBT SCHEDULE</t>
        </is>
      </c>
    </row>
    <row r="3">
      <c r="A3" s="2" t="inlineStr">
        <is>
          <t>Debt metric</t>
        </is>
      </c>
      <c r="B3" s="2" t="inlineStr">
        <is>
          <t>Value</t>
        </is>
      </c>
      <c r="C3" s="2" t="inlineStr">
        <is>
          <t>Units</t>
        </is>
      </c>
      <c r="D3" s="2" t="inlineStr">
        <is>
          <t>Comment</t>
        </is>
      </c>
    </row>
    <row r="4">
      <c r="A4" s="3" t="inlineStr">
        <is>
          <t>First repayment year</t>
        </is>
      </c>
      <c r="B4" s="14">
        <f>INPUTS!$B$9</f>
        <v/>
      </c>
      <c r="C4" t="inlineStr">
        <is>
          <t>Year</t>
        </is>
      </c>
      <c r="D4" s="6" t="inlineStr">
        <is>
          <t>Linked.</t>
        </is>
      </c>
    </row>
    <row r="5">
      <c r="A5" s="3" t="inlineStr">
        <is>
          <t>Repayment tenor</t>
        </is>
      </c>
      <c r="B5" s="22">
        <f>INPUTS!$G$18</f>
        <v/>
      </c>
      <c r="C5" t="inlineStr">
        <is>
          <t>Years</t>
        </is>
      </c>
      <c r="D5" s="6" t="inlineStr">
        <is>
          <t>Linked.</t>
        </is>
      </c>
    </row>
    <row r="6">
      <c r="A6" s="3" t="inlineStr">
        <is>
          <t>Annual rate</t>
        </is>
      </c>
      <c r="B6" s="11">
        <f>INPUTS!$G$17</f>
        <v/>
      </c>
      <c r="C6" t="inlineStr">
        <is>
          <t>%</t>
        </is>
      </c>
      <c r="D6" s="6" t="inlineStr">
        <is>
          <t>Linked.</t>
        </is>
      </c>
    </row>
    <row r="7">
      <c r="A7" s="3" t="inlineStr">
        <is>
          <t>Minimum DSCR</t>
        </is>
      </c>
      <c r="B7" s="23">
        <f>INPUTS!$G$19</f>
        <v/>
      </c>
      <c r="C7" t="inlineStr">
        <is>
          <t>x</t>
        </is>
      </c>
      <c r="D7" s="6" t="inlineStr">
        <is>
          <t>Linked.</t>
        </is>
      </c>
    </row>
    <row r="8">
      <c r="A8" s="3" t="inlineStr">
        <is>
          <t>Opening debt at repayment start</t>
        </is>
      </c>
      <c r="B8" s="15">
        <f>H13</f>
        <v/>
      </c>
      <c r="C8" t="inlineStr">
        <is>
          <t>EUR</t>
        </is>
      </c>
      <c r="D8" s="6" t="inlineStr">
        <is>
          <t>Derived.</t>
        </is>
      </c>
    </row>
    <row r="9">
      <c r="A9" s="2" t="inlineStr">
        <is>
          <t>Year</t>
        </is>
      </c>
      <c r="B9" s="24">
        <f>IF(B6=0,B8/B5,B8*B6/(1-(1+B6)^(-B5)))</f>
        <v/>
      </c>
      <c r="C9" s="2" t="inlineStr">
        <is>
          <t>Debt Draw</t>
        </is>
      </c>
      <c r="D9" s="2" t="inlineStr">
        <is>
          <t>IDC</t>
        </is>
      </c>
      <c r="E9" s="2" t="inlineStr">
        <is>
          <t>Interest</t>
        </is>
      </c>
      <c r="F9" s="2" t="inlineStr">
        <is>
          <t>Debt Service</t>
        </is>
      </c>
      <c r="G9" s="2" t="inlineStr">
        <is>
          <t>Principal</t>
        </is>
      </c>
      <c r="H9" s="2" t="inlineStr">
        <is>
          <t>Closing Debt</t>
        </is>
      </c>
      <c r="I9" s="2" t="inlineStr">
        <is>
          <t>CFADS</t>
        </is>
      </c>
      <c r="J9" s="2" t="inlineStr">
        <is>
          <t>DSCR</t>
        </is>
      </c>
      <c r="K9" s="2" t="inlineStr">
        <is>
          <t>Covenant</t>
        </is>
      </c>
      <c r="L9" s="2" t="inlineStr">
        <is>
          <t>Comment</t>
        </is>
      </c>
    </row>
    <row r="10">
      <c r="A10" s="3" t="n">
        <v>2026</v>
      </c>
      <c r="B10" s="15" t="n">
        <v>0</v>
      </c>
      <c r="C10" s="15">
        <f>FUNDING_DRAWS!E4</f>
        <v/>
      </c>
      <c r="D10" s="15">
        <f>FUNDING_DRAWS!F4</f>
        <v/>
      </c>
      <c r="E10" s="15" t="n">
        <v>0</v>
      </c>
      <c r="F10" s="15" t="n">
        <v>0</v>
      </c>
      <c r="G10" s="15" t="n">
        <v>0</v>
      </c>
      <c r="H10" s="15">
        <f>B10+C10+D10</f>
        <v/>
      </c>
      <c r="I10" s="15" t="n">
        <v>0</v>
      </c>
      <c r="J10" s="25" t="inlineStr"/>
      <c r="L10" s="6" t="inlineStr">
        <is>
          <t>Construction period / debt capitalization.</t>
        </is>
      </c>
    </row>
    <row r="11">
      <c r="A11" s="3" t="n">
        <v>2027</v>
      </c>
      <c r="B11" s="15">
        <f>H10</f>
        <v/>
      </c>
      <c r="C11" s="15">
        <f>FUNDING_DRAWS!E5</f>
        <v/>
      </c>
      <c r="D11" s="15">
        <f>FUNDING_DRAWS!F5</f>
        <v/>
      </c>
      <c r="E11" s="15" t="n">
        <v>0</v>
      </c>
      <c r="F11" s="15" t="n">
        <v>0</v>
      </c>
      <c r="G11" s="15" t="n">
        <v>0</v>
      </c>
      <c r="H11" s="15">
        <f>B11+C11+D11</f>
        <v/>
      </c>
      <c r="I11" s="15" t="n">
        <v>0</v>
      </c>
      <c r="J11" s="25" t="inlineStr"/>
      <c r="L11" s="6" t="inlineStr">
        <is>
          <t>Construction period / debt capitalization.</t>
        </is>
      </c>
    </row>
    <row r="12">
      <c r="A12" s="3" t="n">
        <v>2028</v>
      </c>
      <c r="B12" s="15">
        <f>H11</f>
        <v/>
      </c>
      <c r="C12" s="15">
        <f>FUNDING_DRAWS!E6</f>
        <v/>
      </c>
      <c r="D12" s="15">
        <f>FUNDING_DRAWS!F6</f>
        <v/>
      </c>
      <c r="E12" s="15" t="n">
        <v>0</v>
      </c>
      <c r="F12" s="15" t="n">
        <v>0</v>
      </c>
      <c r="G12" s="15" t="n">
        <v>0</v>
      </c>
      <c r="H12" s="15">
        <f>B12+C12+D12</f>
        <v/>
      </c>
      <c r="I12" s="15" t="n">
        <v>0</v>
      </c>
      <c r="J12" s="25" t="inlineStr"/>
      <c r="L12" s="6" t="inlineStr">
        <is>
          <t>Construction period / debt capitalization.</t>
        </is>
      </c>
    </row>
    <row r="13">
      <c r="A13" s="3" t="n">
        <v>2029</v>
      </c>
      <c r="B13" s="15">
        <f>H12</f>
        <v/>
      </c>
      <c r="C13" s="15">
        <f>FUNDING_DRAWS!E7</f>
        <v/>
      </c>
      <c r="D13" s="15">
        <f>FUNDING_DRAWS!F7</f>
        <v/>
      </c>
      <c r="E13" s="15" t="n">
        <v>0</v>
      </c>
      <c r="F13" s="15" t="n">
        <v>0</v>
      </c>
      <c r="G13" s="15" t="n">
        <v>0</v>
      </c>
      <c r="H13" s="15">
        <f>B13+C13+D13</f>
        <v/>
      </c>
      <c r="I13" s="15" t="n">
        <v>0</v>
      </c>
      <c r="J13" s="25" t="inlineStr"/>
      <c r="L13" s="6" t="inlineStr">
        <is>
          <t>Construction period / debt capitalization.</t>
        </is>
      </c>
    </row>
    <row r="14">
      <c r="A14" s="3" t="n">
        <v>2030</v>
      </c>
      <c r="B14" s="15">
        <f>H13</f>
        <v/>
      </c>
      <c r="C14" s="15" t="n">
        <v>0</v>
      </c>
      <c r="D14" s="15" t="n">
        <v>0</v>
      </c>
      <c r="E14" s="15">
        <f>B14*$B$6</f>
        <v/>
      </c>
      <c r="F14" s="15">
        <f>IF(AND(A14&gt;=$B$4,A14&lt;$B$4+$B$5),MIN($B$9,B14+E14),0)</f>
        <v/>
      </c>
      <c r="G14" s="15">
        <f>F14-E14</f>
        <v/>
      </c>
      <c r="H14" s="15">
        <f>MAX(0,B14-G14)</f>
        <v/>
      </c>
      <c r="I14" s="15">
        <f>INPUTS!$I$23</f>
        <v/>
      </c>
      <c r="J14" s="25">
        <f>IF(F14&gt;0,I14/F14,"")</f>
        <v/>
      </c>
      <c r="K14">
        <f>IF(J14="","",IF(J14&gt;=INPUTS!$G$19,"OK","BREACH"))</f>
        <v/>
      </c>
      <c r="L14" s="6" t="inlineStr">
        <is>
          <t>Operating period / annuity debt service.</t>
        </is>
      </c>
    </row>
    <row r="15">
      <c r="A15" s="3" t="n">
        <v>2031</v>
      </c>
      <c r="B15" s="15">
        <f>H14</f>
        <v/>
      </c>
      <c r="C15" s="15" t="n">
        <v>0</v>
      </c>
      <c r="D15" s="15" t="n">
        <v>0</v>
      </c>
      <c r="E15" s="15">
        <f>B15*$B$6</f>
        <v/>
      </c>
      <c r="F15" s="15">
        <f>IF(AND(A15&gt;=$B$4,A15&lt;$B$4+$B$5),MIN($B$9,B15+E15),0)</f>
        <v/>
      </c>
      <c r="G15" s="15">
        <f>F15-E15</f>
        <v/>
      </c>
      <c r="H15" s="15">
        <f>MAX(0,B15-G15)</f>
        <v/>
      </c>
      <c r="I15" s="15">
        <f>INPUTS!$I$24</f>
        <v/>
      </c>
      <c r="J15" s="25">
        <f>IF(F15&gt;0,I15/F15,"")</f>
        <v/>
      </c>
      <c r="K15">
        <f>IF(J15="","",IF(J15&gt;=INPUTS!$G$19,"OK","BREACH"))</f>
        <v/>
      </c>
      <c r="L15" s="6" t="inlineStr">
        <is>
          <t>Operating period / annuity debt service.</t>
        </is>
      </c>
    </row>
    <row r="16">
      <c r="A16" s="3" t="n">
        <v>2032</v>
      </c>
      <c r="B16" s="15">
        <f>H15</f>
        <v/>
      </c>
      <c r="C16" s="15" t="n">
        <v>0</v>
      </c>
      <c r="D16" s="15" t="n">
        <v>0</v>
      </c>
      <c r="E16" s="15">
        <f>B16*$B$6</f>
        <v/>
      </c>
      <c r="F16" s="15">
        <f>IF(AND(A16&gt;=$B$4,A16&lt;$B$4+$B$5),MIN($B$9,B16+E16),0)</f>
        <v/>
      </c>
      <c r="G16" s="15">
        <f>F16-E16</f>
        <v/>
      </c>
      <c r="H16" s="15">
        <f>MAX(0,B16-G16)</f>
        <v/>
      </c>
      <c r="I16" s="15">
        <f>INPUTS!$I$25</f>
        <v/>
      </c>
      <c r="J16" s="25">
        <f>IF(F16&gt;0,I16/F16,"")</f>
        <v/>
      </c>
      <c r="K16">
        <f>IF(J16="","",IF(J16&gt;=INPUTS!$G$19,"OK","BREACH"))</f>
        <v/>
      </c>
      <c r="L16" s="6" t="inlineStr">
        <is>
          <t>Operating period / annuity debt service.</t>
        </is>
      </c>
    </row>
    <row r="17">
      <c r="A17" s="3" t="n">
        <v>2033</v>
      </c>
      <c r="B17" s="15">
        <f>H16</f>
        <v/>
      </c>
      <c r="C17" s="15" t="n">
        <v>0</v>
      </c>
      <c r="D17" s="15" t="n">
        <v>0</v>
      </c>
      <c r="E17" s="15">
        <f>B17*$B$6</f>
        <v/>
      </c>
      <c r="F17" s="15">
        <f>IF(AND(A17&gt;=$B$4,A17&lt;$B$4+$B$5),MIN($B$9,B17+E17),0)</f>
        <v/>
      </c>
      <c r="G17" s="15">
        <f>F17-E17</f>
        <v/>
      </c>
      <c r="H17" s="15">
        <f>MAX(0,B17-G17)</f>
        <v/>
      </c>
      <c r="I17" s="15">
        <f>INPUTS!$I$26</f>
        <v/>
      </c>
      <c r="J17" s="25">
        <f>IF(F17&gt;0,I17/F17,"")</f>
        <v/>
      </c>
      <c r="K17">
        <f>IF(J17="","",IF(J17&gt;=INPUTS!$G$19,"OK","BREACH"))</f>
        <v/>
      </c>
      <c r="L17" s="6" t="inlineStr">
        <is>
          <t>Operating period / annuity debt service.</t>
        </is>
      </c>
    </row>
    <row r="18">
      <c r="A18" s="3" t="n">
        <v>2034</v>
      </c>
      <c r="B18" s="15">
        <f>H17</f>
        <v/>
      </c>
      <c r="C18" s="15" t="n">
        <v>0</v>
      </c>
      <c r="D18" s="15" t="n">
        <v>0</v>
      </c>
      <c r="E18" s="15">
        <f>B18*$B$6</f>
        <v/>
      </c>
      <c r="F18" s="15">
        <f>IF(AND(A18&gt;=$B$4,A18&lt;$B$4+$B$5),MIN($B$9,B18+E18),0)</f>
        <v/>
      </c>
      <c r="G18" s="15">
        <f>F18-E18</f>
        <v/>
      </c>
      <c r="H18" s="15">
        <f>MAX(0,B18-G18)</f>
        <v/>
      </c>
      <c r="I18" s="15">
        <f>INPUTS!$I$27</f>
        <v/>
      </c>
      <c r="J18" s="25">
        <f>IF(F18&gt;0,I18/F18,"")</f>
        <v/>
      </c>
      <c r="K18">
        <f>IF(J18="","",IF(J18&gt;=INPUTS!$G$19,"OK","BREACH"))</f>
        <v/>
      </c>
      <c r="L18" s="6" t="inlineStr">
        <is>
          <t>Operating period / annuity debt service.</t>
        </is>
      </c>
    </row>
    <row r="19">
      <c r="A19" s="3" t="n">
        <v>2035</v>
      </c>
      <c r="B19" s="15">
        <f>H18</f>
        <v/>
      </c>
      <c r="C19" s="15" t="n">
        <v>0</v>
      </c>
      <c r="D19" s="15" t="n">
        <v>0</v>
      </c>
      <c r="E19" s="15">
        <f>B19*$B$6</f>
        <v/>
      </c>
      <c r="F19" s="15">
        <f>IF(AND(A19&gt;=$B$4,A19&lt;$B$4+$B$5),MIN($B$9,B19+E19),0)</f>
        <v/>
      </c>
      <c r="G19" s="15">
        <f>F19-E19</f>
        <v/>
      </c>
      <c r="H19" s="15">
        <f>MAX(0,B19-G19)</f>
        <v/>
      </c>
      <c r="I19" s="15">
        <f>INPUTS!$I$28</f>
        <v/>
      </c>
      <c r="J19" s="25">
        <f>IF(F19&gt;0,I19/F19,"")</f>
        <v/>
      </c>
      <c r="K19">
        <f>IF(J19="","",IF(J19&gt;=INPUTS!$G$19,"OK","BREACH"))</f>
        <v/>
      </c>
      <c r="L19" s="6" t="inlineStr">
        <is>
          <t>Operating period / annuity debt service.</t>
        </is>
      </c>
    </row>
    <row r="20">
      <c r="A20" s="3" t="n">
        <v>2036</v>
      </c>
      <c r="B20" s="15">
        <f>H19</f>
        <v/>
      </c>
      <c r="C20" s="15" t="n">
        <v>0</v>
      </c>
      <c r="D20" s="15" t="n">
        <v>0</v>
      </c>
      <c r="E20" s="15">
        <f>B20*$B$6</f>
        <v/>
      </c>
      <c r="F20" s="15">
        <f>IF(AND(A20&gt;=$B$4,A20&lt;$B$4+$B$5),MIN($B$9,B20+E20),0)</f>
        <v/>
      </c>
      <c r="G20" s="15">
        <f>F20-E20</f>
        <v/>
      </c>
      <c r="H20" s="15">
        <f>MAX(0,B20-G20)</f>
        <v/>
      </c>
      <c r="I20" s="15">
        <f>INPUTS!$I$29</f>
        <v/>
      </c>
      <c r="J20" s="25">
        <f>IF(F20&gt;0,I20/F20,"")</f>
        <v/>
      </c>
      <c r="K20">
        <f>IF(J20="","",IF(J20&gt;=INPUTS!$G$19,"OK","BREACH"))</f>
        <v/>
      </c>
      <c r="L20" s="6" t="inlineStr">
        <is>
          <t>Operating period / annuity debt service.</t>
        </is>
      </c>
    </row>
    <row r="21">
      <c r="A21" s="3" t="n">
        <v>2037</v>
      </c>
      <c r="B21" s="15">
        <f>H20</f>
        <v/>
      </c>
      <c r="C21" s="15" t="n">
        <v>0</v>
      </c>
      <c r="D21" s="15" t="n">
        <v>0</v>
      </c>
      <c r="E21" s="15">
        <f>B21*$B$6</f>
        <v/>
      </c>
      <c r="F21" s="15">
        <f>IF(AND(A21&gt;=$B$4,A21&lt;$B$4+$B$5),MIN($B$9,B21+E21),0)</f>
        <v/>
      </c>
      <c r="G21" s="15">
        <f>F21-E21</f>
        <v/>
      </c>
      <c r="H21" s="15">
        <f>MAX(0,B21-G21)</f>
        <v/>
      </c>
      <c r="I21" s="15">
        <f>INPUTS!$I$30</f>
        <v/>
      </c>
      <c r="J21" s="25">
        <f>IF(F21&gt;0,I21/F21,"")</f>
        <v/>
      </c>
      <c r="K21">
        <f>IF(J21="","",IF(J21&gt;=INPUTS!$G$19,"OK","BREACH"))</f>
        <v/>
      </c>
      <c r="L21" s="6" t="inlineStr">
        <is>
          <t>Operating period / annuity debt service.</t>
        </is>
      </c>
    </row>
  </sheetData>
  <mergeCells count="1">
    <mergeCell ref="A1:L1"/>
  </mergeCells>
  <conditionalFormatting sqref="K10:K21">
    <cfRule type="cellIs" priority="1" operator="equal" dxfId="0">
      <formula>"BREACH"</formula>
    </cfRule>
    <cfRule type="cellIs" priority="2" operator="equal" dxfId="2">
      <formula>"OK"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01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Trial</t>
        </is>
      </c>
      <c r="B1" t="inlineStr">
        <is>
          <t>Delay Months</t>
        </is>
      </c>
      <c r="C1" t="inlineStr">
        <is>
          <t>Materials Shock</t>
        </is>
      </c>
      <c r="D1" t="inlineStr">
        <is>
          <t>Lead Event</t>
        </is>
      </c>
      <c r="E1" t="inlineStr">
        <is>
          <t>Commissioning Event</t>
        </is>
      </c>
    </row>
    <row r="2">
      <c r="A2" t="n">
        <v>1</v>
      </c>
      <c r="B2" t="n">
        <v>3.84</v>
      </c>
      <c r="C2" t="n">
        <v>0</v>
      </c>
      <c r="D2" t="n">
        <v>0.06</v>
      </c>
      <c r="E2" t="n">
        <v>0.04</v>
      </c>
    </row>
    <row r="3">
      <c r="A3" t="n">
        <v>2</v>
      </c>
      <c r="B3" t="n">
        <v>4.42</v>
      </c>
      <c r="C3" t="n">
        <v>0.05375467578047814</v>
      </c>
      <c r="D3" t="n">
        <v>0</v>
      </c>
      <c r="E3" t="n">
        <v>0.04</v>
      </c>
    </row>
    <row r="4">
      <c r="A4" t="n">
        <v>3</v>
      </c>
      <c r="B4" t="n">
        <v>2.53</v>
      </c>
      <c r="C4" t="n">
        <v>0</v>
      </c>
      <c r="D4" t="n">
        <v>0.06</v>
      </c>
      <c r="E4" t="n">
        <v>0</v>
      </c>
    </row>
    <row r="5">
      <c r="A5" t="n">
        <v>4</v>
      </c>
      <c r="B5" t="n">
        <v>0.16</v>
      </c>
      <c r="C5" t="n">
        <v>0.01462659014662234</v>
      </c>
      <c r="D5" t="n">
        <v>0</v>
      </c>
      <c r="E5" t="n">
        <v>0</v>
      </c>
    </row>
    <row r="6">
      <c r="A6" t="n">
        <v>5</v>
      </c>
      <c r="B6" t="n">
        <v>1.32</v>
      </c>
      <c r="C6" t="n">
        <v>0.04676969350060091</v>
      </c>
      <c r="D6" t="n">
        <v>0</v>
      </c>
      <c r="E6" t="n">
        <v>0.04</v>
      </c>
    </row>
    <row r="7">
      <c r="A7" t="n">
        <v>6</v>
      </c>
      <c r="B7" t="n">
        <v>4.83</v>
      </c>
      <c r="C7" t="n">
        <v>0.05557170066540398</v>
      </c>
      <c r="D7" t="n">
        <v>0</v>
      </c>
      <c r="E7" t="n">
        <v>0.04</v>
      </c>
    </row>
    <row r="8">
      <c r="A8" t="n">
        <v>7</v>
      </c>
      <c r="B8" t="n">
        <v>5.74</v>
      </c>
      <c r="C8" t="n">
        <v>0.02734674322382884</v>
      </c>
      <c r="D8" t="n">
        <v>0.06</v>
      </c>
      <c r="E8" t="n">
        <v>0.04</v>
      </c>
    </row>
    <row r="9">
      <c r="A9" t="n">
        <v>8</v>
      </c>
      <c r="B9" t="n">
        <v>5.08</v>
      </c>
      <c r="C9" t="n">
        <v>0.04789010282747918</v>
      </c>
      <c r="D9" t="n">
        <v>0</v>
      </c>
      <c r="E9" t="n">
        <v>0</v>
      </c>
    </row>
    <row r="10">
      <c r="A10" t="n">
        <v>9</v>
      </c>
      <c r="B10" t="n">
        <v>3.22</v>
      </c>
      <c r="C10" t="n">
        <v>0.09786091407188444</v>
      </c>
      <c r="D10" t="n">
        <v>0</v>
      </c>
      <c r="E10" t="n">
        <v>0</v>
      </c>
    </row>
    <row r="11">
      <c r="A11" t="n">
        <v>10</v>
      </c>
      <c r="B11" t="n">
        <v>4.98</v>
      </c>
      <c r="C11" t="n">
        <v>0.04904786277921382</v>
      </c>
      <c r="D11" t="n">
        <v>0</v>
      </c>
      <c r="E11" t="n">
        <v>0</v>
      </c>
    </row>
    <row r="12">
      <c r="A12" t="n">
        <v>11</v>
      </c>
      <c r="B12" t="n">
        <v>4.23</v>
      </c>
      <c r="C12" t="n">
        <v>0</v>
      </c>
      <c r="D12" t="n">
        <v>0.06</v>
      </c>
      <c r="E12" t="n">
        <v>0</v>
      </c>
    </row>
    <row r="13">
      <c r="A13" t="n">
        <v>12</v>
      </c>
      <c r="B13" t="n">
        <v>0.48</v>
      </c>
      <c r="C13" t="n">
        <v>0.01810940194835839</v>
      </c>
      <c r="D13" t="n">
        <v>0.06</v>
      </c>
      <c r="E13" t="n">
        <v>0</v>
      </c>
    </row>
    <row r="14">
      <c r="A14" t="n">
        <v>13</v>
      </c>
      <c r="B14" t="n">
        <v>3.81</v>
      </c>
      <c r="C14" t="n">
        <v>0.02963283865206858</v>
      </c>
      <c r="D14" t="n">
        <v>0</v>
      </c>
      <c r="E14" t="n">
        <v>0.04</v>
      </c>
    </row>
    <row r="15">
      <c r="A15" t="n">
        <v>14</v>
      </c>
      <c r="B15" t="n">
        <v>1.6</v>
      </c>
      <c r="C15" t="n">
        <v>0.08581846951899935</v>
      </c>
      <c r="D15" t="n">
        <v>0</v>
      </c>
      <c r="E15" t="n">
        <v>0</v>
      </c>
    </row>
    <row r="16">
      <c r="A16" t="n">
        <v>15</v>
      </c>
      <c r="B16" t="n">
        <v>1.03</v>
      </c>
      <c r="C16" t="n">
        <v>0.05830522665237555</v>
      </c>
      <c r="D16" t="n">
        <v>0.06</v>
      </c>
      <c r="E16" t="n">
        <v>0</v>
      </c>
    </row>
    <row r="17">
      <c r="A17" t="n">
        <v>16</v>
      </c>
      <c r="B17" t="n">
        <v>5.94</v>
      </c>
      <c r="C17" t="n">
        <v>0.05075374454055645</v>
      </c>
      <c r="D17" t="n">
        <v>0</v>
      </c>
      <c r="E17" t="n">
        <v>0</v>
      </c>
    </row>
    <row r="18">
      <c r="A18" t="n">
        <v>17</v>
      </c>
      <c r="B18" t="n">
        <v>5.06</v>
      </c>
      <c r="C18" t="n">
        <v>0.06276259746478455</v>
      </c>
      <c r="D18" t="n">
        <v>0.06</v>
      </c>
      <c r="E18" t="n">
        <v>0.04</v>
      </c>
    </row>
    <row r="19">
      <c r="A19" t="n">
        <v>18</v>
      </c>
      <c r="B19" t="n">
        <v>1.89</v>
      </c>
      <c r="C19" t="n">
        <v>0.02141020438854288</v>
      </c>
      <c r="D19" t="n">
        <v>0.06</v>
      </c>
      <c r="E19" t="n">
        <v>0</v>
      </c>
    </row>
    <row r="20">
      <c r="A20" t="n">
        <v>19</v>
      </c>
      <c r="B20" t="n">
        <v>5.26</v>
      </c>
      <c r="C20" t="n">
        <v>0.02552098541812833</v>
      </c>
      <c r="D20" t="n">
        <v>0</v>
      </c>
      <c r="E20" t="n">
        <v>0</v>
      </c>
    </row>
    <row r="21">
      <c r="A21" t="n">
        <v>20</v>
      </c>
      <c r="B21" t="n">
        <v>5.49</v>
      </c>
      <c r="C21" t="n">
        <v>0.03690019974399297</v>
      </c>
      <c r="D21" t="n">
        <v>0.06</v>
      </c>
      <c r="E21" t="n">
        <v>0.04</v>
      </c>
    </row>
    <row r="22">
      <c r="A22" t="n">
        <v>21</v>
      </c>
      <c r="B22" t="n">
        <v>3.37</v>
      </c>
      <c r="C22" t="n">
        <v>0.02095252072570484</v>
      </c>
      <c r="D22" t="n">
        <v>0</v>
      </c>
      <c r="E22" t="n">
        <v>0</v>
      </c>
    </row>
    <row r="23">
      <c r="A23" t="n">
        <v>22</v>
      </c>
      <c r="B23" t="n">
        <v>2.4</v>
      </c>
      <c r="C23" t="n">
        <v>0.01676532226805735</v>
      </c>
      <c r="D23" t="n">
        <v>0</v>
      </c>
      <c r="E23" t="n">
        <v>0</v>
      </c>
    </row>
    <row r="24">
      <c r="A24" t="n">
        <v>23</v>
      </c>
      <c r="B24" t="n">
        <v>0.55</v>
      </c>
      <c r="C24" t="n">
        <v>0</v>
      </c>
      <c r="D24" t="n">
        <v>0.06</v>
      </c>
      <c r="E24" t="n">
        <v>0</v>
      </c>
    </row>
    <row r="25">
      <c r="A25" t="n">
        <v>24</v>
      </c>
      <c r="B25" t="n">
        <v>4.75</v>
      </c>
      <c r="C25" t="n">
        <v>0.03410887538978337</v>
      </c>
      <c r="D25" t="n">
        <v>0.06</v>
      </c>
      <c r="E25" t="n">
        <v>0</v>
      </c>
    </row>
    <row r="26">
      <c r="A26" t="n">
        <v>25</v>
      </c>
      <c r="B26" t="n">
        <v>5.98</v>
      </c>
      <c r="C26" t="n">
        <v>0.04219131224377743</v>
      </c>
      <c r="D26" t="n">
        <v>0</v>
      </c>
      <c r="E26" t="n">
        <v>0</v>
      </c>
    </row>
    <row r="27">
      <c r="A27" t="n">
        <v>26</v>
      </c>
      <c r="B27" t="n">
        <v>0.07000000000000001</v>
      </c>
      <c r="C27" t="n">
        <v>0.05754961431438672</v>
      </c>
      <c r="D27" t="n">
        <v>0</v>
      </c>
      <c r="E27" t="n">
        <v>0</v>
      </c>
    </row>
    <row r="28">
      <c r="A28" t="n">
        <v>27</v>
      </c>
      <c r="B28" t="n">
        <v>1.6</v>
      </c>
      <c r="C28" t="n">
        <v>0.05083092479322758</v>
      </c>
      <c r="D28" t="n">
        <v>0.06</v>
      </c>
      <c r="E28" t="n">
        <v>0</v>
      </c>
    </row>
    <row r="29">
      <c r="A29" t="n">
        <v>28</v>
      </c>
      <c r="B29" t="n">
        <v>2.72</v>
      </c>
      <c r="C29" t="n">
        <v>0.090491076528117</v>
      </c>
      <c r="D29" t="n">
        <v>0</v>
      </c>
      <c r="E29" t="n">
        <v>0</v>
      </c>
    </row>
    <row r="30">
      <c r="A30" t="n">
        <v>29</v>
      </c>
      <c r="B30" t="n">
        <v>3</v>
      </c>
      <c r="C30" t="n">
        <v>0.01238455361638592</v>
      </c>
      <c r="D30" t="n">
        <v>0</v>
      </c>
      <c r="E30" t="n">
        <v>0</v>
      </c>
    </row>
    <row r="31">
      <c r="A31" t="n">
        <v>30</v>
      </c>
      <c r="B31" t="n">
        <v>1.79</v>
      </c>
      <c r="C31" t="n">
        <v>0.0506695674407182</v>
      </c>
      <c r="D31" t="n">
        <v>0</v>
      </c>
      <c r="E31" t="n">
        <v>0.04</v>
      </c>
    </row>
    <row r="32">
      <c r="A32" t="n">
        <v>31</v>
      </c>
      <c r="B32" t="n">
        <v>4.58</v>
      </c>
      <c r="C32" t="n">
        <v>0.04296608295732161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0.02631675150274013</v>
      </c>
      <c r="D33" t="n">
        <v>0.06</v>
      </c>
      <c r="E33" t="n">
        <v>0</v>
      </c>
    </row>
    <row r="34">
      <c r="A34" t="n">
        <v>33</v>
      </c>
      <c r="B34" t="n">
        <v>5.27</v>
      </c>
      <c r="C34" t="n">
        <v>0.06882303346453109</v>
      </c>
      <c r="D34" t="n">
        <v>0</v>
      </c>
      <c r="E34" t="n">
        <v>0.04</v>
      </c>
    </row>
    <row r="35">
      <c r="A35" t="n">
        <v>34</v>
      </c>
      <c r="B35" t="n">
        <v>5.27</v>
      </c>
      <c r="C35" t="n">
        <v>0.08847905700948905</v>
      </c>
      <c r="D35" t="n">
        <v>0.06</v>
      </c>
      <c r="E35" t="n">
        <v>0</v>
      </c>
    </row>
    <row r="36">
      <c r="A36" t="n">
        <v>35</v>
      </c>
      <c r="B36" t="n">
        <v>0.42</v>
      </c>
      <c r="C36" t="n">
        <v>0.06124722708340632</v>
      </c>
      <c r="D36" t="n">
        <v>0</v>
      </c>
      <c r="E36" t="n">
        <v>0.04</v>
      </c>
    </row>
    <row r="37">
      <c r="A37" t="n">
        <v>36</v>
      </c>
      <c r="B37" t="n">
        <v>2.85</v>
      </c>
      <c r="C37" t="n">
        <v>0.04375495425337051</v>
      </c>
      <c r="D37" t="n">
        <v>0.06</v>
      </c>
      <c r="E37" t="n">
        <v>0</v>
      </c>
    </row>
    <row r="38">
      <c r="A38" t="n">
        <v>37</v>
      </c>
      <c r="B38" t="n">
        <v>2.54</v>
      </c>
      <c r="C38" t="n">
        <v>0.01599407670073003</v>
      </c>
      <c r="D38" t="n">
        <v>0</v>
      </c>
      <c r="E38" t="n">
        <v>0</v>
      </c>
    </row>
    <row r="39">
      <c r="A39" t="n">
        <v>38</v>
      </c>
      <c r="B39" t="n">
        <v>1.21</v>
      </c>
      <c r="C39" t="n">
        <v>0.02527026022467486</v>
      </c>
      <c r="D39" t="n">
        <v>0</v>
      </c>
      <c r="E39" t="n">
        <v>0</v>
      </c>
    </row>
    <row r="40">
      <c r="A40" t="n">
        <v>39</v>
      </c>
      <c r="B40" t="n">
        <v>2.63</v>
      </c>
      <c r="C40" t="n">
        <v>0.04132211084462329</v>
      </c>
      <c r="D40" t="n">
        <v>0.06</v>
      </c>
      <c r="E40" t="n">
        <v>0.04</v>
      </c>
    </row>
    <row r="41">
      <c r="A41" t="n">
        <v>40</v>
      </c>
      <c r="B41" t="n">
        <v>2.03</v>
      </c>
      <c r="C41" t="n">
        <v>0.04669589549150905</v>
      </c>
      <c r="D41" t="n">
        <v>0.06</v>
      </c>
      <c r="E41" t="n">
        <v>0.04</v>
      </c>
    </row>
    <row r="42">
      <c r="A42" t="n">
        <v>41</v>
      </c>
      <c r="B42" t="n">
        <v>0.43</v>
      </c>
      <c r="C42" t="n">
        <v>0.05004327923041043</v>
      </c>
      <c r="D42" t="n">
        <v>0.06</v>
      </c>
      <c r="E42" t="n">
        <v>0</v>
      </c>
    </row>
    <row r="43">
      <c r="A43" t="n">
        <v>42</v>
      </c>
      <c r="B43" t="n">
        <v>5.16</v>
      </c>
      <c r="C43" t="n">
        <v>0</v>
      </c>
      <c r="D43" t="n">
        <v>0.06</v>
      </c>
      <c r="E43" t="n">
        <v>0</v>
      </c>
    </row>
    <row r="44">
      <c r="A44" t="n">
        <v>43</v>
      </c>
      <c r="B44" t="n">
        <v>1.29</v>
      </c>
      <c r="C44" t="n">
        <v>0.006534122934084924</v>
      </c>
      <c r="D44" t="n">
        <v>0</v>
      </c>
      <c r="E44" t="n">
        <v>0</v>
      </c>
    </row>
    <row r="45">
      <c r="A45" t="n">
        <v>44</v>
      </c>
      <c r="B45" t="n">
        <v>2.84</v>
      </c>
      <c r="C45" t="n">
        <v>0.06363669484790618</v>
      </c>
      <c r="D45" t="n">
        <v>0</v>
      </c>
      <c r="E45" t="n">
        <v>0.04</v>
      </c>
    </row>
    <row r="46">
      <c r="A46" t="n">
        <v>45</v>
      </c>
      <c r="B46" t="n">
        <v>0.58</v>
      </c>
      <c r="C46" t="n">
        <v>0.03478904302964984</v>
      </c>
      <c r="D46" t="n">
        <v>0</v>
      </c>
      <c r="E46" t="n">
        <v>0</v>
      </c>
    </row>
    <row r="47">
      <c r="A47" t="n">
        <v>46</v>
      </c>
      <c r="B47" t="n">
        <v>4.37</v>
      </c>
      <c r="C47" t="n">
        <v>0.05347668550666634</v>
      </c>
      <c r="D47" t="n">
        <v>0</v>
      </c>
      <c r="E47" t="n">
        <v>0.04</v>
      </c>
    </row>
    <row r="48">
      <c r="A48" t="n">
        <v>47</v>
      </c>
      <c r="B48" t="n">
        <v>2.42</v>
      </c>
      <c r="C48" t="n">
        <v>0.02756898418095978</v>
      </c>
      <c r="D48" t="n">
        <v>0</v>
      </c>
      <c r="E48" t="n">
        <v>0.04</v>
      </c>
    </row>
    <row r="49">
      <c r="A49" t="n">
        <v>48</v>
      </c>
      <c r="B49" t="n">
        <v>1.14</v>
      </c>
      <c r="C49" t="n">
        <v>0.03612505021014038</v>
      </c>
      <c r="D49" t="n">
        <v>0</v>
      </c>
      <c r="E49" t="n">
        <v>0</v>
      </c>
    </row>
    <row r="50">
      <c r="A50" t="n">
        <v>49</v>
      </c>
      <c r="B50" t="n">
        <v>1.5</v>
      </c>
      <c r="C50" t="n">
        <v>0.0828215656829976</v>
      </c>
      <c r="D50" t="n">
        <v>0</v>
      </c>
      <c r="E50" t="n">
        <v>0</v>
      </c>
    </row>
    <row r="51">
      <c r="A51" t="n">
        <v>50</v>
      </c>
      <c r="B51" t="n">
        <v>3.3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5.81</v>
      </c>
      <c r="C52" t="n">
        <v>0.08347768750642476</v>
      </c>
      <c r="D52" t="n">
        <v>0</v>
      </c>
      <c r="E52" t="n">
        <v>0.04</v>
      </c>
    </row>
    <row r="53">
      <c r="A53" t="n">
        <v>52</v>
      </c>
      <c r="B53" t="n">
        <v>2.91</v>
      </c>
      <c r="C53" t="n">
        <v>0.0161954135906644</v>
      </c>
      <c r="D53" t="n">
        <v>0</v>
      </c>
      <c r="E53" t="n">
        <v>0.04</v>
      </c>
    </row>
    <row r="54">
      <c r="A54" t="n">
        <v>53</v>
      </c>
      <c r="B54" t="n">
        <v>2.27</v>
      </c>
      <c r="C54" t="n">
        <v>0.1053495632052104</v>
      </c>
      <c r="D54" t="n">
        <v>0.06</v>
      </c>
      <c r="E54" t="n">
        <v>0</v>
      </c>
    </row>
    <row r="55">
      <c r="A55" t="n">
        <v>54</v>
      </c>
      <c r="B55" t="n">
        <v>2.73</v>
      </c>
      <c r="C55" t="n">
        <v>0.03417383482748441</v>
      </c>
      <c r="D55" t="n">
        <v>0</v>
      </c>
      <c r="E55" t="n">
        <v>0</v>
      </c>
    </row>
    <row r="56">
      <c r="A56" t="n">
        <v>55</v>
      </c>
      <c r="B56" t="n">
        <v>3.33</v>
      </c>
      <c r="C56" t="n">
        <v>0.05734358469925908</v>
      </c>
      <c r="D56" t="n">
        <v>0.06</v>
      </c>
      <c r="E56" t="n">
        <v>0</v>
      </c>
    </row>
    <row r="57">
      <c r="A57" t="n">
        <v>56</v>
      </c>
      <c r="B57" t="n">
        <v>5.81</v>
      </c>
      <c r="C57" t="n">
        <v>0.04599390728851008</v>
      </c>
      <c r="D57" t="n">
        <v>0</v>
      </c>
      <c r="E57" t="n">
        <v>0</v>
      </c>
    </row>
    <row r="58">
      <c r="A58" t="n">
        <v>57</v>
      </c>
      <c r="B58" t="n">
        <v>0.34</v>
      </c>
      <c r="C58" t="n">
        <v>0.04637777541456446</v>
      </c>
      <c r="D58" t="n">
        <v>0</v>
      </c>
      <c r="E58" t="n">
        <v>0</v>
      </c>
    </row>
    <row r="59">
      <c r="A59" t="n">
        <v>58</v>
      </c>
      <c r="B59" t="n">
        <v>0.9399999999999999</v>
      </c>
      <c r="C59" t="n">
        <v>0.09279391680531041</v>
      </c>
      <c r="D59" t="n">
        <v>0.06</v>
      </c>
      <c r="E59" t="n">
        <v>0.04</v>
      </c>
    </row>
    <row r="60">
      <c r="A60" t="n">
        <v>59</v>
      </c>
      <c r="B60" t="n">
        <v>3.57</v>
      </c>
      <c r="C60" t="n">
        <v>0.05363058508536754</v>
      </c>
      <c r="D60" t="n">
        <v>0.06</v>
      </c>
      <c r="E60" t="n">
        <v>0.04</v>
      </c>
    </row>
    <row r="61">
      <c r="A61" t="n">
        <v>60</v>
      </c>
      <c r="B61" t="n">
        <v>5.34</v>
      </c>
      <c r="C61" t="n">
        <v>0.01940656242284518</v>
      </c>
      <c r="D61" t="n">
        <v>0</v>
      </c>
      <c r="E61" t="n">
        <v>0</v>
      </c>
    </row>
    <row r="62">
      <c r="A62" t="n">
        <v>61</v>
      </c>
      <c r="B62" t="n">
        <v>2.52</v>
      </c>
      <c r="C62" t="n">
        <v>0.04633891393389523</v>
      </c>
      <c r="D62" t="n">
        <v>0</v>
      </c>
      <c r="E62" t="n">
        <v>0</v>
      </c>
    </row>
    <row r="63">
      <c r="A63" t="n">
        <v>62</v>
      </c>
      <c r="B63" t="n">
        <v>1.23</v>
      </c>
      <c r="C63" t="n">
        <v>0.05714696391443842</v>
      </c>
      <c r="D63" t="n">
        <v>0.06</v>
      </c>
      <c r="E63" t="n">
        <v>0</v>
      </c>
    </row>
    <row r="64">
      <c r="A64" t="n">
        <v>63</v>
      </c>
      <c r="B64" t="n">
        <v>4.03</v>
      </c>
      <c r="C64" t="n">
        <v>0.02426773265415993</v>
      </c>
      <c r="D64" t="n">
        <v>0</v>
      </c>
      <c r="E64" t="n">
        <v>0</v>
      </c>
    </row>
    <row r="65">
      <c r="A65" t="n">
        <v>64</v>
      </c>
      <c r="B65" t="n">
        <v>0.44</v>
      </c>
      <c r="C65" t="n">
        <v>0.03685738126311167</v>
      </c>
      <c r="D65" t="n">
        <v>0</v>
      </c>
      <c r="E65" t="n">
        <v>0</v>
      </c>
    </row>
    <row r="66">
      <c r="A66" t="n">
        <v>65</v>
      </c>
      <c r="B66" t="n">
        <v>0.44</v>
      </c>
      <c r="C66" t="n">
        <v>0.016134273222768</v>
      </c>
      <c r="D66" t="n">
        <v>0.06</v>
      </c>
      <c r="E66" t="n">
        <v>0</v>
      </c>
    </row>
    <row r="67">
      <c r="A67" t="n">
        <v>66</v>
      </c>
      <c r="B67" t="n">
        <v>5.29</v>
      </c>
      <c r="C67" t="n">
        <v>0.07514039593412682</v>
      </c>
      <c r="D67" t="n">
        <v>0</v>
      </c>
      <c r="E67" t="n">
        <v>0.04</v>
      </c>
    </row>
    <row r="68">
      <c r="A68" t="n">
        <v>67</v>
      </c>
      <c r="B68" t="n">
        <v>5</v>
      </c>
      <c r="C68" t="n">
        <v>0.05603827473066947</v>
      </c>
      <c r="D68" t="n">
        <v>0</v>
      </c>
      <c r="E68" t="n">
        <v>0</v>
      </c>
    </row>
    <row r="69">
      <c r="A69" t="n">
        <v>68</v>
      </c>
      <c r="B69" t="n">
        <v>3.92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3.98</v>
      </c>
      <c r="C70" t="n">
        <v>0.08637560012203116</v>
      </c>
      <c r="D70" t="n">
        <v>0.06</v>
      </c>
      <c r="E70" t="n">
        <v>0.04</v>
      </c>
    </row>
    <row r="71">
      <c r="A71" t="n">
        <v>70</v>
      </c>
      <c r="B71" t="n">
        <v>0.64</v>
      </c>
      <c r="C71" t="n">
        <v>0.04401430384030562</v>
      </c>
      <c r="D71" t="n">
        <v>0.06</v>
      </c>
      <c r="E71" t="n">
        <v>0</v>
      </c>
    </row>
    <row r="72">
      <c r="A72" t="n">
        <v>71</v>
      </c>
      <c r="B72" t="n">
        <v>4.31</v>
      </c>
      <c r="C72" t="n">
        <v>0.01513478272513783</v>
      </c>
      <c r="D72" t="n">
        <v>0</v>
      </c>
      <c r="E72" t="n">
        <v>0</v>
      </c>
    </row>
    <row r="73">
      <c r="A73" t="n">
        <v>72</v>
      </c>
      <c r="B73" t="n">
        <v>2.93</v>
      </c>
      <c r="C73" t="n">
        <v>0.07937717707797366</v>
      </c>
      <c r="D73" t="n">
        <v>0</v>
      </c>
      <c r="E73" t="n">
        <v>0.04</v>
      </c>
    </row>
    <row r="74">
      <c r="A74" t="n">
        <v>73</v>
      </c>
      <c r="B74" t="n">
        <v>2.54</v>
      </c>
      <c r="C74" t="n">
        <v>0.02221803667045723</v>
      </c>
      <c r="D74" t="n">
        <v>0.06</v>
      </c>
      <c r="E74" t="n">
        <v>0</v>
      </c>
    </row>
    <row r="75">
      <c r="A75" t="n">
        <v>74</v>
      </c>
      <c r="B75" t="n">
        <v>3.82</v>
      </c>
      <c r="C75" t="n">
        <v>0.02088012815196187</v>
      </c>
      <c r="D75" t="n">
        <v>0</v>
      </c>
      <c r="E75" t="n">
        <v>0</v>
      </c>
    </row>
    <row r="76">
      <c r="A76" t="n">
        <v>75</v>
      </c>
      <c r="B76" t="n">
        <v>2.57</v>
      </c>
      <c r="C76" t="n">
        <v>0</v>
      </c>
      <c r="D76" t="n">
        <v>0.06</v>
      </c>
      <c r="E76" t="n">
        <v>0</v>
      </c>
    </row>
    <row r="77">
      <c r="A77" t="n">
        <v>76</v>
      </c>
      <c r="B77" t="n">
        <v>5.42</v>
      </c>
      <c r="C77" t="n">
        <v>0.04343583356777626</v>
      </c>
      <c r="D77" t="n">
        <v>0</v>
      </c>
      <c r="E77" t="n">
        <v>0</v>
      </c>
    </row>
    <row r="78">
      <c r="A78" t="n">
        <v>77</v>
      </c>
      <c r="B78" t="n">
        <v>0.89</v>
      </c>
      <c r="C78" t="n">
        <v>0.005843510460114408</v>
      </c>
      <c r="D78" t="n">
        <v>0</v>
      </c>
      <c r="E78" t="n">
        <v>0</v>
      </c>
    </row>
    <row r="79">
      <c r="A79" t="n">
        <v>78</v>
      </c>
      <c r="B79" t="n">
        <v>4.78</v>
      </c>
      <c r="C79" t="n">
        <v>0.0725044397246116</v>
      </c>
      <c r="D79" t="n">
        <v>0</v>
      </c>
      <c r="E79" t="n">
        <v>0.04</v>
      </c>
    </row>
    <row r="80">
      <c r="A80" t="n">
        <v>79</v>
      </c>
      <c r="B80" t="n">
        <v>1.5</v>
      </c>
      <c r="C80" t="n">
        <v>0.002026213472789792</v>
      </c>
      <c r="D80" t="n">
        <v>0</v>
      </c>
      <c r="E80" t="n">
        <v>0</v>
      </c>
    </row>
    <row r="81">
      <c r="A81" t="n">
        <v>80</v>
      </c>
      <c r="B81" t="n">
        <v>2.44</v>
      </c>
      <c r="C81" t="n">
        <v>0.04921655836351178</v>
      </c>
      <c r="D81" t="n">
        <v>0.06</v>
      </c>
      <c r="E81" t="n">
        <v>0</v>
      </c>
    </row>
    <row r="82">
      <c r="A82" t="n">
        <v>81</v>
      </c>
      <c r="B82" t="n">
        <v>5.19</v>
      </c>
      <c r="C82" t="n">
        <v>0.09943089337334715</v>
      </c>
      <c r="D82" t="n">
        <v>0</v>
      </c>
      <c r="E82" t="n">
        <v>0</v>
      </c>
    </row>
    <row r="83">
      <c r="A83" t="n">
        <v>82</v>
      </c>
      <c r="B83" t="n">
        <v>0.15</v>
      </c>
      <c r="C83" t="n">
        <v>0.05898368766264733</v>
      </c>
      <c r="D83" t="n">
        <v>0</v>
      </c>
      <c r="E83" t="n">
        <v>0</v>
      </c>
    </row>
    <row r="84">
      <c r="A84" t="n">
        <v>83</v>
      </c>
      <c r="B84" t="n">
        <v>4.81</v>
      </c>
      <c r="C84" t="n">
        <v>0.07296285642042584</v>
      </c>
      <c r="D84" t="n">
        <v>0</v>
      </c>
      <c r="E84" t="n">
        <v>0</v>
      </c>
    </row>
    <row r="85">
      <c r="A85" t="n">
        <v>84</v>
      </c>
      <c r="B85" t="n">
        <v>4.72</v>
      </c>
      <c r="C85" t="n">
        <v>0.002898416300319152</v>
      </c>
      <c r="D85" t="n">
        <v>0</v>
      </c>
      <c r="E85" t="n">
        <v>0</v>
      </c>
    </row>
    <row r="86">
      <c r="A86" t="n">
        <v>85</v>
      </c>
      <c r="B86" t="n">
        <v>1.33</v>
      </c>
      <c r="C86" t="n">
        <v>0.06707299615149075</v>
      </c>
      <c r="D86" t="n">
        <v>0</v>
      </c>
      <c r="E86" t="n">
        <v>0</v>
      </c>
    </row>
    <row r="87">
      <c r="A87" t="n">
        <v>86</v>
      </c>
      <c r="B87" t="n">
        <v>4.77</v>
      </c>
      <c r="C87" t="n">
        <v>0.01759633190161978</v>
      </c>
      <c r="D87" t="n">
        <v>0.06</v>
      </c>
      <c r="E87" t="n">
        <v>0.04</v>
      </c>
    </row>
    <row r="88">
      <c r="A88" t="n">
        <v>87</v>
      </c>
      <c r="B88" t="n">
        <v>1.97</v>
      </c>
      <c r="C88" t="n">
        <v>0.07300261698855073</v>
      </c>
      <c r="D88" t="n">
        <v>0</v>
      </c>
      <c r="E88" t="n">
        <v>0</v>
      </c>
    </row>
    <row r="89">
      <c r="A89" t="n">
        <v>88</v>
      </c>
      <c r="B89" t="n">
        <v>3.85</v>
      </c>
      <c r="C89" t="n">
        <v>0.03237461039658555</v>
      </c>
      <c r="D89" t="n">
        <v>0</v>
      </c>
      <c r="E89" t="n">
        <v>0</v>
      </c>
    </row>
    <row r="90">
      <c r="A90" t="n">
        <v>89</v>
      </c>
      <c r="B90" t="n">
        <v>5.64</v>
      </c>
      <c r="C90" t="n">
        <v>0.004041998881961835</v>
      </c>
      <c r="D90" t="n">
        <v>0</v>
      </c>
      <c r="E90" t="n">
        <v>0.04</v>
      </c>
    </row>
    <row r="91">
      <c r="A91" t="n">
        <v>90</v>
      </c>
      <c r="B91" t="n">
        <v>5.78</v>
      </c>
      <c r="C91" t="n">
        <v>0.02120251504908503</v>
      </c>
      <c r="D91" t="n">
        <v>0.06</v>
      </c>
      <c r="E91" t="n">
        <v>0</v>
      </c>
    </row>
    <row r="92">
      <c r="A92" t="n">
        <v>91</v>
      </c>
      <c r="B92" t="n">
        <v>4.37</v>
      </c>
      <c r="C92" t="n">
        <v>0.02543639239749289</v>
      </c>
      <c r="D92" t="n">
        <v>0</v>
      </c>
      <c r="E92" t="n">
        <v>0</v>
      </c>
    </row>
    <row r="93">
      <c r="A93" t="n">
        <v>92</v>
      </c>
      <c r="B93" t="n">
        <v>2.31</v>
      </c>
      <c r="C93" t="n">
        <v>0.04579517354072161</v>
      </c>
      <c r="D93" t="n">
        <v>0.06</v>
      </c>
      <c r="E93" t="n">
        <v>0</v>
      </c>
    </row>
    <row r="94">
      <c r="A94" t="n">
        <v>93</v>
      </c>
      <c r="B94" t="n">
        <v>0.01</v>
      </c>
      <c r="C94" t="n">
        <v>0.08330819782299166</v>
      </c>
      <c r="D94" t="n">
        <v>0</v>
      </c>
      <c r="E94" t="n">
        <v>0</v>
      </c>
    </row>
    <row r="95">
      <c r="A95" t="n">
        <v>94</v>
      </c>
      <c r="B95" t="n">
        <v>4.45</v>
      </c>
      <c r="C95" t="n">
        <v>0.05324947949467305</v>
      </c>
      <c r="D95" t="n">
        <v>0</v>
      </c>
      <c r="E95" t="n">
        <v>0.04</v>
      </c>
    </row>
    <row r="96">
      <c r="A96" t="n">
        <v>95</v>
      </c>
      <c r="B96" t="n">
        <v>3.99</v>
      </c>
      <c r="C96" t="n">
        <v>0.02681917378266875</v>
      </c>
      <c r="D96" t="n">
        <v>0</v>
      </c>
      <c r="E96" t="n">
        <v>0</v>
      </c>
    </row>
    <row r="97">
      <c r="A97" t="n">
        <v>96</v>
      </c>
      <c r="B97" t="n">
        <v>4.32</v>
      </c>
      <c r="C97" t="n">
        <v>0.02429578417068451</v>
      </c>
      <c r="D97" t="n">
        <v>0</v>
      </c>
      <c r="E97" t="n">
        <v>0</v>
      </c>
    </row>
    <row r="98">
      <c r="A98" t="n">
        <v>97</v>
      </c>
      <c r="B98" t="n">
        <v>2.41</v>
      </c>
      <c r="C98" t="n">
        <v>0.02389185842449119</v>
      </c>
      <c r="D98" t="n">
        <v>0.06</v>
      </c>
      <c r="E98" t="n">
        <v>0</v>
      </c>
    </row>
    <row r="99">
      <c r="A99" t="n">
        <v>98</v>
      </c>
      <c r="B99" t="n">
        <v>5.64</v>
      </c>
      <c r="C99" t="n">
        <v>0.05380635786752952</v>
      </c>
      <c r="D99" t="n">
        <v>0</v>
      </c>
      <c r="E99" t="n">
        <v>0</v>
      </c>
    </row>
    <row r="100">
      <c r="A100" t="n">
        <v>99</v>
      </c>
      <c r="B100" t="n">
        <v>1.81</v>
      </c>
      <c r="C100" t="n">
        <v>0.04361354210270141</v>
      </c>
      <c r="D100" t="n">
        <v>0.06</v>
      </c>
      <c r="E100" t="n">
        <v>0</v>
      </c>
    </row>
    <row r="101">
      <c r="A101" t="n">
        <v>100</v>
      </c>
      <c r="B101" t="n">
        <v>2.58</v>
      </c>
      <c r="C101" t="n">
        <v>0.04605563637881137</v>
      </c>
      <c r="D101" t="n">
        <v>0</v>
      </c>
      <c r="E101" t="n">
        <v>0</v>
      </c>
    </row>
    <row r="102">
      <c r="A102" t="n">
        <v>101</v>
      </c>
      <c r="B102" t="n">
        <v>2.65</v>
      </c>
      <c r="C102" t="n">
        <v>0.01619068475277464</v>
      </c>
      <c r="D102" t="n">
        <v>0</v>
      </c>
      <c r="E102" t="n">
        <v>0</v>
      </c>
    </row>
    <row r="103">
      <c r="A103" t="n">
        <v>102</v>
      </c>
      <c r="B103" t="n">
        <v>4.78</v>
      </c>
      <c r="C103" t="n">
        <v>0.01133843549990819</v>
      </c>
      <c r="D103" t="n">
        <v>0.06</v>
      </c>
      <c r="E103" t="n">
        <v>0</v>
      </c>
    </row>
    <row r="104">
      <c r="A104" t="n">
        <v>103</v>
      </c>
      <c r="B104" t="n">
        <v>3.8</v>
      </c>
      <c r="C104" t="n">
        <v>0.02723106024881321</v>
      </c>
      <c r="D104" t="n">
        <v>0</v>
      </c>
      <c r="E104" t="n">
        <v>0</v>
      </c>
    </row>
    <row r="105">
      <c r="A105" t="n">
        <v>104</v>
      </c>
      <c r="B105" t="n">
        <v>4.04</v>
      </c>
      <c r="C105" t="n">
        <v>0.0173015890424859</v>
      </c>
      <c r="D105" t="n">
        <v>0.06</v>
      </c>
      <c r="E105" t="n">
        <v>0.04</v>
      </c>
    </row>
    <row r="106">
      <c r="A106" t="n">
        <v>105</v>
      </c>
      <c r="B106" t="n">
        <v>1.47</v>
      </c>
      <c r="C106" t="n">
        <v>0.0381290696576299</v>
      </c>
      <c r="D106" t="n">
        <v>0</v>
      </c>
      <c r="E106" t="n">
        <v>0.04</v>
      </c>
    </row>
    <row r="107">
      <c r="A107" t="n">
        <v>106</v>
      </c>
      <c r="B107" t="n">
        <v>2.49</v>
      </c>
      <c r="C107" t="n">
        <v>0.04993696048340615</v>
      </c>
      <c r="D107" t="n">
        <v>0.06</v>
      </c>
      <c r="E107" t="n">
        <v>0</v>
      </c>
    </row>
    <row r="108">
      <c r="A108" t="n">
        <v>107</v>
      </c>
      <c r="B108" t="n">
        <v>2.97</v>
      </c>
      <c r="C108" t="n">
        <v>0.01919371137039167</v>
      </c>
      <c r="D108" t="n">
        <v>0</v>
      </c>
      <c r="E108" t="n">
        <v>0.04</v>
      </c>
    </row>
    <row r="109">
      <c r="A109" t="n">
        <v>108</v>
      </c>
      <c r="B109" t="n">
        <v>4.51</v>
      </c>
      <c r="C109" t="n">
        <v>0.06216996909762484</v>
      </c>
      <c r="D109" t="n">
        <v>0.06</v>
      </c>
      <c r="E109" t="n">
        <v>0</v>
      </c>
    </row>
    <row r="110">
      <c r="A110" t="n">
        <v>109</v>
      </c>
      <c r="B110" t="n">
        <v>1.06</v>
      </c>
      <c r="C110" t="n">
        <v>0.09182667024150495</v>
      </c>
      <c r="D110" t="n">
        <v>0</v>
      </c>
      <c r="E110" t="n">
        <v>0.04</v>
      </c>
    </row>
    <row r="111">
      <c r="A111" t="n">
        <v>110</v>
      </c>
      <c r="B111" t="n">
        <v>1.5</v>
      </c>
      <c r="C111" t="n">
        <v>0.07087972918138924</v>
      </c>
      <c r="D111" t="n">
        <v>0</v>
      </c>
      <c r="E111" t="n">
        <v>0</v>
      </c>
    </row>
    <row r="112">
      <c r="A112" t="n">
        <v>111</v>
      </c>
      <c r="B112" t="n">
        <v>4.01</v>
      </c>
      <c r="C112" t="n">
        <v>0.1076109778429782</v>
      </c>
      <c r="D112" t="n">
        <v>0</v>
      </c>
      <c r="E112" t="n">
        <v>0</v>
      </c>
    </row>
    <row r="113">
      <c r="A113" t="n">
        <v>112</v>
      </c>
      <c r="B113" t="n">
        <v>5.35</v>
      </c>
      <c r="C113" t="n">
        <v>0.04858715905602735</v>
      </c>
      <c r="D113" t="n">
        <v>0</v>
      </c>
      <c r="E113" t="n">
        <v>0</v>
      </c>
    </row>
    <row r="114">
      <c r="A114" t="n">
        <v>113</v>
      </c>
      <c r="B114" t="n">
        <v>4.98</v>
      </c>
      <c r="C114" t="n">
        <v>0.04360859875404803</v>
      </c>
      <c r="D114" t="n">
        <v>0</v>
      </c>
      <c r="E114" t="n">
        <v>0</v>
      </c>
    </row>
    <row r="115">
      <c r="A115" t="n">
        <v>114</v>
      </c>
      <c r="B115" t="n">
        <v>2.85</v>
      </c>
      <c r="C115" t="n">
        <v>0.02062480540887265</v>
      </c>
      <c r="D115" t="n">
        <v>0.06</v>
      </c>
      <c r="E115" t="n">
        <v>0</v>
      </c>
    </row>
    <row r="116">
      <c r="A116" t="n">
        <v>115</v>
      </c>
      <c r="B116" t="n">
        <v>4.59</v>
      </c>
      <c r="C116" t="n">
        <v>0.04160248312187936</v>
      </c>
      <c r="D116" t="n">
        <v>0</v>
      </c>
      <c r="E116" t="n">
        <v>0</v>
      </c>
    </row>
    <row r="117">
      <c r="A117" t="n">
        <v>116</v>
      </c>
      <c r="B117" t="n">
        <v>0.46</v>
      </c>
      <c r="C117" t="n">
        <v>0.02302275906341414</v>
      </c>
      <c r="D117" t="n">
        <v>0.06</v>
      </c>
      <c r="E117" t="n">
        <v>0</v>
      </c>
    </row>
    <row r="118">
      <c r="A118" t="n">
        <v>117</v>
      </c>
      <c r="B118" t="n">
        <v>3.24</v>
      </c>
      <c r="C118" t="n">
        <v>0.007370396364324142</v>
      </c>
      <c r="D118" t="n">
        <v>0.06</v>
      </c>
      <c r="E118" t="n">
        <v>0</v>
      </c>
    </row>
    <row r="119">
      <c r="A119" t="n">
        <v>118</v>
      </c>
      <c r="B119" t="n">
        <v>4.24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2.49</v>
      </c>
      <c r="C120" t="n">
        <v>0.01547636698521847</v>
      </c>
      <c r="D120" t="n">
        <v>0</v>
      </c>
      <c r="E120" t="n">
        <v>0</v>
      </c>
    </row>
    <row r="121">
      <c r="A121" t="n">
        <v>120</v>
      </c>
      <c r="B121" t="n">
        <v>3.5</v>
      </c>
      <c r="C121" t="n">
        <v>0.05534701253045703</v>
      </c>
      <c r="D121" t="n">
        <v>0</v>
      </c>
      <c r="E121" t="n">
        <v>0</v>
      </c>
    </row>
    <row r="122">
      <c r="A122" t="n">
        <v>121</v>
      </c>
      <c r="B122" t="n">
        <v>2.28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5.12</v>
      </c>
      <c r="C123" t="n">
        <v>0.09037195822668533</v>
      </c>
      <c r="D123" t="n">
        <v>0</v>
      </c>
      <c r="E123" t="n">
        <v>0</v>
      </c>
    </row>
    <row r="124">
      <c r="A124" t="n">
        <v>123</v>
      </c>
      <c r="B124" t="n">
        <v>3.28</v>
      </c>
      <c r="C124" t="n">
        <v>0.04785325358461675</v>
      </c>
      <c r="D124" t="n">
        <v>0.06</v>
      </c>
      <c r="E124" t="n">
        <v>0.04</v>
      </c>
    </row>
    <row r="125">
      <c r="A125" t="n">
        <v>124</v>
      </c>
      <c r="B125" t="n">
        <v>2.62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2.43</v>
      </c>
      <c r="C126" t="n">
        <v>0.01078198916753367</v>
      </c>
      <c r="D126" t="n">
        <v>0</v>
      </c>
      <c r="E126" t="n">
        <v>0.04</v>
      </c>
    </row>
    <row r="127">
      <c r="A127" t="n">
        <v>126</v>
      </c>
      <c r="B127" t="n">
        <v>3.73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0.16</v>
      </c>
      <c r="C128" t="n">
        <v>0.05097454737543727</v>
      </c>
      <c r="D128" t="n">
        <v>0.06</v>
      </c>
      <c r="E128" t="n">
        <v>0</v>
      </c>
    </row>
    <row r="129">
      <c r="A129" t="n">
        <v>128</v>
      </c>
      <c r="B129" t="n">
        <v>0.3</v>
      </c>
      <c r="C129" t="n">
        <v>0.03076494371519104</v>
      </c>
      <c r="D129" t="n">
        <v>0.06</v>
      </c>
      <c r="E129" t="n">
        <v>0</v>
      </c>
    </row>
    <row r="130">
      <c r="A130" t="n">
        <v>129</v>
      </c>
      <c r="B130" t="n">
        <v>4.57</v>
      </c>
      <c r="C130" t="n">
        <v>0.03076670605213568</v>
      </c>
      <c r="D130" t="n">
        <v>0</v>
      </c>
      <c r="E130" t="n">
        <v>0</v>
      </c>
    </row>
    <row r="131">
      <c r="A131" t="n">
        <v>130</v>
      </c>
      <c r="B131" t="n">
        <v>1.51</v>
      </c>
      <c r="C131" t="n">
        <v>0</v>
      </c>
      <c r="D131" t="n">
        <v>0.06</v>
      </c>
      <c r="E131" t="n">
        <v>0</v>
      </c>
    </row>
    <row r="132">
      <c r="A132" t="n">
        <v>131</v>
      </c>
      <c r="B132" t="n">
        <v>6</v>
      </c>
      <c r="C132" t="n">
        <v>0.02843717403116694</v>
      </c>
      <c r="D132" t="n">
        <v>0</v>
      </c>
      <c r="E132" t="n">
        <v>0</v>
      </c>
    </row>
    <row r="133">
      <c r="A133" t="n">
        <v>132</v>
      </c>
      <c r="B133" t="n">
        <v>3.91</v>
      </c>
      <c r="C133" t="n">
        <v>0.06063615040332766</v>
      </c>
      <c r="D133" t="n">
        <v>0</v>
      </c>
      <c r="E133" t="n">
        <v>0.04</v>
      </c>
    </row>
    <row r="134">
      <c r="A134" t="n">
        <v>133</v>
      </c>
      <c r="B134" t="n">
        <v>0.12</v>
      </c>
      <c r="C134" t="n">
        <v>0.009211922763270625</v>
      </c>
      <c r="D134" t="n">
        <v>0.06</v>
      </c>
      <c r="E134" t="n">
        <v>0</v>
      </c>
    </row>
    <row r="135">
      <c r="A135" t="n">
        <v>134</v>
      </c>
      <c r="B135" t="n">
        <v>3.38</v>
      </c>
      <c r="C135" t="n">
        <v>0.01662742128879849</v>
      </c>
      <c r="D135" t="n">
        <v>0</v>
      </c>
      <c r="E135" t="n">
        <v>0</v>
      </c>
    </row>
    <row r="136">
      <c r="A136" t="n">
        <v>135</v>
      </c>
      <c r="B136" t="n">
        <v>1.01</v>
      </c>
      <c r="C136" t="n">
        <v>0.04816456528526292</v>
      </c>
      <c r="D136" t="n">
        <v>0</v>
      </c>
      <c r="E136" t="n">
        <v>0.04</v>
      </c>
    </row>
    <row r="137">
      <c r="A137" t="n">
        <v>136</v>
      </c>
      <c r="B137" t="n">
        <v>4.92</v>
      </c>
      <c r="C137" t="n">
        <v>0.09424926382477465</v>
      </c>
      <c r="D137" t="n">
        <v>0.06</v>
      </c>
      <c r="E137" t="n">
        <v>0.04</v>
      </c>
    </row>
    <row r="138">
      <c r="A138" t="n">
        <v>137</v>
      </c>
      <c r="B138" t="n">
        <v>1.87</v>
      </c>
      <c r="C138" t="n">
        <v>0.05380881084481411</v>
      </c>
      <c r="D138" t="n">
        <v>0</v>
      </c>
      <c r="E138" t="n">
        <v>0</v>
      </c>
    </row>
    <row r="139">
      <c r="A139" t="n">
        <v>138</v>
      </c>
      <c r="B139" t="n">
        <v>4.29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0.61</v>
      </c>
      <c r="C140" t="n">
        <v>0.06241125894265023</v>
      </c>
      <c r="D140" t="n">
        <v>0</v>
      </c>
      <c r="E140" t="n">
        <v>0</v>
      </c>
    </row>
    <row r="141">
      <c r="A141" t="n">
        <v>140</v>
      </c>
      <c r="B141" t="n">
        <v>0.73</v>
      </c>
      <c r="C141" t="n">
        <v>0.1042161460455558</v>
      </c>
      <c r="D141" t="n">
        <v>0</v>
      </c>
      <c r="E141" t="n">
        <v>0</v>
      </c>
    </row>
    <row r="142">
      <c r="A142" t="n">
        <v>141</v>
      </c>
      <c r="B142" t="n">
        <v>2.57</v>
      </c>
      <c r="C142" t="n">
        <v>0.03008974759983633</v>
      </c>
      <c r="D142" t="n">
        <v>0</v>
      </c>
      <c r="E142" t="n">
        <v>0</v>
      </c>
    </row>
    <row r="143">
      <c r="A143" t="n">
        <v>142</v>
      </c>
      <c r="B143" t="n">
        <v>5.1</v>
      </c>
      <c r="C143" t="n">
        <v>0.06772853769934718</v>
      </c>
      <c r="D143" t="n">
        <v>0.06</v>
      </c>
      <c r="E143" t="n">
        <v>0</v>
      </c>
    </row>
    <row r="144">
      <c r="A144" t="n">
        <v>143</v>
      </c>
      <c r="B144" t="n">
        <v>3.81</v>
      </c>
      <c r="C144" t="n">
        <v>0.0684720783632797</v>
      </c>
      <c r="D144" t="n">
        <v>0</v>
      </c>
      <c r="E144" t="n">
        <v>0</v>
      </c>
    </row>
    <row r="145">
      <c r="A145" t="n">
        <v>144</v>
      </c>
      <c r="B145" t="n">
        <v>4.4</v>
      </c>
      <c r="C145" t="n">
        <v>0.09454227609308319</v>
      </c>
      <c r="D145" t="n">
        <v>0.06</v>
      </c>
      <c r="E145" t="n">
        <v>0</v>
      </c>
    </row>
    <row r="146">
      <c r="A146" t="n">
        <v>145</v>
      </c>
      <c r="B146" t="n">
        <v>3.23</v>
      </c>
      <c r="C146" t="n">
        <v>0.03875867718018983</v>
      </c>
      <c r="D146" t="n">
        <v>0</v>
      </c>
      <c r="E146" t="n">
        <v>0</v>
      </c>
    </row>
    <row r="147">
      <c r="A147" t="n">
        <v>146</v>
      </c>
      <c r="B147" t="n">
        <v>1.61</v>
      </c>
      <c r="C147" t="n">
        <v>0.07131427563035471</v>
      </c>
      <c r="D147" t="n">
        <v>0</v>
      </c>
      <c r="E147" t="n">
        <v>0.04</v>
      </c>
    </row>
    <row r="148">
      <c r="A148" t="n">
        <v>147</v>
      </c>
      <c r="B148" t="n">
        <v>5.29</v>
      </c>
      <c r="C148" t="n">
        <v>0.01918213681589032</v>
      </c>
      <c r="D148" t="n">
        <v>0</v>
      </c>
      <c r="E148" t="n">
        <v>0</v>
      </c>
    </row>
    <row r="149">
      <c r="A149" t="n">
        <v>148</v>
      </c>
      <c r="B149" t="n">
        <v>2.27</v>
      </c>
      <c r="C149" t="n">
        <v>0</v>
      </c>
      <c r="D149" t="n">
        <v>0</v>
      </c>
      <c r="E149" t="n">
        <v>0.04</v>
      </c>
    </row>
    <row r="150">
      <c r="A150" t="n">
        <v>149</v>
      </c>
      <c r="B150" t="n">
        <v>1.27</v>
      </c>
      <c r="C150" t="n">
        <v>0.06501710917629383</v>
      </c>
      <c r="D150" t="n">
        <v>0</v>
      </c>
      <c r="E150" t="n">
        <v>0</v>
      </c>
    </row>
    <row r="151">
      <c r="A151" t="n">
        <v>150</v>
      </c>
      <c r="B151" t="n">
        <v>4.21</v>
      </c>
      <c r="C151" t="n">
        <v>0.0221811230593201</v>
      </c>
      <c r="D151" t="n">
        <v>0.06</v>
      </c>
      <c r="E151" t="n">
        <v>0</v>
      </c>
    </row>
    <row r="152">
      <c r="A152" t="n">
        <v>151</v>
      </c>
      <c r="B152" t="n">
        <v>0.51</v>
      </c>
      <c r="C152" t="n">
        <v>0.05749189974158114</v>
      </c>
      <c r="D152" t="n">
        <v>0</v>
      </c>
      <c r="E152" t="n">
        <v>0</v>
      </c>
    </row>
    <row r="153">
      <c r="A153" t="n">
        <v>152</v>
      </c>
      <c r="B153" t="n">
        <v>4.14</v>
      </c>
      <c r="C153" t="n">
        <v>0.05122847298138129</v>
      </c>
      <c r="D153" t="n">
        <v>0</v>
      </c>
      <c r="E153" t="n">
        <v>0</v>
      </c>
    </row>
    <row r="154">
      <c r="A154" t="n">
        <v>153</v>
      </c>
      <c r="B154" t="n">
        <v>0.5600000000000001</v>
      </c>
      <c r="C154" t="n">
        <v>0.01699561479132654</v>
      </c>
      <c r="D154" t="n">
        <v>0</v>
      </c>
      <c r="E154" t="n">
        <v>0</v>
      </c>
    </row>
    <row r="155">
      <c r="A155" t="n">
        <v>154</v>
      </c>
      <c r="B155" t="n">
        <v>3.49</v>
      </c>
      <c r="C155" t="n">
        <v>0.03798771161293563</v>
      </c>
      <c r="D155" t="n">
        <v>0</v>
      </c>
      <c r="E155" t="n">
        <v>0</v>
      </c>
    </row>
    <row r="156">
      <c r="A156" t="n">
        <v>155</v>
      </c>
      <c r="B156" t="n">
        <v>4.48</v>
      </c>
      <c r="C156" t="n">
        <v>0.02686812378445135</v>
      </c>
      <c r="D156" t="n">
        <v>0</v>
      </c>
      <c r="E156" t="n">
        <v>0</v>
      </c>
    </row>
    <row r="157">
      <c r="A157" t="n">
        <v>156</v>
      </c>
      <c r="B157" t="n">
        <v>1.51</v>
      </c>
      <c r="C157" t="n">
        <v>0.00484857022931065</v>
      </c>
      <c r="D157" t="n">
        <v>0.06</v>
      </c>
      <c r="E157" t="n">
        <v>0.04</v>
      </c>
    </row>
    <row r="158">
      <c r="A158" t="n">
        <v>157</v>
      </c>
      <c r="B158" t="n">
        <v>3.22</v>
      </c>
      <c r="C158" t="n">
        <v>0.06140090849450665</v>
      </c>
      <c r="D158" t="n">
        <v>0.06</v>
      </c>
      <c r="E158" t="n">
        <v>0.04</v>
      </c>
    </row>
    <row r="159">
      <c r="A159" t="n">
        <v>158</v>
      </c>
      <c r="B159" t="n">
        <v>2.91</v>
      </c>
      <c r="C159" t="n">
        <v>0.05789550563036563</v>
      </c>
      <c r="D159" t="n">
        <v>0</v>
      </c>
      <c r="E159" t="n">
        <v>0</v>
      </c>
    </row>
    <row r="160">
      <c r="A160" t="n">
        <v>159</v>
      </c>
      <c r="B160" t="n">
        <v>1.7</v>
      </c>
      <c r="C160" t="n">
        <v>0.001643214715144427</v>
      </c>
      <c r="D160" t="n">
        <v>0.06</v>
      </c>
      <c r="E160" t="n">
        <v>0.04</v>
      </c>
    </row>
    <row r="161">
      <c r="A161" t="n">
        <v>160</v>
      </c>
      <c r="B161" t="n">
        <v>1.08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5.85</v>
      </c>
      <c r="C162" t="n">
        <v>0.04402457194208592</v>
      </c>
      <c r="D162" t="n">
        <v>0</v>
      </c>
      <c r="E162" t="n">
        <v>0.04</v>
      </c>
    </row>
    <row r="163">
      <c r="A163" t="n">
        <v>162</v>
      </c>
      <c r="B163" t="n">
        <v>5.21</v>
      </c>
      <c r="C163" t="n">
        <v>0.03931402856278613</v>
      </c>
      <c r="D163" t="n">
        <v>0</v>
      </c>
      <c r="E163" t="n">
        <v>0</v>
      </c>
    </row>
    <row r="164">
      <c r="A164" t="n">
        <v>163</v>
      </c>
      <c r="B164" t="n">
        <v>2.82</v>
      </c>
      <c r="C164" t="n">
        <v>0.03550657746132361</v>
      </c>
      <c r="D164" t="n">
        <v>0.06</v>
      </c>
      <c r="E164" t="n">
        <v>0.04</v>
      </c>
    </row>
    <row r="165">
      <c r="A165" t="n">
        <v>164</v>
      </c>
      <c r="B165" t="n">
        <v>5.65</v>
      </c>
      <c r="C165" t="n">
        <v>0.03832438972568457</v>
      </c>
      <c r="D165" t="n">
        <v>0</v>
      </c>
      <c r="E165" t="n">
        <v>0</v>
      </c>
    </row>
    <row r="166">
      <c r="A166" t="n">
        <v>165</v>
      </c>
      <c r="B166" t="n">
        <v>0.44</v>
      </c>
      <c r="C166" t="n">
        <v>0.04991156937728499</v>
      </c>
      <c r="D166" t="n">
        <v>0.06</v>
      </c>
      <c r="E166" t="n">
        <v>0.04</v>
      </c>
    </row>
    <row r="167">
      <c r="A167" t="n">
        <v>166</v>
      </c>
      <c r="B167" t="n">
        <v>3.38</v>
      </c>
      <c r="C167" t="n">
        <v>0.0245979776122688</v>
      </c>
      <c r="D167" t="n">
        <v>0</v>
      </c>
      <c r="E167" t="n">
        <v>0.04</v>
      </c>
    </row>
    <row r="168">
      <c r="A168" t="n">
        <v>167</v>
      </c>
      <c r="B168" t="n">
        <v>4.59</v>
      </c>
      <c r="C168" t="n">
        <v>0.04809202795336204</v>
      </c>
      <c r="D168" t="n">
        <v>0</v>
      </c>
      <c r="E168" t="n">
        <v>0.04</v>
      </c>
    </row>
    <row r="169">
      <c r="A169" t="n">
        <v>168</v>
      </c>
      <c r="B169" t="n">
        <v>3.14</v>
      </c>
      <c r="C169" t="n">
        <v>0.03626915024741947</v>
      </c>
      <c r="D169" t="n">
        <v>0</v>
      </c>
      <c r="E169" t="n">
        <v>0</v>
      </c>
    </row>
    <row r="170">
      <c r="A170" t="n">
        <v>169</v>
      </c>
      <c r="B170" t="n">
        <v>5.94</v>
      </c>
      <c r="C170" t="n">
        <v>0.02473035371743229</v>
      </c>
      <c r="D170" t="n">
        <v>0</v>
      </c>
      <c r="E170" t="n">
        <v>0</v>
      </c>
    </row>
    <row r="171">
      <c r="A171" t="n">
        <v>170</v>
      </c>
      <c r="B171" t="n">
        <v>4.44</v>
      </c>
      <c r="C171" t="n">
        <v>0.0886577231757685</v>
      </c>
      <c r="D171" t="n">
        <v>0.06</v>
      </c>
      <c r="E171" t="n">
        <v>0.04</v>
      </c>
    </row>
    <row r="172">
      <c r="A172" t="n">
        <v>171</v>
      </c>
      <c r="B172" t="n">
        <v>3.96</v>
      </c>
      <c r="C172" t="n">
        <v>0.009801198256102532</v>
      </c>
      <c r="D172" t="n">
        <v>0.06</v>
      </c>
      <c r="E172" t="n">
        <v>0.04</v>
      </c>
    </row>
    <row r="173">
      <c r="A173" t="n">
        <v>172</v>
      </c>
      <c r="B173" t="n">
        <v>0.02</v>
      </c>
      <c r="C173" t="n">
        <v>0.03626833480463356</v>
      </c>
      <c r="D173" t="n">
        <v>0</v>
      </c>
      <c r="E173" t="n">
        <v>0</v>
      </c>
    </row>
    <row r="174">
      <c r="A174" t="n">
        <v>173</v>
      </c>
      <c r="B174" t="n">
        <v>1.39</v>
      </c>
      <c r="C174" t="n">
        <v>0.05633539718556668</v>
      </c>
      <c r="D174" t="n">
        <v>0</v>
      </c>
      <c r="E174" t="n">
        <v>0</v>
      </c>
    </row>
    <row r="175">
      <c r="A175" t="n">
        <v>174</v>
      </c>
      <c r="B175" t="n">
        <v>4.12</v>
      </c>
      <c r="C175" t="n">
        <v>0.0829564268199092</v>
      </c>
      <c r="D175" t="n">
        <v>0</v>
      </c>
      <c r="E175" t="n">
        <v>0</v>
      </c>
    </row>
    <row r="176">
      <c r="A176" t="n">
        <v>175</v>
      </c>
      <c r="B176" t="n">
        <v>3.97</v>
      </c>
      <c r="C176" t="n">
        <v>0.08511048131009499</v>
      </c>
      <c r="D176" t="n">
        <v>0</v>
      </c>
      <c r="E176" t="n">
        <v>0</v>
      </c>
    </row>
    <row r="177">
      <c r="A177" t="n">
        <v>176</v>
      </c>
      <c r="B177" t="n">
        <v>3.89</v>
      </c>
      <c r="C177" t="n">
        <v>0.07993108511982747</v>
      </c>
      <c r="D177" t="n">
        <v>0</v>
      </c>
      <c r="E177" t="n">
        <v>0.04</v>
      </c>
    </row>
    <row r="178">
      <c r="A178" t="n">
        <v>177</v>
      </c>
      <c r="B178" t="n">
        <v>1</v>
      </c>
      <c r="C178" t="n">
        <v>0.02492106553749254</v>
      </c>
      <c r="D178" t="n">
        <v>0</v>
      </c>
      <c r="E178" t="n">
        <v>0</v>
      </c>
    </row>
    <row r="179">
      <c r="A179" t="n">
        <v>178</v>
      </c>
      <c r="B179" t="n">
        <v>1.73</v>
      </c>
      <c r="C179" t="n">
        <v>0.005395153488341312</v>
      </c>
      <c r="D179" t="n">
        <v>0</v>
      </c>
      <c r="E179" t="n">
        <v>0</v>
      </c>
    </row>
    <row r="180">
      <c r="A180" t="n">
        <v>179</v>
      </c>
      <c r="B180" t="n">
        <v>5.66</v>
      </c>
      <c r="C180" t="n">
        <v>0.04003550718372278</v>
      </c>
      <c r="D180" t="n">
        <v>0</v>
      </c>
      <c r="E180" t="n">
        <v>0.04</v>
      </c>
    </row>
    <row r="181">
      <c r="A181" t="n">
        <v>180</v>
      </c>
      <c r="B181" t="n">
        <v>0.24</v>
      </c>
      <c r="C181" t="n">
        <v>0.03486364977297461</v>
      </c>
      <c r="D181" t="n">
        <v>0</v>
      </c>
      <c r="E181" t="n">
        <v>0</v>
      </c>
    </row>
    <row r="182">
      <c r="A182" t="n">
        <v>181</v>
      </c>
      <c r="B182" t="n">
        <v>0.55</v>
      </c>
      <c r="C182" t="n">
        <v>0.09319921981025556</v>
      </c>
      <c r="D182" t="n">
        <v>0</v>
      </c>
      <c r="E182" t="n">
        <v>0</v>
      </c>
    </row>
    <row r="183">
      <c r="A183" t="n">
        <v>182</v>
      </c>
      <c r="B183" t="n">
        <v>5.7</v>
      </c>
      <c r="C183" t="n">
        <v>0.1400287802801444</v>
      </c>
      <c r="D183" t="n">
        <v>0</v>
      </c>
      <c r="E183" t="n">
        <v>0</v>
      </c>
    </row>
    <row r="184">
      <c r="A184" t="n">
        <v>183</v>
      </c>
      <c r="B184" t="n">
        <v>0.24</v>
      </c>
      <c r="C184" t="n">
        <v>0.06083051926619607</v>
      </c>
      <c r="D184" t="n">
        <v>0</v>
      </c>
      <c r="E184" t="n">
        <v>0</v>
      </c>
    </row>
    <row r="185">
      <c r="A185" t="n">
        <v>184</v>
      </c>
      <c r="B185" t="n">
        <v>5.5</v>
      </c>
      <c r="C185" t="n">
        <v>0.01270886068225785</v>
      </c>
      <c r="D185" t="n">
        <v>0</v>
      </c>
      <c r="E185" t="n">
        <v>0</v>
      </c>
    </row>
    <row r="186">
      <c r="A186" t="n">
        <v>185</v>
      </c>
      <c r="B186" t="n">
        <v>2.95</v>
      </c>
      <c r="C186" t="n">
        <v>5.70378657281656e-06</v>
      </c>
      <c r="D186" t="n">
        <v>0</v>
      </c>
      <c r="E186" t="n">
        <v>0</v>
      </c>
    </row>
    <row r="187">
      <c r="A187" t="n">
        <v>186</v>
      </c>
      <c r="B187" t="n">
        <v>4.02</v>
      </c>
      <c r="C187" t="n">
        <v>0.07210569889543569</v>
      </c>
      <c r="D187" t="n">
        <v>0</v>
      </c>
      <c r="E187" t="n">
        <v>0</v>
      </c>
    </row>
    <row r="188">
      <c r="A188" t="n">
        <v>187</v>
      </c>
      <c r="B188" t="n">
        <v>1.73</v>
      </c>
      <c r="C188" t="n">
        <v>0.08799806122087858</v>
      </c>
      <c r="D188" t="n">
        <v>0</v>
      </c>
      <c r="E188" t="n">
        <v>0</v>
      </c>
    </row>
    <row r="189">
      <c r="A189" t="n">
        <v>188</v>
      </c>
      <c r="B189" t="n">
        <v>2.73</v>
      </c>
      <c r="C189" t="n">
        <v>0.02550740479636123</v>
      </c>
      <c r="D189" t="n">
        <v>0</v>
      </c>
      <c r="E189" t="n">
        <v>0</v>
      </c>
    </row>
    <row r="190">
      <c r="A190" t="n">
        <v>189</v>
      </c>
      <c r="B190" t="n">
        <v>2.43</v>
      </c>
      <c r="C190" t="n">
        <v>0.04109786636451898</v>
      </c>
      <c r="D190" t="n">
        <v>0</v>
      </c>
      <c r="E190" t="n">
        <v>0</v>
      </c>
    </row>
    <row r="191">
      <c r="A191" t="n">
        <v>190</v>
      </c>
      <c r="B191" t="n">
        <v>3.26</v>
      </c>
      <c r="C191" t="n">
        <v>0.03342403412757387</v>
      </c>
      <c r="D191" t="n">
        <v>0.06</v>
      </c>
      <c r="E191" t="n">
        <v>0</v>
      </c>
    </row>
    <row r="192">
      <c r="A192" t="n">
        <v>191</v>
      </c>
      <c r="B192" t="n">
        <v>4.54</v>
      </c>
      <c r="C192" t="n">
        <v>0.04959152408067608</v>
      </c>
      <c r="D192" t="n">
        <v>0</v>
      </c>
      <c r="E192" t="n">
        <v>0.04</v>
      </c>
    </row>
    <row r="193">
      <c r="A193" t="n">
        <v>192</v>
      </c>
      <c r="B193" t="n">
        <v>3.3</v>
      </c>
      <c r="C193" t="n">
        <v>0.08376026109052975</v>
      </c>
      <c r="D193" t="n">
        <v>0</v>
      </c>
      <c r="E193" t="n">
        <v>0</v>
      </c>
    </row>
    <row r="194">
      <c r="A194" t="n">
        <v>193</v>
      </c>
      <c r="B194" t="n">
        <v>0.73</v>
      </c>
      <c r="C194" t="n">
        <v>0.09787592018217556</v>
      </c>
      <c r="D194" t="n">
        <v>0</v>
      </c>
      <c r="E194" t="n">
        <v>0.04</v>
      </c>
    </row>
    <row r="195">
      <c r="A195" t="n">
        <v>194</v>
      </c>
      <c r="B195" t="n">
        <v>0.95</v>
      </c>
      <c r="C195" t="n">
        <v>0.04383344139493553</v>
      </c>
      <c r="D195" t="n">
        <v>0</v>
      </c>
      <c r="E195" t="n">
        <v>0.04</v>
      </c>
    </row>
    <row r="196">
      <c r="A196" t="n">
        <v>195</v>
      </c>
      <c r="B196" t="n">
        <v>5.95</v>
      </c>
      <c r="C196" t="n">
        <v>0.08077060077237762</v>
      </c>
      <c r="D196" t="n">
        <v>0</v>
      </c>
      <c r="E196" t="n">
        <v>0.04</v>
      </c>
    </row>
    <row r="197">
      <c r="A197" t="n">
        <v>196</v>
      </c>
      <c r="B197" t="n">
        <v>4.99</v>
      </c>
      <c r="C197" t="n">
        <v>0.0398778394874152</v>
      </c>
      <c r="D197" t="n">
        <v>0</v>
      </c>
      <c r="E197" t="n">
        <v>0</v>
      </c>
    </row>
    <row r="198">
      <c r="A198" t="n">
        <v>197</v>
      </c>
      <c r="B198" t="n">
        <v>1.64</v>
      </c>
      <c r="C198" t="n">
        <v>0.06919007202670051</v>
      </c>
      <c r="D198" t="n">
        <v>0</v>
      </c>
      <c r="E198" t="n">
        <v>0.04</v>
      </c>
    </row>
    <row r="199">
      <c r="A199" t="n">
        <v>198</v>
      </c>
      <c r="B199" t="n">
        <v>3.31</v>
      </c>
      <c r="C199" t="n">
        <v>0.03111771939250074</v>
      </c>
      <c r="D199" t="n">
        <v>0</v>
      </c>
      <c r="E199" t="n">
        <v>0</v>
      </c>
    </row>
    <row r="200">
      <c r="A200" t="n">
        <v>199</v>
      </c>
      <c r="B200" t="n">
        <v>5.28</v>
      </c>
      <c r="C200" t="n">
        <v>0.07295775570983767</v>
      </c>
      <c r="D200" t="n">
        <v>0.06</v>
      </c>
      <c r="E200" t="n">
        <v>0</v>
      </c>
    </row>
    <row r="201">
      <c r="A201" t="n">
        <v>200</v>
      </c>
      <c r="B201" t="n">
        <v>2.49</v>
      </c>
      <c r="C201" t="n">
        <v>0.08524601579018207</v>
      </c>
      <c r="D201" t="n">
        <v>0</v>
      </c>
      <c r="E201" t="n">
        <v>0</v>
      </c>
    </row>
    <row r="202">
      <c r="A202" t="n">
        <v>201</v>
      </c>
      <c r="B202" t="n">
        <v>1.7</v>
      </c>
      <c r="C202" t="n">
        <v>0.02414324258645312</v>
      </c>
      <c r="D202" t="n">
        <v>0</v>
      </c>
      <c r="E202" t="n">
        <v>0</v>
      </c>
    </row>
    <row r="203">
      <c r="A203" t="n">
        <v>202</v>
      </c>
      <c r="B203" t="n">
        <v>2.94</v>
      </c>
      <c r="C203" t="n">
        <v>0.008725706397608293</v>
      </c>
      <c r="D203" t="n">
        <v>0</v>
      </c>
      <c r="E203" t="n">
        <v>0</v>
      </c>
    </row>
    <row r="204">
      <c r="A204" t="n">
        <v>203</v>
      </c>
      <c r="B204" t="n">
        <v>3.31</v>
      </c>
      <c r="C204" t="n">
        <v>0.04327236837280368</v>
      </c>
      <c r="D204" t="n">
        <v>0</v>
      </c>
      <c r="E204" t="n">
        <v>0</v>
      </c>
    </row>
    <row r="205">
      <c r="A205" t="n">
        <v>204</v>
      </c>
      <c r="B205" t="n">
        <v>1.13</v>
      </c>
      <c r="C205" t="n">
        <v>0.05551657624867663</v>
      </c>
      <c r="D205" t="n">
        <v>0</v>
      </c>
      <c r="E205" t="n">
        <v>0.04</v>
      </c>
    </row>
    <row r="206">
      <c r="A206" t="n">
        <v>205</v>
      </c>
      <c r="B206" t="n">
        <v>4.65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4.87</v>
      </c>
      <c r="C207" t="n">
        <v>0.03131338165962232</v>
      </c>
      <c r="D207" t="n">
        <v>0</v>
      </c>
      <c r="E207" t="n">
        <v>0</v>
      </c>
    </row>
    <row r="208">
      <c r="A208" t="n">
        <v>207</v>
      </c>
      <c r="B208" t="n">
        <v>5.88</v>
      </c>
      <c r="C208" t="n">
        <v>0.03964871180379288</v>
      </c>
      <c r="D208" t="n">
        <v>0.06</v>
      </c>
      <c r="E208" t="n">
        <v>0</v>
      </c>
    </row>
    <row r="209">
      <c r="A209" t="n">
        <v>208</v>
      </c>
      <c r="B209" t="n">
        <v>3.54</v>
      </c>
      <c r="C209" t="n">
        <v>0.07374926805099101</v>
      </c>
      <c r="D209" t="n">
        <v>0</v>
      </c>
      <c r="E209" t="n">
        <v>0</v>
      </c>
    </row>
    <row r="210">
      <c r="A210" t="n">
        <v>209</v>
      </c>
      <c r="B210" t="n">
        <v>3.16</v>
      </c>
      <c r="C210" t="n">
        <v>0.03675472251512088</v>
      </c>
      <c r="D210" t="n">
        <v>0</v>
      </c>
      <c r="E210" t="n">
        <v>0</v>
      </c>
    </row>
    <row r="211">
      <c r="A211" t="n">
        <v>210</v>
      </c>
      <c r="B211" t="n">
        <v>3.93</v>
      </c>
      <c r="C211" t="n">
        <v>0.009462807853831839</v>
      </c>
      <c r="D211" t="n">
        <v>0</v>
      </c>
      <c r="E211" t="n">
        <v>0</v>
      </c>
    </row>
    <row r="212">
      <c r="A212" t="n">
        <v>211</v>
      </c>
      <c r="B212" t="n">
        <v>2.03</v>
      </c>
      <c r="C212" t="n">
        <v>0.05510593802088467</v>
      </c>
      <c r="D212" t="n">
        <v>0</v>
      </c>
      <c r="E212" t="n">
        <v>0</v>
      </c>
    </row>
    <row r="213">
      <c r="A213" t="n">
        <v>212</v>
      </c>
      <c r="B213" t="n">
        <v>5.11</v>
      </c>
      <c r="C213" t="n">
        <v>0.07232105763855154</v>
      </c>
      <c r="D213" t="n">
        <v>0</v>
      </c>
      <c r="E213" t="n">
        <v>0</v>
      </c>
    </row>
    <row r="214">
      <c r="A214" t="n">
        <v>213</v>
      </c>
      <c r="B214" t="n">
        <v>4.31</v>
      </c>
      <c r="C214" t="n">
        <v>0.06113138922494663</v>
      </c>
      <c r="D214" t="n">
        <v>0</v>
      </c>
      <c r="E214" t="n">
        <v>0.04</v>
      </c>
    </row>
    <row r="215">
      <c r="A215" t="n">
        <v>214</v>
      </c>
      <c r="B215" t="n">
        <v>0.41</v>
      </c>
      <c r="C215" t="n">
        <v>0.05004789700862958</v>
      </c>
      <c r="D215" t="n">
        <v>0</v>
      </c>
      <c r="E215" t="n">
        <v>0</v>
      </c>
    </row>
    <row r="216">
      <c r="A216" t="n">
        <v>215</v>
      </c>
      <c r="B216" t="n">
        <v>4.48</v>
      </c>
      <c r="C216" t="n">
        <v>0.03501184166899646</v>
      </c>
      <c r="D216" t="n">
        <v>0.06</v>
      </c>
      <c r="E216" t="n">
        <v>0</v>
      </c>
    </row>
    <row r="217">
      <c r="A217" t="n">
        <v>216</v>
      </c>
      <c r="B217" t="n">
        <v>5.24</v>
      </c>
      <c r="C217" t="n">
        <v>0.0357505240224148</v>
      </c>
      <c r="D217" t="n">
        <v>0</v>
      </c>
      <c r="E217" t="n">
        <v>0</v>
      </c>
    </row>
    <row r="218">
      <c r="A218" t="n">
        <v>217</v>
      </c>
      <c r="B218" t="n">
        <v>0.28</v>
      </c>
      <c r="C218" t="n">
        <v>0.06483774502481647</v>
      </c>
      <c r="D218" t="n">
        <v>0.06</v>
      </c>
      <c r="E218" t="n">
        <v>0</v>
      </c>
    </row>
    <row r="219">
      <c r="A219" t="n">
        <v>218</v>
      </c>
      <c r="B219" t="n">
        <v>0.87</v>
      </c>
      <c r="C219" t="n">
        <v>0.04234606027982181</v>
      </c>
      <c r="D219" t="n">
        <v>0</v>
      </c>
      <c r="E219" t="n">
        <v>0</v>
      </c>
    </row>
    <row r="220">
      <c r="A220" t="n">
        <v>219</v>
      </c>
      <c r="B220" t="n">
        <v>1.02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1.44</v>
      </c>
      <c r="C221" t="n">
        <v>0.08075151059744526</v>
      </c>
      <c r="D221" t="n">
        <v>0.06</v>
      </c>
      <c r="E221" t="n">
        <v>0</v>
      </c>
    </row>
    <row r="222">
      <c r="A222" t="n">
        <v>221</v>
      </c>
      <c r="B222" t="n">
        <v>1.52</v>
      </c>
      <c r="C222" t="n">
        <v>0.02026538202760295</v>
      </c>
      <c r="D222" t="n">
        <v>0.06</v>
      </c>
      <c r="E222" t="n">
        <v>0</v>
      </c>
    </row>
    <row r="223">
      <c r="A223" t="n">
        <v>222</v>
      </c>
      <c r="B223" t="n">
        <v>5.41</v>
      </c>
      <c r="C223" t="n">
        <v>0.05383085204392991</v>
      </c>
      <c r="D223" t="n">
        <v>0.06</v>
      </c>
      <c r="E223" t="n">
        <v>0</v>
      </c>
    </row>
    <row r="224">
      <c r="A224" t="n">
        <v>223</v>
      </c>
      <c r="B224" t="n">
        <v>2.07</v>
      </c>
      <c r="C224" t="n">
        <v>0.04663908709023137</v>
      </c>
      <c r="D224" t="n">
        <v>0</v>
      </c>
      <c r="E224" t="n">
        <v>0</v>
      </c>
    </row>
    <row r="225">
      <c r="A225" t="n">
        <v>224</v>
      </c>
      <c r="B225" t="n">
        <v>1.5</v>
      </c>
      <c r="C225" t="n">
        <v>0.07049494943600652</v>
      </c>
      <c r="D225" t="n">
        <v>0.06</v>
      </c>
      <c r="E225" t="n">
        <v>0</v>
      </c>
    </row>
    <row r="226">
      <c r="A226" t="n">
        <v>225</v>
      </c>
      <c r="B226" t="n">
        <v>2.9</v>
      </c>
      <c r="C226" t="n">
        <v>0.0185404034408578</v>
      </c>
      <c r="D226" t="n">
        <v>0</v>
      </c>
      <c r="E226" t="n">
        <v>0</v>
      </c>
    </row>
    <row r="227">
      <c r="A227" t="n">
        <v>226</v>
      </c>
      <c r="B227" t="n">
        <v>5.96</v>
      </c>
      <c r="C227" t="n">
        <v>0.02385497902360589</v>
      </c>
      <c r="D227" t="n">
        <v>0</v>
      </c>
      <c r="E227" t="n">
        <v>0</v>
      </c>
    </row>
    <row r="228">
      <c r="A228" t="n">
        <v>227</v>
      </c>
      <c r="B228" t="n">
        <v>1.65</v>
      </c>
      <c r="C228" t="n">
        <v>0.04498057120996748</v>
      </c>
      <c r="D228" t="n">
        <v>0</v>
      </c>
      <c r="E228" t="n">
        <v>0</v>
      </c>
    </row>
    <row r="229">
      <c r="A229" t="n">
        <v>228</v>
      </c>
      <c r="B229" t="n">
        <v>0.29</v>
      </c>
      <c r="C229" t="n">
        <v>0.04809895648368688</v>
      </c>
      <c r="D229" t="n">
        <v>0</v>
      </c>
      <c r="E229" t="n">
        <v>0</v>
      </c>
    </row>
    <row r="230">
      <c r="A230" t="n">
        <v>229</v>
      </c>
      <c r="B230" t="n">
        <v>1.72</v>
      </c>
      <c r="C230" t="n">
        <v>0.06512669881077091</v>
      </c>
      <c r="D230" t="n">
        <v>0</v>
      </c>
      <c r="E230" t="n">
        <v>0</v>
      </c>
    </row>
    <row r="231">
      <c r="A231" t="n">
        <v>230</v>
      </c>
      <c r="B231" t="n">
        <v>3.82</v>
      </c>
      <c r="C231" t="n">
        <v>0.04923466420147472</v>
      </c>
      <c r="D231" t="n">
        <v>0</v>
      </c>
      <c r="E231" t="n">
        <v>0</v>
      </c>
    </row>
    <row r="232">
      <c r="A232" t="n">
        <v>231</v>
      </c>
      <c r="B232" t="n">
        <v>3.96</v>
      </c>
      <c r="C232" t="n">
        <v>0.06962939735375016</v>
      </c>
      <c r="D232" t="n">
        <v>0</v>
      </c>
      <c r="E232" t="n">
        <v>0</v>
      </c>
    </row>
    <row r="233">
      <c r="A233" t="n">
        <v>232</v>
      </c>
      <c r="B233" t="n">
        <v>3.88</v>
      </c>
      <c r="C233" t="n">
        <v>0.02503367849669401</v>
      </c>
      <c r="D233" t="n">
        <v>0</v>
      </c>
      <c r="E233" t="n">
        <v>0</v>
      </c>
    </row>
    <row r="234">
      <c r="A234" t="n">
        <v>233</v>
      </c>
      <c r="B234" t="n">
        <v>4.39</v>
      </c>
      <c r="C234" t="n">
        <v>0</v>
      </c>
      <c r="D234" t="n">
        <v>0.06</v>
      </c>
      <c r="E234" t="n">
        <v>0</v>
      </c>
    </row>
    <row r="235">
      <c r="A235" t="n">
        <v>234</v>
      </c>
      <c r="B235" t="n">
        <v>1.05</v>
      </c>
      <c r="C235" t="n">
        <v>0.006512812528349655</v>
      </c>
      <c r="D235" t="n">
        <v>0</v>
      </c>
      <c r="E235" t="n">
        <v>0</v>
      </c>
    </row>
    <row r="236">
      <c r="A236" t="n">
        <v>235</v>
      </c>
      <c r="B236" t="n">
        <v>3.19</v>
      </c>
      <c r="C236" t="n">
        <v>0.08087634064848209</v>
      </c>
      <c r="D236" t="n">
        <v>0</v>
      </c>
      <c r="E236" t="n">
        <v>0</v>
      </c>
    </row>
    <row r="237">
      <c r="A237" t="n">
        <v>236</v>
      </c>
      <c r="B237" t="n">
        <v>4.95</v>
      </c>
      <c r="C237" t="n">
        <v>0.03863450636692253</v>
      </c>
      <c r="D237" t="n">
        <v>0</v>
      </c>
      <c r="E237" t="n">
        <v>0</v>
      </c>
    </row>
    <row r="238">
      <c r="A238" t="n">
        <v>237</v>
      </c>
      <c r="B238" t="n">
        <v>2.03</v>
      </c>
      <c r="C238" t="n">
        <v>0.004015450078123081</v>
      </c>
      <c r="D238" t="n">
        <v>0</v>
      </c>
      <c r="E238" t="n">
        <v>0.04</v>
      </c>
    </row>
    <row r="239">
      <c r="A239" t="n">
        <v>238</v>
      </c>
      <c r="B239" t="n">
        <v>5.8</v>
      </c>
      <c r="C239" t="n">
        <v>0.07242853704647542</v>
      </c>
      <c r="D239" t="n">
        <v>0</v>
      </c>
      <c r="E239" t="n">
        <v>0</v>
      </c>
    </row>
    <row r="240">
      <c r="A240" t="n">
        <v>239</v>
      </c>
      <c r="B240" t="n">
        <v>5.8</v>
      </c>
      <c r="C240" t="n">
        <v>0.0657436811095871</v>
      </c>
      <c r="D240" t="n">
        <v>0</v>
      </c>
      <c r="E240" t="n">
        <v>0</v>
      </c>
    </row>
    <row r="241">
      <c r="A241" t="n">
        <v>240</v>
      </c>
      <c r="B241" t="n">
        <v>0.08</v>
      </c>
      <c r="C241" t="n">
        <v>0.0427540589254913</v>
      </c>
      <c r="D241" t="n">
        <v>0</v>
      </c>
      <c r="E241" t="n">
        <v>0</v>
      </c>
    </row>
    <row r="242">
      <c r="A242" t="n">
        <v>241</v>
      </c>
      <c r="B242" t="n">
        <v>4.03</v>
      </c>
      <c r="C242" t="n">
        <v>0.04640719922286393</v>
      </c>
      <c r="D242" t="n">
        <v>0</v>
      </c>
      <c r="E242" t="n">
        <v>0</v>
      </c>
    </row>
    <row r="243">
      <c r="A243" t="n">
        <v>242</v>
      </c>
      <c r="B243" t="n">
        <v>0.65</v>
      </c>
      <c r="C243" t="n">
        <v>0.01821045790770807</v>
      </c>
      <c r="D243" t="n">
        <v>0.06</v>
      </c>
      <c r="E243" t="n">
        <v>0</v>
      </c>
    </row>
    <row r="244">
      <c r="A244" t="n">
        <v>243</v>
      </c>
      <c r="B244" t="n">
        <v>3.37</v>
      </c>
      <c r="C244" t="n">
        <v>0.08121550698996585</v>
      </c>
      <c r="D244" t="n">
        <v>0.06</v>
      </c>
      <c r="E244" t="n">
        <v>0.04</v>
      </c>
    </row>
    <row r="245">
      <c r="A245" t="n">
        <v>244</v>
      </c>
      <c r="B245" t="n">
        <v>4.94</v>
      </c>
      <c r="C245" t="n">
        <v>0.08010980825528741</v>
      </c>
      <c r="D245" t="n">
        <v>0</v>
      </c>
      <c r="E245" t="n">
        <v>0</v>
      </c>
    </row>
    <row r="246">
      <c r="A246" t="n">
        <v>245</v>
      </c>
      <c r="B246" t="n">
        <v>0.84</v>
      </c>
      <c r="C246" t="n">
        <v>0.08828913631146693</v>
      </c>
      <c r="D246" t="n">
        <v>0</v>
      </c>
      <c r="E246" t="n">
        <v>0</v>
      </c>
    </row>
    <row r="247">
      <c r="A247" t="n">
        <v>246</v>
      </c>
      <c r="B247" t="n">
        <v>0.58</v>
      </c>
      <c r="C247" t="n">
        <v>0.07636242945574639</v>
      </c>
      <c r="D247" t="n">
        <v>0.06</v>
      </c>
      <c r="E247" t="n">
        <v>0</v>
      </c>
    </row>
    <row r="248">
      <c r="A248" t="n">
        <v>247</v>
      </c>
      <c r="B248" t="n">
        <v>4.02</v>
      </c>
      <c r="C248" t="n">
        <v>0.05959169954287145</v>
      </c>
      <c r="D248" t="n">
        <v>0</v>
      </c>
      <c r="E248" t="n">
        <v>0</v>
      </c>
    </row>
    <row r="249">
      <c r="A249" t="n">
        <v>248</v>
      </c>
      <c r="B249" t="n">
        <v>4.45</v>
      </c>
      <c r="C249" t="n">
        <v>0.009483212096094179</v>
      </c>
      <c r="D249" t="n">
        <v>0</v>
      </c>
      <c r="E249" t="n">
        <v>0.04</v>
      </c>
    </row>
    <row r="250">
      <c r="A250" t="n">
        <v>249</v>
      </c>
      <c r="B250" t="n">
        <v>2.94</v>
      </c>
      <c r="C250" t="n">
        <v>0.03302817083388014</v>
      </c>
      <c r="D250" t="n">
        <v>0</v>
      </c>
      <c r="E250" t="n">
        <v>0.04</v>
      </c>
    </row>
    <row r="251">
      <c r="A251" t="n">
        <v>250</v>
      </c>
      <c r="B251" t="n">
        <v>2.22</v>
      </c>
      <c r="C251" t="n">
        <v>0.03572808013317064</v>
      </c>
      <c r="D251" t="n">
        <v>0</v>
      </c>
      <c r="E251" t="n">
        <v>0</v>
      </c>
    </row>
    <row r="252">
      <c r="A252" t="n">
        <v>251</v>
      </c>
      <c r="B252" t="n">
        <v>0.6</v>
      </c>
      <c r="C252" t="n">
        <v>0.05450928083887531</v>
      </c>
      <c r="D252" t="n">
        <v>0</v>
      </c>
      <c r="E252" t="n">
        <v>0</v>
      </c>
    </row>
    <row r="253">
      <c r="A253" t="n">
        <v>252</v>
      </c>
      <c r="B253" t="n">
        <v>2.15</v>
      </c>
      <c r="C253" t="n">
        <v>0.03225503899921198</v>
      </c>
      <c r="D253" t="n">
        <v>0.06</v>
      </c>
      <c r="E253" t="n">
        <v>0.04</v>
      </c>
    </row>
    <row r="254">
      <c r="A254" t="n">
        <v>253</v>
      </c>
      <c r="B254" t="n">
        <v>5.09</v>
      </c>
      <c r="C254" t="n">
        <v>0.03658745313826803</v>
      </c>
      <c r="D254" t="n">
        <v>0</v>
      </c>
      <c r="E254" t="n">
        <v>0</v>
      </c>
    </row>
    <row r="255">
      <c r="A255" t="n">
        <v>254</v>
      </c>
      <c r="B255" t="n">
        <v>3.58</v>
      </c>
      <c r="C255" t="n">
        <v>0</v>
      </c>
      <c r="D255" t="n">
        <v>0</v>
      </c>
      <c r="E255" t="n">
        <v>0.04</v>
      </c>
    </row>
    <row r="256">
      <c r="A256" t="n">
        <v>255</v>
      </c>
      <c r="B256" t="n">
        <v>0.76</v>
      </c>
      <c r="C256" t="n">
        <v>0.04487759381156308</v>
      </c>
      <c r="D256" t="n">
        <v>0.06</v>
      </c>
      <c r="E256" t="n">
        <v>0</v>
      </c>
    </row>
    <row r="257">
      <c r="A257" t="n">
        <v>256</v>
      </c>
      <c r="B257" t="n">
        <v>1.24</v>
      </c>
      <c r="C257" t="n">
        <v>0.01642180331784827</v>
      </c>
      <c r="D257" t="n">
        <v>0</v>
      </c>
      <c r="E257" t="n">
        <v>0</v>
      </c>
    </row>
    <row r="258">
      <c r="A258" t="n">
        <v>257</v>
      </c>
      <c r="B258" t="n">
        <v>0.89</v>
      </c>
      <c r="C258" t="n">
        <v>0.07853749975310259</v>
      </c>
      <c r="D258" t="n">
        <v>0.06</v>
      </c>
      <c r="E258" t="n">
        <v>0</v>
      </c>
    </row>
    <row r="259">
      <c r="A259" t="n">
        <v>258</v>
      </c>
      <c r="B259" t="n">
        <v>0.87</v>
      </c>
      <c r="C259" t="n">
        <v>0.006207150236140546</v>
      </c>
      <c r="D259" t="n">
        <v>0.06</v>
      </c>
      <c r="E259" t="n">
        <v>0.04</v>
      </c>
    </row>
    <row r="260">
      <c r="A260" t="n">
        <v>259</v>
      </c>
      <c r="B260" t="n">
        <v>3.97</v>
      </c>
      <c r="C260" t="n">
        <v>0</v>
      </c>
      <c r="D260" t="n">
        <v>0.06</v>
      </c>
      <c r="E260" t="n">
        <v>0</v>
      </c>
    </row>
    <row r="261">
      <c r="A261" t="n">
        <v>260</v>
      </c>
      <c r="B261" t="n">
        <v>1.43</v>
      </c>
      <c r="C261" t="n">
        <v>0.0262846522370055</v>
      </c>
      <c r="D261" t="n">
        <v>0.06</v>
      </c>
      <c r="E261" t="n">
        <v>0.04</v>
      </c>
    </row>
    <row r="262">
      <c r="A262" t="n">
        <v>261</v>
      </c>
      <c r="B262" t="n">
        <v>4.45</v>
      </c>
      <c r="C262" t="n">
        <v>0.04196300143075917</v>
      </c>
      <c r="D262" t="n">
        <v>0</v>
      </c>
      <c r="E262" t="n">
        <v>0</v>
      </c>
    </row>
    <row r="263">
      <c r="A263" t="n">
        <v>262</v>
      </c>
      <c r="B263" t="n">
        <v>4.67</v>
      </c>
      <c r="C263" t="n">
        <v>0.04099566192063137</v>
      </c>
      <c r="D263" t="n">
        <v>0.06</v>
      </c>
      <c r="E263" t="n">
        <v>0</v>
      </c>
    </row>
    <row r="264">
      <c r="A264" t="n">
        <v>263</v>
      </c>
      <c r="B264" t="n">
        <v>5.67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3.13</v>
      </c>
      <c r="C265" t="n">
        <v>0.03683900677731118</v>
      </c>
      <c r="D265" t="n">
        <v>0</v>
      </c>
      <c r="E265" t="n">
        <v>0.04</v>
      </c>
    </row>
    <row r="266">
      <c r="A266" t="n">
        <v>265</v>
      </c>
      <c r="B266" t="n">
        <v>2.87</v>
      </c>
      <c r="C266" t="n">
        <v>0.03252510264299303</v>
      </c>
      <c r="D266" t="n">
        <v>0</v>
      </c>
      <c r="E266" t="n">
        <v>0</v>
      </c>
    </row>
    <row r="267">
      <c r="A267" t="n">
        <v>266</v>
      </c>
      <c r="B267" t="n">
        <v>5.46</v>
      </c>
      <c r="C267" t="n">
        <v>0</v>
      </c>
      <c r="D267" t="n">
        <v>0.06</v>
      </c>
      <c r="E267" t="n">
        <v>0</v>
      </c>
    </row>
    <row r="268">
      <c r="A268" t="n">
        <v>267</v>
      </c>
      <c r="B268" t="n">
        <v>0.39</v>
      </c>
      <c r="C268" t="n">
        <v>0.02206863469726226</v>
      </c>
      <c r="D268" t="n">
        <v>0</v>
      </c>
      <c r="E268" t="n">
        <v>0</v>
      </c>
    </row>
    <row r="269">
      <c r="A269" t="n">
        <v>268</v>
      </c>
      <c r="B269" t="n">
        <v>1.95</v>
      </c>
      <c r="C269" t="n">
        <v>0.1165270259782737</v>
      </c>
      <c r="D269" t="n">
        <v>0</v>
      </c>
      <c r="E269" t="n">
        <v>0</v>
      </c>
    </row>
    <row r="270">
      <c r="A270" t="n">
        <v>269</v>
      </c>
      <c r="B270" t="n">
        <v>3.63</v>
      </c>
      <c r="C270" t="n">
        <v>0.001412594339965309</v>
      </c>
      <c r="D270" t="n">
        <v>0</v>
      </c>
      <c r="E270" t="n">
        <v>0</v>
      </c>
    </row>
    <row r="271">
      <c r="A271" t="n">
        <v>270</v>
      </c>
      <c r="B271" t="n">
        <v>3.91</v>
      </c>
      <c r="C271" t="n">
        <v>0.06206305359224464</v>
      </c>
      <c r="D271" t="n">
        <v>0</v>
      </c>
      <c r="E271" t="n">
        <v>0.04</v>
      </c>
    </row>
    <row r="272">
      <c r="A272" t="n">
        <v>271</v>
      </c>
      <c r="B272" t="n">
        <v>2.71</v>
      </c>
      <c r="C272" t="n">
        <v>0.01768548775342451</v>
      </c>
      <c r="D272" t="n">
        <v>0</v>
      </c>
      <c r="E272" t="n">
        <v>0</v>
      </c>
    </row>
    <row r="273">
      <c r="A273" t="n">
        <v>272</v>
      </c>
      <c r="B273" t="n">
        <v>2.5</v>
      </c>
      <c r="C273" t="n">
        <v>0.0006978576442375622</v>
      </c>
      <c r="D273" t="n">
        <v>0</v>
      </c>
      <c r="E273" t="n">
        <v>0</v>
      </c>
    </row>
    <row r="274">
      <c r="A274" t="n">
        <v>273</v>
      </c>
      <c r="B274" t="n">
        <v>2.25</v>
      </c>
      <c r="C274" t="n">
        <v>0.009244573686392955</v>
      </c>
      <c r="D274" t="n">
        <v>0</v>
      </c>
      <c r="E274" t="n">
        <v>0.04</v>
      </c>
    </row>
    <row r="275">
      <c r="A275" t="n">
        <v>274</v>
      </c>
      <c r="B275" t="n">
        <v>4.99</v>
      </c>
      <c r="C275" t="n">
        <v>0.0003662963377419198</v>
      </c>
      <c r="D275" t="n">
        <v>0.06</v>
      </c>
      <c r="E275" t="n">
        <v>0</v>
      </c>
    </row>
    <row r="276">
      <c r="A276" t="n">
        <v>275</v>
      </c>
      <c r="B276" t="n">
        <v>4.87</v>
      </c>
      <c r="C276" t="n">
        <v>0.04425321972727665</v>
      </c>
      <c r="D276" t="n">
        <v>0</v>
      </c>
      <c r="E276" t="n">
        <v>0</v>
      </c>
    </row>
    <row r="277">
      <c r="A277" t="n">
        <v>276</v>
      </c>
      <c r="B277" t="n">
        <v>1.98</v>
      </c>
      <c r="C277" t="n">
        <v>0.005082854263911953</v>
      </c>
      <c r="D277" t="n">
        <v>0</v>
      </c>
      <c r="E277" t="n">
        <v>0</v>
      </c>
    </row>
    <row r="278">
      <c r="A278" t="n">
        <v>277</v>
      </c>
      <c r="B278" t="n">
        <v>4.5</v>
      </c>
      <c r="C278" t="n">
        <v>0.07352253579781927</v>
      </c>
      <c r="D278" t="n">
        <v>0</v>
      </c>
      <c r="E278" t="n">
        <v>0</v>
      </c>
    </row>
    <row r="279">
      <c r="A279" t="n">
        <v>278</v>
      </c>
      <c r="B279" t="n">
        <v>3.6</v>
      </c>
      <c r="C279" t="n">
        <v>0.02857360314408779</v>
      </c>
      <c r="D279" t="n">
        <v>0</v>
      </c>
      <c r="E279" t="n">
        <v>0.04</v>
      </c>
    </row>
    <row r="280">
      <c r="A280" t="n">
        <v>279</v>
      </c>
      <c r="B280" t="n">
        <v>3.94</v>
      </c>
      <c r="C280" t="n">
        <v>0.01726194208694592</v>
      </c>
      <c r="D280" t="n">
        <v>0.06</v>
      </c>
      <c r="E280" t="n">
        <v>0</v>
      </c>
    </row>
    <row r="281">
      <c r="A281" t="n">
        <v>280</v>
      </c>
      <c r="B281" t="n">
        <v>2.21</v>
      </c>
      <c r="C281" t="n">
        <v>0.06144127675762139</v>
      </c>
      <c r="D281" t="n">
        <v>0</v>
      </c>
      <c r="E281" t="n">
        <v>0</v>
      </c>
    </row>
    <row r="282">
      <c r="A282" t="n">
        <v>281</v>
      </c>
      <c r="B282" t="n">
        <v>5.07</v>
      </c>
      <c r="C282" t="n">
        <v>0.09856793857562164</v>
      </c>
      <c r="D282" t="n">
        <v>0</v>
      </c>
      <c r="E282" t="n">
        <v>0</v>
      </c>
    </row>
    <row r="283">
      <c r="A283" t="n">
        <v>282</v>
      </c>
      <c r="B283" t="n">
        <v>3.86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1.6</v>
      </c>
      <c r="C284" t="n">
        <v>0.0125865820957285</v>
      </c>
      <c r="D284" t="n">
        <v>0</v>
      </c>
      <c r="E284" t="n">
        <v>0</v>
      </c>
    </row>
    <row r="285">
      <c r="A285" t="n">
        <v>284</v>
      </c>
      <c r="B285" t="n">
        <v>2.04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2.4</v>
      </c>
      <c r="C286" t="n">
        <v>0.007841955340115093</v>
      </c>
      <c r="D286" t="n">
        <v>0</v>
      </c>
      <c r="E286" t="n">
        <v>0.04</v>
      </c>
    </row>
    <row r="287">
      <c r="A287" t="n">
        <v>286</v>
      </c>
      <c r="B287" t="n">
        <v>4.48</v>
      </c>
      <c r="C287" t="n">
        <v>0.01633789114378294</v>
      </c>
      <c r="D287" t="n">
        <v>0</v>
      </c>
      <c r="E287" t="n">
        <v>0</v>
      </c>
    </row>
    <row r="288">
      <c r="A288" t="n">
        <v>287</v>
      </c>
      <c r="B288" t="n">
        <v>2.22</v>
      </c>
      <c r="C288" t="n">
        <v>0.05762767588369289</v>
      </c>
      <c r="D288" t="n">
        <v>0</v>
      </c>
      <c r="E288" t="n">
        <v>0</v>
      </c>
    </row>
    <row r="289">
      <c r="A289" t="n">
        <v>288</v>
      </c>
      <c r="B289" t="n">
        <v>0.51</v>
      </c>
      <c r="C289" t="n">
        <v>0</v>
      </c>
      <c r="D289" t="n">
        <v>0.06</v>
      </c>
      <c r="E289" t="n">
        <v>0</v>
      </c>
    </row>
    <row r="290">
      <c r="A290" t="n">
        <v>289</v>
      </c>
      <c r="B290" t="n">
        <v>4.04</v>
      </c>
      <c r="C290" t="n">
        <v>0.0218060350897027</v>
      </c>
      <c r="D290" t="n">
        <v>0</v>
      </c>
      <c r="E290" t="n">
        <v>0</v>
      </c>
    </row>
    <row r="291">
      <c r="A291" t="n">
        <v>290</v>
      </c>
      <c r="B291" t="n">
        <v>2.65</v>
      </c>
      <c r="C291" t="n">
        <v>0.02190210755468537</v>
      </c>
      <c r="D291" t="n">
        <v>0</v>
      </c>
      <c r="E291" t="n">
        <v>0.04</v>
      </c>
    </row>
    <row r="292">
      <c r="A292" t="n">
        <v>291</v>
      </c>
      <c r="B292" t="n">
        <v>2.58</v>
      </c>
      <c r="C292" t="n">
        <v>0.02280327574079431</v>
      </c>
      <c r="D292" t="n">
        <v>0</v>
      </c>
      <c r="E292" t="n">
        <v>0</v>
      </c>
    </row>
    <row r="293">
      <c r="A293" t="n">
        <v>292</v>
      </c>
      <c r="B293" t="n">
        <v>4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0.05</v>
      </c>
      <c r="C294" t="n">
        <v>0.02439032102922933</v>
      </c>
      <c r="D294" t="n">
        <v>0.06</v>
      </c>
      <c r="E294" t="n">
        <v>0.04</v>
      </c>
    </row>
    <row r="295">
      <c r="A295" t="n">
        <v>294</v>
      </c>
      <c r="B295" t="n">
        <v>1.53</v>
      </c>
      <c r="C295" t="n">
        <v>0.02664688471592633</v>
      </c>
      <c r="D295" t="n">
        <v>0.06</v>
      </c>
      <c r="E295" t="n">
        <v>0</v>
      </c>
    </row>
    <row r="296">
      <c r="A296" t="n">
        <v>295</v>
      </c>
      <c r="B296" t="n">
        <v>1.05</v>
      </c>
      <c r="C296" t="n">
        <v>0.03085191979421648</v>
      </c>
      <c r="D296" t="n">
        <v>0</v>
      </c>
      <c r="E296" t="n">
        <v>0</v>
      </c>
    </row>
    <row r="297">
      <c r="A297" t="n">
        <v>296</v>
      </c>
      <c r="B297" t="n">
        <v>5</v>
      </c>
      <c r="C297" t="n">
        <v>0.06591935907320737</v>
      </c>
      <c r="D297" t="n">
        <v>0.06</v>
      </c>
      <c r="E297" t="n">
        <v>0</v>
      </c>
    </row>
    <row r="298">
      <c r="A298" t="n">
        <v>297</v>
      </c>
      <c r="B298" t="n">
        <v>0.25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3.45</v>
      </c>
      <c r="C299" t="n">
        <v>0.04555108615610817</v>
      </c>
      <c r="D299" t="n">
        <v>0</v>
      </c>
      <c r="E299" t="n">
        <v>0</v>
      </c>
    </row>
    <row r="300">
      <c r="A300" t="n">
        <v>299</v>
      </c>
      <c r="B300" t="n">
        <v>0.6899999999999999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3.71</v>
      </c>
      <c r="C301" t="n">
        <v>0.06886605825786643</v>
      </c>
      <c r="D301" t="n">
        <v>0</v>
      </c>
      <c r="E301" t="n">
        <v>0.04</v>
      </c>
    </row>
    <row r="302">
      <c r="A302" t="n">
        <v>301</v>
      </c>
      <c r="B302" t="n">
        <v>5.07</v>
      </c>
      <c r="C302" t="n">
        <v>0.01912977702857017</v>
      </c>
      <c r="D302" t="n">
        <v>0</v>
      </c>
      <c r="E302" t="n">
        <v>0</v>
      </c>
    </row>
    <row r="303">
      <c r="A303" t="n">
        <v>302</v>
      </c>
      <c r="B303" t="n">
        <v>2.37</v>
      </c>
      <c r="C303" t="n">
        <v>0.02514783260181884</v>
      </c>
      <c r="D303" t="n">
        <v>0</v>
      </c>
      <c r="E303" t="n">
        <v>0</v>
      </c>
    </row>
    <row r="304">
      <c r="A304" t="n">
        <v>303</v>
      </c>
      <c r="B304" t="n">
        <v>1.01</v>
      </c>
      <c r="C304" t="n">
        <v>0.04078842167129819</v>
      </c>
      <c r="D304" t="n">
        <v>0.06</v>
      </c>
      <c r="E304" t="n">
        <v>0</v>
      </c>
    </row>
    <row r="305">
      <c r="A305" t="n">
        <v>304</v>
      </c>
      <c r="B305" t="n">
        <v>5.44</v>
      </c>
      <c r="C305" t="n">
        <v>0.02838976994945702</v>
      </c>
      <c r="D305" t="n">
        <v>0</v>
      </c>
      <c r="E305" t="n">
        <v>0</v>
      </c>
    </row>
    <row r="306">
      <c r="A306" t="n">
        <v>305</v>
      </c>
      <c r="B306" t="n">
        <v>4.89</v>
      </c>
      <c r="C306" t="n">
        <v>0.01844931457560361</v>
      </c>
      <c r="D306" t="n">
        <v>0.06</v>
      </c>
      <c r="E306" t="n">
        <v>0.04</v>
      </c>
    </row>
    <row r="307">
      <c r="A307" t="n">
        <v>306</v>
      </c>
      <c r="B307" t="n">
        <v>3.61</v>
      </c>
      <c r="C307" t="n">
        <v>0.0612098585005232</v>
      </c>
      <c r="D307" t="n">
        <v>0</v>
      </c>
      <c r="E307" t="n">
        <v>0.04</v>
      </c>
    </row>
    <row r="308">
      <c r="A308" t="n">
        <v>307</v>
      </c>
      <c r="B308" t="n">
        <v>4.64</v>
      </c>
      <c r="C308" t="n">
        <v>0.03955759102227736</v>
      </c>
      <c r="D308" t="n">
        <v>0</v>
      </c>
      <c r="E308" t="n">
        <v>0</v>
      </c>
    </row>
    <row r="309">
      <c r="A309" t="n">
        <v>308</v>
      </c>
      <c r="B309" t="n">
        <v>2.69</v>
      </c>
      <c r="C309" t="n">
        <v>0.08300747050186863</v>
      </c>
      <c r="D309" t="n">
        <v>0</v>
      </c>
      <c r="E309" t="n">
        <v>0</v>
      </c>
    </row>
    <row r="310">
      <c r="A310" t="n">
        <v>309</v>
      </c>
      <c r="B310" t="n">
        <v>3.75</v>
      </c>
      <c r="C310" t="n">
        <v>0.07298801318939817</v>
      </c>
      <c r="D310" t="n">
        <v>0</v>
      </c>
      <c r="E310" t="n">
        <v>0.04</v>
      </c>
    </row>
    <row r="311">
      <c r="A311" t="n">
        <v>310</v>
      </c>
      <c r="B311" t="n">
        <v>0.41</v>
      </c>
      <c r="C311" t="n">
        <v>0.03563880037129839</v>
      </c>
      <c r="D311" t="n">
        <v>0</v>
      </c>
      <c r="E311" t="n">
        <v>0</v>
      </c>
    </row>
    <row r="312">
      <c r="A312" t="n">
        <v>311</v>
      </c>
      <c r="B312" t="n">
        <v>0.34</v>
      </c>
      <c r="C312" t="n">
        <v>0.04055175642818058</v>
      </c>
      <c r="D312" t="n">
        <v>0</v>
      </c>
      <c r="E312" t="n">
        <v>0</v>
      </c>
    </row>
    <row r="313">
      <c r="A313" t="n">
        <v>312</v>
      </c>
      <c r="B313" t="n">
        <v>0.34</v>
      </c>
      <c r="C313" t="n">
        <v>0.06882674430821309</v>
      </c>
      <c r="D313" t="n">
        <v>0.06</v>
      </c>
      <c r="E313" t="n">
        <v>0</v>
      </c>
    </row>
    <row r="314">
      <c r="A314" t="n">
        <v>313</v>
      </c>
      <c r="B314" t="n">
        <v>5.13</v>
      </c>
      <c r="C314" t="n">
        <v>0.04877190523391649</v>
      </c>
      <c r="D314" t="n">
        <v>0</v>
      </c>
      <c r="E314" t="n">
        <v>0</v>
      </c>
    </row>
    <row r="315">
      <c r="A315" t="n">
        <v>314</v>
      </c>
      <c r="B315" t="n">
        <v>3.33</v>
      </c>
      <c r="C315" t="n">
        <v>0.06438234317965331</v>
      </c>
      <c r="D315" t="n">
        <v>0</v>
      </c>
      <c r="E315" t="n">
        <v>0</v>
      </c>
    </row>
    <row r="316">
      <c r="A316" t="n">
        <v>315</v>
      </c>
      <c r="B316" t="n">
        <v>4.86</v>
      </c>
      <c r="C316" t="n">
        <v>0.05170857934215317</v>
      </c>
      <c r="D316" t="n">
        <v>0</v>
      </c>
      <c r="E316" t="n">
        <v>0</v>
      </c>
    </row>
    <row r="317">
      <c r="A317" t="n">
        <v>316</v>
      </c>
      <c r="B317" t="n">
        <v>0.91</v>
      </c>
      <c r="C317" t="n">
        <v>0</v>
      </c>
      <c r="D317" t="n">
        <v>0.06</v>
      </c>
      <c r="E317" t="n">
        <v>0</v>
      </c>
    </row>
    <row r="318">
      <c r="A318" t="n">
        <v>317</v>
      </c>
      <c r="B318" t="n">
        <v>2.06</v>
      </c>
      <c r="C318" t="n">
        <v>0.05698109794464816</v>
      </c>
      <c r="D318" t="n">
        <v>0</v>
      </c>
      <c r="E318" t="n">
        <v>0.04</v>
      </c>
    </row>
    <row r="319">
      <c r="A319" t="n">
        <v>318</v>
      </c>
      <c r="B319" t="n">
        <v>1.49</v>
      </c>
      <c r="C319" t="n">
        <v>0.03530034218675277</v>
      </c>
      <c r="D319" t="n">
        <v>0</v>
      </c>
      <c r="E319" t="n">
        <v>0</v>
      </c>
    </row>
    <row r="320">
      <c r="A320" t="n">
        <v>319</v>
      </c>
      <c r="B320" t="n">
        <v>0.95</v>
      </c>
      <c r="C320" t="n">
        <v>0.03027072435733705</v>
      </c>
      <c r="D320" t="n">
        <v>0.06</v>
      </c>
      <c r="E320" t="n">
        <v>0</v>
      </c>
    </row>
    <row r="321">
      <c r="A321" t="n">
        <v>320</v>
      </c>
      <c r="B321" t="n">
        <v>2.03</v>
      </c>
      <c r="C321" t="n">
        <v>0.04743636043360582</v>
      </c>
      <c r="D321" t="n">
        <v>0</v>
      </c>
      <c r="E321" t="n">
        <v>0</v>
      </c>
    </row>
    <row r="322">
      <c r="A322" t="n">
        <v>321</v>
      </c>
      <c r="B322" t="n">
        <v>0.4</v>
      </c>
      <c r="C322" t="n">
        <v>0.0005947660630083937</v>
      </c>
      <c r="D322" t="n">
        <v>0</v>
      </c>
      <c r="E322" t="n">
        <v>0</v>
      </c>
    </row>
    <row r="323">
      <c r="A323" t="n">
        <v>322</v>
      </c>
      <c r="B323" t="n">
        <v>4.34</v>
      </c>
      <c r="C323" t="n">
        <v>0.05209311555217337</v>
      </c>
      <c r="D323" t="n">
        <v>0</v>
      </c>
      <c r="E323" t="n">
        <v>0</v>
      </c>
    </row>
    <row r="324">
      <c r="A324" t="n">
        <v>323</v>
      </c>
      <c r="B324" t="n">
        <v>2</v>
      </c>
      <c r="C324" t="n">
        <v>0.04626720495399204</v>
      </c>
      <c r="D324" t="n">
        <v>0.06</v>
      </c>
      <c r="E324" t="n">
        <v>0</v>
      </c>
    </row>
    <row r="325">
      <c r="A325" t="n">
        <v>324</v>
      </c>
      <c r="B325" t="n">
        <v>5.81</v>
      </c>
      <c r="C325" t="n">
        <v>0.05560101153925244</v>
      </c>
      <c r="D325" t="n">
        <v>0</v>
      </c>
      <c r="E325" t="n">
        <v>0</v>
      </c>
    </row>
    <row r="326">
      <c r="A326" t="n">
        <v>325</v>
      </c>
      <c r="B326" t="n">
        <v>5.63</v>
      </c>
      <c r="C326" t="n">
        <v>0.02508892467625819</v>
      </c>
      <c r="D326" t="n">
        <v>0</v>
      </c>
      <c r="E326" t="n">
        <v>0</v>
      </c>
    </row>
    <row r="327">
      <c r="A327" t="n">
        <v>326</v>
      </c>
      <c r="B327" t="n">
        <v>4.88</v>
      </c>
      <c r="C327" t="n">
        <v>0.05320703809919895</v>
      </c>
      <c r="D327" t="n">
        <v>0</v>
      </c>
      <c r="E327" t="n">
        <v>0</v>
      </c>
    </row>
    <row r="328">
      <c r="A328" t="n">
        <v>327</v>
      </c>
      <c r="B328" t="n">
        <v>4.11</v>
      </c>
      <c r="C328" t="n">
        <v>0.04198619881898165</v>
      </c>
      <c r="D328" t="n">
        <v>0</v>
      </c>
      <c r="E328" t="n">
        <v>0</v>
      </c>
    </row>
    <row r="329">
      <c r="A329" t="n">
        <v>328</v>
      </c>
      <c r="B329" t="n">
        <v>2.17</v>
      </c>
      <c r="C329" t="n">
        <v>0.02945428269855035</v>
      </c>
      <c r="D329" t="n">
        <v>0.06</v>
      </c>
      <c r="E329" t="n">
        <v>0.04</v>
      </c>
    </row>
    <row r="330">
      <c r="A330" t="n">
        <v>329</v>
      </c>
      <c r="B330" t="n">
        <v>5.69</v>
      </c>
      <c r="C330" t="n">
        <v>0.03896738519657574</v>
      </c>
      <c r="D330" t="n">
        <v>0.06</v>
      </c>
      <c r="E330" t="n">
        <v>0.04</v>
      </c>
    </row>
    <row r="331">
      <c r="A331" t="n">
        <v>330</v>
      </c>
      <c r="B331" t="n">
        <v>0.46</v>
      </c>
      <c r="C331" t="n">
        <v>0.07038478356831147</v>
      </c>
      <c r="D331" t="n">
        <v>0.06</v>
      </c>
      <c r="E331" t="n">
        <v>0</v>
      </c>
    </row>
    <row r="332">
      <c r="A332" t="n">
        <v>331</v>
      </c>
      <c r="B332" t="n">
        <v>5.01</v>
      </c>
      <c r="C332" t="n">
        <v>0.07580790839462044</v>
      </c>
      <c r="D332" t="n">
        <v>0.06</v>
      </c>
      <c r="E332" t="n">
        <v>0</v>
      </c>
    </row>
    <row r="333">
      <c r="A333" t="n">
        <v>332</v>
      </c>
      <c r="B333" t="n">
        <v>4.6</v>
      </c>
      <c r="C333" t="n">
        <v>0.006356621257259276</v>
      </c>
      <c r="D333" t="n">
        <v>0</v>
      </c>
      <c r="E333" t="n">
        <v>0.04</v>
      </c>
    </row>
    <row r="334">
      <c r="A334" t="n">
        <v>333</v>
      </c>
      <c r="B334" t="n">
        <v>4.99</v>
      </c>
      <c r="C334" t="n">
        <v>0.06227401327538887</v>
      </c>
      <c r="D334" t="n">
        <v>0</v>
      </c>
      <c r="E334" t="n">
        <v>0.04</v>
      </c>
    </row>
    <row r="335">
      <c r="A335" t="n">
        <v>334</v>
      </c>
      <c r="B335" t="n">
        <v>2.63</v>
      </c>
      <c r="C335" t="n">
        <v>0.03323989405321744</v>
      </c>
      <c r="D335" t="n">
        <v>0</v>
      </c>
      <c r="E335" t="n">
        <v>0.04</v>
      </c>
    </row>
    <row r="336">
      <c r="A336" t="n">
        <v>335</v>
      </c>
      <c r="B336" t="n">
        <v>2.67</v>
      </c>
      <c r="C336" t="n">
        <v>0.02295208641909673</v>
      </c>
      <c r="D336" t="n">
        <v>0</v>
      </c>
      <c r="E336" t="n">
        <v>0</v>
      </c>
    </row>
    <row r="337">
      <c r="A337" t="n">
        <v>336</v>
      </c>
      <c r="B337" t="n">
        <v>3.2</v>
      </c>
      <c r="C337" t="n">
        <v>0.02507922491250946</v>
      </c>
      <c r="D337" t="n">
        <v>0</v>
      </c>
      <c r="E337" t="n">
        <v>0</v>
      </c>
    </row>
    <row r="338">
      <c r="A338" t="n">
        <v>337</v>
      </c>
      <c r="B338" t="n">
        <v>5.01</v>
      </c>
      <c r="C338" t="n">
        <v>0.02987268758804311</v>
      </c>
      <c r="D338" t="n">
        <v>0</v>
      </c>
      <c r="E338" t="n">
        <v>0</v>
      </c>
    </row>
    <row r="339">
      <c r="A339" t="n">
        <v>338</v>
      </c>
      <c r="B339" t="n">
        <v>2.77</v>
      </c>
      <c r="C339" t="n">
        <v>0.02267241130440227</v>
      </c>
      <c r="D339" t="n">
        <v>0</v>
      </c>
      <c r="E339" t="n">
        <v>0</v>
      </c>
    </row>
    <row r="340">
      <c r="A340" t="n">
        <v>339</v>
      </c>
      <c r="B340" t="n">
        <v>5.8</v>
      </c>
      <c r="C340" t="n">
        <v>0.06710743559938297</v>
      </c>
      <c r="D340" t="n">
        <v>0</v>
      </c>
      <c r="E340" t="n">
        <v>0.04</v>
      </c>
    </row>
    <row r="341">
      <c r="A341" t="n">
        <v>340</v>
      </c>
      <c r="B341" t="n">
        <v>1.5</v>
      </c>
      <c r="C341" t="n">
        <v>0.05084836274635988</v>
      </c>
      <c r="D341" t="n">
        <v>0</v>
      </c>
      <c r="E341" t="n">
        <v>0</v>
      </c>
    </row>
    <row r="342">
      <c r="A342" t="n">
        <v>341</v>
      </c>
      <c r="B342" t="n">
        <v>0.62</v>
      </c>
      <c r="C342" t="n">
        <v>0.07056921138071626</v>
      </c>
      <c r="D342" t="n">
        <v>0</v>
      </c>
      <c r="E342" t="n">
        <v>0</v>
      </c>
    </row>
    <row r="343">
      <c r="A343" t="n">
        <v>342</v>
      </c>
      <c r="B343" t="n">
        <v>4.58</v>
      </c>
      <c r="C343" t="n">
        <v>0.02186821950531492</v>
      </c>
      <c r="D343" t="n">
        <v>0</v>
      </c>
      <c r="E343" t="n">
        <v>0.04</v>
      </c>
    </row>
    <row r="344">
      <c r="A344" t="n">
        <v>343</v>
      </c>
      <c r="B344" t="n">
        <v>2.62</v>
      </c>
      <c r="C344" t="n">
        <v>0.08833086006574487</v>
      </c>
      <c r="D344" t="n">
        <v>0.06</v>
      </c>
      <c r="E344" t="n">
        <v>0</v>
      </c>
    </row>
    <row r="345">
      <c r="A345" t="n">
        <v>344</v>
      </c>
      <c r="B345" t="n">
        <v>2.1</v>
      </c>
      <c r="C345" t="n">
        <v>0</v>
      </c>
      <c r="D345" t="n">
        <v>0.06</v>
      </c>
      <c r="E345" t="n">
        <v>0</v>
      </c>
    </row>
    <row r="346">
      <c r="A346" t="n">
        <v>345</v>
      </c>
      <c r="B346" t="n">
        <v>1.41</v>
      </c>
      <c r="C346" t="n">
        <v>0.1163293848533904</v>
      </c>
      <c r="D346" t="n">
        <v>0</v>
      </c>
      <c r="E346" t="n">
        <v>0.04</v>
      </c>
    </row>
    <row r="347">
      <c r="A347" t="n">
        <v>346</v>
      </c>
      <c r="B347" t="n">
        <v>5.58</v>
      </c>
      <c r="C347" t="n">
        <v>0.06973234428946841</v>
      </c>
      <c r="D347" t="n">
        <v>0</v>
      </c>
      <c r="E347" t="n">
        <v>0</v>
      </c>
    </row>
    <row r="348">
      <c r="A348" t="n">
        <v>347</v>
      </c>
      <c r="B348" t="n">
        <v>0.83</v>
      </c>
      <c r="C348" t="n">
        <v>0.02312426846592073</v>
      </c>
      <c r="D348" t="n">
        <v>0</v>
      </c>
      <c r="E348" t="n">
        <v>0</v>
      </c>
    </row>
    <row r="349">
      <c r="A349" t="n">
        <v>348</v>
      </c>
      <c r="B349" t="n">
        <v>0.83</v>
      </c>
      <c r="C349" t="n">
        <v>0.05621171972301904</v>
      </c>
      <c r="D349" t="n">
        <v>0</v>
      </c>
      <c r="E349" t="n">
        <v>0.04</v>
      </c>
    </row>
    <row r="350">
      <c r="A350" t="n">
        <v>349</v>
      </c>
      <c r="B350" t="n">
        <v>0.48</v>
      </c>
      <c r="C350" t="n">
        <v>0.02032110654359786</v>
      </c>
      <c r="D350" t="n">
        <v>0</v>
      </c>
      <c r="E350" t="n">
        <v>0</v>
      </c>
    </row>
    <row r="351">
      <c r="A351" t="n">
        <v>350</v>
      </c>
      <c r="B351" t="n">
        <v>4.36</v>
      </c>
      <c r="C351" t="n">
        <v>0.04209007482430178</v>
      </c>
      <c r="D351" t="n">
        <v>0.06</v>
      </c>
      <c r="E351" t="n">
        <v>0</v>
      </c>
    </row>
    <row r="352">
      <c r="A352" t="n">
        <v>351</v>
      </c>
      <c r="B352" t="n">
        <v>1.81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2.74</v>
      </c>
      <c r="C353" t="n">
        <v>0.003340647618630177</v>
      </c>
      <c r="D353" t="n">
        <v>0</v>
      </c>
      <c r="E353" t="n">
        <v>0</v>
      </c>
    </row>
    <row r="354">
      <c r="A354" t="n">
        <v>353</v>
      </c>
      <c r="B354" t="n">
        <v>0.1</v>
      </c>
      <c r="C354" t="n">
        <v>0.04115652360252649</v>
      </c>
      <c r="D354" t="n">
        <v>0.06</v>
      </c>
      <c r="E354" t="n">
        <v>0.04</v>
      </c>
    </row>
    <row r="355">
      <c r="A355" t="n">
        <v>354</v>
      </c>
      <c r="B355" t="n">
        <v>2.58</v>
      </c>
      <c r="C355" t="n">
        <v>0.04875630352792035</v>
      </c>
      <c r="D355" t="n">
        <v>0.06</v>
      </c>
      <c r="E355" t="n">
        <v>0</v>
      </c>
    </row>
    <row r="356">
      <c r="A356" t="n">
        <v>355</v>
      </c>
      <c r="B356" t="n">
        <v>3.99</v>
      </c>
      <c r="C356" t="n">
        <v>0</v>
      </c>
      <c r="D356" t="n">
        <v>0</v>
      </c>
      <c r="E356" t="n">
        <v>0.04</v>
      </c>
    </row>
    <row r="357">
      <c r="A357" t="n">
        <v>356</v>
      </c>
      <c r="B357" t="n">
        <v>3.16</v>
      </c>
      <c r="C357" t="n">
        <v>0.04055106533104291</v>
      </c>
      <c r="D357" t="n">
        <v>0</v>
      </c>
      <c r="E357" t="n">
        <v>0</v>
      </c>
    </row>
    <row r="358">
      <c r="A358" t="n">
        <v>357</v>
      </c>
      <c r="B358" t="n">
        <v>2.34</v>
      </c>
      <c r="C358" t="n">
        <v>0.03775209054431589</v>
      </c>
      <c r="D358" t="n">
        <v>0</v>
      </c>
      <c r="E358" t="n">
        <v>0</v>
      </c>
    </row>
    <row r="359">
      <c r="A359" t="n">
        <v>358</v>
      </c>
      <c r="B359" t="n">
        <v>1.52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4.4</v>
      </c>
      <c r="C360" t="n">
        <v>0.04981721166865503</v>
      </c>
      <c r="D360" t="n">
        <v>0</v>
      </c>
      <c r="E360" t="n">
        <v>0</v>
      </c>
    </row>
    <row r="361">
      <c r="A361" t="n">
        <v>360</v>
      </c>
      <c r="B361" t="n">
        <v>2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1.05</v>
      </c>
      <c r="C362" t="n">
        <v>0.06307902144147233</v>
      </c>
      <c r="D362" t="n">
        <v>0</v>
      </c>
      <c r="E362" t="n">
        <v>0</v>
      </c>
    </row>
    <row r="363">
      <c r="A363" t="n">
        <v>362</v>
      </c>
      <c r="B363" t="n">
        <v>3.79</v>
      </c>
      <c r="C363" t="n">
        <v>0.06650286397854933</v>
      </c>
      <c r="D363" t="n">
        <v>0.06</v>
      </c>
      <c r="E363" t="n">
        <v>0</v>
      </c>
    </row>
    <row r="364">
      <c r="A364" t="n">
        <v>363</v>
      </c>
      <c r="B364" t="n">
        <v>2.75</v>
      </c>
      <c r="C364" t="n">
        <v>0.02369933865811032</v>
      </c>
      <c r="D364" t="n">
        <v>0.06</v>
      </c>
      <c r="E364" t="n">
        <v>0.04</v>
      </c>
    </row>
    <row r="365">
      <c r="A365" t="n">
        <v>364</v>
      </c>
      <c r="B365" t="n">
        <v>0.25</v>
      </c>
      <c r="C365" t="n">
        <v>0.08504131455073177</v>
      </c>
      <c r="D365" t="n">
        <v>0</v>
      </c>
      <c r="E365" t="n">
        <v>0</v>
      </c>
    </row>
    <row r="366">
      <c r="A366" t="n">
        <v>365</v>
      </c>
      <c r="B366" t="n">
        <v>3.26</v>
      </c>
      <c r="C366" t="n">
        <v>0.02007705720026328</v>
      </c>
      <c r="D366" t="n">
        <v>0</v>
      </c>
      <c r="E366" t="n">
        <v>0.04</v>
      </c>
    </row>
    <row r="367">
      <c r="A367" t="n">
        <v>366</v>
      </c>
      <c r="B367" t="n">
        <v>2.14</v>
      </c>
      <c r="C367" t="n">
        <v>0.06325115724042139</v>
      </c>
      <c r="D367" t="n">
        <v>0</v>
      </c>
      <c r="E367" t="n">
        <v>0</v>
      </c>
    </row>
    <row r="368">
      <c r="A368" t="n">
        <v>367</v>
      </c>
      <c r="B368" t="n">
        <v>0.75</v>
      </c>
      <c r="C368" t="n">
        <v>0.02988687388930726</v>
      </c>
      <c r="D368" t="n">
        <v>0</v>
      </c>
      <c r="E368" t="n">
        <v>0</v>
      </c>
    </row>
    <row r="369">
      <c r="A369" t="n">
        <v>368</v>
      </c>
      <c r="B369" t="n">
        <v>5.37</v>
      </c>
      <c r="C369" t="n">
        <v>0.03135775813607859</v>
      </c>
      <c r="D369" t="n">
        <v>0</v>
      </c>
      <c r="E369" t="n">
        <v>0</v>
      </c>
    </row>
    <row r="370">
      <c r="A370" t="n">
        <v>369</v>
      </c>
      <c r="B370" t="n">
        <v>2.99</v>
      </c>
      <c r="C370" t="n">
        <v>0.08304031994458974</v>
      </c>
      <c r="D370" t="n">
        <v>0</v>
      </c>
      <c r="E370" t="n">
        <v>0</v>
      </c>
    </row>
    <row r="371">
      <c r="A371" t="n">
        <v>370</v>
      </c>
      <c r="B371" t="n">
        <v>4.36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3.27</v>
      </c>
      <c r="C372" t="n">
        <v>0.02607058257077565</v>
      </c>
      <c r="D372" t="n">
        <v>0.06</v>
      </c>
      <c r="E372" t="n">
        <v>0</v>
      </c>
    </row>
    <row r="373">
      <c r="A373" t="n">
        <v>372</v>
      </c>
      <c r="B373" t="n">
        <v>1.84</v>
      </c>
      <c r="C373" t="n">
        <v>0.0478041626498777</v>
      </c>
      <c r="D373" t="n">
        <v>0</v>
      </c>
      <c r="E373" t="n">
        <v>0</v>
      </c>
    </row>
    <row r="374">
      <c r="A374" t="n">
        <v>373</v>
      </c>
      <c r="B374" t="n">
        <v>2.11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5.99</v>
      </c>
      <c r="C375" t="n">
        <v>0.0220272032873188</v>
      </c>
      <c r="D375" t="n">
        <v>0</v>
      </c>
      <c r="E375" t="n">
        <v>0</v>
      </c>
    </row>
    <row r="376">
      <c r="A376" t="n">
        <v>375</v>
      </c>
      <c r="B376" t="n">
        <v>0.45</v>
      </c>
      <c r="C376" t="n">
        <v>0.05055453336996597</v>
      </c>
      <c r="D376" t="n">
        <v>0</v>
      </c>
      <c r="E376" t="n">
        <v>0</v>
      </c>
    </row>
    <row r="377">
      <c r="A377" t="n">
        <v>376</v>
      </c>
      <c r="B377" t="n">
        <v>4.08</v>
      </c>
      <c r="C377" t="n">
        <v>0.09017569440256934</v>
      </c>
      <c r="D377" t="n">
        <v>0.06</v>
      </c>
      <c r="E377" t="n">
        <v>0</v>
      </c>
    </row>
    <row r="378">
      <c r="A378" t="n">
        <v>377</v>
      </c>
      <c r="B378" t="n">
        <v>4.69</v>
      </c>
      <c r="C378" t="n">
        <v>0</v>
      </c>
      <c r="D378" t="n">
        <v>0.06</v>
      </c>
      <c r="E378" t="n">
        <v>0</v>
      </c>
    </row>
    <row r="379">
      <c r="A379" t="n">
        <v>378</v>
      </c>
      <c r="B379" t="n">
        <v>2.2</v>
      </c>
      <c r="C379" t="n">
        <v>0.03106022167893883</v>
      </c>
      <c r="D379" t="n">
        <v>0</v>
      </c>
      <c r="E379" t="n">
        <v>0</v>
      </c>
    </row>
    <row r="380">
      <c r="A380" t="n">
        <v>379</v>
      </c>
      <c r="B380" t="n">
        <v>4.07</v>
      </c>
      <c r="C380" t="n">
        <v>0.08900656173087745</v>
      </c>
      <c r="D380" t="n">
        <v>0</v>
      </c>
      <c r="E380" t="n">
        <v>0</v>
      </c>
    </row>
    <row r="381">
      <c r="A381" t="n">
        <v>380</v>
      </c>
      <c r="B381" t="n">
        <v>3.44</v>
      </c>
      <c r="C381" t="n">
        <v>0.04221736642527588</v>
      </c>
      <c r="D381" t="n">
        <v>0</v>
      </c>
      <c r="E381" t="n">
        <v>0</v>
      </c>
    </row>
    <row r="382">
      <c r="A382" t="n">
        <v>381</v>
      </c>
      <c r="B382" t="n">
        <v>1.5</v>
      </c>
      <c r="C382" t="n">
        <v>0.003748295372997472</v>
      </c>
      <c r="D382" t="n">
        <v>0</v>
      </c>
      <c r="E382" t="n">
        <v>0</v>
      </c>
    </row>
    <row r="383">
      <c r="A383" t="n">
        <v>382</v>
      </c>
      <c r="B383" t="n">
        <v>2.32</v>
      </c>
      <c r="C383" t="n">
        <v>0.04465634515176198</v>
      </c>
      <c r="D383" t="n">
        <v>0.06</v>
      </c>
      <c r="E383" t="n">
        <v>0</v>
      </c>
    </row>
    <row r="384">
      <c r="A384" t="n">
        <v>383</v>
      </c>
      <c r="B384" t="n">
        <v>2.68</v>
      </c>
      <c r="C384" t="n">
        <v>0.1205268060066196</v>
      </c>
      <c r="D384" t="n">
        <v>0.06</v>
      </c>
      <c r="E384" t="n">
        <v>0</v>
      </c>
    </row>
    <row r="385">
      <c r="A385" t="n">
        <v>384</v>
      </c>
      <c r="B385" t="n">
        <v>2.95</v>
      </c>
      <c r="C385" t="n">
        <v>0.005142908183464828</v>
      </c>
      <c r="D385" t="n">
        <v>0</v>
      </c>
      <c r="E385" t="n">
        <v>0</v>
      </c>
    </row>
    <row r="386">
      <c r="A386" t="n">
        <v>385</v>
      </c>
      <c r="B386" t="n">
        <v>5.39</v>
      </c>
      <c r="C386" t="n">
        <v>0.0358593155170507</v>
      </c>
      <c r="D386" t="n">
        <v>0.06</v>
      </c>
      <c r="E386" t="n">
        <v>0</v>
      </c>
    </row>
    <row r="387">
      <c r="A387" t="n">
        <v>386</v>
      </c>
      <c r="B387" t="n">
        <v>5.07</v>
      </c>
      <c r="C387" t="n">
        <v>0.02593444487487566</v>
      </c>
      <c r="D387" t="n">
        <v>0</v>
      </c>
      <c r="E387" t="n">
        <v>0.04</v>
      </c>
    </row>
    <row r="388">
      <c r="A388" t="n">
        <v>387</v>
      </c>
      <c r="B388" t="n">
        <v>3.25</v>
      </c>
      <c r="C388" t="n">
        <v>0.0770092358542494</v>
      </c>
      <c r="D388" t="n">
        <v>0</v>
      </c>
      <c r="E388" t="n">
        <v>0</v>
      </c>
    </row>
    <row r="389">
      <c r="A389" t="n">
        <v>388</v>
      </c>
      <c r="B389" t="n">
        <v>5.56</v>
      </c>
      <c r="C389" t="n">
        <v>0.05056953342162533</v>
      </c>
      <c r="D389" t="n">
        <v>0</v>
      </c>
      <c r="E389" t="n">
        <v>0</v>
      </c>
    </row>
    <row r="390">
      <c r="A390" t="n">
        <v>389</v>
      </c>
      <c r="B390" t="n">
        <v>0.73</v>
      </c>
      <c r="C390" t="n">
        <v>0.01485626275897178</v>
      </c>
      <c r="D390" t="n">
        <v>0.06</v>
      </c>
      <c r="E390" t="n">
        <v>0</v>
      </c>
    </row>
    <row r="391">
      <c r="A391" t="n">
        <v>390</v>
      </c>
      <c r="B391" t="n">
        <v>0.16</v>
      </c>
      <c r="C391" t="n">
        <v>0.04407484492975808</v>
      </c>
      <c r="D391" t="n">
        <v>0</v>
      </c>
      <c r="E391" t="n">
        <v>0</v>
      </c>
    </row>
    <row r="392">
      <c r="A392" t="n">
        <v>391</v>
      </c>
      <c r="B392" t="n">
        <v>3.31</v>
      </c>
      <c r="C392" t="n">
        <v>0.04853202287368714</v>
      </c>
      <c r="D392" t="n">
        <v>0.06</v>
      </c>
      <c r="E392" t="n">
        <v>0</v>
      </c>
    </row>
    <row r="393">
      <c r="A393" t="n">
        <v>392</v>
      </c>
      <c r="B393" t="n">
        <v>6</v>
      </c>
      <c r="C393" t="n">
        <v>0.05738460713846286</v>
      </c>
      <c r="D393" t="n">
        <v>0</v>
      </c>
      <c r="E393" t="n">
        <v>0</v>
      </c>
    </row>
    <row r="394">
      <c r="A394" t="n">
        <v>393</v>
      </c>
      <c r="B394" t="n">
        <v>4.94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2.7</v>
      </c>
      <c r="C395" t="n">
        <v>0.05404010785619754</v>
      </c>
      <c r="D395" t="n">
        <v>0</v>
      </c>
      <c r="E395" t="n">
        <v>0</v>
      </c>
    </row>
    <row r="396">
      <c r="A396" t="n">
        <v>395</v>
      </c>
      <c r="B396" t="n">
        <v>4.68</v>
      </c>
      <c r="C396" t="n">
        <v>0.05073724089724033</v>
      </c>
      <c r="D396" t="n">
        <v>0.06</v>
      </c>
      <c r="E396" t="n">
        <v>0</v>
      </c>
    </row>
    <row r="397">
      <c r="A397" t="n">
        <v>396</v>
      </c>
      <c r="B397" t="n">
        <v>2.6</v>
      </c>
      <c r="C397" t="n">
        <v>0.08035462460913725</v>
      </c>
      <c r="D397" t="n">
        <v>0.06</v>
      </c>
      <c r="E397" t="n">
        <v>0.04</v>
      </c>
    </row>
    <row r="398">
      <c r="A398" t="n">
        <v>397</v>
      </c>
      <c r="B398" t="n">
        <v>0.92</v>
      </c>
      <c r="C398" t="n">
        <v>0.01073511243054589</v>
      </c>
      <c r="D398" t="n">
        <v>0</v>
      </c>
      <c r="E398" t="n">
        <v>0</v>
      </c>
    </row>
    <row r="399">
      <c r="A399" t="n">
        <v>398</v>
      </c>
      <c r="B399" t="n">
        <v>2.08</v>
      </c>
      <c r="C399" t="n">
        <v>0.08687224172473945</v>
      </c>
      <c r="D399" t="n">
        <v>0</v>
      </c>
      <c r="E399" t="n">
        <v>0</v>
      </c>
    </row>
    <row r="400">
      <c r="A400" t="n">
        <v>399</v>
      </c>
      <c r="B400" t="n">
        <v>1.5</v>
      </c>
      <c r="C400" t="n">
        <v>0.05035832272279653</v>
      </c>
      <c r="D400" t="n">
        <v>0</v>
      </c>
      <c r="E400" t="n">
        <v>0.04</v>
      </c>
    </row>
    <row r="401">
      <c r="A401" t="n">
        <v>400</v>
      </c>
      <c r="B401" t="n">
        <v>1.82</v>
      </c>
      <c r="C401" t="n">
        <v>0.04252047132615299</v>
      </c>
      <c r="D401" t="n">
        <v>0</v>
      </c>
      <c r="E401" t="n">
        <v>0.04</v>
      </c>
    </row>
    <row r="402">
      <c r="A402" t="n">
        <v>401</v>
      </c>
      <c r="B402" t="n">
        <v>5.65</v>
      </c>
      <c r="C402" t="n">
        <v>0.009441723930737833</v>
      </c>
      <c r="D402" t="n">
        <v>0</v>
      </c>
      <c r="E402" t="n">
        <v>0</v>
      </c>
    </row>
    <row r="403">
      <c r="A403" t="n">
        <v>402</v>
      </c>
      <c r="B403" t="n">
        <v>3.63</v>
      </c>
      <c r="C403" t="n">
        <v>0.07014731227284998</v>
      </c>
      <c r="D403" t="n">
        <v>0</v>
      </c>
      <c r="E403" t="n">
        <v>0</v>
      </c>
    </row>
    <row r="404">
      <c r="A404" t="n">
        <v>403</v>
      </c>
      <c r="B404" t="n">
        <v>0.17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3.91</v>
      </c>
      <c r="C405" t="n">
        <v>0.06186606023920403</v>
      </c>
      <c r="D405" t="n">
        <v>0</v>
      </c>
      <c r="E405" t="n">
        <v>0</v>
      </c>
    </row>
    <row r="406">
      <c r="A406" t="n">
        <v>405</v>
      </c>
      <c r="B406" t="n">
        <v>2.99</v>
      </c>
      <c r="C406" t="n">
        <v>0.04973054319694904</v>
      </c>
      <c r="D406" t="n">
        <v>0.06</v>
      </c>
      <c r="E406" t="n">
        <v>0</v>
      </c>
    </row>
    <row r="407">
      <c r="A407" t="n">
        <v>406</v>
      </c>
      <c r="B407" t="n">
        <v>2.9</v>
      </c>
      <c r="C407" t="n">
        <v>0.06575460534055842</v>
      </c>
      <c r="D407" t="n">
        <v>0</v>
      </c>
      <c r="E407" t="n">
        <v>0</v>
      </c>
    </row>
    <row r="408">
      <c r="A408" t="n">
        <v>407</v>
      </c>
      <c r="B408" t="n">
        <v>0.44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1.22</v>
      </c>
      <c r="C409" t="n">
        <v>0.04811874966916643</v>
      </c>
      <c r="D409" t="n">
        <v>0</v>
      </c>
      <c r="E409" t="n">
        <v>0</v>
      </c>
    </row>
    <row r="410">
      <c r="A410" t="n">
        <v>409</v>
      </c>
      <c r="B410" t="n">
        <v>4.41</v>
      </c>
      <c r="C410" t="n">
        <v>0.07251455584143765</v>
      </c>
      <c r="D410" t="n">
        <v>0</v>
      </c>
      <c r="E410" t="n">
        <v>0.04</v>
      </c>
    </row>
    <row r="411">
      <c r="A411" t="n">
        <v>410</v>
      </c>
      <c r="B411" t="n">
        <v>2.22</v>
      </c>
      <c r="C411" t="n">
        <v>0.04465470917082713</v>
      </c>
      <c r="D411" t="n">
        <v>0</v>
      </c>
      <c r="E411" t="n">
        <v>0</v>
      </c>
    </row>
    <row r="412">
      <c r="A412" t="n">
        <v>411</v>
      </c>
      <c r="B412" t="n">
        <v>1.6</v>
      </c>
      <c r="C412" t="n">
        <v>0.01956840099303653</v>
      </c>
      <c r="D412" t="n">
        <v>0.06</v>
      </c>
      <c r="E412" t="n">
        <v>0</v>
      </c>
    </row>
    <row r="413">
      <c r="A413" t="n">
        <v>412</v>
      </c>
      <c r="B413" t="n">
        <v>2.3</v>
      </c>
      <c r="C413" t="n">
        <v>0.04880087398295121</v>
      </c>
      <c r="D413" t="n">
        <v>0.06</v>
      </c>
      <c r="E413" t="n">
        <v>0</v>
      </c>
    </row>
    <row r="414">
      <c r="A414" t="n">
        <v>413</v>
      </c>
      <c r="B414" t="n">
        <v>0.96</v>
      </c>
      <c r="C414" t="n">
        <v>0.02658985797043951</v>
      </c>
      <c r="D414" t="n">
        <v>0</v>
      </c>
      <c r="E414" t="n">
        <v>0</v>
      </c>
    </row>
    <row r="415">
      <c r="A415" t="n">
        <v>414</v>
      </c>
      <c r="B415" t="n">
        <v>4.58</v>
      </c>
      <c r="C415" t="n">
        <v>0.03986957034968831</v>
      </c>
      <c r="D415" t="n">
        <v>0</v>
      </c>
      <c r="E415" t="n">
        <v>0</v>
      </c>
    </row>
    <row r="416">
      <c r="A416" t="n">
        <v>415</v>
      </c>
      <c r="B416" t="n">
        <v>1.85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5.8</v>
      </c>
      <c r="C417" t="n">
        <v>0.01633907580081247</v>
      </c>
      <c r="D417" t="n">
        <v>0</v>
      </c>
      <c r="E417" t="n">
        <v>0.04</v>
      </c>
    </row>
    <row r="418">
      <c r="A418" t="n">
        <v>417</v>
      </c>
      <c r="B418" t="n">
        <v>2.97</v>
      </c>
      <c r="C418" t="n">
        <v>0.07560289530963818</v>
      </c>
      <c r="D418" t="n">
        <v>0</v>
      </c>
      <c r="E418" t="n">
        <v>0</v>
      </c>
    </row>
    <row r="419">
      <c r="A419" t="n">
        <v>418</v>
      </c>
      <c r="B419" t="n">
        <v>3.22</v>
      </c>
      <c r="C419" t="n">
        <v>0.07073143530072992</v>
      </c>
      <c r="D419" t="n">
        <v>0</v>
      </c>
      <c r="E419" t="n">
        <v>0</v>
      </c>
    </row>
    <row r="420">
      <c r="A420" t="n">
        <v>419</v>
      </c>
      <c r="B420" t="n">
        <v>4.37</v>
      </c>
      <c r="C420" t="n">
        <v>0.06156291370660875</v>
      </c>
      <c r="D420" t="n">
        <v>0</v>
      </c>
      <c r="E420" t="n">
        <v>0</v>
      </c>
    </row>
    <row r="421">
      <c r="A421" t="n">
        <v>420</v>
      </c>
      <c r="B421" t="n">
        <v>3.42</v>
      </c>
      <c r="C421" t="n">
        <v>0.01417395215437927</v>
      </c>
      <c r="D421" t="n">
        <v>0</v>
      </c>
      <c r="E421" t="n">
        <v>0.04</v>
      </c>
    </row>
    <row r="422">
      <c r="A422" t="n">
        <v>421</v>
      </c>
      <c r="B422" t="n">
        <v>3.03</v>
      </c>
      <c r="C422" t="n">
        <v>0.06161623949483733</v>
      </c>
      <c r="D422" t="n">
        <v>0.06</v>
      </c>
      <c r="E422" t="n">
        <v>0</v>
      </c>
    </row>
    <row r="423">
      <c r="A423" t="n">
        <v>422</v>
      </c>
      <c r="B423" t="n">
        <v>4.08</v>
      </c>
      <c r="C423" t="n">
        <v>0.004571458671983053</v>
      </c>
      <c r="D423" t="n">
        <v>0</v>
      </c>
      <c r="E423" t="n">
        <v>0</v>
      </c>
    </row>
    <row r="424">
      <c r="A424" t="n">
        <v>423</v>
      </c>
      <c r="B424" t="n">
        <v>4.77</v>
      </c>
      <c r="C424" t="n">
        <v>0.02755117600463883</v>
      </c>
      <c r="D424" t="n">
        <v>0</v>
      </c>
      <c r="E424" t="n">
        <v>0</v>
      </c>
    </row>
    <row r="425">
      <c r="A425" t="n">
        <v>424</v>
      </c>
      <c r="B425" t="n">
        <v>1.19</v>
      </c>
      <c r="C425" t="n">
        <v>0.04068606250794904</v>
      </c>
      <c r="D425" t="n">
        <v>0</v>
      </c>
      <c r="E425" t="n">
        <v>0.04</v>
      </c>
    </row>
    <row r="426">
      <c r="A426" t="n">
        <v>425</v>
      </c>
      <c r="B426" t="n">
        <v>0.82</v>
      </c>
      <c r="C426" t="n">
        <v>0.02705403259494646</v>
      </c>
      <c r="D426" t="n">
        <v>0</v>
      </c>
      <c r="E426" t="n">
        <v>0</v>
      </c>
    </row>
    <row r="427">
      <c r="A427" t="n">
        <v>426</v>
      </c>
      <c r="B427" t="n">
        <v>3.64</v>
      </c>
      <c r="C427" t="n">
        <v>0.04116630692725398</v>
      </c>
      <c r="D427" t="n">
        <v>0</v>
      </c>
      <c r="E427" t="n">
        <v>0</v>
      </c>
    </row>
    <row r="428">
      <c r="A428" t="n">
        <v>427</v>
      </c>
      <c r="B428" t="n">
        <v>0.98</v>
      </c>
      <c r="C428" t="n">
        <v>0.1105029066771586</v>
      </c>
      <c r="D428" t="n">
        <v>0</v>
      </c>
      <c r="E428" t="n">
        <v>0</v>
      </c>
    </row>
    <row r="429">
      <c r="A429" t="n">
        <v>428</v>
      </c>
      <c r="B429" t="n">
        <v>2.02</v>
      </c>
      <c r="C429" t="n">
        <v>0.06842281059784552</v>
      </c>
      <c r="D429" t="n">
        <v>0</v>
      </c>
      <c r="E429" t="n">
        <v>0</v>
      </c>
    </row>
    <row r="430">
      <c r="A430" t="n">
        <v>429</v>
      </c>
      <c r="B430" t="n">
        <v>1.8</v>
      </c>
      <c r="C430" t="n">
        <v>0.06697846783357959</v>
      </c>
      <c r="D430" t="n">
        <v>0</v>
      </c>
      <c r="E430" t="n">
        <v>0</v>
      </c>
    </row>
    <row r="431">
      <c r="A431" t="n">
        <v>430</v>
      </c>
      <c r="B431" t="n">
        <v>5.88</v>
      </c>
      <c r="C431" t="n">
        <v>0.04634120950687427</v>
      </c>
      <c r="D431" t="n">
        <v>0</v>
      </c>
      <c r="E431" t="n">
        <v>0</v>
      </c>
    </row>
    <row r="432">
      <c r="A432" t="n">
        <v>431</v>
      </c>
      <c r="B432" t="n">
        <v>4.13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4.7</v>
      </c>
      <c r="C433" t="n">
        <v>0.0627788579352163</v>
      </c>
      <c r="D433" t="n">
        <v>0</v>
      </c>
      <c r="E433" t="n">
        <v>0</v>
      </c>
    </row>
    <row r="434">
      <c r="A434" t="n">
        <v>433</v>
      </c>
      <c r="B434" t="n">
        <v>3.5</v>
      </c>
      <c r="C434" t="n">
        <v>0.011435689855172</v>
      </c>
      <c r="D434" t="n">
        <v>0</v>
      </c>
      <c r="E434" t="n">
        <v>0</v>
      </c>
    </row>
    <row r="435">
      <c r="A435" t="n">
        <v>434</v>
      </c>
      <c r="B435" t="n">
        <v>5.05</v>
      </c>
      <c r="C435" t="n">
        <v>0.008619375179686528</v>
      </c>
      <c r="D435" t="n">
        <v>0</v>
      </c>
      <c r="E435" t="n">
        <v>0.04</v>
      </c>
    </row>
    <row r="436">
      <c r="A436" t="n">
        <v>435</v>
      </c>
      <c r="B436" t="n">
        <v>5.69</v>
      </c>
      <c r="C436" t="n">
        <v>0.003187481741456409</v>
      </c>
      <c r="D436" t="n">
        <v>0.06</v>
      </c>
      <c r="E436" t="n">
        <v>0</v>
      </c>
    </row>
    <row r="437">
      <c r="A437" t="n">
        <v>436</v>
      </c>
      <c r="B437" t="n">
        <v>0.91</v>
      </c>
      <c r="C437" t="n">
        <v>0.05491806537182338</v>
      </c>
      <c r="D437" t="n">
        <v>0</v>
      </c>
      <c r="E437" t="n">
        <v>0</v>
      </c>
    </row>
    <row r="438">
      <c r="A438" t="n">
        <v>437</v>
      </c>
      <c r="B438" t="n">
        <v>5.52</v>
      </c>
      <c r="C438" t="n">
        <v>0.0741943636768906</v>
      </c>
      <c r="D438" t="n">
        <v>0</v>
      </c>
      <c r="E438" t="n">
        <v>0.04</v>
      </c>
    </row>
    <row r="439">
      <c r="A439" t="n">
        <v>438</v>
      </c>
      <c r="B439" t="n">
        <v>0.83</v>
      </c>
      <c r="C439" t="n">
        <v>0.01552961201904935</v>
      </c>
      <c r="D439" t="n">
        <v>0</v>
      </c>
      <c r="E439" t="n">
        <v>0</v>
      </c>
    </row>
    <row r="440">
      <c r="A440" t="n">
        <v>439</v>
      </c>
      <c r="B440" t="n">
        <v>3.15</v>
      </c>
      <c r="C440" t="n">
        <v>0.02544276135974135</v>
      </c>
      <c r="D440" t="n">
        <v>0.06</v>
      </c>
      <c r="E440" t="n">
        <v>0</v>
      </c>
    </row>
    <row r="441">
      <c r="A441" t="n">
        <v>440</v>
      </c>
      <c r="B441" t="n">
        <v>2.05</v>
      </c>
      <c r="C441" t="n">
        <v>0.0287868409854162</v>
      </c>
      <c r="D441" t="n">
        <v>0</v>
      </c>
      <c r="E441" t="n">
        <v>0</v>
      </c>
    </row>
    <row r="442">
      <c r="A442" t="n">
        <v>441</v>
      </c>
      <c r="B442" t="n">
        <v>3.86</v>
      </c>
      <c r="C442" t="n">
        <v>0.05515792189544248</v>
      </c>
      <c r="D442" t="n">
        <v>0</v>
      </c>
      <c r="E442" t="n">
        <v>0.04</v>
      </c>
    </row>
    <row r="443">
      <c r="A443" t="n">
        <v>442</v>
      </c>
      <c r="B443" t="n">
        <v>1.48</v>
      </c>
      <c r="C443" t="n">
        <v>0.04438359847108226</v>
      </c>
      <c r="D443" t="n">
        <v>0.06</v>
      </c>
      <c r="E443" t="n">
        <v>0</v>
      </c>
    </row>
    <row r="444">
      <c r="A444" t="n">
        <v>443</v>
      </c>
      <c r="B444" t="n">
        <v>1.79</v>
      </c>
      <c r="C444" t="n">
        <v>0.02331110918646697</v>
      </c>
      <c r="D444" t="n">
        <v>0.06</v>
      </c>
      <c r="E444" t="n">
        <v>0</v>
      </c>
    </row>
    <row r="445">
      <c r="A445" t="n">
        <v>444</v>
      </c>
      <c r="B445" t="n">
        <v>1.9</v>
      </c>
      <c r="C445" t="n">
        <v>0.02834339004894827</v>
      </c>
      <c r="D445" t="n">
        <v>0</v>
      </c>
      <c r="E445" t="n">
        <v>0</v>
      </c>
    </row>
    <row r="446">
      <c r="A446" t="n">
        <v>445</v>
      </c>
      <c r="B446" t="n">
        <v>1.64</v>
      </c>
      <c r="C446" t="n">
        <v>0.005029923548210434</v>
      </c>
      <c r="D446" t="n">
        <v>0</v>
      </c>
      <c r="E446" t="n">
        <v>0</v>
      </c>
    </row>
    <row r="447">
      <c r="A447" t="n">
        <v>446</v>
      </c>
      <c r="B447" t="n">
        <v>5.88</v>
      </c>
      <c r="C447" t="n">
        <v>0.06727597069557056</v>
      </c>
      <c r="D447" t="n">
        <v>0</v>
      </c>
      <c r="E447" t="n">
        <v>0</v>
      </c>
    </row>
    <row r="448">
      <c r="A448" t="n">
        <v>447</v>
      </c>
      <c r="B448" t="n">
        <v>1.74</v>
      </c>
      <c r="C448" t="n">
        <v>0.02319037779703757</v>
      </c>
      <c r="D448" t="n">
        <v>0</v>
      </c>
      <c r="E448" t="n">
        <v>0</v>
      </c>
    </row>
    <row r="449">
      <c r="A449" t="n">
        <v>448</v>
      </c>
      <c r="B449" t="n">
        <v>2.65</v>
      </c>
      <c r="C449" t="n">
        <v>0.02036957504823863</v>
      </c>
      <c r="D449" t="n">
        <v>0</v>
      </c>
      <c r="E449" t="n">
        <v>0.04</v>
      </c>
    </row>
    <row r="450">
      <c r="A450" t="n">
        <v>449</v>
      </c>
      <c r="B450" t="n">
        <v>3.23</v>
      </c>
      <c r="C450" t="n">
        <v>0.08496092420837764</v>
      </c>
      <c r="D450" t="n">
        <v>0</v>
      </c>
      <c r="E450" t="n">
        <v>0.04</v>
      </c>
    </row>
    <row r="451">
      <c r="A451" t="n">
        <v>450</v>
      </c>
      <c r="B451" t="n">
        <v>3.69</v>
      </c>
      <c r="C451" t="n">
        <v>0.04658197947786256</v>
      </c>
      <c r="D451" t="n">
        <v>0.06</v>
      </c>
      <c r="E451" t="n">
        <v>0</v>
      </c>
    </row>
    <row r="452">
      <c r="A452" t="n">
        <v>451</v>
      </c>
      <c r="B452" t="n">
        <v>3.19</v>
      </c>
      <c r="C452" t="n">
        <v>0.05058910312780056</v>
      </c>
      <c r="D452" t="n">
        <v>0.06</v>
      </c>
      <c r="E452" t="n">
        <v>0</v>
      </c>
    </row>
    <row r="453">
      <c r="A453" t="n">
        <v>452</v>
      </c>
      <c r="B453" t="n">
        <v>4.3</v>
      </c>
      <c r="C453" t="n">
        <v>0.001646415353418508</v>
      </c>
      <c r="D453" t="n">
        <v>0</v>
      </c>
      <c r="E453" t="n">
        <v>0.04</v>
      </c>
    </row>
    <row r="454">
      <c r="A454" t="n">
        <v>453</v>
      </c>
      <c r="B454" t="n">
        <v>3.3</v>
      </c>
      <c r="C454" t="n">
        <v>0.08407355622609033</v>
      </c>
      <c r="D454" t="n">
        <v>0</v>
      </c>
      <c r="E454" t="n">
        <v>0</v>
      </c>
    </row>
    <row r="455">
      <c r="A455" t="n">
        <v>454</v>
      </c>
      <c r="B455" t="n">
        <v>5.27</v>
      </c>
      <c r="C455" t="n">
        <v>0.03830325053909387</v>
      </c>
      <c r="D455" t="n">
        <v>0.06</v>
      </c>
      <c r="E455" t="n">
        <v>0</v>
      </c>
    </row>
    <row r="456">
      <c r="A456" t="n">
        <v>455</v>
      </c>
      <c r="B456" t="n">
        <v>1.93</v>
      </c>
      <c r="C456" t="n">
        <v>0.05122807117170956</v>
      </c>
      <c r="D456" t="n">
        <v>0</v>
      </c>
      <c r="E456" t="n">
        <v>0.04</v>
      </c>
    </row>
    <row r="457">
      <c r="A457" t="n">
        <v>456</v>
      </c>
      <c r="B457" t="n">
        <v>3.44</v>
      </c>
      <c r="C457" t="n">
        <v>0.04264684064522262</v>
      </c>
      <c r="D457" t="n">
        <v>0</v>
      </c>
      <c r="E457" t="n">
        <v>0</v>
      </c>
    </row>
    <row r="458">
      <c r="A458" t="n">
        <v>457</v>
      </c>
      <c r="B458" t="n">
        <v>5.48</v>
      </c>
      <c r="C458" t="n">
        <v>0.01196985898181836</v>
      </c>
      <c r="D458" t="n">
        <v>0</v>
      </c>
      <c r="E458" t="n">
        <v>0.04</v>
      </c>
    </row>
    <row r="459">
      <c r="A459" t="n">
        <v>458</v>
      </c>
      <c r="B459" t="n">
        <v>5.52</v>
      </c>
      <c r="C459" t="n">
        <v>0.1230118700969705</v>
      </c>
      <c r="D459" t="n">
        <v>0</v>
      </c>
      <c r="E459" t="n">
        <v>0</v>
      </c>
    </row>
    <row r="460">
      <c r="A460" t="n">
        <v>459</v>
      </c>
      <c r="B460" t="n">
        <v>5.62</v>
      </c>
      <c r="C460" t="n">
        <v>0.09327921323409079</v>
      </c>
      <c r="D460" t="n">
        <v>0</v>
      </c>
      <c r="E460" t="n">
        <v>0</v>
      </c>
    </row>
    <row r="461">
      <c r="A461" t="n">
        <v>460</v>
      </c>
      <c r="B461" t="n">
        <v>0.06</v>
      </c>
      <c r="C461" t="n">
        <v>0.04513562779661603</v>
      </c>
      <c r="D461" t="n">
        <v>0.06</v>
      </c>
      <c r="E461" t="n">
        <v>0</v>
      </c>
    </row>
    <row r="462">
      <c r="A462" t="n">
        <v>461</v>
      </c>
      <c r="B462" t="n">
        <v>1.71</v>
      </c>
      <c r="C462" t="n">
        <v>0.1088144853051201</v>
      </c>
      <c r="D462" t="n">
        <v>0</v>
      </c>
      <c r="E462" t="n">
        <v>0</v>
      </c>
    </row>
    <row r="463">
      <c r="A463" t="n">
        <v>462</v>
      </c>
      <c r="B463" t="n">
        <v>5.63</v>
      </c>
      <c r="C463" t="n">
        <v>0.07122967844441211</v>
      </c>
      <c r="D463" t="n">
        <v>0</v>
      </c>
      <c r="E463" t="n">
        <v>0.04</v>
      </c>
    </row>
    <row r="464">
      <c r="A464" t="n">
        <v>463</v>
      </c>
      <c r="B464" t="n">
        <v>0.68</v>
      </c>
      <c r="C464" t="n">
        <v>0.01047225087647963</v>
      </c>
      <c r="D464" t="n">
        <v>0</v>
      </c>
      <c r="E464" t="n">
        <v>0</v>
      </c>
    </row>
    <row r="465">
      <c r="A465" t="n">
        <v>464</v>
      </c>
      <c r="B465" t="n">
        <v>1.12</v>
      </c>
      <c r="C465" t="n">
        <v>0.05898859582153324</v>
      </c>
      <c r="D465" t="n">
        <v>0</v>
      </c>
      <c r="E465" t="n">
        <v>0</v>
      </c>
    </row>
    <row r="466">
      <c r="A466" t="n">
        <v>465</v>
      </c>
      <c r="B466" t="n">
        <v>4.54</v>
      </c>
      <c r="C466" t="n">
        <v>0.01201986797947511</v>
      </c>
      <c r="D466" t="n">
        <v>0</v>
      </c>
      <c r="E466" t="n">
        <v>0</v>
      </c>
    </row>
    <row r="467">
      <c r="A467" t="n">
        <v>466</v>
      </c>
      <c r="B467" t="n">
        <v>4.96</v>
      </c>
      <c r="C467" t="n">
        <v>0.04114936907242682</v>
      </c>
      <c r="D467" t="n">
        <v>0.06</v>
      </c>
      <c r="E467" t="n">
        <v>0</v>
      </c>
    </row>
    <row r="468">
      <c r="A468" t="n">
        <v>467</v>
      </c>
      <c r="B468" t="n">
        <v>1.11</v>
      </c>
      <c r="C468" t="n">
        <v>0.007672769308522301</v>
      </c>
      <c r="D468" t="n">
        <v>0</v>
      </c>
      <c r="E468" t="n">
        <v>0.04</v>
      </c>
    </row>
    <row r="469">
      <c r="A469" t="n">
        <v>468</v>
      </c>
      <c r="B469" t="n">
        <v>1.56</v>
      </c>
      <c r="C469" t="n">
        <v>0.01837648412234763</v>
      </c>
      <c r="D469" t="n">
        <v>0</v>
      </c>
      <c r="E469" t="n">
        <v>0</v>
      </c>
    </row>
    <row r="470">
      <c r="A470" t="n">
        <v>469</v>
      </c>
      <c r="B470" t="n">
        <v>1.81</v>
      </c>
      <c r="C470" t="n">
        <v>0.05774278361181981</v>
      </c>
      <c r="D470" t="n">
        <v>0.06</v>
      </c>
      <c r="E470" t="n">
        <v>0</v>
      </c>
    </row>
    <row r="471">
      <c r="A471" t="n">
        <v>470</v>
      </c>
      <c r="B471" t="n">
        <v>4.16</v>
      </c>
      <c r="C471" t="n">
        <v>0</v>
      </c>
      <c r="D471" t="n">
        <v>0.06</v>
      </c>
      <c r="E471" t="n">
        <v>0</v>
      </c>
    </row>
    <row r="472">
      <c r="A472" t="n">
        <v>471</v>
      </c>
      <c r="B472" t="n">
        <v>2.43</v>
      </c>
      <c r="C472" t="n">
        <v>0.04018953779507664</v>
      </c>
      <c r="D472" t="n">
        <v>0</v>
      </c>
      <c r="E472" t="n">
        <v>0</v>
      </c>
    </row>
    <row r="473">
      <c r="A473" t="n">
        <v>472</v>
      </c>
      <c r="B473" t="n">
        <v>1.87</v>
      </c>
      <c r="C473" t="n">
        <v>0.004359853949802081</v>
      </c>
      <c r="D473" t="n">
        <v>0</v>
      </c>
      <c r="E473" t="n">
        <v>0</v>
      </c>
    </row>
    <row r="474">
      <c r="A474" t="n">
        <v>473</v>
      </c>
      <c r="B474" t="n">
        <v>3.69</v>
      </c>
      <c r="C474" t="n">
        <v>0.01674581341375056</v>
      </c>
      <c r="D474" t="n">
        <v>0.06</v>
      </c>
      <c r="E474" t="n">
        <v>0.04</v>
      </c>
    </row>
    <row r="475">
      <c r="A475" t="n">
        <v>474</v>
      </c>
      <c r="B475" t="n">
        <v>4.49</v>
      </c>
      <c r="C475" t="n">
        <v>0.04804690702839332</v>
      </c>
      <c r="D475" t="n">
        <v>0</v>
      </c>
      <c r="E475" t="n">
        <v>0</v>
      </c>
    </row>
    <row r="476">
      <c r="A476" t="n">
        <v>475</v>
      </c>
      <c r="B476" t="n">
        <v>2.82</v>
      </c>
      <c r="C476" t="n">
        <v>0.04282545843328922</v>
      </c>
      <c r="D476" t="n">
        <v>0</v>
      </c>
      <c r="E476" t="n">
        <v>0.04</v>
      </c>
    </row>
    <row r="477">
      <c r="A477" t="n">
        <v>476</v>
      </c>
      <c r="B477" t="n">
        <v>1.48</v>
      </c>
      <c r="C477" t="n">
        <v>0.06068441689964967</v>
      </c>
      <c r="D477" t="n">
        <v>0</v>
      </c>
      <c r="E477" t="n">
        <v>0.04</v>
      </c>
    </row>
    <row r="478">
      <c r="A478" t="n">
        <v>477</v>
      </c>
      <c r="B478" t="n">
        <v>2.68</v>
      </c>
      <c r="C478" t="n">
        <v>0.05605790119583849</v>
      </c>
      <c r="D478" t="n">
        <v>0.06</v>
      </c>
      <c r="E478" t="n">
        <v>0</v>
      </c>
    </row>
    <row r="479">
      <c r="A479" t="n">
        <v>478</v>
      </c>
      <c r="B479" t="n">
        <v>0.37</v>
      </c>
      <c r="C479" t="n">
        <v>0.04359173080334412</v>
      </c>
      <c r="D479" t="n">
        <v>0</v>
      </c>
      <c r="E479" t="n">
        <v>0</v>
      </c>
    </row>
    <row r="480">
      <c r="A480" t="n">
        <v>479</v>
      </c>
      <c r="B480" t="n">
        <v>0.9</v>
      </c>
      <c r="C480" t="n">
        <v>0.02664649296588677</v>
      </c>
      <c r="D480" t="n">
        <v>0</v>
      </c>
      <c r="E480" t="n">
        <v>0.04</v>
      </c>
    </row>
    <row r="481">
      <c r="A481" t="n">
        <v>480</v>
      </c>
      <c r="B481" t="n">
        <v>1.23</v>
      </c>
      <c r="C481" t="n">
        <v>0.04629857896213427</v>
      </c>
      <c r="D481" t="n">
        <v>0.06</v>
      </c>
      <c r="E481" t="n">
        <v>0</v>
      </c>
    </row>
    <row r="482">
      <c r="A482" t="n">
        <v>481</v>
      </c>
      <c r="B482" t="n">
        <v>4.85</v>
      </c>
      <c r="C482" t="n">
        <v>0.03649017213407393</v>
      </c>
      <c r="D482" t="n">
        <v>0</v>
      </c>
      <c r="E482" t="n">
        <v>0</v>
      </c>
    </row>
    <row r="483">
      <c r="A483" t="n">
        <v>482</v>
      </c>
      <c r="B483" t="n">
        <v>0.35</v>
      </c>
      <c r="C483" t="n">
        <v>0.03716668553075152</v>
      </c>
      <c r="D483" t="n">
        <v>0</v>
      </c>
      <c r="E483" t="n">
        <v>0</v>
      </c>
    </row>
    <row r="484">
      <c r="A484" t="n">
        <v>483</v>
      </c>
      <c r="B484" t="n">
        <v>2.38</v>
      </c>
      <c r="C484" t="n">
        <v>0.06705792855416411</v>
      </c>
      <c r="D484" t="n">
        <v>0</v>
      </c>
      <c r="E484" t="n">
        <v>0</v>
      </c>
    </row>
    <row r="485">
      <c r="A485" t="n">
        <v>484</v>
      </c>
      <c r="B485" t="n">
        <v>0.27</v>
      </c>
      <c r="C485" t="n">
        <v>0.02799597633797565</v>
      </c>
      <c r="D485" t="n">
        <v>0.06</v>
      </c>
      <c r="E485" t="n">
        <v>0</v>
      </c>
    </row>
    <row r="486">
      <c r="A486" t="n">
        <v>485</v>
      </c>
      <c r="B486" t="n">
        <v>5.61</v>
      </c>
      <c r="C486" t="n">
        <v>0</v>
      </c>
      <c r="D486" t="n">
        <v>0</v>
      </c>
      <c r="E486" t="n">
        <v>0.04</v>
      </c>
    </row>
    <row r="487">
      <c r="A487" t="n">
        <v>486</v>
      </c>
      <c r="B487" t="n">
        <v>2.45</v>
      </c>
      <c r="C487" t="n">
        <v>0.062063973322338</v>
      </c>
      <c r="D487" t="n">
        <v>0</v>
      </c>
      <c r="E487" t="n">
        <v>0</v>
      </c>
    </row>
    <row r="488">
      <c r="A488" t="n">
        <v>487</v>
      </c>
      <c r="B488" t="n">
        <v>3.88</v>
      </c>
      <c r="C488" t="n">
        <v>0.0339709708155584</v>
      </c>
      <c r="D488" t="n">
        <v>0</v>
      </c>
      <c r="E488" t="n">
        <v>0</v>
      </c>
    </row>
    <row r="489">
      <c r="A489" t="n">
        <v>488</v>
      </c>
      <c r="B489" t="n">
        <v>5.22</v>
      </c>
      <c r="C489" t="n">
        <v>0.07963323811206084</v>
      </c>
      <c r="D489" t="n">
        <v>0</v>
      </c>
      <c r="E489" t="n">
        <v>0</v>
      </c>
    </row>
    <row r="490">
      <c r="A490" t="n">
        <v>489</v>
      </c>
      <c r="B490" t="n">
        <v>3.97</v>
      </c>
      <c r="C490" t="n">
        <v>0.04296013086744728</v>
      </c>
      <c r="D490" t="n">
        <v>0</v>
      </c>
      <c r="E490" t="n">
        <v>0</v>
      </c>
    </row>
    <row r="491">
      <c r="A491" t="n">
        <v>490</v>
      </c>
      <c r="B491" t="n">
        <v>1.07</v>
      </c>
      <c r="C491" t="n">
        <v>0.04280588075495655</v>
      </c>
      <c r="D491" t="n">
        <v>0</v>
      </c>
      <c r="E491" t="n">
        <v>0</v>
      </c>
    </row>
    <row r="492">
      <c r="A492" t="n">
        <v>491</v>
      </c>
      <c r="B492" t="n">
        <v>1.34</v>
      </c>
      <c r="C492" t="n">
        <v>0</v>
      </c>
      <c r="D492" t="n">
        <v>0.06</v>
      </c>
      <c r="E492" t="n">
        <v>0</v>
      </c>
    </row>
    <row r="493">
      <c r="A493" t="n">
        <v>492</v>
      </c>
      <c r="B493" t="n">
        <v>4.04</v>
      </c>
      <c r="C493" t="n">
        <v>0.04334918232715169</v>
      </c>
      <c r="D493" t="n">
        <v>0</v>
      </c>
      <c r="E493" t="n">
        <v>0</v>
      </c>
    </row>
    <row r="494">
      <c r="A494" t="n">
        <v>493</v>
      </c>
      <c r="B494" t="n">
        <v>1.49</v>
      </c>
      <c r="C494" t="n">
        <v>0.02812872002469477</v>
      </c>
      <c r="D494" t="n">
        <v>0.06</v>
      </c>
      <c r="E494" t="n">
        <v>0</v>
      </c>
    </row>
    <row r="495">
      <c r="A495" t="n">
        <v>494</v>
      </c>
      <c r="B495" t="n">
        <v>4.35</v>
      </c>
      <c r="C495" t="n">
        <v>0.003653859800214231</v>
      </c>
      <c r="D495" t="n">
        <v>0</v>
      </c>
      <c r="E495" t="n">
        <v>0</v>
      </c>
    </row>
    <row r="496">
      <c r="A496" t="n">
        <v>495</v>
      </c>
      <c r="B496" t="n">
        <v>4.6</v>
      </c>
      <c r="C496" t="n">
        <v>0.07581932601381997</v>
      </c>
      <c r="D496" t="n">
        <v>0.06</v>
      </c>
      <c r="E496" t="n">
        <v>0.04</v>
      </c>
    </row>
    <row r="497">
      <c r="A497" t="n">
        <v>496</v>
      </c>
      <c r="B497" t="n">
        <v>0.61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0.29</v>
      </c>
      <c r="C498" t="n">
        <v>0.05935043250672943</v>
      </c>
      <c r="D498" t="n">
        <v>0</v>
      </c>
      <c r="E498" t="n">
        <v>0.04</v>
      </c>
    </row>
    <row r="499">
      <c r="A499" t="n">
        <v>498</v>
      </c>
      <c r="B499" t="n">
        <v>1.3</v>
      </c>
      <c r="C499" t="n">
        <v>0.07291699248733194</v>
      </c>
      <c r="D499" t="n">
        <v>0.06</v>
      </c>
      <c r="E499" t="n">
        <v>0</v>
      </c>
    </row>
    <row r="500">
      <c r="A500" t="n">
        <v>499</v>
      </c>
      <c r="B500" t="n">
        <v>1.74</v>
      </c>
      <c r="C500" t="n">
        <v>0.06698268472195464</v>
      </c>
      <c r="D500" t="n">
        <v>0</v>
      </c>
      <c r="E500" t="n">
        <v>0</v>
      </c>
    </row>
    <row r="501">
      <c r="A501" t="n">
        <v>500</v>
      </c>
      <c r="B501" t="n">
        <v>3.59</v>
      </c>
      <c r="C501" t="n">
        <v>0.05340745980696524</v>
      </c>
      <c r="D501" t="n">
        <v>0</v>
      </c>
      <c r="E5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12"/>
  <sheetViews>
    <sheetView showGridLines="1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MONTE CARLO CONTINGENCY SIMULATOR</t>
        </is>
      </c>
    </row>
    <row r="3">
      <c r="A3" s="2" t="inlineStr">
        <is>
          <t>Metric</t>
        </is>
      </c>
      <c r="B3" s="2" t="inlineStr">
        <is>
          <t>Value</t>
        </is>
      </c>
      <c r="C3" s="2" t="inlineStr">
        <is>
          <t>Units</t>
        </is>
      </c>
      <c r="D3" s="2" t="inlineStr">
        <is>
          <t>Comment</t>
        </is>
      </c>
    </row>
    <row r="4">
      <c r="A4" s="3" t="inlineStr">
        <is>
          <t>Base total CAPEX</t>
        </is>
      </c>
      <c r="B4" s="15">
        <f>INPUTS!$B$6</f>
        <v/>
      </c>
      <c r="C4" t="inlineStr">
        <is>
          <t>EUR</t>
        </is>
      </c>
      <c r="D4" s="6" t="inlineStr">
        <is>
          <t>Canonical total.</t>
        </is>
      </c>
    </row>
    <row r="5">
      <c r="A5" s="3" t="inlineStr">
        <is>
          <t>Base contingency reserve</t>
        </is>
      </c>
      <c r="B5" s="15">
        <f>INPUTS!$B$7</f>
        <v/>
      </c>
      <c r="C5" t="inlineStr">
        <is>
          <t>EUR</t>
        </is>
      </c>
      <c r="D5" s="6" t="inlineStr">
        <is>
          <t>Embedded in baseline.</t>
        </is>
      </c>
    </row>
    <row r="6">
      <c r="A6" s="3" t="inlineStr">
        <is>
          <t>Expected additional overrun</t>
        </is>
      </c>
      <c r="B6" s="15">
        <f>AVERAGE(H13:H512)</f>
        <v/>
      </c>
      <c r="C6" t="inlineStr">
        <is>
          <t>EUR</t>
        </is>
      </c>
      <c r="D6" s="6" t="inlineStr">
        <is>
          <t>Mean overrun above baseline.</t>
        </is>
      </c>
    </row>
    <row r="7">
      <c r="A7" s="3" t="inlineStr">
        <is>
          <t>P50 total CAPEX</t>
        </is>
      </c>
      <c r="B7" s="15">
        <f>PERCENTILE.INC(G13:G512,0.5)</f>
        <v/>
      </c>
      <c r="C7" t="inlineStr">
        <is>
          <t>EUR</t>
        </is>
      </c>
      <c r="D7" s="6" t="inlineStr">
        <is>
          <t>Median simulated total.</t>
        </is>
      </c>
    </row>
    <row r="8">
      <c r="A8" s="3" t="inlineStr">
        <is>
          <t>P75 total CAPEX</t>
        </is>
      </c>
      <c r="B8" s="15">
        <f>PERCENTILE.INC(G13:G512,0.75)</f>
        <v/>
      </c>
      <c r="C8" t="inlineStr">
        <is>
          <t>EUR</t>
        </is>
      </c>
      <c r="D8" s="6" t="inlineStr">
        <is>
          <t>Upside stress.</t>
        </is>
      </c>
    </row>
    <row r="9">
      <c r="A9" s="3" t="inlineStr">
        <is>
          <t>P90 total CAPEX</t>
        </is>
      </c>
      <c r="B9" s="15">
        <f>PERCENTILE.INC(G13:G512,0.9)</f>
        <v/>
      </c>
      <c r="C9" t="inlineStr">
        <is>
          <t>EUR</t>
        </is>
      </c>
      <c r="D9" s="6" t="inlineStr">
        <is>
          <t>Conservative stress.</t>
        </is>
      </c>
    </row>
    <row r="10">
      <c r="A10" s="3" t="inlineStr">
        <is>
          <t>Probability reserve exhausted</t>
        </is>
      </c>
      <c r="B10" s="11">
        <f>COUNTIF(I13:I512,"&gt;0")/INPUTS!$G$33</f>
        <v/>
      </c>
      <c r="C10" t="inlineStr">
        <is>
          <t>%</t>
        </is>
      </c>
      <c r="D10" s="6" t="inlineStr">
        <is>
          <t>Residual funding gap &gt; 0.</t>
        </is>
      </c>
    </row>
    <row r="11">
      <c r="A11" s="2" t="inlineStr">
        <is>
          <t>Trial</t>
        </is>
      </c>
      <c r="B11" s="24" t="inlineStr">
        <is>
          <t>Delay Months</t>
        </is>
      </c>
      <c r="C11" s="2" t="inlineStr">
        <is>
          <t>Materials Shock</t>
        </is>
      </c>
      <c r="D11" s="2" t="inlineStr">
        <is>
          <t>Lead Event</t>
        </is>
      </c>
      <c r="E11" s="2" t="inlineStr">
        <is>
          <t>Commissioning Event</t>
        </is>
      </c>
      <c r="F11" s="2" t="inlineStr">
        <is>
          <t>Overrun %</t>
        </is>
      </c>
      <c r="G11" s="2" t="inlineStr">
        <is>
          <t>Total CAPEX</t>
        </is>
      </c>
      <c r="H11" s="2" t="inlineStr">
        <is>
          <t>Additional Overrun</t>
        </is>
      </c>
      <c r="I11" s="2" t="inlineStr">
        <is>
          <t>Residual Funding Gap</t>
        </is>
      </c>
      <c r="K11" s="2" t="inlineStr">
        <is>
          <t>Bin</t>
        </is>
      </c>
      <c r="L11" s="2" t="inlineStr">
        <is>
          <t>Count</t>
        </is>
      </c>
    </row>
    <row r="12">
      <c r="K12" s="26" t="n">
        <v>0</v>
      </c>
      <c r="L12">
        <f>COUNTIFS($F$13:$F$512,"&gt;="&amp;K12,$F$13:$F$512,"&lt;"&amp;K13)</f>
        <v/>
      </c>
    </row>
    <row r="13">
      <c r="A13" s="14">
        <f>MC_SEEDS!A2</f>
        <v/>
      </c>
      <c r="B13" s="27">
        <f>MC_SEEDS!B2</f>
        <v/>
      </c>
      <c r="C13" s="11">
        <f>MC_SEEDS!C2</f>
        <v/>
      </c>
      <c r="D13" s="11">
        <f>MC_SEEDS!D2</f>
        <v/>
      </c>
      <c r="E13" s="11">
        <f>MC_SEEDS!E2</f>
        <v/>
      </c>
      <c r="F13" s="11">
        <f>B13*INPUTS!$G$35*INPUTS!$G$42 + C13*INPUTS!$G$42 + D13*INPUTS!$G$43 + E13*INPUTS!$G$44</f>
        <v/>
      </c>
      <c r="G13" s="15">
        <f>INPUTS!$B$6*(1+F13)</f>
        <v/>
      </c>
      <c r="H13" s="15">
        <f>G13-INPUTS!$B$6</f>
        <v/>
      </c>
      <c r="I13" s="15">
        <f>MAX(0,H13-INPUTS!$B$7)</f>
        <v/>
      </c>
      <c r="K13" s="26" t="n">
        <v>0.02</v>
      </c>
      <c r="L13">
        <f>COUNTIFS($F$13:$F$512,"&gt;="&amp;K13,$F$13:$F$512,"&lt;"&amp;K14)</f>
        <v/>
      </c>
    </row>
    <row r="14">
      <c r="A14" s="14">
        <f>MC_SEEDS!A3</f>
        <v/>
      </c>
      <c r="B14" s="27">
        <f>MC_SEEDS!B3</f>
        <v/>
      </c>
      <c r="C14" s="11">
        <f>MC_SEEDS!C3</f>
        <v/>
      </c>
      <c r="D14" s="11">
        <f>MC_SEEDS!D3</f>
        <v/>
      </c>
      <c r="E14" s="11">
        <f>MC_SEEDS!E3</f>
        <v/>
      </c>
      <c r="F14" s="11">
        <f>B14*INPUTS!$G$35*INPUTS!$G$42 + C14*INPUTS!$G$42 + D14*INPUTS!$G$43 + E14*INPUTS!$G$44</f>
        <v/>
      </c>
      <c r="G14" s="15">
        <f>INPUTS!$B$6*(1+F14)</f>
        <v/>
      </c>
      <c r="H14" s="15">
        <f>G14-INPUTS!$B$6</f>
        <v/>
      </c>
      <c r="I14" s="15">
        <f>MAX(0,H14-INPUTS!$B$7)</f>
        <v/>
      </c>
      <c r="K14" s="26" t="n">
        <v>0.04</v>
      </c>
      <c r="L14">
        <f>COUNTIFS($F$13:$F$512,"&gt;="&amp;K14,$F$13:$F$512,"&lt;"&amp;K15)</f>
        <v/>
      </c>
    </row>
    <row r="15">
      <c r="A15" s="14">
        <f>MC_SEEDS!A4</f>
        <v/>
      </c>
      <c r="B15" s="27">
        <f>MC_SEEDS!B4</f>
        <v/>
      </c>
      <c r="C15" s="11">
        <f>MC_SEEDS!C4</f>
        <v/>
      </c>
      <c r="D15" s="11">
        <f>MC_SEEDS!D4</f>
        <v/>
      </c>
      <c r="E15" s="11">
        <f>MC_SEEDS!E4</f>
        <v/>
      </c>
      <c r="F15" s="11">
        <f>B15*INPUTS!$G$35*INPUTS!$G$42 + C15*INPUTS!$G$42 + D15*INPUTS!$G$43 + E15*INPUTS!$G$44</f>
        <v/>
      </c>
      <c r="G15" s="15">
        <f>INPUTS!$B$6*(1+F15)</f>
        <v/>
      </c>
      <c r="H15" s="15">
        <f>G15-INPUTS!$B$6</f>
        <v/>
      </c>
      <c r="I15" s="15">
        <f>MAX(0,H15-INPUTS!$B$7)</f>
        <v/>
      </c>
      <c r="K15" s="26" t="n">
        <v>0.06</v>
      </c>
      <c r="L15">
        <f>COUNTIFS($F$13:$F$512,"&gt;="&amp;K15,$F$13:$F$512,"&lt;"&amp;K16)</f>
        <v/>
      </c>
    </row>
    <row r="16">
      <c r="A16" s="14">
        <f>MC_SEEDS!A5</f>
        <v/>
      </c>
      <c r="B16" s="27">
        <f>MC_SEEDS!B5</f>
        <v/>
      </c>
      <c r="C16" s="11">
        <f>MC_SEEDS!C5</f>
        <v/>
      </c>
      <c r="D16" s="11">
        <f>MC_SEEDS!D5</f>
        <v/>
      </c>
      <c r="E16" s="11">
        <f>MC_SEEDS!E5</f>
        <v/>
      </c>
      <c r="F16" s="11">
        <f>B16*INPUTS!$G$35*INPUTS!$G$42 + C16*INPUTS!$G$42 + D16*INPUTS!$G$43 + E16*INPUTS!$G$44</f>
        <v/>
      </c>
      <c r="G16" s="15">
        <f>INPUTS!$B$6*(1+F16)</f>
        <v/>
      </c>
      <c r="H16" s="15">
        <f>G16-INPUTS!$B$6</f>
        <v/>
      </c>
      <c r="I16" s="15">
        <f>MAX(0,H16-INPUTS!$B$7)</f>
        <v/>
      </c>
      <c r="K16" s="26" t="n">
        <v>0.08</v>
      </c>
      <c r="L16">
        <f>COUNTIFS($F$13:$F$512,"&gt;="&amp;K16,$F$13:$F$512,"&lt;"&amp;K17)</f>
        <v/>
      </c>
    </row>
    <row r="17">
      <c r="A17" s="14">
        <f>MC_SEEDS!A6</f>
        <v/>
      </c>
      <c r="B17" s="27">
        <f>MC_SEEDS!B6</f>
        <v/>
      </c>
      <c r="C17" s="11">
        <f>MC_SEEDS!C6</f>
        <v/>
      </c>
      <c r="D17" s="11">
        <f>MC_SEEDS!D6</f>
        <v/>
      </c>
      <c r="E17" s="11">
        <f>MC_SEEDS!E6</f>
        <v/>
      </c>
      <c r="F17" s="11">
        <f>B17*INPUTS!$G$35*INPUTS!$G$42 + C17*INPUTS!$G$42 + D17*INPUTS!$G$43 + E17*INPUTS!$G$44</f>
        <v/>
      </c>
      <c r="G17" s="15">
        <f>INPUTS!$B$6*(1+F17)</f>
        <v/>
      </c>
      <c r="H17" s="15">
        <f>G17-INPUTS!$B$6</f>
        <v/>
      </c>
      <c r="I17" s="15">
        <f>MAX(0,H17-INPUTS!$B$7)</f>
        <v/>
      </c>
      <c r="K17" s="26" t="n">
        <v>0.1</v>
      </c>
      <c r="L17">
        <f>COUNTIFS($F$13:$F$512,"&gt;="&amp;K17,$F$13:$F$512,"&lt;"&amp;K18)</f>
        <v/>
      </c>
    </row>
    <row r="18">
      <c r="A18" s="14">
        <f>MC_SEEDS!A7</f>
        <v/>
      </c>
      <c r="B18" s="27">
        <f>MC_SEEDS!B7</f>
        <v/>
      </c>
      <c r="C18" s="11">
        <f>MC_SEEDS!C7</f>
        <v/>
      </c>
      <c r="D18" s="11">
        <f>MC_SEEDS!D7</f>
        <v/>
      </c>
      <c r="E18" s="11">
        <f>MC_SEEDS!E7</f>
        <v/>
      </c>
      <c r="F18" s="11">
        <f>B18*INPUTS!$G$35*INPUTS!$G$42 + C18*INPUTS!$G$42 + D18*INPUTS!$G$43 + E18*INPUTS!$G$44</f>
        <v/>
      </c>
      <c r="G18" s="15">
        <f>INPUTS!$B$6*(1+F18)</f>
        <v/>
      </c>
      <c r="H18" s="15">
        <f>G18-INPUTS!$B$6</f>
        <v/>
      </c>
      <c r="I18" s="15">
        <f>MAX(0,H18-INPUTS!$B$7)</f>
        <v/>
      </c>
      <c r="K18" s="26" t="n">
        <v>0.12</v>
      </c>
      <c r="L18">
        <f>COUNTIF($F$13:$F$512,"&gt;="&amp;K18)</f>
        <v/>
      </c>
    </row>
    <row r="19">
      <c r="A19" s="14">
        <f>MC_SEEDS!A8</f>
        <v/>
      </c>
      <c r="B19" s="27">
        <f>MC_SEEDS!B8</f>
        <v/>
      </c>
      <c r="C19" s="11">
        <f>MC_SEEDS!C8</f>
        <v/>
      </c>
      <c r="D19" s="11">
        <f>MC_SEEDS!D8</f>
        <v/>
      </c>
      <c r="E19" s="11">
        <f>MC_SEEDS!E8</f>
        <v/>
      </c>
      <c r="F19" s="11">
        <f>B19*INPUTS!$G$35*INPUTS!$G$42 + C19*INPUTS!$G$42 + D19*INPUTS!$G$43 + E19*INPUTS!$G$44</f>
        <v/>
      </c>
      <c r="G19" s="15">
        <f>INPUTS!$B$6*(1+F19)</f>
        <v/>
      </c>
      <c r="H19" s="15">
        <f>G19-INPUTS!$B$6</f>
        <v/>
      </c>
      <c r="I19" s="15">
        <f>MAX(0,H19-INPUTS!$B$7)</f>
        <v/>
      </c>
    </row>
    <row r="20">
      <c r="A20" s="14">
        <f>MC_SEEDS!A9</f>
        <v/>
      </c>
      <c r="B20" s="27">
        <f>MC_SEEDS!B9</f>
        <v/>
      </c>
      <c r="C20" s="11">
        <f>MC_SEEDS!C9</f>
        <v/>
      </c>
      <c r="D20" s="11">
        <f>MC_SEEDS!D9</f>
        <v/>
      </c>
      <c r="E20" s="11">
        <f>MC_SEEDS!E9</f>
        <v/>
      </c>
      <c r="F20" s="11">
        <f>B20*INPUTS!$G$35*INPUTS!$G$42 + C20*INPUTS!$G$42 + D20*INPUTS!$G$43 + E20*INPUTS!$G$44</f>
        <v/>
      </c>
      <c r="G20" s="15">
        <f>INPUTS!$B$6*(1+F20)</f>
        <v/>
      </c>
      <c r="H20" s="15">
        <f>G20-INPUTS!$B$6</f>
        <v/>
      </c>
      <c r="I20" s="15">
        <f>MAX(0,H20-INPUTS!$B$7)</f>
        <v/>
      </c>
    </row>
    <row r="21">
      <c r="A21" s="14">
        <f>MC_SEEDS!A10</f>
        <v/>
      </c>
      <c r="B21" s="27">
        <f>MC_SEEDS!B10</f>
        <v/>
      </c>
      <c r="C21" s="11">
        <f>MC_SEEDS!C10</f>
        <v/>
      </c>
      <c r="D21" s="11">
        <f>MC_SEEDS!D10</f>
        <v/>
      </c>
      <c r="E21" s="11">
        <f>MC_SEEDS!E10</f>
        <v/>
      </c>
      <c r="F21" s="11">
        <f>B21*INPUTS!$G$35*INPUTS!$G$42 + C21*INPUTS!$G$42 + D21*INPUTS!$G$43 + E21*INPUTS!$G$44</f>
        <v/>
      </c>
      <c r="G21" s="15">
        <f>INPUTS!$B$6*(1+F21)</f>
        <v/>
      </c>
      <c r="H21" s="15">
        <f>G21-INPUTS!$B$6</f>
        <v/>
      </c>
      <c r="I21" s="15">
        <f>MAX(0,H21-INPUTS!$B$7)</f>
        <v/>
      </c>
    </row>
    <row r="22">
      <c r="A22" s="14">
        <f>MC_SEEDS!A11</f>
        <v/>
      </c>
      <c r="B22" s="27">
        <f>MC_SEEDS!B11</f>
        <v/>
      </c>
      <c r="C22" s="11">
        <f>MC_SEEDS!C11</f>
        <v/>
      </c>
      <c r="D22" s="11">
        <f>MC_SEEDS!D11</f>
        <v/>
      </c>
      <c r="E22" s="11">
        <f>MC_SEEDS!E11</f>
        <v/>
      </c>
      <c r="F22" s="11">
        <f>B22*INPUTS!$G$35*INPUTS!$G$42 + C22*INPUTS!$G$42 + D22*INPUTS!$G$43 + E22*INPUTS!$G$44</f>
        <v/>
      </c>
      <c r="G22" s="15">
        <f>INPUTS!$B$6*(1+F22)</f>
        <v/>
      </c>
      <c r="H22" s="15">
        <f>G22-INPUTS!$B$6</f>
        <v/>
      </c>
      <c r="I22" s="15">
        <f>MAX(0,H22-INPUTS!$B$7)</f>
        <v/>
      </c>
    </row>
    <row r="23">
      <c r="A23" s="14">
        <f>MC_SEEDS!A12</f>
        <v/>
      </c>
      <c r="B23" s="27">
        <f>MC_SEEDS!B12</f>
        <v/>
      </c>
      <c r="C23" s="11">
        <f>MC_SEEDS!C12</f>
        <v/>
      </c>
      <c r="D23" s="11">
        <f>MC_SEEDS!D12</f>
        <v/>
      </c>
      <c r="E23" s="11">
        <f>MC_SEEDS!E12</f>
        <v/>
      </c>
      <c r="F23" s="11">
        <f>B23*INPUTS!$G$35*INPUTS!$G$42 + C23*INPUTS!$G$42 + D23*INPUTS!$G$43 + E23*INPUTS!$G$44</f>
        <v/>
      </c>
      <c r="G23" s="15">
        <f>INPUTS!$B$6*(1+F23)</f>
        <v/>
      </c>
      <c r="H23" s="15">
        <f>G23-INPUTS!$B$6</f>
        <v/>
      </c>
      <c r="I23" s="15">
        <f>MAX(0,H23-INPUTS!$B$7)</f>
        <v/>
      </c>
    </row>
    <row r="24">
      <c r="A24" s="14">
        <f>MC_SEEDS!A13</f>
        <v/>
      </c>
      <c r="B24" s="27">
        <f>MC_SEEDS!B13</f>
        <v/>
      </c>
      <c r="C24" s="11">
        <f>MC_SEEDS!C13</f>
        <v/>
      </c>
      <c r="D24" s="11">
        <f>MC_SEEDS!D13</f>
        <v/>
      </c>
      <c r="E24" s="11">
        <f>MC_SEEDS!E13</f>
        <v/>
      </c>
      <c r="F24" s="11">
        <f>B24*INPUTS!$G$35*INPUTS!$G$42 + C24*INPUTS!$G$42 + D24*INPUTS!$G$43 + E24*INPUTS!$G$44</f>
        <v/>
      </c>
      <c r="G24" s="15">
        <f>INPUTS!$B$6*(1+F24)</f>
        <v/>
      </c>
      <c r="H24" s="15">
        <f>G24-INPUTS!$B$6</f>
        <v/>
      </c>
      <c r="I24" s="15">
        <f>MAX(0,H24-INPUTS!$B$7)</f>
        <v/>
      </c>
    </row>
    <row r="25">
      <c r="A25" s="14">
        <f>MC_SEEDS!A14</f>
        <v/>
      </c>
      <c r="B25" s="27">
        <f>MC_SEEDS!B14</f>
        <v/>
      </c>
      <c r="C25" s="11">
        <f>MC_SEEDS!C14</f>
        <v/>
      </c>
      <c r="D25" s="11">
        <f>MC_SEEDS!D14</f>
        <v/>
      </c>
      <c r="E25" s="11">
        <f>MC_SEEDS!E14</f>
        <v/>
      </c>
      <c r="F25" s="11">
        <f>B25*INPUTS!$G$35*INPUTS!$G$42 + C25*INPUTS!$G$42 + D25*INPUTS!$G$43 + E25*INPUTS!$G$44</f>
        <v/>
      </c>
      <c r="G25" s="15">
        <f>INPUTS!$B$6*(1+F25)</f>
        <v/>
      </c>
      <c r="H25" s="15">
        <f>G25-INPUTS!$B$6</f>
        <v/>
      </c>
      <c r="I25" s="15">
        <f>MAX(0,H25-INPUTS!$B$7)</f>
        <v/>
      </c>
    </row>
    <row r="26">
      <c r="A26" s="14">
        <f>MC_SEEDS!A15</f>
        <v/>
      </c>
      <c r="B26" s="27">
        <f>MC_SEEDS!B15</f>
        <v/>
      </c>
      <c r="C26" s="11">
        <f>MC_SEEDS!C15</f>
        <v/>
      </c>
      <c r="D26" s="11">
        <f>MC_SEEDS!D15</f>
        <v/>
      </c>
      <c r="E26" s="11">
        <f>MC_SEEDS!E15</f>
        <v/>
      </c>
      <c r="F26" s="11">
        <f>B26*INPUTS!$G$35*INPUTS!$G$42 + C26*INPUTS!$G$42 + D26*INPUTS!$G$43 + E26*INPUTS!$G$44</f>
        <v/>
      </c>
      <c r="G26" s="15">
        <f>INPUTS!$B$6*(1+F26)</f>
        <v/>
      </c>
      <c r="H26" s="15">
        <f>G26-INPUTS!$B$6</f>
        <v/>
      </c>
      <c r="I26" s="15">
        <f>MAX(0,H26-INPUTS!$B$7)</f>
        <v/>
      </c>
    </row>
    <row r="27">
      <c r="A27" s="14">
        <f>MC_SEEDS!A16</f>
        <v/>
      </c>
      <c r="B27" s="27">
        <f>MC_SEEDS!B16</f>
        <v/>
      </c>
      <c r="C27" s="11">
        <f>MC_SEEDS!C16</f>
        <v/>
      </c>
      <c r="D27" s="11">
        <f>MC_SEEDS!D16</f>
        <v/>
      </c>
      <c r="E27" s="11">
        <f>MC_SEEDS!E16</f>
        <v/>
      </c>
      <c r="F27" s="11">
        <f>B27*INPUTS!$G$35*INPUTS!$G$42 + C27*INPUTS!$G$42 + D27*INPUTS!$G$43 + E27*INPUTS!$G$44</f>
        <v/>
      </c>
      <c r="G27" s="15">
        <f>INPUTS!$B$6*(1+F27)</f>
        <v/>
      </c>
      <c r="H27" s="15">
        <f>G27-INPUTS!$B$6</f>
        <v/>
      </c>
      <c r="I27" s="15">
        <f>MAX(0,H27-INPUTS!$B$7)</f>
        <v/>
      </c>
    </row>
    <row r="28">
      <c r="A28" s="14">
        <f>MC_SEEDS!A17</f>
        <v/>
      </c>
      <c r="B28" s="27">
        <f>MC_SEEDS!B17</f>
        <v/>
      </c>
      <c r="C28" s="11">
        <f>MC_SEEDS!C17</f>
        <v/>
      </c>
      <c r="D28" s="11">
        <f>MC_SEEDS!D17</f>
        <v/>
      </c>
      <c r="E28" s="11">
        <f>MC_SEEDS!E17</f>
        <v/>
      </c>
      <c r="F28" s="11">
        <f>B28*INPUTS!$G$35*INPUTS!$G$42 + C28*INPUTS!$G$42 + D28*INPUTS!$G$43 + E28*INPUTS!$G$44</f>
        <v/>
      </c>
      <c r="G28" s="15">
        <f>INPUTS!$B$6*(1+F28)</f>
        <v/>
      </c>
      <c r="H28" s="15">
        <f>G28-INPUTS!$B$6</f>
        <v/>
      </c>
      <c r="I28" s="15">
        <f>MAX(0,H28-INPUTS!$B$7)</f>
        <v/>
      </c>
    </row>
    <row r="29">
      <c r="A29" s="14">
        <f>MC_SEEDS!A18</f>
        <v/>
      </c>
      <c r="B29" s="27">
        <f>MC_SEEDS!B18</f>
        <v/>
      </c>
      <c r="C29" s="11">
        <f>MC_SEEDS!C18</f>
        <v/>
      </c>
      <c r="D29" s="11">
        <f>MC_SEEDS!D18</f>
        <v/>
      </c>
      <c r="E29" s="11">
        <f>MC_SEEDS!E18</f>
        <v/>
      </c>
      <c r="F29" s="11">
        <f>B29*INPUTS!$G$35*INPUTS!$G$42 + C29*INPUTS!$G$42 + D29*INPUTS!$G$43 + E29*INPUTS!$G$44</f>
        <v/>
      </c>
      <c r="G29" s="15">
        <f>INPUTS!$B$6*(1+F29)</f>
        <v/>
      </c>
      <c r="H29" s="15">
        <f>G29-INPUTS!$B$6</f>
        <v/>
      </c>
      <c r="I29" s="15">
        <f>MAX(0,H29-INPUTS!$B$7)</f>
        <v/>
      </c>
    </row>
    <row r="30">
      <c r="A30" s="14">
        <f>MC_SEEDS!A19</f>
        <v/>
      </c>
      <c r="B30" s="27">
        <f>MC_SEEDS!B19</f>
        <v/>
      </c>
      <c r="C30" s="11">
        <f>MC_SEEDS!C19</f>
        <v/>
      </c>
      <c r="D30" s="11">
        <f>MC_SEEDS!D19</f>
        <v/>
      </c>
      <c r="E30" s="11">
        <f>MC_SEEDS!E19</f>
        <v/>
      </c>
      <c r="F30" s="11">
        <f>B30*INPUTS!$G$35*INPUTS!$G$42 + C30*INPUTS!$G$42 + D30*INPUTS!$G$43 + E30*INPUTS!$G$44</f>
        <v/>
      </c>
      <c r="G30" s="15">
        <f>INPUTS!$B$6*(1+F30)</f>
        <v/>
      </c>
      <c r="H30" s="15">
        <f>G30-INPUTS!$B$6</f>
        <v/>
      </c>
      <c r="I30" s="15">
        <f>MAX(0,H30-INPUTS!$B$7)</f>
        <v/>
      </c>
    </row>
    <row r="31">
      <c r="A31" s="14">
        <f>MC_SEEDS!A20</f>
        <v/>
      </c>
      <c r="B31" s="27">
        <f>MC_SEEDS!B20</f>
        <v/>
      </c>
      <c r="C31" s="11">
        <f>MC_SEEDS!C20</f>
        <v/>
      </c>
      <c r="D31" s="11">
        <f>MC_SEEDS!D20</f>
        <v/>
      </c>
      <c r="E31" s="11">
        <f>MC_SEEDS!E20</f>
        <v/>
      </c>
      <c r="F31" s="11">
        <f>B31*INPUTS!$G$35*INPUTS!$G$42 + C31*INPUTS!$G$42 + D31*INPUTS!$G$43 + E31*INPUTS!$G$44</f>
        <v/>
      </c>
      <c r="G31" s="15">
        <f>INPUTS!$B$6*(1+F31)</f>
        <v/>
      </c>
      <c r="H31" s="15">
        <f>G31-INPUTS!$B$6</f>
        <v/>
      </c>
      <c r="I31" s="15">
        <f>MAX(0,H31-INPUTS!$B$7)</f>
        <v/>
      </c>
    </row>
    <row r="32">
      <c r="A32" s="14">
        <f>MC_SEEDS!A21</f>
        <v/>
      </c>
      <c r="B32" s="27">
        <f>MC_SEEDS!B21</f>
        <v/>
      </c>
      <c r="C32" s="11">
        <f>MC_SEEDS!C21</f>
        <v/>
      </c>
      <c r="D32" s="11">
        <f>MC_SEEDS!D21</f>
        <v/>
      </c>
      <c r="E32" s="11">
        <f>MC_SEEDS!E21</f>
        <v/>
      </c>
      <c r="F32" s="11">
        <f>B32*INPUTS!$G$35*INPUTS!$G$42 + C32*INPUTS!$G$42 + D32*INPUTS!$G$43 + E32*INPUTS!$G$44</f>
        <v/>
      </c>
      <c r="G32" s="15">
        <f>INPUTS!$B$6*(1+F32)</f>
        <v/>
      </c>
      <c r="H32" s="15">
        <f>G32-INPUTS!$B$6</f>
        <v/>
      </c>
      <c r="I32" s="15">
        <f>MAX(0,H32-INPUTS!$B$7)</f>
        <v/>
      </c>
    </row>
    <row r="33">
      <c r="A33" s="14">
        <f>MC_SEEDS!A22</f>
        <v/>
      </c>
      <c r="B33" s="27">
        <f>MC_SEEDS!B22</f>
        <v/>
      </c>
      <c r="C33" s="11">
        <f>MC_SEEDS!C22</f>
        <v/>
      </c>
      <c r="D33" s="11">
        <f>MC_SEEDS!D22</f>
        <v/>
      </c>
      <c r="E33" s="11">
        <f>MC_SEEDS!E22</f>
        <v/>
      </c>
      <c r="F33" s="11">
        <f>B33*INPUTS!$G$35*INPUTS!$G$42 + C33*INPUTS!$G$42 + D33*INPUTS!$G$43 + E33*INPUTS!$G$44</f>
        <v/>
      </c>
      <c r="G33" s="15">
        <f>INPUTS!$B$6*(1+F33)</f>
        <v/>
      </c>
      <c r="H33" s="15">
        <f>G33-INPUTS!$B$6</f>
        <v/>
      </c>
      <c r="I33" s="15">
        <f>MAX(0,H33-INPUTS!$B$7)</f>
        <v/>
      </c>
    </row>
    <row r="34">
      <c r="A34" s="14">
        <f>MC_SEEDS!A23</f>
        <v/>
      </c>
      <c r="B34" s="27">
        <f>MC_SEEDS!B23</f>
        <v/>
      </c>
      <c r="C34" s="11">
        <f>MC_SEEDS!C23</f>
        <v/>
      </c>
      <c r="D34" s="11">
        <f>MC_SEEDS!D23</f>
        <v/>
      </c>
      <c r="E34" s="11">
        <f>MC_SEEDS!E23</f>
        <v/>
      </c>
      <c r="F34" s="11">
        <f>B34*INPUTS!$G$35*INPUTS!$G$42 + C34*INPUTS!$G$42 + D34*INPUTS!$G$43 + E34*INPUTS!$G$44</f>
        <v/>
      </c>
      <c r="G34" s="15">
        <f>INPUTS!$B$6*(1+F34)</f>
        <v/>
      </c>
      <c r="H34" s="15">
        <f>G34-INPUTS!$B$6</f>
        <v/>
      </c>
      <c r="I34" s="15">
        <f>MAX(0,H34-INPUTS!$B$7)</f>
        <v/>
      </c>
    </row>
    <row r="35">
      <c r="A35" s="14">
        <f>MC_SEEDS!A24</f>
        <v/>
      </c>
      <c r="B35" s="27">
        <f>MC_SEEDS!B24</f>
        <v/>
      </c>
      <c r="C35" s="11">
        <f>MC_SEEDS!C24</f>
        <v/>
      </c>
      <c r="D35" s="11">
        <f>MC_SEEDS!D24</f>
        <v/>
      </c>
      <c r="E35" s="11">
        <f>MC_SEEDS!E24</f>
        <v/>
      </c>
      <c r="F35" s="11">
        <f>B35*INPUTS!$G$35*INPUTS!$G$42 + C35*INPUTS!$G$42 + D35*INPUTS!$G$43 + E35*INPUTS!$G$44</f>
        <v/>
      </c>
      <c r="G35" s="15">
        <f>INPUTS!$B$6*(1+F35)</f>
        <v/>
      </c>
      <c r="H35" s="15">
        <f>G35-INPUTS!$B$6</f>
        <v/>
      </c>
      <c r="I35" s="15">
        <f>MAX(0,H35-INPUTS!$B$7)</f>
        <v/>
      </c>
    </row>
    <row r="36">
      <c r="A36" s="14">
        <f>MC_SEEDS!A25</f>
        <v/>
      </c>
      <c r="B36" s="27">
        <f>MC_SEEDS!B25</f>
        <v/>
      </c>
      <c r="C36" s="11">
        <f>MC_SEEDS!C25</f>
        <v/>
      </c>
      <c r="D36" s="11">
        <f>MC_SEEDS!D25</f>
        <v/>
      </c>
      <c r="E36" s="11">
        <f>MC_SEEDS!E25</f>
        <v/>
      </c>
      <c r="F36" s="11">
        <f>B36*INPUTS!$G$35*INPUTS!$G$42 + C36*INPUTS!$G$42 + D36*INPUTS!$G$43 + E36*INPUTS!$G$44</f>
        <v/>
      </c>
      <c r="G36" s="15">
        <f>INPUTS!$B$6*(1+F36)</f>
        <v/>
      </c>
      <c r="H36" s="15">
        <f>G36-INPUTS!$B$6</f>
        <v/>
      </c>
      <c r="I36" s="15">
        <f>MAX(0,H36-INPUTS!$B$7)</f>
        <v/>
      </c>
    </row>
    <row r="37">
      <c r="A37" s="14">
        <f>MC_SEEDS!A26</f>
        <v/>
      </c>
      <c r="B37" s="27">
        <f>MC_SEEDS!B26</f>
        <v/>
      </c>
      <c r="C37" s="11">
        <f>MC_SEEDS!C26</f>
        <v/>
      </c>
      <c r="D37" s="11">
        <f>MC_SEEDS!D26</f>
        <v/>
      </c>
      <c r="E37" s="11">
        <f>MC_SEEDS!E26</f>
        <v/>
      </c>
      <c r="F37" s="11">
        <f>B37*INPUTS!$G$35*INPUTS!$G$42 + C37*INPUTS!$G$42 + D37*INPUTS!$G$43 + E37*INPUTS!$G$44</f>
        <v/>
      </c>
      <c r="G37" s="15">
        <f>INPUTS!$B$6*(1+F37)</f>
        <v/>
      </c>
      <c r="H37" s="15">
        <f>G37-INPUTS!$B$6</f>
        <v/>
      </c>
      <c r="I37" s="15">
        <f>MAX(0,H37-INPUTS!$B$7)</f>
        <v/>
      </c>
    </row>
    <row r="38">
      <c r="A38" s="14">
        <f>MC_SEEDS!A27</f>
        <v/>
      </c>
      <c r="B38" s="27">
        <f>MC_SEEDS!B27</f>
        <v/>
      </c>
      <c r="C38" s="11">
        <f>MC_SEEDS!C27</f>
        <v/>
      </c>
      <c r="D38" s="11">
        <f>MC_SEEDS!D27</f>
        <v/>
      </c>
      <c r="E38" s="11">
        <f>MC_SEEDS!E27</f>
        <v/>
      </c>
      <c r="F38" s="11">
        <f>B38*INPUTS!$G$35*INPUTS!$G$42 + C38*INPUTS!$G$42 + D38*INPUTS!$G$43 + E38*INPUTS!$G$44</f>
        <v/>
      </c>
      <c r="G38" s="15">
        <f>INPUTS!$B$6*(1+F38)</f>
        <v/>
      </c>
      <c r="H38" s="15">
        <f>G38-INPUTS!$B$6</f>
        <v/>
      </c>
      <c r="I38" s="15">
        <f>MAX(0,H38-INPUTS!$B$7)</f>
        <v/>
      </c>
    </row>
    <row r="39">
      <c r="A39" s="14">
        <f>MC_SEEDS!A28</f>
        <v/>
      </c>
      <c r="B39" s="27">
        <f>MC_SEEDS!B28</f>
        <v/>
      </c>
      <c r="C39" s="11">
        <f>MC_SEEDS!C28</f>
        <v/>
      </c>
      <c r="D39" s="11">
        <f>MC_SEEDS!D28</f>
        <v/>
      </c>
      <c r="E39" s="11">
        <f>MC_SEEDS!E28</f>
        <v/>
      </c>
      <c r="F39" s="11">
        <f>B39*INPUTS!$G$35*INPUTS!$G$42 + C39*INPUTS!$G$42 + D39*INPUTS!$G$43 + E39*INPUTS!$G$44</f>
        <v/>
      </c>
      <c r="G39" s="15">
        <f>INPUTS!$B$6*(1+F39)</f>
        <v/>
      </c>
      <c r="H39" s="15">
        <f>G39-INPUTS!$B$6</f>
        <v/>
      </c>
      <c r="I39" s="15">
        <f>MAX(0,H39-INPUTS!$B$7)</f>
        <v/>
      </c>
    </row>
    <row r="40">
      <c r="A40" s="14">
        <f>MC_SEEDS!A29</f>
        <v/>
      </c>
      <c r="B40" s="27">
        <f>MC_SEEDS!B29</f>
        <v/>
      </c>
      <c r="C40" s="11">
        <f>MC_SEEDS!C29</f>
        <v/>
      </c>
      <c r="D40" s="11">
        <f>MC_SEEDS!D29</f>
        <v/>
      </c>
      <c r="E40" s="11">
        <f>MC_SEEDS!E29</f>
        <v/>
      </c>
      <c r="F40" s="11">
        <f>B40*INPUTS!$G$35*INPUTS!$G$42 + C40*INPUTS!$G$42 + D40*INPUTS!$G$43 + E40*INPUTS!$G$44</f>
        <v/>
      </c>
      <c r="G40" s="15">
        <f>INPUTS!$B$6*(1+F40)</f>
        <v/>
      </c>
      <c r="H40" s="15">
        <f>G40-INPUTS!$B$6</f>
        <v/>
      </c>
      <c r="I40" s="15">
        <f>MAX(0,H40-INPUTS!$B$7)</f>
        <v/>
      </c>
    </row>
    <row r="41">
      <c r="A41" s="14">
        <f>MC_SEEDS!A30</f>
        <v/>
      </c>
      <c r="B41" s="27">
        <f>MC_SEEDS!B30</f>
        <v/>
      </c>
      <c r="C41" s="11">
        <f>MC_SEEDS!C30</f>
        <v/>
      </c>
      <c r="D41" s="11">
        <f>MC_SEEDS!D30</f>
        <v/>
      </c>
      <c r="E41" s="11">
        <f>MC_SEEDS!E30</f>
        <v/>
      </c>
      <c r="F41" s="11">
        <f>B41*INPUTS!$G$35*INPUTS!$G$42 + C41*INPUTS!$G$42 + D41*INPUTS!$G$43 + E41*INPUTS!$G$44</f>
        <v/>
      </c>
      <c r="G41" s="15">
        <f>INPUTS!$B$6*(1+F41)</f>
        <v/>
      </c>
      <c r="H41" s="15">
        <f>G41-INPUTS!$B$6</f>
        <v/>
      </c>
      <c r="I41" s="15">
        <f>MAX(0,H41-INPUTS!$B$7)</f>
        <v/>
      </c>
    </row>
    <row r="42">
      <c r="A42" s="14">
        <f>MC_SEEDS!A31</f>
        <v/>
      </c>
      <c r="B42" s="27">
        <f>MC_SEEDS!B31</f>
        <v/>
      </c>
      <c r="C42" s="11">
        <f>MC_SEEDS!C31</f>
        <v/>
      </c>
      <c r="D42" s="11">
        <f>MC_SEEDS!D31</f>
        <v/>
      </c>
      <c r="E42" s="11">
        <f>MC_SEEDS!E31</f>
        <v/>
      </c>
      <c r="F42" s="11">
        <f>B42*INPUTS!$G$35*INPUTS!$G$42 + C42*INPUTS!$G$42 + D42*INPUTS!$G$43 + E42*INPUTS!$G$44</f>
        <v/>
      </c>
      <c r="G42" s="15">
        <f>INPUTS!$B$6*(1+F42)</f>
        <v/>
      </c>
      <c r="H42" s="15">
        <f>G42-INPUTS!$B$6</f>
        <v/>
      </c>
      <c r="I42" s="15">
        <f>MAX(0,H42-INPUTS!$B$7)</f>
        <v/>
      </c>
    </row>
    <row r="43">
      <c r="A43" s="14">
        <f>MC_SEEDS!A32</f>
        <v/>
      </c>
      <c r="B43" s="27">
        <f>MC_SEEDS!B32</f>
        <v/>
      </c>
      <c r="C43" s="11">
        <f>MC_SEEDS!C32</f>
        <v/>
      </c>
      <c r="D43" s="11">
        <f>MC_SEEDS!D32</f>
        <v/>
      </c>
      <c r="E43" s="11">
        <f>MC_SEEDS!E32</f>
        <v/>
      </c>
      <c r="F43" s="11">
        <f>B43*INPUTS!$G$35*INPUTS!$G$42 + C43*INPUTS!$G$42 + D43*INPUTS!$G$43 + E43*INPUTS!$G$44</f>
        <v/>
      </c>
      <c r="G43" s="15">
        <f>INPUTS!$B$6*(1+F43)</f>
        <v/>
      </c>
      <c r="H43" s="15">
        <f>G43-INPUTS!$B$6</f>
        <v/>
      </c>
      <c r="I43" s="15">
        <f>MAX(0,H43-INPUTS!$B$7)</f>
        <v/>
      </c>
    </row>
    <row r="44">
      <c r="A44" s="14">
        <f>MC_SEEDS!A33</f>
        <v/>
      </c>
      <c r="B44" s="27">
        <f>MC_SEEDS!B33</f>
        <v/>
      </c>
      <c r="C44" s="11">
        <f>MC_SEEDS!C33</f>
        <v/>
      </c>
      <c r="D44" s="11">
        <f>MC_SEEDS!D33</f>
        <v/>
      </c>
      <c r="E44" s="11">
        <f>MC_SEEDS!E33</f>
        <v/>
      </c>
      <c r="F44" s="11">
        <f>B44*INPUTS!$G$35*INPUTS!$G$42 + C44*INPUTS!$G$42 + D44*INPUTS!$G$43 + E44*INPUTS!$G$44</f>
        <v/>
      </c>
      <c r="G44" s="15">
        <f>INPUTS!$B$6*(1+F44)</f>
        <v/>
      </c>
      <c r="H44" s="15">
        <f>G44-INPUTS!$B$6</f>
        <v/>
      </c>
      <c r="I44" s="15">
        <f>MAX(0,H44-INPUTS!$B$7)</f>
        <v/>
      </c>
    </row>
    <row r="45">
      <c r="A45" s="14">
        <f>MC_SEEDS!A34</f>
        <v/>
      </c>
      <c r="B45" s="27">
        <f>MC_SEEDS!B34</f>
        <v/>
      </c>
      <c r="C45" s="11">
        <f>MC_SEEDS!C34</f>
        <v/>
      </c>
      <c r="D45" s="11">
        <f>MC_SEEDS!D34</f>
        <v/>
      </c>
      <c r="E45" s="11">
        <f>MC_SEEDS!E34</f>
        <v/>
      </c>
      <c r="F45" s="11">
        <f>B45*INPUTS!$G$35*INPUTS!$G$42 + C45*INPUTS!$G$42 + D45*INPUTS!$G$43 + E45*INPUTS!$G$44</f>
        <v/>
      </c>
      <c r="G45" s="15">
        <f>INPUTS!$B$6*(1+F45)</f>
        <v/>
      </c>
      <c r="H45" s="15">
        <f>G45-INPUTS!$B$6</f>
        <v/>
      </c>
      <c r="I45" s="15">
        <f>MAX(0,H45-INPUTS!$B$7)</f>
        <v/>
      </c>
    </row>
    <row r="46">
      <c r="A46" s="14">
        <f>MC_SEEDS!A35</f>
        <v/>
      </c>
      <c r="B46" s="27">
        <f>MC_SEEDS!B35</f>
        <v/>
      </c>
      <c r="C46" s="11">
        <f>MC_SEEDS!C35</f>
        <v/>
      </c>
      <c r="D46" s="11">
        <f>MC_SEEDS!D35</f>
        <v/>
      </c>
      <c r="E46" s="11">
        <f>MC_SEEDS!E35</f>
        <v/>
      </c>
      <c r="F46" s="11">
        <f>B46*INPUTS!$G$35*INPUTS!$G$42 + C46*INPUTS!$G$42 + D46*INPUTS!$G$43 + E46*INPUTS!$G$44</f>
        <v/>
      </c>
      <c r="G46" s="15">
        <f>INPUTS!$B$6*(1+F46)</f>
        <v/>
      </c>
      <c r="H46" s="15">
        <f>G46-INPUTS!$B$6</f>
        <v/>
      </c>
      <c r="I46" s="15">
        <f>MAX(0,H46-INPUTS!$B$7)</f>
        <v/>
      </c>
    </row>
    <row r="47">
      <c r="A47" s="14">
        <f>MC_SEEDS!A36</f>
        <v/>
      </c>
      <c r="B47" s="27">
        <f>MC_SEEDS!B36</f>
        <v/>
      </c>
      <c r="C47" s="11">
        <f>MC_SEEDS!C36</f>
        <v/>
      </c>
      <c r="D47" s="11">
        <f>MC_SEEDS!D36</f>
        <v/>
      </c>
      <c r="E47" s="11">
        <f>MC_SEEDS!E36</f>
        <v/>
      </c>
      <c r="F47" s="11">
        <f>B47*INPUTS!$G$35*INPUTS!$G$42 + C47*INPUTS!$G$42 + D47*INPUTS!$G$43 + E47*INPUTS!$G$44</f>
        <v/>
      </c>
      <c r="G47" s="15">
        <f>INPUTS!$B$6*(1+F47)</f>
        <v/>
      </c>
      <c r="H47" s="15">
        <f>G47-INPUTS!$B$6</f>
        <v/>
      </c>
      <c r="I47" s="15">
        <f>MAX(0,H47-INPUTS!$B$7)</f>
        <v/>
      </c>
    </row>
    <row r="48">
      <c r="A48" s="14">
        <f>MC_SEEDS!A37</f>
        <v/>
      </c>
      <c r="B48" s="27">
        <f>MC_SEEDS!B37</f>
        <v/>
      </c>
      <c r="C48" s="11">
        <f>MC_SEEDS!C37</f>
        <v/>
      </c>
      <c r="D48" s="11">
        <f>MC_SEEDS!D37</f>
        <v/>
      </c>
      <c r="E48" s="11">
        <f>MC_SEEDS!E37</f>
        <v/>
      </c>
      <c r="F48" s="11">
        <f>B48*INPUTS!$G$35*INPUTS!$G$42 + C48*INPUTS!$G$42 + D48*INPUTS!$G$43 + E48*INPUTS!$G$44</f>
        <v/>
      </c>
      <c r="G48" s="15">
        <f>INPUTS!$B$6*(1+F48)</f>
        <v/>
      </c>
      <c r="H48" s="15">
        <f>G48-INPUTS!$B$6</f>
        <v/>
      </c>
      <c r="I48" s="15">
        <f>MAX(0,H48-INPUTS!$B$7)</f>
        <v/>
      </c>
    </row>
    <row r="49">
      <c r="A49" s="14">
        <f>MC_SEEDS!A38</f>
        <v/>
      </c>
      <c r="B49" s="27">
        <f>MC_SEEDS!B38</f>
        <v/>
      </c>
      <c r="C49" s="11">
        <f>MC_SEEDS!C38</f>
        <v/>
      </c>
      <c r="D49" s="11">
        <f>MC_SEEDS!D38</f>
        <v/>
      </c>
      <c r="E49" s="11">
        <f>MC_SEEDS!E38</f>
        <v/>
      </c>
      <c r="F49" s="11">
        <f>B49*INPUTS!$G$35*INPUTS!$G$42 + C49*INPUTS!$G$42 + D49*INPUTS!$G$43 + E49*INPUTS!$G$44</f>
        <v/>
      </c>
      <c r="G49" s="15">
        <f>INPUTS!$B$6*(1+F49)</f>
        <v/>
      </c>
      <c r="H49" s="15">
        <f>G49-INPUTS!$B$6</f>
        <v/>
      </c>
      <c r="I49" s="15">
        <f>MAX(0,H49-INPUTS!$B$7)</f>
        <v/>
      </c>
    </row>
    <row r="50">
      <c r="A50" s="14">
        <f>MC_SEEDS!A39</f>
        <v/>
      </c>
      <c r="B50" s="27">
        <f>MC_SEEDS!B39</f>
        <v/>
      </c>
      <c r="C50" s="11">
        <f>MC_SEEDS!C39</f>
        <v/>
      </c>
      <c r="D50" s="11">
        <f>MC_SEEDS!D39</f>
        <v/>
      </c>
      <c r="E50" s="11">
        <f>MC_SEEDS!E39</f>
        <v/>
      </c>
      <c r="F50" s="11">
        <f>B50*INPUTS!$G$35*INPUTS!$G$42 + C50*INPUTS!$G$42 + D50*INPUTS!$G$43 + E50*INPUTS!$G$44</f>
        <v/>
      </c>
      <c r="G50" s="15">
        <f>INPUTS!$B$6*(1+F50)</f>
        <v/>
      </c>
      <c r="H50" s="15">
        <f>G50-INPUTS!$B$6</f>
        <v/>
      </c>
      <c r="I50" s="15">
        <f>MAX(0,H50-INPUTS!$B$7)</f>
        <v/>
      </c>
    </row>
    <row r="51">
      <c r="A51" s="14">
        <f>MC_SEEDS!A40</f>
        <v/>
      </c>
      <c r="B51" s="27">
        <f>MC_SEEDS!B40</f>
        <v/>
      </c>
      <c r="C51" s="11">
        <f>MC_SEEDS!C40</f>
        <v/>
      </c>
      <c r="D51" s="11">
        <f>MC_SEEDS!D40</f>
        <v/>
      </c>
      <c r="E51" s="11">
        <f>MC_SEEDS!E40</f>
        <v/>
      </c>
      <c r="F51" s="11">
        <f>B51*INPUTS!$G$35*INPUTS!$G$42 + C51*INPUTS!$G$42 + D51*INPUTS!$G$43 + E51*INPUTS!$G$44</f>
        <v/>
      </c>
      <c r="G51" s="15">
        <f>INPUTS!$B$6*(1+F51)</f>
        <v/>
      </c>
      <c r="H51" s="15">
        <f>G51-INPUTS!$B$6</f>
        <v/>
      </c>
      <c r="I51" s="15">
        <f>MAX(0,H51-INPUTS!$B$7)</f>
        <v/>
      </c>
    </row>
    <row r="52">
      <c r="A52" s="14">
        <f>MC_SEEDS!A41</f>
        <v/>
      </c>
      <c r="B52" s="27">
        <f>MC_SEEDS!B41</f>
        <v/>
      </c>
      <c r="C52" s="11">
        <f>MC_SEEDS!C41</f>
        <v/>
      </c>
      <c r="D52" s="11">
        <f>MC_SEEDS!D41</f>
        <v/>
      </c>
      <c r="E52" s="11">
        <f>MC_SEEDS!E41</f>
        <v/>
      </c>
      <c r="F52" s="11">
        <f>B52*INPUTS!$G$35*INPUTS!$G$42 + C52*INPUTS!$G$42 + D52*INPUTS!$G$43 + E52*INPUTS!$G$44</f>
        <v/>
      </c>
      <c r="G52" s="15">
        <f>INPUTS!$B$6*(1+F52)</f>
        <v/>
      </c>
      <c r="H52" s="15">
        <f>G52-INPUTS!$B$6</f>
        <v/>
      </c>
      <c r="I52" s="15">
        <f>MAX(0,H52-INPUTS!$B$7)</f>
        <v/>
      </c>
    </row>
    <row r="53">
      <c r="A53" s="14">
        <f>MC_SEEDS!A42</f>
        <v/>
      </c>
      <c r="B53" s="27">
        <f>MC_SEEDS!B42</f>
        <v/>
      </c>
      <c r="C53" s="11">
        <f>MC_SEEDS!C42</f>
        <v/>
      </c>
      <c r="D53" s="11">
        <f>MC_SEEDS!D42</f>
        <v/>
      </c>
      <c r="E53" s="11">
        <f>MC_SEEDS!E42</f>
        <v/>
      </c>
      <c r="F53" s="11">
        <f>B53*INPUTS!$G$35*INPUTS!$G$42 + C53*INPUTS!$G$42 + D53*INPUTS!$G$43 + E53*INPUTS!$G$44</f>
        <v/>
      </c>
      <c r="G53" s="15">
        <f>INPUTS!$B$6*(1+F53)</f>
        <v/>
      </c>
      <c r="H53" s="15">
        <f>G53-INPUTS!$B$6</f>
        <v/>
      </c>
      <c r="I53" s="15">
        <f>MAX(0,H53-INPUTS!$B$7)</f>
        <v/>
      </c>
    </row>
    <row r="54">
      <c r="A54" s="14">
        <f>MC_SEEDS!A43</f>
        <v/>
      </c>
      <c r="B54" s="27">
        <f>MC_SEEDS!B43</f>
        <v/>
      </c>
      <c r="C54" s="11">
        <f>MC_SEEDS!C43</f>
        <v/>
      </c>
      <c r="D54" s="11">
        <f>MC_SEEDS!D43</f>
        <v/>
      </c>
      <c r="E54" s="11">
        <f>MC_SEEDS!E43</f>
        <v/>
      </c>
      <c r="F54" s="11">
        <f>B54*INPUTS!$G$35*INPUTS!$G$42 + C54*INPUTS!$G$42 + D54*INPUTS!$G$43 + E54*INPUTS!$G$44</f>
        <v/>
      </c>
      <c r="G54" s="15">
        <f>INPUTS!$B$6*(1+F54)</f>
        <v/>
      </c>
      <c r="H54" s="15">
        <f>G54-INPUTS!$B$6</f>
        <v/>
      </c>
      <c r="I54" s="15">
        <f>MAX(0,H54-INPUTS!$B$7)</f>
        <v/>
      </c>
    </row>
    <row r="55">
      <c r="A55" s="14">
        <f>MC_SEEDS!A44</f>
        <v/>
      </c>
      <c r="B55" s="27">
        <f>MC_SEEDS!B44</f>
        <v/>
      </c>
      <c r="C55" s="11">
        <f>MC_SEEDS!C44</f>
        <v/>
      </c>
      <c r="D55" s="11">
        <f>MC_SEEDS!D44</f>
        <v/>
      </c>
      <c r="E55" s="11">
        <f>MC_SEEDS!E44</f>
        <v/>
      </c>
      <c r="F55" s="11">
        <f>B55*INPUTS!$G$35*INPUTS!$G$42 + C55*INPUTS!$G$42 + D55*INPUTS!$G$43 + E55*INPUTS!$G$44</f>
        <v/>
      </c>
      <c r="G55" s="15">
        <f>INPUTS!$B$6*(1+F55)</f>
        <v/>
      </c>
      <c r="H55" s="15">
        <f>G55-INPUTS!$B$6</f>
        <v/>
      </c>
      <c r="I55" s="15">
        <f>MAX(0,H55-INPUTS!$B$7)</f>
        <v/>
      </c>
    </row>
    <row r="56">
      <c r="A56" s="14">
        <f>MC_SEEDS!A45</f>
        <v/>
      </c>
      <c r="B56" s="27">
        <f>MC_SEEDS!B45</f>
        <v/>
      </c>
      <c r="C56" s="11">
        <f>MC_SEEDS!C45</f>
        <v/>
      </c>
      <c r="D56" s="11">
        <f>MC_SEEDS!D45</f>
        <v/>
      </c>
      <c r="E56" s="11">
        <f>MC_SEEDS!E45</f>
        <v/>
      </c>
      <c r="F56" s="11">
        <f>B56*INPUTS!$G$35*INPUTS!$G$42 + C56*INPUTS!$G$42 + D56*INPUTS!$G$43 + E56*INPUTS!$G$44</f>
        <v/>
      </c>
      <c r="G56" s="15">
        <f>INPUTS!$B$6*(1+F56)</f>
        <v/>
      </c>
      <c r="H56" s="15">
        <f>G56-INPUTS!$B$6</f>
        <v/>
      </c>
      <c r="I56" s="15">
        <f>MAX(0,H56-INPUTS!$B$7)</f>
        <v/>
      </c>
    </row>
    <row r="57">
      <c r="A57" s="14">
        <f>MC_SEEDS!A46</f>
        <v/>
      </c>
      <c r="B57" s="27">
        <f>MC_SEEDS!B46</f>
        <v/>
      </c>
      <c r="C57" s="11">
        <f>MC_SEEDS!C46</f>
        <v/>
      </c>
      <c r="D57" s="11">
        <f>MC_SEEDS!D46</f>
        <v/>
      </c>
      <c r="E57" s="11">
        <f>MC_SEEDS!E46</f>
        <v/>
      </c>
      <c r="F57" s="11">
        <f>B57*INPUTS!$G$35*INPUTS!$G$42 + C57*INPUTS!$G$42 + D57*INPUTS!$G$43 + E57*INPUTS!$G$44</f>
        <v/>
      </c>
      <c r="G57" s="15">
        <f>INPUTS!$B$6*(1+F57)</f>
        <v/>
      </c>
      <c r="H57" s="15">
        <f>G57-INPUTS!$B$6</f>
        <v/>
      </c>
      <c r="I57" s="15">
        <f>MAX(0,H57-INPUTS!$B$7)</f>
        <v/>
      </c>
    </row>
    <row r="58">
      <c r="A58" s="14">
        <f>MC_SEEDS!A47</f>
        <v/>
      </c>
      <c r="B58" s="27">
        <f>MC_SEEDS!B47</f>
        <v/>
      </c>
      <c r="C58" s="11">
        <f>MC_SEEDS!C47</f>
        <v/>
      </c>
      <c r="D58" s="11">
        <f>MC_SEEDS!D47</f>
        <v/>
      </c>
      <c r="E58" s="11">
        <f>MC_SEEDS!E47</f>
        <v/>
      </c>
      <c r="F58" s="11">
        <f>B58*INPUTS!$G$35*INPUTS!$G$42 + C58*INPUTS!$G$42 + D58*INPUTS!$G$43 + E58*INPUTS!$G$44</f>
        <v/>
      </c>
      <c r="G58" s="15">
        <f>INPUTS!$B$6*(1+F58)</f>
        <v/>
      </c>
      <c r="H58" s="15">
        <f>G58-INPUTS!$B$6</f>
        <v/>
      </c>
      <c r="I58" s="15">
        <f>MAX(0,H58-INPUTS!$B$7)</f>
        <v/>
      </c>
    </row>
    <row r="59">
      <c r="A59" s="14">
        <f>MC_SEEDS!A48</f>
        <v/>
      </c>
      <c r="B59" s="27">
        <f>MC_SEEDS!B48</f>
        <v/>
      </c>
      <c r="C59" s="11">
        <f>MC_SEEDS!C48</f>
        <v/>
      </c>
      <c r="D59" s="11">
        <f>MC_SEEDS!D48</f>
        <v/>
      </c>
      <c r="E59" s="11">
        <f>MC_SEEDS!E48</f>
        <v/>
      </c>
      <c r="F59" s="11">
        <f>B59*INPUTS!$G$35*INPUTS!$G$42 + C59*INPUTS!$G$42 + D59*INPUTS!$G$43 + E59*INPUTS!$G$44</f>
        <v/>
      </c>
      <c r="G59" s="15">
        <f>INPUTS!$B$6*(1+F59)</f>
        <v/>
      </c>
      <c r="H59" s="15">
        <f>G59-INPUTS!$B$6</f>
        <v/>
      </c>
      <c r="I59" s="15">
        <f>MAX(0,H59-INPUTS!$B$7)</f>
        <v/>
      </c>
    </row>
    <row r="60">
      <c r="A60" s="14">
        <f>MC_SEEDS!A49</f>
        <v/>
      </c>
      <c r="B60" s="27">
        <f>MC_SEEDS!B49</f>
        <v/>
      </c>
      <c r="C60" s="11">
        <f>MC_SEEDS!C49</f>
        <v/>
      </c>
      <c r="D60" s="11">
        <f>MC_SEEDS!D49</f>
        <v/>
      </c>
      <c r="E60" s="11">
        <f>MC_SEEDS!E49</f>
        <v/>
      </c>
      <c r="F60" s="11">
        <f>B60*INPUTS!$G$35*INPUTS!$G$42 + C60*INPUTS!$G$42 + D60*INPUTS!$G$43 + E60*INPUTS!$G$44</f>
        <v/>
      </c>
      <c r="G60" s="15">
        <f>INPUTS!$B$6*(1+F60)</f>
        <v/>
      </c>
      <c r="H60" s="15">
        <f>G60-INPUTS!$B$6</f>
        <v/>
      </c>
      <c r="I60" s="15">
        <f>MAX(0,H60-INPUTS!$B$7)</f>
        <v/>
      </c>
    </row>
    <row r="61">
      <c r="A61" s="14">
        <f>MC_SEEDS!A50</f>
        <v/>
      </c>
      <c r="B61" s="27">
        <f>MC_SEEDS!B50</f>
        <v/>
      </c>
      <c r="C61" s="11">
        <f>MC_SEEDS!C50</f>
        <v/>
      </c>
      <c r="D61" s="11">
        <f>MC_SEEDS!D50</f>
        <v/>
      </c>
      <c r="E61" s="11">
        <f>MC_SEEDS!E50</f>
        <v/>
      </c>
      <c r="F61" s="11">
        <f>B61*INPUTS!$G$35*INPUTS!$G$42 + C61*INPUTS!$G$42 + D61*INPUTS!$G$43 + E61*INPUTS!$G$44</f>
        <v/>
      </c>
      <c r="G61" s="15">
        <f>INPUTS!$B$6*(1+F61)</f>
        <v/>
      </c>
      <c r="H61" s="15">
        <f>G61-INPUTS!$B$6</f>
        <v/>
      </c>
      <c r="I61" s="15">
        <f>MAX(0,H61-INPUTS!$B$7)</f>
        <v/>
      </c>
    </row>
    <row r="62">
      <c r="A62" s="14">
        <f>MC_SEEDS!A51</f>
        <v/>
      </c>
      <c r="B62" s="27">
        <f>MC_SEEDS!B51</f>
        <v/>
      </c>
      <c r="C62" s="11">
        <f>MC_SEEDS!C51</f>
        <v/>
      </c>
      <c r="D62" s="11">
        <f>MC_SEEDS!D51</f>
        <v/>
      </c>
      <c r="E62" s="11">
        <f>MC_SEEDS!E51</f>
        <v/>
      </c>
      <c r="F62" s="11">
        <f>B62*INPUTS!$G$35*INPUTS!$G$42 + C62*INPUTS!$G$42 + D62*INPUTS!$G$43 + E62*INPUTS!$G$44</f>
        <v/>
      </c>
      <c r="G62" s="15">
        <f>INPUTS!$B$6*(1+F62)</f>
        <v/>
      </c>
      <c r="H62" s="15">
        <f>G62-INPUTS!$B$6</f>
        <v/>
      </c>
      <c r="I62" s="15">
        <f>MAX(0,H62-INPUTS!$B$7)</f>
        <v/>
      </c>
    </row>
    <row r="63">
      <c r="A63" s="14">
        <f>MC_SEEDS!A52</f>
        <v/>
      </c>
      <c r="B63" s="27">
        <f>MC_SEEDS!B52</f>
        <v/>
      </c>
      <c r="C63" s="11">
        <f>MC_SEEDS!C52</f>
        <v/>
      </c>
      <c r="D63" s="11">
        <f>MC_SEEDS!D52</f>
        <v/>
      </c>
      <c r="E63" s="11">
        <f>MC_SEEDS!E52</f>
        <v/>
      </c>
      <c r="F63" s="11">
        <f>B63*INPUTS!$G$35*INPUTS!$G$42 + C63*INPUTS!$G$42 + D63*INPUTS!$G$43 + E63*INPUTS!$G$44</f>
        <v/>
      </c>
      <c r="G63" s="15">
        <f>INPUTS!$B$6*(1+F63)</f>
        <v/>
      </c>
      <c r="H63" s="15">
        <f>G63-INPUTS!$B$6</f>
        <v/>
      </c>
      <c r="I63" s="15">
        <f>MAX(0,H63-INPUTS!$B$7)</f>
        <v/>
      </c>
    </row>
    <row r="64">
      <c r="A64" s="14">
        <f>MC_SEEDS!A53</f>
        <v/>
      </c>
      <c r="B64" s="27">
        <f>MC_SEEDS!B53</f>
        <v/>
      </c>
      <c r="C64" s="11">
        <f>MC_SEEDS!C53</f>
        <v/>
      </c>
      <c r="D64" s="11">
        <f>MC_SEEDS!D53</f>
        <v/>
      </c>
      <c r="E64" s="11">
        <f>MC_SEEDS!E53</f>
        <v/>
      </c>
      <c r="F64" s="11">
        <f>B64*INPUTS!$G$35*INPUTS!$G$42 + C64*INPUTS!$G$42 + D64*INPUTS!$G$43 + E64*INPUTS!$G$44</f>
        <v/>
      </c>
      <c r="G64" s="15">
        <f>INPUTS!$B$6*(1+F64)</f>
        <v/>
      </c>
      <c r="H64" s="15">
        <f>G64-INPUTS!$B$6</f>
        <v/>
      </c>
      <c r="I64" s="15">
        <f>MAX(0,H64-INPUTS!$B$7)</f>
        <v/>
      </c>
    </row>
    <row r="65">
      <c r="A65" s="14">
        <f>MC_SEEDS!A54</f>
        <v/>
      </c>
      <c r="B65" s="27">
        <f>MC_SEEDS!B54</f>
        <v/>
      </c>
      <c r="C65" s="11">
        <f>MC_SEEDS!C54</f>
        <v/>
      </c>
      <c r="D65" s="11">
        <f>MC_SEEDS!D54</f>
        <v/>
      </c>
      <c r="E65" s="11">
        <f>MC_SEEDS!E54</f>
        <v/>
      </c>
      <c r="F65" s="11">
        <f>B65*INPUTS!$G$35*INPUTS!$G$42 + C65*INPUTS!$G$42 + D65*INPUTS!$G$43 + E65*INPUTS!$G$44</f>
        <v/>
      </c>
      <c r="G65" s="15">
        <f>INPUTS!$B$6*(1+F65)</f>
        <v/>
      </c>
      <c r="H65" s="15">
        <f>G65-INPUTS!$B$6</f>
        <v/>
      </c>
      <c r="I65" s="15">
        <f>MAX(0,H65-INPUTS!$B$7)</f>
        <v/>
      </c>
    </row>
    <row r="66">
      <c r="A66" s="14">
        <f>MC_SEEDS!A55</f>
        <v/>
      </c>
      <c r="B66" s="27">
        <f>MC_SEEDS!B55</f>
        <v/>
      </c>
      <c r="C66" s="11">
        <f>MC_SEEDS!C55</f>
        <v/>
      </c>
      <c r="D66" s="11">
        <f>MC_SEEDS!D55</f>
        <v/>
      </c>
      <c r="E66" s="11">
        <f>MC_SEEDS!E55</f>
        <v/>
      </c>
      <c r="F66" s="11">
        <f>B66*INPUTS!$G$35*INPUTS!$G$42 + C66*INPUTS!$G$42 + D66*INPUTS!$G$43 + E66*INPUTS!$G$44</f>
        <v/>
      </c>
      <c r="G66" s="15">
        <f>INPUTS!$B$6*(1+F66)</f>
        <v/>
      </c>
      <c r="H66" s="15">
        <f>G66-INPUTS!$B$6</f>
        <v/>
      </c>
      <c r="I66" s="15">
        <f>MAX(0,H66-INPUTS!$B$7)</f>
        <v/>
      </c>
    </row>
    <row r="67">
      <c r="A67" s="14">
        <f>MC_SEEDS!A56</f>
        <v/>
      </c>
      <c r="B67" s="27">
        <f>MC_SEEDS!B56</f>
        <v/>
      </c>
      <c r="C67" s="11">
        <f>MC_SEEDS!C56</f>
        <v/>
      </c>
      <c r="D67" s="11">
        <f>MC_SEEDS!D56</f>
        <v/>
      </c>
      <c r="E67" s="11">
        <f>MC_SEEDS!E56</f>
        <v/>
      </c>
      <c r="F67" s="11">
        <f>B67*INPUTS!$G$35*INPUTS!$G$42 + C67*INPUTS!$G$42 + D67*INPUTS!$G$43 + E67*INPUTS!$G$44</f>
        <v/>
      </c>
      <c r="G67" s="15">
        <f>INPUTS!$B$6*(1+F67)</f>
        <v/>
      </c>
      <c r="H67" s="15">
        <f>G67-INPUTS!$B$6</f>
        <v/>
      </c>
      <c r="I67" s="15">
        <f>MAX(0,H67-INPUTS!$B$7)</f>
        <v/>
      </c>
    </row>
    <row r="68">
      <c r="A68" s="14">
        <f>MC_SEEDS!A57</f>
        <v/>
      </c>
      <c r="B68" s="27">
        <f>MC_SEEDS!B57</f>
        <v/>
      </c>
      <c r="C68" s="11">
        <f>MC_SEEDS!C57</f>
        <v/>
      </c>
      <c r="D68" s="11">
        <f>MC_SEEDS!D57</f>
        <v/>
      </c>
      <c r="E68" s="11">
        <f>MC_SEEDS!E57</f>
        <v/>
      </c>
      <c r="F68" s="11">
        <f>B68*INPUTS!$G$35*INPUTS!$G$42 + C68*INPUTS!$G$42 + D68*INPUTS!$G$43 + E68*INPUTS!$G$44</f>
        <v/>
      </c>
      <c r="G68" s="15">
        <f>INPUTS!$B$6*(1+F68)</f>
        <v/>
      </c>
      <c r="H68" s="15">
        <f>G68-INPUTS!$B$6</f>
        <v/>
      </c>
      <c r="I68" s="15">
        <f>MAX(0,H68-INPUTS!$B$7)</f>
        <v/>
      </c>
    </row>
    <row r="69">
      <c r="A69" s="14">
        <f>MC_SEEDS!A58</f>
        <v/>
      </c>
      <c r="B69" s="27">
        <f>MC_SEEDS!B58</f>
        <v/>
      </c>
      <c r="C69" s="11">
        <f>MC_SEEDS!C58</f>
        <v/>
      </c>
      <c r="D69" s="11">
        <f>MC_SEEDS!D58</f>
        <v/>
      </c>
      <c r="E69" s="11">
        <f>MC_SEEDS!E58</f>
        <v/>
      </c>
      <c r="F69" s="11">
        <f>B69*INPUTS!$G$35*INPUTS!$G$42 + C69*INPUTS!$G$42 + D69*INPUTS!$G$43 + E69*INPUTS!$G$44</f>
        <v/>
      </c>
      <c r="G69" s="15">
        <f>INPUTS!$B$6*(1+F69)</f>
        <v/>
      </c>
      <c r="H69" s="15">
        <f>G69-INPUTS!$B$6</f>
        <v/>
      </c>
      <c r="I69" s="15">
        <f>MAX(0,H69-INPUTS!$B$7)</f>
        <v/>
      </c>
    </row>
    <row r="70">
      <c r="A70" s="14">
        <f>MC_SEEDS!A59</f>
        <v/>
      </c>
      <c r="B70" s="27">
        <f>MC_SEEDS!B59</f>
        <v/>
      </c>
      <c r="C70" s="11">
        <f>MC_SEEDS!C59</f>
        <v/>
      </c>
      <c r="D70" s="11">
        <f>MC_SEEDS!D59</f>
        <v/>
      </c>
      <c r="E70" s="11">
        <f>MC_SEEDS!E59</f>
        <v/>
      </c>
      <c r="F70" s="11">
        <f>B70*INPUTS!$G$35*INPUTS!$G$42 + C70*INPUTS!$G$42 + D70*INPUTS!$G$43 + E70*INPUTS!$G$44</f>
        <v/>
      </c>
      <c r="G70" s="15">
        <f>INPUTS!$B$6*(1+F70)</f>
        <v/>
      </c>
      <c r="H70" s="15">
        <f>G70-INPUTS!$B$6</f>
        <v/>
      </c>
      <c r="I70" s="15">
        <f>MAX(0,H70-INPUTS!$B$7)</f>
        <v/>
      </c>
    </row>
    <row r="71">
      <c r="A71" s="14">
        <f>MC_SEEDS!A60</f>
        <v/>
      </c>
      <c r="B71" s="27">
        <f>MC_SEEDS!B60</f>
        <v/>
      </c>
      <c r="C71" s="11">
        <f>MC_SEEDS!C60</f>
        <v/>
      </c>
      <c r="D71" s="11">
        <f>MC_SEEDS!D60</f>
        <v/>
      </c>
      <c r="E71" s="11">
        <f>MC_SEEDS!E60</f>
        <v/>
      </c>
      <c r="F71" s="11">
        <f>B71*INPUTS!$G$35*INPUTS!$G$42 + C71*INPUTS!$G$42 + D71*INPUTS!$G$43 + E71*INPUTS!$G$44</f>
        <v/>
      </c>
      <c r="G71" s="15">
        <f>INPUTS!$B$6*(1+F71)</f>
        <v/>
      </c>
      <c r="H71" s="15">
        <f>G71-INPUTS!$B$6</f>
        <v/>
      </c>
      <c r="I71" s="15">
        <f>MAX(0,H71-INPUTS!$B$7)</f>
        <v/>
      </c>
    </row>
    <row r="72">
      <c r="A72" s="14">
        <f>MC_SEEDS!A61</f>
        <v/>
      </c>
      <c r="B72" s="27">
        <f>MC_SEEDS!B61</f>
        <v/>
      </c>
      <c r="C72" s="11">
        <f>MC_SEEDS!C61</f>
        <v/>
      </c>
      <c r="D72" s="11">
        <f>MC_SEEDS!D61</f>
        <v/>
      </c>
      <c r="E72" s="11">
        <f>MC_SEEDS!E61</f>
        <v/>
      </c>
      <c r="F72" s="11">
        <f>B72*INPUTS!$G$35*INPUTS!$G$42 + C72*INPUTS!$G$42 + D72*INPUTS!$G$43 + E72*INPUTS!$G$44</f>
        <v/>
      </c>
      <c r="G72" s="15">
        <f>INPUTS!$B$6*(1+F72)</f>
        <v/>
      </c>
      <c r="H72" s="15">
        <f>G72-INPUTS!$B$6</f>
        <v/>
      </c>
      <c r="I72" s="15">
        <f>MAX(0,H72-INPUTS!$B$7)</f>
        <v/>
      </c>
    </row>
    <row r="73">
      <c r="A73" s="14">
        <f>MC_SEEDS!A62</f>
        <v/>
      </c>
      <c r="B73" s="27">
        <f>MC_SEEDS!B62</f>
        <v/>
      </c>
      <c r="C73" s="11">
        <f>MC_SEEDS!C62</f>
        <v/>
      </c>
      <c r="D73" s="11">
        <f>MC_SEEDS!D62</f>
        <v/>
      </c>
      <c r="E73" s="11">
        <f>MC_SEEDS!E62</f>
        <v/>
      </c>
      <c r="F73" s="11">
        <f>B73*INPUTS!$G$35*INPUTS!$G$42 + C73*INPUTS!$G$42 + D73*INPUTS!$G$43 + E73*INPUTS!$G$44</f>
        <v/>
      </c>
      <c r="G73" s="15">
        <f>INPUTS!$B$6*(1+F73)</f>
        <v/>
      </c>
      <c r="H73" s="15">
        <f>G73-INPUTS!$B$6</f>
        <v/>
      </c>
      <c r="I73" s="15">
        <f>MAX(0,H73-INPUTS!$B$7)</f>
        <v/>
      </c>
    </row>
    <row r="74">
      <c r="A74" s="14">
        <f>MC_SEEDS!A63</f>
        <v/>
      </c>
      <c r="B74" s="27">
        <f>MC_SEEDS!B63</f>
        <v/>
      </c>
      <c r="C74" s="11">
        <f>MC_SEEDS!C63</f>
        <v/>
      </c>
      <c r="D74" s="11">
        <f>MC_SEEDS!D63</f>
        <v/>
      </c>
      <c r="E74" s="11">
        <f>MC_SEEDS!E63</f>
        <v/>
      </c>
      <c r="F74" s="11">
        <f>B74*INPUTS!$G$35*INPUTS!$G$42 + C74*INPUTS!$G$42 + D74*INPUTS!$G$43 + E74*INPUTS!$G$44</f>
        <v/>
      </c>
      <c r="G74" s="15">
        <f>INPUTS!$B$6*(1+F74)</f>
        <v/>
      </c>
      <c r="H74" s="15">
        <f>G74-INPUTS!$B$6</f>
        <v/>
      </c>
      <c r="I74" s="15">
        <f>MAX(0,H74-INPUTS!$B$7)</f>
        <v/>
      </c>
    </row>
    <row r="75">
      <c r="A75" s="14">
        <f>MC_SEEDS!A64</f>
        <v/>
      </c>
      <c r="B75" s="27">
        <f>MC_SEEDS!B64</f>
        <v/>
      </c>
      <c r="C75" s="11">
        <f>MC_SEEDS!C64</f>
        <v/>
      </c>
      <c r="D75" s="11">
        <f>MC_SEEDS!D64</f>
        <v/>
      </c>
      <c r="E75" s="11">
        <f>MC_SEEDS!E64</f>
        <v/>
      </c>
      <c r="F75" s="11">
        <f>B75*INPUTS!$G$35*INPUTS!$G$42 + C75*INPUTS!$G$42 + D75*INPUTS!$G$43 + E75*INPUTS!$G$44</f>
        <v/>
      </c>
      <c r="G75" s="15">
        <f>INPUTS!$B$6*(1+F75)</f>
        <v/>
      </c>
      <c r="H75" s="15">
        <f>G75-INPUTS!$B$6</f>
        <v/>
      </c>
      <c r="I75" s="15">
        <f>MAX(0,H75-INPUTS!$B$7)</f>
        <v/>
      </c>
    </row>
    <row r="76">
      <c r="A76" s="14">
        <f>MC_SEEDS!A65</f>
        <v/>
      </c>
      <c r="B76" s="27">
        <f>MC_SEEDS!B65</f>
        <v/>
      </c>
      <c r="C76" s="11">
        <f>MC_SEEDS!C65</f>
        <v/>
      </c>
      <c r="D76" s="11">
        <f>MC_SEEDS!D65</f>
        <v/>
      </c>
      <c r="E76" s="11">
        <f>MC_SEEDS!E65</f>
        <v/>
      </c>
      <c r="F76" s="11">
        <f>B76*INPUTS!$G$35*INPUTS!$G$42 + C76*INPUTS!$G$42 + D76*INPUTS!$G$43 + E76*INPUTS!$G$44</f>
        <v/>
      </c>
      <c r="G76" s="15">
        <f>INPUTS!$B$6*(1+F76)</f>
        <v/>
      </c>
      <c r="H76" s="15">
        <f>G76-INPUTS!$B$6</f>
        <v/>
      </c>
      <c r="I76" s="15">
        <f>MAX(0,H76-INPUTS!$B$7)</f>
        <v/>
      </c>
    </row>
    <row r="77">
      <c r="A77" s="14">
        <f>MC_SEEDS!A66</f>
        <v/>
      </c>
      <c r="B77" s="27">
        <f>MC_SEEDS!B66</f>
        <v/>
      </c>
      <c r="C77" s="11">
        <f>MC_SEEDS!C66</f>
        <v/>
      </c>
      <c r="D77" s="11">
        <f>MC_SEEDS!D66</f>
        <v/>
      </c>
      <c r="E77" s="11">
        <f>MC_SEEDS!E66</f>
        <v/>
      </c>
      <c r="F77" s="11">
        <f>B77*INPUTS!$G$35*INPUTS!$G$42 + C77*INPUTS!$G$42 + D77*INPUTS!$G$43 + E77*INPUTS!$G$44</f>
        <v/>
      </c>
      <c r="G77" s="15">
        <f>INPUTS!$B$6*(1+F77)</f>
        <v/>
      </c>
      <c r="H77" s="15">
        <f>G77-INPUTS!$B$6</f>
        <v/>
      </c>
      <c r="I77" s="15">
        <f>MAX(0,H77-INPUTS!$B$7)</f>
        <v/>
      </c>
    </row>
    <row r="78">
      <c r="A78" s="14">
        <f>MC_SEEDS!A67</f>
        <v/>
      </c>
      <c r="B78" s="27">
        <f>MC_SEEDS!B67</f>
        <v/>
      </c>
      <c r="C78" s="11">
        <f>MC_SEEDS!C67</f>
        <v/>
      </c>
      <c r="D78" s="11">
        <f>MC_SEEDS!D67</f>
        <v/>
      </c>
      <c r="E78" s="11">
        <f>MC_SEEDS!E67</f>
        <v/>
      </c>
      <c r="F78" s="11">
        <f>B78*INPUTS!$G$35*INPUTS!$G$42 + C78*INPUTS!$G$42 + D78*INPUTS!$G$43 + E78*INPUTS!$G$44</f>
        <v/>
      </c>
      <c r="G78" s="15">
        <f>INPUTS!$B$6*(1+F78)</f>
        <v/>
      </c>
      <c r="H78" s="15">
        <f>G78-INPUTS!$B$6</f>
        <v/>
      </c>
      <c r="I78" s="15">
        <f>MAX(0,H78-INPUTS!$B$7)</f>
        <v/>
      </c>
    </row>
    <row r="79">
      <c r="A79" s="14">
        <f>MC_SEEDS!A68</f>
        <v/>
      </c>
      <c r="B79" s="27">
        <f>MC_SEEDS!B68</f>
        <v/>
      </c>
      <c r="C79" s="11">
        <f>MC_SEEDS!C68</f>
        <v/>
      </c>
      <c r="D79" s="11">
        <f>MC_SEEDS!D68</f>
        <v/>
      </c>
      <c r="E79" s="11">
        <f>MC_SEEDS!E68</f>
        <v/>
      </c>
      <c r="F79" s="11">
        <f>B79*INPUTS!$G$35*INPUTS!$G$42 + C79*INPUTS!$G$42 + D79*INPUTS!$G$43 + E79*INPUTS!$G$44</f>
        <v/>
      </c>
      <c r="G79" s="15">
        <f>INPUTS!$B$6*(1+F79)</f>
        <v/>
      </c>
      <c r="H79" s="15">
        <f>G79-INPUTS!$B$6</f>
        <v/>
      </c>
      <c r="I79" s="15">
        <f>MAX(0,H79-INPUTS!$B$7)</f>
        <v/>
      </c>
    </row>
    <row r="80">
      <c r="A80" s="14">
        <f>MC_SEEDS!A69</f>
        <v/>
      </c>
      <c r="B80" s="27">
        <f>MC_SEEDS!B69</f>
        <v/>
      </c>
      <c r="C80" s="11">
        <f>MC_SEEDS!C69</f>
        <v/>
      </c>
      <c r="D80" s="11">
        <f>MC_SEEDS!D69</f>
        <v/>
      </c>
      <c r="E80" s="11">
        <f>MC_SEEDS!E69</f>
        <v/>
      </c>
      <c r="F80" s="11">
        <f>B80*INPUTS!$G$35*INPUTS!$G$42 + C80*INPUTS!$G$42 + D80*INPUTS!$G$43 + E80*INPUTS!$G$44</f>
        <v/>
      </c>
      <c r="G80" s="15">
        <f>INPUTS!$B$6*(1+F80)</f>
        <v/>
      </c>
      <c r="H80" s="15">
        <f>G80-INPUTS!$B$6</f>
        <v/>
      </c>
      <c r="I80" s="15">
        <f>MAX(0,H80-INPUTS!$B$7)</f>
        <v/>
      </c>
    </row>
    <row r="81">
      <c r="A81" s="14">
        <f>MC_SEEDS!A70</f>
        <v/>
      </c>
      <c r="B81" s="27">
        <f>MC_SEEDS!B70</f>
        <v/>
      </c>
      <c r="C81" s="11">
        <f>MC_SEEDS!C70</f>
        <v/>
      </c>
      <c r="D81" s="11">
        <f>MC_SEEDS!D70</f>
        <v/>
      </c>
      <c r="E81" s="11">
        <f>MC_SEEDS!E70</f>
        <v/>
      </c>
      <c r="F81" s="11">
        <f>B81*INPUTS!$G$35*INPUTS!$G$42 + C81*INPUTS!$G$42 + D81*INPUTS!$G$43 + E81*INPUTS!$G$44</f>
        <v/>
      </c>
      <c r="G81" s="15">
        <f>INPUTS!$B$6*(1+F81)</f>
        <v/>
      </c>
      <c r="H81" s="15">
        <f>G81-INPUTS!$B$6</f>
        <v/>
      </c>
      <c r="I81" s="15">
        <f>MAX(0,H81-INPUTS!$B$7)</f>
        <v/>
      </c>
    </row>
    <row r="82">
      <c r="A82" s="14">
        <f>MC_SEEDS!A71</f>
        <v/>
      </c>
      <c r="B82" s="27">
        <f>MC_SEEDS!B71</f>
        <v/>
      </c>
      <c r="C82" s="11">
        <f>MC_SEEDS!C71</f>
        <v/>
      </c>
      <c r="D82" s="11">
        <f>MC_SEEDS!D71</f>
        <v/>
      </c>
      <c r="E82" s="11">
        <f>MC_SEEDS!E71</f>
        <v/>
      </c>
      <c r="F82" s="11">
        <f>B82*INPUTS!$G$35*INPUTS!$G$42 + C82*INPUTS!$G$42 + D82*INPUTS!$G$43 + E82*INPUTS!$G$44</f>
        <v/>
      </c>
      <c r="G82" s="15">
        <f>INPUTS!$B$6*(1+F82)</f>
        <v/>
      </c>
      <c r="H82" s="15">
        <f>G82-INPUTS!$B$6</f>
        <v/>
      </c>
      <c r="I82" s="15">
        <f>MAX(0,H82-INPUTS!$B$7)</f>
        <v/>
      </c>
    </row>
    <row r="83">
      <c r="A83" s="14">
        <f>MC_SEEDS!A72</f>
        <v/>
      </c>
      <c r="B83" s="27">
        <f>MC_SEEDS!B72</f>
        <v/>
      </c>
      <c r="C83" s="11">
        <f>MC_SEEDS!C72</f>
        <v/>
      </c>
      <c r="D83" s="11">
        <f>MC_SEEDS!D72</f>
        <v/>
      </c>
      <c r="E83" s="11">
        <f>MC_SEEDS!E72</f>
        <v/>
      </c>
      <c r="F83" s="11">
        <f>B83*INPUTS!$G$35*INPUTS!$G$42 + C83*INPUTS!$G$42 + D83*INPUTS!$G$43 + E83*INPUTS!$G$44</f>
        <v/>
      </c>
      <c r="G83" s="15">
        <f>INPUTS!$B$6*(1+F83)</f>
        <v/>
      </c>
      <c r="H83" s="15">
        <f>G83-INPUTS!$B$6</f>
        <v/>
      </c>
      <c r="I83" s="15">
        <f>MAX(0,H83-INPUTS!$B$7)</f>
        <v/>
      </c>
    </row>
    <row r="84">
      <c r="A84" s="14">
        <f>MC_SEEDS!A73</f>
        <v/>
      </c>
      <c r="B84" s="27">
        <f>MC_SEEDS!B73</f>
        <v/>
      </c>
      <c r="C84" s="11">
        <f>MC_SEEDS!C73</f>
        <v/>
      </c>
      <c r="D84" s="11">
        <f>MC_SEEDS!D73</f>
        <v/>
      </c>
      <c r="E84" s="11">
        <f>MC_SEEDS!E73</f>
        <v/>
      </c>
      <c r="F84" s="11">
        <f>B84*INPUTS!$G$35*INPUTS!$G$42 + C84*INPUTS!$G$42 + D84*INPUTS!$G$43 + E84*INPUTS!$G$44</f>
        <v/>
      </c>
      <c r="G84" s="15">
        <f>INPUTS!$B$6*(1+F84)</f>
        <v/>
      </c>
      <c r="H84" s="15">
        <f>G84-INPUTS!$B$6</f>
        <v/>
      </c>
      <c r="I84" s="15">
        <f>MAX(0,H84-INPUTS!$B$7)</f>
        <v/>
      </c>
    </row>
    <row r="85">
      <c r="A85" s="14">
        <f>MC_SEEDS!A74</f>
        <v/>
      </c>
      <c r="B85" s="27">
        <f>MC_SEEDS!B74</f>
        <v/>
      </c>
      <c r="C85" s="11">
        <f>MC_SEEDS!C74</f>
        <v/>
      </c>
      <c r="D85" s="11">
        <f>MC_SEEDS!D74</f>
        <v/>
      </c>
      <c r="E85" s="11">
        <f>MC_SEEDS!E74</f>
        <v/>
      </c>
      <c r="F85" s="11">
        <f>B85*INPUTS!$G$35*INPUTS!$G$42 + C85*INPUTS!$G$42 + D85*INPUTS!$G$43 + E85*INPUTS!$G$44</f>
        <v/>
      </c>
      <c r="G85" s="15">
        <f>INPUTS!$B$6*(1+F85)</f>
        <v/>
      </c>
      <c r="H85" s="15">
        <f>G85-INPUTS!$B$6</f>
        <v/>
      </c>
      <c r="I85" s="15">
        <f>MAX(0,H85-INPUTS!$B$7)</f>
        <v/>
      </c>
    </row>
    <row r="86">
      <c r="A86" s="14">
        <f>MC_SEEDS!A75</f>
        <v/>
      </c>
      <c r="B86" s="27">
        <f>MC_SEEDS!B75</f>
        <v/>
      </c>
      <c r="C86" s="11">
        <f>MC_SEEDS!C75</f>
        <v/>
      </c>
      <c r="D86" s="11">
        <f>MC_SEEDS!D75</f>
        <v/>
      </c>
      <c r="E86" s="11">
        <f>MC_SEEDS!E75</f>
        <v/>
      </c>
      <c r="F86" s="11">
        <f>B86*INPUTS!$G$35*INPUTS!$G$42 + C86*INPUTS!$G$42 + D86*INPUTS!$G$43 + E86*INPUTS!$G$44</f>
        <v/>
      </c>
      <c r="G86" s="15">
        <f>INPUTS!$B$6*(1+F86)</f>
        <v/>
      </c>
      <c r="H86" s="15">
        <f>G86-INPUTS!$B$6</f>
        <v/>
      </c>
      <c r="I86" s="15">
        <f>MAX(0,H86-INPUTS!$B$7)</f>
        <v/>
      </c>
    </row>
    <row r="87">
      <c r="A87" s="14">
        <f>MC_SEEDS!A76</f>
        <v/>
      </c>
      <c r="B87" s="27">
        <f>MC_SEEDS!B76</f>
        <v/>
      </c>
      <c r="C87" s="11">
        <f>MC_SEEDS!C76</f>
        <v/>
      </c>
      <c r="D87" s="11">
        <f>MC_SEEDS!D76</f>
        <v/>
      </c>
      <c r="E87" s="11">
        <f>MC_SEEDS!E76</f>
        <v/>
      </c>
      <c r="F87" s="11">
        <f>B87*INPUTS!$G$35*INPUTS!$G$42 + C87*INPUTS!$G$42 + D87*INPUTS!$G$43 + E87*INPUTS!$G$44</f>
        <v/>
      </c>
      <c r="G87" s="15">
        <f>INPUTS!$B$6*(1+F87)</f>
        <v/>
      </c>
      <c r="H87" s="15">
        <f>G87-INPUTS!$B$6</f>
        <v/>
      </c>
      <c r="I87" s="15">
        <f>MAX(0,H87-INPUTS!$B$7)</f>
        <v/>
      </c>
    </row>
    <row r="88">
      <c r="A88" s="14">
        <f>MC_SEEDS!A77</f>
        <v/>
      </c>
      <c r="B88" s="27">
        <f>MC_SEEDS!B77</f>
        <v/>
      </c>
      <c r="C88" s="11">
        <f>MC_SEEDS!C77</f>
        <v/>
      </c>
      <c r="D88" s="11">
        <f>MC_SEEDS!D77</f>
        <v/>
      </c>
      <c r="E88" s="11">
        <f>MC_SEEDS!E77</f>
        <v/>
      </c>
      <c r="F88" s="11">
        <f>B88*INPUTS!$G$35*INPUTS!$G$42 + C88*INPUTS!$G$42 + D88*INPUTS!$G$43 + E88*INPUTS!$G$44</f>
        <v/>
      </c>
      <c r="G88" s="15">
        <f>INPUTS!$B$6*(1+F88)</f>
        <v/>
      </c>
      <c r="H88" s="15">
        <f>G88-INPUTS!$B$6</f>
        <v/>
      </c>
      <c r="I88" s="15">
        <f>MAX(0,H88-INPUTS!$B$7)</f>
        <v/>
      </c>
    </row>
    <row r="89">
      <c r="A89" s="14">
        <f>MC_SEEDS!A78</f>
        <v/>
      </c>
      <c r="B89" s="27">
        <f>MC_SEEDS!B78</f>
        <v/>
      </c>
      <c r="C89" s="11">
        <f>MC_SEEDS!C78</f>
        <v/>
      </c>
      <c r="D89" s="11">
        <f>MC_SEEDS!D78</f>
        <v/>
      </c>
      <c r="E89" s="11">
        <f>MC_SEEDS!E78</f>
        <v/>
      </c>
      <c r="F89" s="11">
        <f>B89*INPUTS!$G$35*INPUTS!$G$42 + C89*INPUTS!$G$42 + D89*INPUTS!$G$43 + E89*INPUTS!$G$44</f>
        <v/>
      </c>
      <c r="G89" s="15">
        <f>INPUTS!$B$6*(1+F89)</f>
        <v/>
      </c>
      <c r="H89" s="15">
        <f>G89-INPUTS!$B$6</f>
        <v/>
      </c>
      <c r="I89" s="15">
        <f>MAX(0,H89-INPUTS!$B$7)</f>
        <v/>
      </c>
    </row>
    <row r="90">
      <c r="A90" s="14">
        <f>MC_SEEDS!A79</f>
        <v/>
      </c>
      <c r="B90" s="27">
        <f>MC_SEEDS!B79</f>
        <v/>
      </c>
      <c r="C90" s="11">
        <f>MC_SEEDS!C79</f>
        <v/>
      </c>
      <c r="D90" s="11">
        <f>MC_SEEDS!D79</f>
        <v/>
      </c>
      <c r="E90" s="11">
        <f>MC_SEEDS!E79</f>
        <v/>
      </c>
      <c r="F90" s="11">
        <f>B90*INPUTS!$G$35*INPUTS!$G$42 + C90*INPUTS!$G$42 + D90*INPUTS!$G$43 + E90*INPUTS!$G$44</f>
        <v/>
      </c>
      <c r="G90" s="15">
        <f>INPUTS!$B$6*(1+F90)</f>
        <v/>
      </c>
      <c r="H90" s="15">
        <f>G90-INPUTS!$B$6</f>
        <v/>
      </c>
      <c r="I90" s="15">
        <f>MAX(0,H90-INPUTS!$B$7)</f>
        <v/>
      </c>
    </row>
    <row r="91">
      <c r="A91" s="14">
        <f>MC_SEEDS!A80</f>
        <v/>
      </c>
      <c r="B91" s="27">
        <f>MC_SEEDS!B80</f>
        <v/>
      </c>
      <c r="C91" s="11">
        <f>MC_SEEDS!C80</f>
        <v/>
      </c>
      <c r="D91" s="11">
        <f>MC_SEEDS!D80</f>
        <v/>
      </c>
      <c r="E91" s="11">
        <f>MC_SEEDS!E80</f>
        <v/>
      </c>
      <c r="F91" s="11">
        <f>B91*INPUTS!$G$35*INPUTS!$G$42 + C91*INPUTS!$G$42 + D91*INPUTS!$G$43 + E91*INPUTS!$G$44</f>
        <v/>
      </c>
      <c r="G91" s="15">
        <f>INPUTS!$B$6*(1+F91)</f>
        <v/>
      </c>
      <c r="H91" s="15">
        <f>G91-INPUTS!$B$6</f>
        <v/>
      </c>
      <c r="I91" s="15">
        <f>MAX(0,H91-INPUTS!$B$7)</f>
        <v/>
      </c>
    </row>
    <row r="92">
      <c r="A92" s="14">
        <f>MC_SEEDS!A81</f>
        <v/>
      </c>
      <c r="B92" s="27">
        <f>MC_SEEDS!B81</f>
        <v/>
      </c>
      <c r="C92" s="11">
        <f>MC_SEEDS!C81</f>
        <v/>
      </c>
      <c r="D92" s="11">
        <f>MC_SEEDS!D81</f>
        <v/>
      </c>
      <c r="E92" s="11">
        <f>MC_SEEDS!E81</f>
        <v/>
      </c>
      <c r="F92" s="11">
        <f>B92*INPUTS!$G$35*INPUTS!$G$42 + C92*INPUTS!$G$42 + D92*INPUTS!$G$43 + E92*INPUTS!$G$44</f>
        <v/>
      </c>
      <c r="G92" s="15">
        <f>INPUTS!$B$6*(1+F92)</f>
        <v/>
      </c>
      <c r="H92" s="15">
        <f>G92-INPUTS!$B$6</f>
        <v/>
      </c>
      <c r="I92" s="15">
        <f>MAX(0,H92-INPUTS!$B$7)</f>
        <v/>
      </c>
    </row>
    <row r="93">
      <c r="A93" s="14">
        <f>MC_SEEDS!A82</f>
        <v/>
      </c>
      <c r="B93" s="27">
        <f>MC_SEEDS!B82</f>
        <v/>
      </c>
      <c r="C93" s="11">
        <f>MC_SEEDS!C82</f>
        <v/>
      </c>
      <c r="D93" s="11">
        <f>MC_SEEDS!D82</f>
        <v/>
      </c>
      <c r="E93" s="11">
        <f>MC_SEEDS!E82</f>
        <v/>
      </c>
      <c r="F93" s="11">
        <f>B93*INPUTS!$G$35*INPUTS!$G$42 + C93*INPUTS!$G$42 + D93*INPUTS!$G$43 + E93*INPUTS!$G$44</f>
        <v/>
      </c>
      <c r="G93" s="15">
        <f>INPUTS!$B$6*(1+F93)</f>
        <v/>
      </c>
      <c r="H93" s="15">
        <f>G93-INPUTS!$B$6</f>
        <v/>
      </c>
      <c r="I93" s="15">
        <f>MAX(0,H93-INPUTS!$B$7)</f>
        <v/>
      </c>
    </row>
    <row r="94">
      <c r="A94" s="14">
        <f>MC_SEEDS!A83</f>
        <v/>
      </c>
      <c r="B94" s="27">
        <f>MC_SEEDS!B83</f>
        <v/>
      </c>
      <c r="C94" s="11">
        <f>MC_SEEDS!C83</f>
        <v/>
      </c>
      <c r="D94" s="11">
        <f>MC_SEEDS!D83</f>
        <v/>
      </c>
      <c r="E94" s="11">
        <f>MC_SEEDS!E83</f>
        <v/>
      </c>
      <c r="F94" s="11">
        <f>B94*INPUTS!$G$35*INPUTS!$G$42 + C94*INPUTS!$G$42 + D94*INPUTS!$G$43 + E94*INPUTS!$G$44</f>
        <v/>
      </c>
      <c r="G94" s="15">
        <f>INPUTS!$B$6*(1+F94)</f>
        <v/>
      </c>
      <c r="H94" s="15">
        <f>G94-INPUTS!$B$6</f>
        <v/>
      </c>
      <c r="I94" s="15">
        <f>MAX(0,H94-INPUTS!$B$7)</f>
        <v/>
      </c>
    </row>
    <row r="95">
      <c r="A95" s="14">
        <f>MC_SEEDS!A84</f>
        <v/>
      </c>
      <c r="B95" s="27">
        <f>MC_SEEDS!B84</f>
        <v/>
      </c>
      <c r="C95" s="11">
        <f>MC_SEEDS!C84</f>
        <v/>
      </c>
      <c r="D95" s="11">
        <f>MC_SEEDS!D84</f>
        <v/>
      </c>
      <c r="E95" s="11">
        <f>MC_SEEDS!E84</f>
        <v/>
      </c>
      <c r="F95" s="11">
        <f>B95*INPUTS!$G$35*INPUTS!$G$42 + C95*INPUTS!$G$42 + D95*INPUTS!$G$43 + E95*INPUTS!$G$44</f>
        <v/>
      </c>
      <c r="G95" s="15">
        <f>INPUTS!$B$6*(1+F95)</f>
        <v/>
      </c>
      <c r="H95" s="15">
        <f>G95-INPUTS!$B$6</f>
        <v/>
      </c>
      <c r="I95" s="15">
        <f>MAX(0,H95-INPUTS!$B$7)</f>
        <v/>
      </c>
    </row>
    <row r="96">
      <c r="A96" s="14">
        <f>MC_SEEDS!A85</f>
        <v/>
      </c>
      <c r="B96" s="27">
        <f>MC_SEEDS!B85</f>
        <v/>
      </c>
      <c r="C96" s="11">
        <f>MC_SEEDS!C85</f>
        <v/>
      </c>
      <c r="D96" s="11">
        <f>MC_SEEDS!D85</f>
        <v/>
      </c>
      <c r="E96" s="11">
        <f>MC_SEEDS!E85</f>
        <v/>
      </c>
      <c r="F96" s="11">
        <f>B96*INPUTS!$G$35*INPUTS!$G$42 + C96*INPUTS!$G$42 + D96*INPUTS!$G$43 + E96*INPUTS!$G$44</f>
        <v/>
      </c>
      <c r="G96" s="15">
        <f>INPUTS!$B$6*(1+F96)</f>
        <v/>
      </c>
      <c r="H96" s="15">
        <f>G96-INPUTS!$B$6</f>
        <v/>
      </c>
      <c r="I96" s="15">
        <f>MAX(0,H96-INPUTS!$B$7)</f>
        <v/>
      </c>
    </row>
    <row r="97">
      <c r="A97" s="14">
        <f>MC_SEEDS!A86</f>
        <v/>
      </c>
      <c r="B97" s="27">
        <f>MC_SEEDS!B86</f>
        <v/>
      </c>
      <c r="C97" s="11">
        <f>MC_SEEDS!C86</f>
        <v/>
      </c>
      <c r="D97" s="11">
        <f>MC_SEEDS!D86</f>
        <v/>
      </c>
      <c r="E97" s="11">
        <f>MC_SEEDS!E86</f>
        <v/>
      </c>
      <c r="F97" s="11">
        <f>B97*INPUTS!$G$35*INPUTS!$G$42 + C97*INPUTS!$G$42 + D97*INPUTS!$G$43 + E97*INPUTS!$G$44</f>
        <v/>
      </c>
      <c r="G97" s="15">
        <f>INPUTS!$B$6*(1+F97)</f>
        <v/>
      </c>
      <c r="H97" s="15">
        <f>G97-INPUTS!$B$6</f>
        <v/>
      </c>
      <c r="I97" s="15">
        <f>MAX(0,H97-INPUTS!$B$7)</f>
        <v/>
      </c>
    </row>
    <row r="98">
      <c r="A98" s="14">
        <f>MC_SEEDS!A87</f>
        <v/>
      </c>
      <c r="B98" s="27">
        <f>MC_SEEDS!B87</f>
        <v/>
      </c>
      <c r="C98" s="11">
        <f>MC_SEEDS!C87</f>
        <v/>
      </c>
      <c r="D98" s="11">
        <f>MC_SEEDS!D87</f>
        <v/>
      </c>
      <c r="E98" s="11">
        <f>MC_SEEDS!E87</f>
        <v/>
      </c>
      <c r="F98" s="11">
        <f>B98*INPUTS!$G$35*INPUTS!$G$42 + C98*INPUTS!$G$42 + D98*INPUTS!$G$43 + E98*INPUTS!$G$44</f>
        <v/>
      </c>
      <c r="G98" s="15">
        <f>INPUTS!$B$6*(1+F98)</f>
        <v/>
      </c>
      <c r="H98" s="15">
        <f>G98-INPUTS!$B$6</f>
        <v/>
      </c>
      <c r="I98" s="15">
        <f>MAX(0,H98-INPUTS!$B$7)</f>
        <v/>
      </c>
    </row>
    <row r="99">
      <c r="A99" s="14">
        <f>MC_SEEDS!A88</f>
        <v/>
      </c>
      <c r="B99" s="27">
        <f>MC_SEEDS!B88</f>
        <v/>
      </c>
      <c r="C99" s="11">
        <f>MC_SEEDS!C88</f>
        <v/>
      </c>
      <c r="D99" s="11">
        <f>MC_SEEDS!D88</f>
        <v/>
      </c>
      <c r="E99" s="11">
        <f>MC_SEEDS!E88</f>
        <v/>
      </c>
      <c r="F99" s="11">
        <f>B99*INPUTS!$G$35*INPUTS!$G$42 + C99*INPUTS!$G$42 + D99*INPUTS!$G$43 + E99*INPUTS!$G$44</f>
        <v/>
      </c>
      <c r="G99" s="15">
        <f>INPUTS!$B$6*(1+F99)</f>
        <v/>
      </c>
      <c r="H99" s="15">
        <f>G99-INPUTS!$B$6</f>
        <v/>
      </c>
      <c r="I99" s="15">
        <f>MAX(0,H99-INPUTS!$B$7)</f>
        <v/>
      </c>
    </row>
    <row r="100">
      <c r="A100" s="14">
        <f>MC_SEEDS!A89</f>
        <v/>
      </c>
      <c r="B100" s="27">
        <f>MC_SEEDS!B89</f>
        <v/>
      </c>
      <c r="C100" s="11">
        <f>MC_SEEDS!C89</f>
        <v/>
      </c>
      <c r="D100" s="11">
        <f>MC_SEEDS!D89</f>
        <v/>
      </c>
      <c r="E100" s="11">
        <f>MC_SEEDS!E89</f>
        <v/>
      </c>
      <c r="F100" s="11">
        <f>B100*INPUTS!$G$35*INPUTS!$G$42 + C100*INPUTS!$G$42 + D100*INPUTS!$G$43 + E100*INPUTS!$G$44</f>
        <v/>
      </c>
      <c r="G100" s="15">
        <f>INPUTS!$B$6*(1+F100)</f>
        <v/>
      </c>
      <c r="H100" s="15">
        <f>G100-INPUTS!$B$6</f>
        <v/>
      </c>
      <c r="I100" s="15">
        <f>MAX(0,H100-INPUTS!$B$7)</f>
        <v/>
      </c>
    </row>
    <row r="101">
      <c r="A101" s="14">
        <f>MC_SEEDS!A90</f>
        <v/>
      </c>
      <c r="B101" s="27">
        <f>MC_SEEDS!B90</f>
        <v/>
      </c>
      <c r="C101" s="11">
        <f>MC_SEEDS!C90</f>
        <v/>
      </c>
      <c r="D101" s="11">
        <f>MC_SEEDS!D90</f>
        <v/>
      </c>
      <c r="E101" s="11">
        <f>MC_SEEDS!E90</f>
        <v/>
      </c>
      <c r="F101" s="11">
        <f>B101*INPUTS!$G$35*INPUTS!$G$42 + C101*INPUTS!$G$42 + D101*INPUTS!$G$43 + E101*INPUTS!$G$44</f>
        <v/>
      </c>
      <c r="G101" s="15">
        <f>INPUTS!$B$6*(1+F101)</f>
        <v/>
      </c>
      <c r="H101" s="15">
        <f>G101-INPUTS!$B$6</f>
        <v/>
      </c>
      <c r="I101" s="15">
        <f>MAX(0,H101-INPUTS!$B$7)</f>
        <v/>
      </c>
    </row>
    <row r="102">
      <c r="A102" s="14">
        <f>MC_SEEDS!A91</f>
        <v/>
      </c>
      <c r="B102" s="27">
        <f>MC_SEEDS!B91</f>
        <v/>
      </c>
      <c r="C102" s="11">
        <f>MC_SEEDS!C91</f>
        <v/>
      </c>
      <c r="D102" s="11">
        <f>MC_SEEDS!D91</f>
        <v/>
      </c>
      <c r="E102" s="11">
        <f>MC_SEEDS!E91</f>
        <v/>
      </c>
      <c r="F102" s="11">
        <f>B102*INPUTS!$G$35*INPUTS!$G$42 + C102*INPUTS!$G$42 + D102*INPUTS!$G$43 + E102*INPUTS!$G$44</f>
        <v/>
      </c>
      <c r="G102" s="15">
        <f>INPUTS!$B$6*(1+F102)</f>
        <v/>
      </c>
      <c r="H102" s="15">
        <f>G102-INPUTS!$B$6</f>
        <v/>
      </c>
      <c r="I102" s="15">
        <f>MAX(0,H102-INPUTS!$B$7)</f>
        <v/>
      </c>
    </row>
    <row r="103">
      <c r="A103" s="14">
        <f>MC_SEEDS!A92</f>
        <v/>
      </c>
      <c r="B103" s="27">
        <f>MC_SEEDS!B92</f>
        <v/>
      </c>
      <c r="C103" s="11">
        <f>MC_SEEDS!C92</f>
        <v/>
      </c>
      <c r="D103" s="11">
        <f>MC_SEEDS!D92</f>
        <v/>
      </c>
      <c r="E103" s="11">
        <f>MC_SEEDS!E92</f>
        <v/>
      </c>
      <c r="F103" s="11">
        <f>B103*INPUTS!$G$35*INPUTS!$G$42 + C103*INPUTS!$G$42 + D103*INPUTS!$G$43 + E103*INPUTS!$G$44</f>
        <v/>
      </c>
      <c r="G103" s="15">
        <f>INPUTS!$B$6*(1+F103)</f>
        <v/>
      </c>
      <c r="H103" s="15">
        <f>G103-INPUTS!$B$6</f>
        <v/>
      </c>
      <c r="I103" s="15">
        <f>MAX(0,H103-INPUTS!$B$7)</f>
        <v/>
      </c>
    </row>
    <row r="104">
      <c r="A104" s="14">
        <f>MC_SEEDS!A93</f>
        <v/>
      </c>
      <c r="B104" s="27">
        <f>MC_SEEDS!B93</f>
        <v/>
      </c>
      <c r="C104" s="11">
        <f>MC_SEEDS!C93</f>
        <v/>
      </c>
      <c r="D104" s="11">
        <f>MC_SEEDS!D93</f>
        <v/>
      </c>
      <c r="E104" s="11">
        <f>MC_SEEDS!E93</f>
        <v/>
      </c>
      <c r="F104" s="11">
        <f>B104*INPUTS!$G$35*INPUTS!$G$42 + C104*INPUTS!$G$42 + D104*INPUTS!$G$43 + E104*INPUTS!$G$44</f>
        <v/>
      </c>
      <c r="G104" s="15">
        <f>INPUTS!$B$6*(1+F104)</f>
        <v/>
      </c>
      <c r="H104" s="15">
        <f>G104-INPUTS!$B$6</f>
        <v/>
      </c>
      <c r="I104" s="15">
        <f>MAX(0,H104-INPUTS!$B$7)</f>
        <v/>
      </c>
    </row>
    <row r="105">
      <c r="A105" s="14">
        <f>MC_SEEDS!A94</f>
        <v/>
      </c>
      <c r="B105" s="27">
        <f>MC_SEEDS!B94</f>
        <v/>
      </c>
      <c r="C105" s="11">
        <f>MC_SEEDS!C94</f>
        <v/>
      </c>
      <c r="D105" s="11">
        <f>MC_SEEDS!D94</f>
        <v/>
      </c>
      <c r="E105" s="11">
        <f>MC_SEEDS!E94</f>
        <v/>
      </c>
      <c r="F105" s="11">
        <f>B105*INPUTS!$G$35*INPUTS!$G$42 + C105*INPUTS!$G$42 + D105*INPUTS!$G$43 + E105*INPUTS!$G$44</f>
        <v/>
      </c>
      <c r="G105" s="15">
        <f>INPUTS!$B$6*(1+F105)</f>
        <v/>
      </c>
      <c r="H105" s="15">
        <f>G105-INPUTS!$B$6</f>
        <v/>
      </c>
      <c r="I105" s="15">
        <f>MAX(0,H105-INPUTS!$B$7)</f>
        <v/>
      </c>
    </row>
    <row r="106">
      <c r="A106" s="14">
        <f>MC_SEEDS!A95</f>
        <v/>
      </c>
      <c r="B106" s="27">
        <f>MC_SEEDS!B95</f>
        <v/>
      </c>
      <c r="C106" s="11">
        <f>MC_SEEDS!C95</f>
        <v/>
      </c>
      <c r="D106" s="11">
        <f>MC_SEEDS!D95</f>
        <v/>
      </c>
      <c r="E106" s="11">
        <f>MC_SEEDS!E95</f>
        <v/>
      </c>
      <c r="F106" s="11">
        <f>B106*INPUTS!$G$35*INPUTS!$G$42 + C106*INPUTS!$G$42 + D106*INPUTS!$G$43 + E106*INPUTS!$G$44</f>
        <v/>
      </c>
      <c r="G106" s="15">
        <f>INPUTS!$B$6*(1+F106)</f>
        <v/>
      </c>
      <c r="H106" s="15">
        <f>G106-INPUTS!$B$6</f>
        <v/>
      </c>
      <c r="I106" s="15">
        <f>MAX(0,H106-INPUTS!$B$7)</f>
        <v/>
      </c>
    </row>
    <row r="107">
      <c r="A107" s="14">
        <f>MC_SEEDS!A96</f>
        <v/>
      </c>
      <c r="B107" s="27">
        <f>MC_SEEDS!B96</f>
        <v/>
      </c>
      <c r="C107" s="11">
        <f>MC_SEEDS!C96</f>
        <v/>
      </c>
      <c r="D107" s="11">
        <f>MC_SEEDS!D96</f>
        <v/>
      </c>
      <c r="E107" s="11">
        <f>MC_SEEDS!E96</f>
        <v/>
      </c>
      <c r="F107" s="11">
        <f>B107*INPUTS!$G$35*INPUTS!$G$42 + C107*INPUTS!$G$42 + D107*INPUTS!$G$43 + E107*INPUTS!$G$44</f>
        <v/>
      </c>
      <c r="G107" s="15">
        <f>INPUTS!$B$6*(1+F107)</f>
        <v/>
      </c>
      <c r="H107" s="15">
        <f>G107-INPUTS!$B$6</f>
        <v/>
      </c>
      <c r="I107" s="15">
        <f>MAX(0,H107-INPUTS!$B$7)</f>
        <v/>
      </c>
    </row>
    <row r="108">
      <c r="A108" s="14">
        <f>MC_SEEDS!A97</f>
        <v/>
      </c>
      <c r="B108" s="27">
        <f>MC_SEEDS!B97</f>
        <v/>
      </c>
      <c r="C108" s="11">
        <f>MC_SEEDS!C97</f>
        <v/>
      </c>
      <c r="D108" s="11">
        <f>MC_SEEDS!D97</f>
        <v/>
      </c>
      <c r="E108" s="11">
        <f>MC_SEEDS!E97</f>
        <v/>
      </c>
      <c r="F108" s="11">
        <f>B108*INPUTS!$G$35*INPUTS!$G$42 + C108*INPUTS!$G$42 + D108*INPUTS!$G$43 + E108*INPUTS!$G$44</f>
        <v/>
      </c>
      <c r="G108" s="15">
        <f>INPUTS!$B$6*(1+F108)</f>
        <v/>
      </c>
      <c r="H108" s="15">
        <f>G108-INPUTS!$B$6</f>
        <v/>
      </c>
      <c r="I108" s="15">
        <f>MAX(0,H108-INPUTS!$B$7)</f>
        <v/>
      </c>
    </row>
    <row r="109">
      <c r="A109" s="14">
        <f>MC_SEEDS!A98</f>
        <v/>
      </c>
      <c r="B109" s="27">
        <f>MC_SEEDS!B98</f>
        <v/>
      </c>
      <c r="C109" s="11">
        <f>MC_SEEDS!C98</f>
        <v/>
      </c>
      <c r="D109" s="11">
        <f>MC_SEEDS!D98</f>
        <v/>
      </c>
      <c r="E109" s="11">
        <f>MC_SEEDS!E98</f>
        <v/>
      </c>
      <c r="F109" s="11">
        <f>B109*INPUTS!$G$35*INPUTS!$G$42 + C109*INPUTS!$G$42 + D109*INPUTS!$G$43 + E109*INPUTS!$G$44</f>
        <v/>
      </c>
      <c r="G109" s="15">
        <f>INPUTS!$B$6*(1+F109)</f>
        <v/>
      </c>
      <c r="H109" s="15">
        <f>G109-INPUTS!$B$6</f>
        <v/>
      </c>
      <c r="I109" s="15">
        <f>MAX(0,H109-INPUTS!$B$7)</f>
        <v/>
      </c>
    </row>
    <row r="110">
      <c r="A110" s="14">
        <f>MC_SEEDS!A99</f>
        <v/>
      </c>
      <c r="B110" s="27">
        <f>MC_SEEDS!B99</f>
        <v/>
      </c>
      <c r="C110" s="11">
        <f>MC_SEEDS!C99</f>
        <v/>
      </c>
      <c r="D110" s="11">
        <f>MC_SEEDS!D99</f>
        <v/>
      </c>
      <c r="E110" s="11">
        <f>MC_SEEDS!E99</f>
        <v/>
      </c>
      <c r="F110" s="11">
        <f>B110*INPUTS!$G$35*INPUTS!$G$42 + C110*INPUTS!$G$42 + D110*INPUTS!$G$43 + E110*INPUTS!$G$44</f>
        <v/>
      </c>
      <c r="G110" s="15">
        <f>INPUTS!$B$6*(1+F110)</f>
        <v/>
      </c>
      <c r="H110" s="15">
        <f>G110-INPUTS!$B$6</f>
        <v/>
      </c>
      <c r="I110" s="15">
        <f>MAX(0,H110-INPUTS!$B$7)</f>
        <v/>
      </c>
    </row>
    <row r="111">
      <c r="A111" s="14">
        <f>MC_SEEDS!A100</f>
        <v/>
      </c>
      <c r="B111" s="27">
        <f>MC_SEEDS!B100</f>
        <v/>
      </c>
      <c r="C111" s="11">
        <f>MC_SEEDS!C100</f>
        <v/>
      </c>
      <c r="D111" s="11">
        <f>MC_SEEDS!D100</f>
        <v/>
      </c>
      <c r="E111" s="11">
        <f>MC_SEEDS!E100</f>
        <v/>
      </c>
      <c r="F111" s="11">
        <f>B111*INPUTS!$G$35*INPUTS!$G$42 + C111*INPUTS!$G$42 + D111*INPUTS!$G$43 + E111*INPUTS!$G$44</f>
        <v/>
      </c>
      <c r="G111" s="15">
        <f>INPUTS!$B$6*(1+F111)</f>
        <v/>
      </c>
      <c r="H111" s="15">
        <f>G111-INPUTS!$B$6</f>
        <v/>
      </c>
      <c r="I111" s="15">
        <f>MAX(0,H111-INPUTS!$B$7)</f>
        <v/>
      </c>
    </row>
    <row r="112">
      <c r="A112" s="14">
        <f>MC_SEEDS!A101</f>
        <v/>
      </c>
      <c r="B112" s="27">
        <f>MC_SEEDS!B101</f>
        <v/>
      </c>
      <c r="C112" s="11">
        <f>MC_SEEDS!C101</f>
        <v/>
      </c>
      <c r="D112" s="11">
        <f>MC_SEEDS!D101</f>
        <v/>
      </c>
      <c r="E112" s="11">
        <f>MC_SEEDS!E101</f>
        <v/>
      </c>
      <c r="F112" s="11">
        <f>B112*INPUTS!$G$35*INPUTS!$G$42 + C112*INPUTS!$G$42 + D112*INPUTS!$G$43 + E112*INPUTS!$G$44</f>
        <v/>
      </c>
      <c r="G112" s="15">
        <f>INPUTS!$B$6*(1+F112)</f>
        <v/>
      </c>
      <c r="H112" s="15">
        <f>G112-INPUTS!$B$6</f>
        <v/>
      </c>
      <c r="I112" s="15">
        <f>MAX(0,H112-INPUTS!$B$7)</f>
        <v/>
      </c>
    </row>
    <row r="113">
      <c r="A113" s="14">
        <f>MC_SEEDS!A102</f>
        <v/>
      </c>
      <c r="B113" s="27">
        <f>MC_SEEDS!B102</f>
        <v/>
      </c>
      <c r="C113" s="11">
        <f>MC_SEEDS!C102</f>
        <v/>
      </c>
      <c r="D113" s="11">
        <f>MC_SEEDS!D102</f>
        <v/>
      </c>
      <c r="E113" s="11">
        <f>MC_SEEDS!E102</f>
        <v/>
      </c>
      <c r="F113" s="11">
        <f>B113*INPUTS!$G$35*INPUTS!$G$42 + C113*INPUTS!$G$42 + D113*INPUTS!$G$43 + E113*INPUTS!$G$44</f>
        <v/>
      </c>
      <c r="G113" s="15">
        <f>INPUTS!$B$6*(1+F113)</f>
        <v/>
      </c>
      <c r="H113" s="15">
        <f>G113-INPUTS!$B$6</f>
        <v/>
      </c>
      <c r="I113" s="15">
        <f>MAX(0,H113-INPUTS!$B$7)</f>
        <v/>
      </c>
    </row>
    <row r="114">
      <c r="A114" s="14">
        <f>MC_SEEDS!A103</f>
        <v/>
      </c>
      <c r="B114" s="27">
        <f>MC_SEEDS!B103</f>
        <v/>
      </c>
      <c r="C114" s="11">
        <f>MC_SEEDS!C103</f>
        <v/>
      </c>
      <c r="D114" s="11">
        <f>MC_SEEDS!D103</f>
        <v/>
      </c>
      <c r="E114" s="11">
        <f>MC_SEEDS!E103</f>
        <v/>
      </c>
      <c r="F114" s="11">
        <f>B114*INPUTS!$G$35*INPUTS!$G$42 + C114*INPUTS!$G$42 + D114*INPUTS!$G$43 + E114*INPUTS!$G$44</f>
        <v/>
      </c>
      <c r="G114" s="15">
        <f>INPUTS!$B$6*(1+F114)</f>
        <v/>
      </c>
      <c r="H114" s="15">
        <f>G114-INPUTS!$B$6</f>
        <v/>
      </c>
      <c r="I114" s="15">
        <f>MAX(0,H114-INPUTS!$B$7)</f>
        <v/>
      </c>
    </row>
    <row r="115">
      <c r="A115" s="14">
        <f>MC_SEEDS!A104</f>
        <v/>
      </c>
      <c r="B115" s="27">
        <f>MC_SEEDS!B104</f>
        <v/>
      </c>
      <c r="C115" s="11">
        <f>MC_SEEDS!C104</f>
        <v/>
      </c>
      <c r="D115" s="11">
        <f>MC_SEEDS!D104</f>
        <v/>
      </c>
      <c r="E115" s="11">
        <f>MC_SEEDS!E104</f>
        <v/>
      </c>
      <c r="F115" s="11">
        <f>B115*INPUTS!$G$35*INPUTS!$G$42 + C115*INPUTS!$G$42 + D115*INPUTS!$G$43 + E115*INPUTS!$G$44</f>
        <v/>
      </c>
      <c r="G115" s="15">
        <f>INPUTS!$B$6*(1+F115)</f>
        <v/>
      </c>
      <c r="H115" s="15">
        <f>G115-INPUTS!$B$6</f>
        <v/>
      </c>
      <c r="I115" s="15">
        <f>MAX(0,H115-INPUTS!$B$7)</f>
        <v/>
      </c>
    </row>
    <row r="116">
      <c r="A116" s="14">
        <f>MC_SEEDS!A105</f>
        <v/>
      </c>
      <c r="B116" s="27">
        <f>MC_SEEDS!B105</f>
        <v/>
      </c>
      <c r="C116" s="11">
        <f>MC_SEEDS!C105</f>
        <v/>
      </c>
      <c r="D116" s="11">
        <f>MC_SEEDS!D105</f>
        <v/>
      </c>
      <c r="E116" s="11">
        <f>MC_SEEDS!E105</f>
        <v/>
      </c>
      <c r="F116" s="11">
        <f>B116*INPUTS!$G$35*INPUTS!$G$42 + C116*INPUTS!$G$42 + D116*INPUTS!$G$43 + E116*INPUTS!$G$44</f>
        <v/>
      </c>
      <c r="G116" s="15">
        <f>INPUTS!$B$6*(1+F116)</f>
        <v/>
      </c>
      <c r="H116" s="15">
        <f>G116-INPUTS!$B$6</f>
        <v/>
      </c>
      <c r="I116" s="15">
        <f>MAX(0,H116-INPUTS!$B$7)</f>
        <v/>
      </c>
    </row>
    <row r="117">
      <c r="A117" s="14">
        <f>MC_SEEDS!A106</f>
        <v/>
      </c>
      <c r="B117" s="27">
        <f>MC_SEEDS!B106</f>
        <v/>
      </c>
      <c r="C117" s="11">
        <f>MC_SEEDS!C106</f>
        <v/>
      </c>
      <c r="D117" s="11">
        <f>MC_SEEDS!D106</f>
        <v/>
      </c>
      <c r="E117" s="11">
        <f>MC_SEEDS!E106</f>
        <v/>
      </c>
      <c r="F117" s="11">
        <f>B117*INPUTS!$G$35*INPUTS!$G$42 + C117*INPUTS!$G$42 + D117*INPUTS!$G$43 + E117*INPUTS!$G$44</f>
        <v/>
      </c>
      <c r="G117" s="15">
        <f>INPUTS!$B$6*(1+F117)</f>
        <v/>
      </c>
      <c r="H117" s="15">
        <f>G117-INPUTS!$B$6</f>
        <v/>
      </c>
      <c r="I117" s="15">
        <f>MAX(0,H117-INPUTS!$B$7)</f>
        <v/>
      </c>
    </row>
    <row r="118">
      <c r="A118" s="14">
        <f>MC_SEEDS!A107</f>
        <v/>
      </c>
      <c r="B118" s="27">
        <f>MC_SEEDS!B107</f>
        <v/>
      </c>
      <c r="C118" s="11">
        <f>MC_SEEDS!C107</f>
        <v/>
      </c>
      <c r="D118" s="11">
        <f>MC_SEEDS!D107</f>
        <v/>
      </c>
      <c r="E118" s="11">
        <f>MC_SEEDS!E107</f>
        <v/>
      </c>
      <c r="F118" s="11">
        <f>B118*INPUTS!$G$35*INPUTS!$G$42 + C118*INPUTS!$G$42 + D118*INPUTS!$G$43 + E118*INPUTS!$G$44</f>
        <v/>
      </c>
      <c r="G118" s="15">
        <f>INPUTS!$B$6*(1+F118)</f>
        <v/>
      </c>
      <c r="H118" s="15">
        <f>G118-INPUTS!$B$6</f>
        <v/>
      </c>
      <c r="I118" s="15">
        <f>MAX(0,H118-INPUTS!$B$7)</f>
        <v/>
      </c>
    </row>
    <row r="119">
      <c r="A119" s="14">
        <f>MC_SEEDS!A108</f>
        <v/>
      </c>
      <c r="B119" s="27">
        <f>MC_SEEDS!B108</f>
        <v/>
      </c>
      <c r="C119" s="11">
        <f>MC_SEEDS!C108</f>
        <v/>
      </c>
      <c r="D119" s="11">
        <f>MC_SEEDS!D108</f>
        <v/>
      </c>
      <c r="E119" s="11">
        <f>MC_SEEDS!E108</f>
        <v/>
      </c>
      <c r="F119" s="11">
        <f>B119*INPUTS!$G$35*INPUTS!$G$42 + C119*INPUTS!$G$42 + D119*INPUTS!$G$43 + E119*INPUTS!$G$44</f>
        <v/>
      </c>
      <c r="G119" s="15">
        <f>INPUTS!$B$6*(1+F119)</f>
        <v/>
      </c>
      <c r="H119" s="15">
        <f>G119-INPUTS!$B$6</f>
        <v/>
      </c>
      <c r="I119" s="15">
        <f>MAX(0,H119-INPUTS!$B$7)</f>
        <v/>
      </c>
    </row>
    <row r="120">
      <c r="A120" s="14">
        <f>MC_SEEDS!A109</f>
        <v/>
      </c>
      <c r="B120" s="27">
        <f>MC_SEEDS!B109</f>
        <v/>
      </c>
      <c r="C120" s="11">
        <f>MC_SEEDS!C109</f>
        <v/>
      </c>
      <c r="D120" s="11">
        <f>MC_SEEDS!D109</f>
        <v/>
      </c>
      <c r="E120" s="11">
        <f>MC_SEEDS!E109</f>
        <v/>
      </c>
      <c r="F120" s="11">
        <f>B120*INPUTS!$G$35*INPUTS!$G$42 + C120*INPUTS!$G$42 + D120*INPUTS!$G$43 + E120*INPUTS!$G$44</f>
        <v/>
      </c>
      <c r="G120" s="15">
        <f>INPUTS!$B$6*(1+F120)</f>
        <v/>
      </c>
      <c r="H120" s="15">
        <f>G120-INPUTS!$B$6</f>
        <v/>
      </c>
      <c r="I120" s="15">
        <f>MAX(0,H120-INPUTS!$B$7)</f>
        <v/>
      </c>
    </row>
    <row r="121">
      <c r="A121" s="14">
        <f>MC_SEEDS!A110</f>
        <v/>
      </c>
      <c r="B121" s="27">
        <f>MC_SEEDS!B110</f>
        <v/>
      </c>
      <c r="C121" s="11">
        <f>MC_SEEDS!C110</f>
        <v/>
      </c>
      <c r="D121" s="11">
        <f>MC_SEEDS!D110</f>
        <v/>
      </c>
      <c r="E121" s="11">
        <f>MC_SEEDS!E110</f>
        <v/>
      </c>
      <c r="F121" s="11">
        <f>B121*INPUTS!$G$35*INPUTS!$G$42 + C121*INPUTS!$G$42 + D121*INPUTS!$G$43 + E121*INPUTS!$G$44</f>
        <v/>
      </c>
      <c r="G121" s="15">
        <f>INPUTS!$B$6*(1+F121)</f>
        <v/>
      </c>
      <c r="H121" s="15">
        <f>G121-INPUTS!$B$6</f>
        <v/>
      </c>
      <c r="I121" s="15">
        <f>MAX(0,H121-INPUTS!$B$7)</f>
        <v/>
      </c>
    </row>
    <row r="122">
      <c r="A122" s="14">
        <f>MC_SEEDS!A111</f>
        <v/>
      </c>
      <c r="B122" s="27">
        <f>MC_SEEDS!B111</f>
        <v/>
      </c>
      <c r="C122" s="11">
        <f>MC_SEEDS!C111</f>
        <v/>
      </c>
      <c r="D122" s="11">
        <f>MC_SEEDS!D111</f>
        <v/>
      </c>
      <c r="E122" s="11">
        <f>MC_SEEDS!E111</f>
        <v/>
      </c>
      <c r="F122" s="11">
        <f>B122*INPUTS!$G$35*INPUTS!$G$42 + C122*INPUTS!$G$42 + D122*INPUTS!$G$43 + E122*INPUTS!$G$44</f>
        <v/>
      </c>
      <c r="G122" s="15">
        <f>INPUTS!$B$6*(1+F122)</f>
        <v/>
      </c>
      <c r="H122" s="15">
        <f>G122-INPUTS!$B$6</f>
        <v/>
      </c>
      <c r="I122" s="15">
        <f>MAX(0,H122-INPUTS!$B$7)</f>
        <v/>
      </c>
    </row>
    <row r="123">
      <c r="A123" s="14">
        <f>MC_SEEDS!A112</f>
        <v/>
      </c>
      <c r="B123" s="27">
        <f>MC_SEEDS!B112</f>
        <v/>
      </c>
      <c r="C123" s="11">
        <f>MC_SEEDS!C112</f>
        <v/>
      </c>
      <c r="D123" s="11">
        <f>MC_SEEDS!D112</f>
        <v/>
      </c>
      <c r="E123" s="11">
        <f>MC_SEEDS!E112</f>
        <v/>
      </c>
      <c r="F123" s="11">
        <f>B123*INPUTS!$G$35*INPUTS!$G$42 + C123*INPUTS!$G$42 + D123*INPUTS!$G$43 + E123*INPUTS!$G$44</f>
        <v/>
      </c>
      <c r="G123" s="15">
        <f>INPUTS!$B$6*(1+F123)</f>
        <v/>
      </c>
      <c r="H123" s="15">
        <f>G123-INPUTS!$B$6</f>
        <v/>
      </c>
      <c r="I123" s="15">
        <f>MAX(0,H123-INPUTS!$B$7)</f>
        <v/>
      </c>
    </row>
    <row r="124">
      <c r="A124" s="14">
        <f>MC_SEEDS!A113</f>
        <v/>
      </c>
      <c r="B124" s="27">
        <f>MC_SEEDS!B113</f>
        <v/>
      </c>
      <c r="C124" s="11">
        <f>MC_SEEDS!C113</f>
        <v/>
      </c>
      <c r="D124" s="11">
        <f>MC_SEEDS!D113</f>
        <v/>
      </c>
      <c r="E124" s="11">
        <f>MC_SEEDS!E113</f>
        <v/>
      </c>
      <c r="F124" s="11">
        <f>B124*INPUTS!$G$35*INPUTS!$G$42 + C124*INPUTS!$G$42 + D124*INPUTS!$G$43 + E124*INPUTS!$G$44</f>
        <v/>
      </c>
      <c r="G124" s="15">
        <f>INPUTS!$B$6*(1+F124)</f>
        <v/>
      </c>
      <c r="H124" s="15">
        <f>G124-INPUTS!$B$6</f>
        <v/>
      </c>
      <c r="I124" s="15">
        <f>MAX(0,H124-INPUTS!$B$7)</f>
        <v/>
      </c>
    </row>
    <row r="125">
      <c r="A125" s="14">
        <f>MC_SEEDS!A114</f>
        <v/>
      </c>
      <c r="B125" s="27">
        <f>MC_SEEDS!B114</f>
        <v/>
      </c>
      <c r="C125" s="11">
        <f>MC_SEEDS!C114</f>
        <v/>
      </c>
      <c r="D125" s="11">
        <f>MC_SEEDS!D114</f>
        <v/>
      </c>
      <c r="E125" s="11">
        <f>MC_SEEDS!E114</f>
        <v/>
      </c>
      <c r="F125" s="11">
        <f>B125*INPUTS!$G$35*INPUTS!$G$42 + C125*INPUTS!$G$42 + D125*INPUTS!$G$43 + E125*INPUTS!$G$44</f>
        <v/>
      </c>
      <c r="G125" s="15">
        <f>INPUTS!$B$6*(1+F125)</f>
        <v/>
      </c>
      <c r="H125" s="15">
        <f>G125-INPUTS!$B$6</f>
        <v/>
      </c>
      <c r="I125" s="15">
        <f>MAX(0,H125-INPUTS!$B$7)</f>
        <v/>
      </c>
    </row>
    <row r="126">
      <c r="A126" s="14">
        <f>MC_SEEDS!A115</f>
        <v/>
      </c>
      <c r="B126" s="27">
        <f>MC_SEEDS!B115</f>
        <v/>
      </c>
      <c r="C126" s="11">
        <f>MC_SEEDS!C115</f>
        <v/>
      </c>
      <c r="D126" s="11">
        <f>MC_SEEDS!D115</f>
        <v/>
      </c>
      <c r="E126" s="11">
        <f>MC_SEEDS!E115</f>
        <v/>
      </c>
      <c r="F126" s="11">
        <f>B126*INPUTS!$G$35*INPUTS!$G$42 + C126*INPUTS!$G$42 + D126*INPUTS!$G$43 + E126*INPUTS!$G$44</f>
        <v/>
      </c>
      <c r="G126" s="15">
        <f>INPUTS!$B$6*(1+F126)</f>
        <v/>
      </c>
      <c r="H126" s="15">
        <f>G126-INPUTS!$B$6</f>
        <v/>
      </c>
      <c r="I126" s="15">
        <f>MAX(0,H126-INPUTS!$B$7)</f>
        <v/>
      </c>
    </row>
    <row r="127">
      <c r="A127" s="14">
        <f>MC_SEEDS!A116</f>
        <v/>
      </c>
      <c r="B127" s="27">
        <f>MC_SEEDS!B116</f>
        <v/>
      </c>
      <c r="C127" s="11">
        <f>MC_SEEDS!C116</f>
        <v/>
      </c>
      <c r="D127" s="11">
        <f>MC_SEEDS!D116</f>
        <v/>
      </c>
      <c r="E127" s="11">
        <f>MC_SEEDS!E116</f>
        <v/>
      </c>
      <c r="F127" s="11">
        <f>B127*INPUTS!$G$35*INPUTS!$G$42 + C127*INPUTS!$G$42 + D127*INPUTS!$G$43 + E127*INPUTS!$G$44</f>
        <v/>
      </c>
      <c r="G127" s="15">
        <f>INPUTS!$B$6*(1+F127)</f>
        <v/>
      </c>
      <c r="H127" s="15">
        <f>G127-INPUTS!$B$6</f>
        <v/>
      </c>
      <c r="I127" s="15">
        <f>MAX(0,H127-INPUTS!$B$7)</f>
        <v/>
      </c>
    </row>
    <row r="128">
      <c r="A128" s="14">
        <f>MC_SEEDS!A117</f>
        <v/>
      </c>
      <c r="B128" s="27">
        <f>MC_SEEDS!B117</f>
        <v/>
      </c>
      <c r="C128" s="11">
        <f>MC_SEEDS!C117</f>
        <v/>
      </c>
      <c r="D128" s="11">
        <f>MC_SEEDS!D117</f>
        <v/>
      </c>
      <c r="E128" s="11">
        <f>MC_SEEDS!E117</f>
        <v/>
      </c>
      <c r="F128" s="11">
        <f>B128*INPUTS!$G$35*INPUTS!$G$42 + C128*INPUTS!$G$42 + D128*INPUTS!$G$43 + E128*INPUTS!$G$44</f>
        <v/>
      </c>
      <c r="G128" s="15">
        <f>INPUTS!$B$6*(1+F128)</f>
        <v/>
      </c>
      <c r="H128" s="15">
        <f>G128-INPUTS!$B$6</f>
        <v/>
      </c>
      <c r="I128" s="15">
        <f>MAX(0,H128-INPUTS!$B$7)</f>
        <v/>
      </c>
    </row>
    <row r="129">
      <c r="A129" s="14">
        <f>MC_SEEDS!A118</f>
        <v/>
      </c>
      <c r="B129" s="27">
        <f>MC_SEEDS!B118</f>
        <v/>
      </c>
      <c r="C129" s="11">
        <f>MC_SEEDS!C118</f>
        <v/>
      </c>
      <c r="D129" s="11">
        <f>MC_SEEDS!D118</f>
        <v/>
      </c>
      <c r="E129" s="11">
        <f>MC_SEEDS!E118</f>
        <v/>
      </c>
      <c r="F129" s="11">
        <f>B129*INPUTS!$G$35*INPUTS!$G$42 + C129*INPUTS!$G$42 + D129*INPUTS!$G$43 + E129*INPUTS!$G$44</f>
        <v/>
      </c>
      <c r="G129" s="15">
        <f>INPUTS!$B$6*(1+F129)</f>
        <v/>
      </c>
      <c r="H129" s="15">
        <f>G129-INPUTS!$B$6</f>
        <v/>
      </c>
      <c r="I129" s="15">
        <f>MAX(0,H129-INPUTS!$B$7)</f>
        <v/>
      </c>
    </row>
    <row r="130">
      <c r="A130" s="14">
        <f>MC_SEEDS!A119</f>
        <v/>
      </c>
      <c r="B130" s="27">
        <f>MC_SEEDS!B119</f>
        <v/>
      </c>
      <c r="C130" s="11">
        <f>MC_SEEDS!C119</f>
        <v/>
      </c>
      <c r="D130" s="11">
        <f>MC_SEEDS!D119</f>
        <v/>
      </c>
      <c r="E130" s="11">
        <f>MC_SEEDS!E119</f>
        <v/>
      </c>
      <c r="F130" s="11">
        <f>B130*INPUTS!$G$35*INPUTS!$G$42 + C130*INPUTS!$G$42 + D130*INPUTS!$G$43 + E130*INPUTS!$G$44</f>
        <v/>
      </c>
      <c r="G130" s="15">
        <f>INPUTS!$B$6*(1+F130)</f>
        <v/>
      </c>
      <c r="H130" s="15">
        <f>G130-INPUTS!$B$6</f>
        <v/>
      </c>
      <c r="I130" s="15">
        <f>MAX(0,H130-INPUTS!$B$7)</f>
        <v/>
      </c>
    </row>
    <row r="131">
      <c r="A131" s="14">
        <f>MC_SEEDS!A120</f>
        <v/>
      </c>
      <c r="B131" s="27">
        <f>MC_SEEDS!B120</f>
        <v/>
      </c>
      <c r="C131" s="11">
        <f>MC_SEEDS!C120</f>
        <v/>
      </c>
      <c r="D131" s="11">
        <f>MC_SEEDS!D120</f>
        <v/>
      </c>
      <c r="E131" s="11">
        <f>MC_SEEDS!E120</f>
        <v/>
      </c>
      <c r="F131" s="11">
        <f>B131*INPUTS!$G$35*INPUTS!$G$42 + C131*INPUTS!$G$42 + D131*INPUTS!$G$43 + E131*INPUTS!$G$44</f>
        <v/>
      </c>
      <c r="G131" s="15">
        <f>INPUTS!$B$6*(1+F131)</f>
        <v/>
      </c>
      <c r="H131" s="15">
        <f>G131-INPUTS!$B$6</f>
        <v/>
      </c>
      <c r="I131" s="15">
        <f>MAX(0,H131-INPUTS!$B$7)</f>
        <v/>
      </c>
    </row>
    <row r="132">
      <c r="A132" s="14">
        <f>MC_SEEDS!A121</f>
        <v/>
      </c>
      <c r="B132" s="27">
        <f>MC_SEEDS!B121</f>
        <v/>
      </c>
      <c r="C132" s="11">
        <f>MC_SEEDS!C121</f>
        <v/>
      </c>
      <c r="D132" s="11">
        <f>MC_SEEDS!D121</f>
        <v/>
      </c>
      <c r="E132" s="11">
        <f>MC_SEEDS!E121</f>
        <v/>
      </c>
      <c r="F132" s="11">
        <f>B132*INPUTS!$G$35*INPUTS!$G$42 + C132*INPUTS!$G$42 + D132*INPUTS!$G$43 + E132*INPUTS!$G$44</f>
        <v/>
      </c>
      <c r="G132" s="15">
        <f>INPUTS!$B$6*(1+F132)</f>
        <v/>
      </c>
      <c r="H132" s="15">
        <f>G132-INPUTS!$B$6</f>
        <v/>
      </c>
      <c r="I132" s="15">
        <f>MAX(0,H132-INPUTS!$B$7)</f>
        <v/>
      </c>
    </row>
    <row r="133">
      <c r="A133" s="14">
        <f>MC_SEEDS!A122</f>
        <v/>
      </c>
      <c r="B133" s="27">
        <f>MC_SEEDS!B122</f>
        <v/>
      </c>
      <c r="C133" s="11">
        <f>MC_SEEDS!C122</f>
        <v/>
      </c>
      <c r="D133" s="11">
        <f>MC_SEEDS!D122</f>
        <v/>
      </c>
      <c r="E133" s="11">
        <f>MC_SEEDS!E122</f>
        <v/>
      </c>
      <c r="F133" s="11">
        <f>B133*INPUTS!$G$35*INPUTS!$G$42 + C133*INPUTS!$G$42 + D133*INPUTS!$G$43 + E133*INPUTS!$G$44</f>
        <v/>
      </c>
      <c r="G133" s="15">
        <f>INPUTS!$B$6*(1+F133)</f>
        <v/>
      </c>
      <c r="H133" s="15">
        <f>G133-INPUTS!$B$6</f>
        <v/>
      </c>
      <c r="I133" s="15">
        <f>MAX(0,H133-INPUTS!$B$7)</f>
        <v/>
      </c>
    </row>
    <row r="134">
      <c r="A134" s="14">
        <f>MC_SEEDS!A123</f>
        <v/>
      </c>
      <c r="B134" s="27">
        <f>MC_SEEDS!B123</f>
        <v/>
      </c>
      <c r="C134" s="11">
        <f>MC_SEEDS!C123</f>
        <v/>
      </c>
      <c r="D134" s="11">
        <f>MC_SEEDS!D123</f>
        <v/>
      </c>
      <c r="E134" s="11">
        <f>MC_SEEDS!E123</f>
        <v/>
      </c>
      <c r="F134" s="11">
        <f>B134*INPUTS!$G$35*INPUTS!$G$42 + C134*INPUTS!$G$42 + D134*INPUTS!$G$43 + E134*INPUTS!$G$44</f>
        <v/>
      </c>
      <c r="G134" s="15">
        <f>INPUTS!$B$6*(1+F134)</f>
        <v/>
      </c>
      <c r="H134" s="15">
        <f>G134-INPUTS!$B$6</f>
        <v/>
      </c>
      <c r="I134" s="15">
        <f>MAX(0,H134-INPUTS!$B$7)</f>
        <v/>
      </c>
    </row>
    <row r="135">
      <c r="A135" s="14">
        <f>MC_SEEDS!A124</f>
        <v/>
      </c>
      <c r="B135" s="27">
        <f>MC_SEEDS!B124</f>
        <v/>
      </c>
      <c r="C135" s="11">
        <f>MC_SEEDS!C124</f>
        <v/>
      </c>
      <c r="D135" s="11">
        <f>MC_SEEDS!D124</f>
        <v/>
      </c>
      <c r="E135" s="11">
        <f>MC_SEEDS!E124</f>
        <v/>
      </c>
      <c r="F135" s="11">
        <f>B135*INPUTS!$G$35*INPUTS!$G$42 + C135*INPUTS!$G$42 + D135*INPUTS!$G$43 + E135*INPUTS!$G$44</f>
        <v/>
      </c>
      <c r="G135" s="15">
        <f>INPUTS!$B$6*(1+F135)</f>
        <v/>
      </c>
      <c r="H135" s="15">
        <f>G135-INPUTS!$B$6</f>
        <v/>
      </c>
      <c r="I135" s="15">
        <f>MAX(0,H135-INPUTS!$B$7)</f>
        <v/>
      </c>
    </row>
    <row r="136">
      <c r="A136" s="14">
        <f>MC_SEEDS!A125</f>
        <v/>
      </c>
      <c r="B136" s="27">
        <f>MC_SEEDS!B125</f>
        <v/>
      </c>
      <c r="C136" s="11">
        <f>MC_SEEDS!C125</f>
        <v/>
      </c>
      <c r="D136" s="11">
        <f>MC_SEEDS!D125</f>
        <v/>
      </c>
      <c r="E136" s="11">
        <f>MC_SEEDS!E125</f>
        <v/>
      </c>
      <c r="F136" s="11">
        <f>B136*INPUTS!$G$35*INPUTS!$G$42 + C136*INPUTS!$G$42 + D136*INPUTS!$G$43 + E136*INPUTS!$G$44</f>
        <v/>
      </c>
      <c r="G136" s="15">
        <f>INPUTS!$B$6*(1+F136)</f>
        <v/>
      </c>
      <c r="H136" s="15">
        <f>G136-INPUTS!$B$6</f>
        <v/>
      </c>
      <c r="I136" s="15">
        <f>MAX(0,H136-INPUTS!$B$7)</f>
        <v/>
      </c>
    </row>
    <row r="137">
      <c r="A137" s="14">
        <f>MC_SEEDS!A126</f>
        <v/>
      </c>
      <c r="B137" s="27">
        <f>MC_SEEDS!B126</f>
        <v/>
      </c>
      <c r="C137" s="11">
        <f>MC_SEEDS!C126</f>
        <v/>
      </c>
      <c r="D137" s="11">
        <f>MC_SEEDS!D126</f>
        <v/>
      </c>
      <c r="E137" s="11">
        <f>MC_SEEDS!E126</f>
        <v/>
      </c>
      <c r="F137" s="11">
        <f>B137*INPUTS!$G$35*INPUTS!$G$42 + C137*INPUTS!$G$42 + D137*INPUTS!$G$43 + E137*INPUTS!$G$44</f>
        <v/>
      </c>
      <c r="G137" s="15">
        <f>INPUTS!$B$6*(1+F137)</f>
        <v/>
      </c>
      <c r="H137" s="15">
        <f>G137-INPUTS!$B$6</f>
        <v/>
      </c>
      <c r="I137" s="15">
        <f>MAX(0,H137-INPUTS!$B$7)</f>
        <v/>
      </c>
    </row>
    <row r="138">
      <c r="A138" s="14">
        <f>MC_SEEDS!A127</f>
        <v/>
      </c>
      <c r="B138" s="27">
        <f>MC_SEEDS!B127</f>
        <v/>
      </c>
      <c r="C138" s="11">
        <f>MC_SEEDS!C127</f>
        <v/>
      </c>
      <c r="D138" s="11">
        <f>MC_SEEDS!D127</f>
        <v/>
      </c>
      <c r="E138" s="11">
        <f>MC_SEEDS!E127</f>
        <v/>
      </c>
      <c r="F138" s="11">
        <f>B138*INPUTS!$G$35*INPUTS!$G$42 + C138*INPUTS!$G$42 + D138*INPUTS!$G$43 + E138*INPUTS!$G$44</f>
        <v/>
      </c>
      <c r="G138" s="15">
        <f>INPUTS!$B$6*(1+F138)</f>
        <v/>
      </c>
      <c r="H138" s="15">
        <f>G138-INPUTS!$B$6</f>
        <v/>
      </c>
      <c r="I138" s="15">
        <f>MAX(0,H138-INPUTS!$B$7)</f>
        <v/>
      </c>
    </row>
    <row r="139">
      <c r="A139" s="14">
        <f>MC_SEEDS!A128</f>
        <v/>
      </c>
      <c r="B139" s="27">
        <f>MC_SEEDS!B128</f>
        <v/>
      </c>
      <c r="C139" s="11">
        <f>MC_SEEDS!C128</f>
        <v/>
      </c>
      <c r="D139" s="11">
        <f>MC_SEEDS!D128</f>
        <v/>
      </c>
      <c r="E139" s="11">
        <f>MC_SEEDS!E128</f>
        <v/>
      </c>
      <c r="F139" s="11">
        <f>B139*INPUTS!$G$35*INPUTS!$G$42 + C139*INPUTS!$G$42 + D139*INPUTS!$G$43 + E139*INPUTS!$G$44</f>
        <v/>
      </c>
      <c r="G139" s="15">
        <f>INPUTS!$B$6*(1+F139)</f>
        <v/>
      </c>
      <c r="H139" s="15">
        <f>G139-INPUTS!$B$6</f>
        <v/>
      </c>
      <c r="I139" s="15">
        <f>MAX(0,H139-INPUTS!$B$7)</f>
        <v/>
      </c>
    </row>
    <row r="140">
      <c r="A140" s="14">
        <f>MC_SEEDS!A129</f>
        <v/>
      </c>
      <c r="B140" s="27">
        <f>MC_SEEDS!B129</f>
        <v/>
      </c>
      <c r="C140" s="11">
        <f>MC_SEEDS!C129</f>
        <v/>
      </c>
      <c r="D140" s="11">
        <f>MC_SEEDS!D129</f>
        <v/>
      </c>
      <c r="E140" s="11">
        <f>MC_SEEDS!E129</f>
        <v/>
      </c>
      <c r="F140" s="11">
        <f>B140*INPUTS!$G$35*INPUTS!$G$42 + C140*INPUTS!$G$42 + D140*INPUTS!$G$43 + E140*INPUTS!$G$44</f>
        <v/>
      </c>
      <c r="G140" s="15">
        <f>INPUTS!$B$6*(1+F140)</f>
        <v/>
      </c>
      <c r="H140" s="15">
        <f>G140-INPUTS!$B$6</f>
        <v/>
      </c>
      <c r="I140" s="15">
        <f>MAX(0,H140-INPUTS!$B$7)</f>
        <v/>
      </c>
    </row>
    <row r="141">
      <c r="A141" s="14">
        <f>MC_SEEDS!A130</f>
        <v/>
      </c>
      <c r="B141" s="27">
        <f>MC_SEEDS!B130</f>
        <v/>
      </c>
      <c r="C141" s="11">
        <f>MC_SEEDS!C130</f>
        <v/>
      </c>
      <c r="D141" s="11">
        <f>MC_SEEDS!D130</f>
        <v/>
      </c>
      <c r="E141" s="11">
        <f>MC_SEEDS!E130</f>
        <v/>
      </c>
      <c r="F141" s="11">
        <f>B141*INPUTS!$G$35*INPUTS!$G$42 + C141*INPUTS!$G$42 + D141*INPUTS!$G$43 + E141*INPUTS!$G$44</f>
        <v/>
      </c>
      <c r="G141" s="15">
        <f>INPUTS!$B$6*(1+F141)</f>
        <v/>
      </c>
      <c r="H141" s="15">
        <f>G141-INPUTS!$B$6</f>
        <v/>
      </c>
      <c r="I141" s="15">
        <f>MAX(0,H141-INPUTS!$B$7)</f>
        <v/>
      </c>
    </row>
    <row r="142">
      <c r="A142" s="14">
        <f>MC_SEEDS!A131</f>
        <v/>
      </c>
      <c r="B142" s="27">
        <f>MC_SEEDS!B131</f>
        <v/>
      </c>
      <c r="C142" s="11">
        <f>MC_SEEDS!C131</f>
        <v/>
      </c>
      <c r="D142" s="11">
        <f>MC_SEEDS!D131</f>
        <v/>
      </c>
      <c r="E142" s="11">
        <f>MC_SEEDS!E131</f>
        <v/>
      </c>
      <c r="F142" s="11">
        <f>B142*INPUTS!$G$35*INPUTS!$G$42 + C142*INPUTS!$G$42 + D142*INPUTS!$G$43 + E142*INPUTS!$G$44</f>
        <v/>
      </c>
      <c r="G142" s="15">
        <f>INPUTS!$B$6*(1+F142)</f>
        <v/>
      </c>
      <c r="H142" s="15">
        <f>G142-INPUTS!$B$6</f>
        <v/>
      </c>
      <c r="I142" s="15">
        <f>MAX(0,H142-INPUTS!$B$7)</f>
        <v/>
      </c>
    </row>
    <row r="143">
      <c r="A143" s="14">
        <f>MC_SEEDS!A132</f>
        <v/>
      </c>
      <c r="B143" s="27">
        <f>MC_SEEDS!B132</f>
        <v/>
      </c>
      <c r="C143" s="11">
        <f>MC_SEEDS!C132</f>
        <v/>
      </c>
      <c r="D143" s="11">
        <f>MC_SEEDS!D132</f>
        <v/>
      </c>
      <c r="E143" s="11">
        <f>MC_SEEDS!E132</f>
        <v/>
      </c>
      <c r="F143" s="11">
        <f>B143*INPUTS!$G$35*INPUTS!$G$42 + C143*INPUTS!$G$42 + D143*INPUTS!$G$43 + E143*INPUTS!$G$44</f>
        <v/>
      </c>
      <c r="G143" s="15">
        <f>INPUTS!$B$6*(1+F143)</f>
        <v/>
      </c>
      <c r="H143" s="15">
        <f>G143-INPUTS!$B$6</f>
        <v/>
      </c>
      <c r="I143" s="15">
        <f>MAX(0,H143-INPUTS!$B$7)</f>
        <v/>
      </c>
    </row>
    <row r="144">
      <c r="A144" s="14">
        <f>MC_SEEDS!A133</f>
        <v/>
      </c>
      <c r="B144" s="27">
        <f>MC_SEEDS!B133</f>
        <v/>
      </c>
      <c r="C144" s="11">
        <f>MC_SEEDS!C133</f>
        <v/>
      </c>
      <c r="D144" s="11">
        <f>MC_SEEDS!D133</f>
        <v/>
      </c>
      <c r="E144" s="11">
        <f>MC_SEEDS!E133</f>
        <v/>
      </c>
      <c r="F144" s="11">
        <f>B144*INPUTS!$G$35*INPUTS!$G$42 + C144*INPUTS!$G$42 + D144*INPUTS!$G$43 + E144*INPUTS!$G$44</f>
        <v/>
      </c>
      <c r="G144" s="15">
        <f>INPUTS!$B$6*(1+F144)</f>
        <v/>
      </c>
      <c r="H144" s="15">
        <f>G144-INPUTS!$B$6</f>
        <v/>
      </c>
      <c r="I144" s="15">
        <f>MAX(0,H144-INPUTS!$B$7)</f>
        <v/>
      </c>
    </row>
    <row r="145">
      <c r="A145" s="14">
        <f>MC_SEEDS!A134</f>
        <v/>
      </c>
      <c r="B145" s="27">
        <f>MC_SEEDS!B134</f>
        <v/>
      </c>
      <c r="C145" s="11">
        <f>MC_SEEDS!C134</f>
        <v/>
      </c>
      <c r="D145" s="11">
        <f>MC_SEEDS!D134</f>
        <v/>
      </c>
      <c r="E145" s="11">
        <f>MC_SEEDS!E134</f>
        <v/>
      </c>
      <c r="F145" s="11">
        <f>B145*INPUTS!$G$35*INPUTS!$G$42 + C145*INPUTS!$G$42 + D145*INPUTS!$G$43 + E145*INPUTS!$G$44</f>
        <v/>
      </c>
      <c r="G145" s="15">
        <f>INPUTS!$B$6*(1+F145)</f>
        <v/>
      </c>
      <c r="H145" s="15">
        <f>G145-INPUTS!$B$6</f>
        <v/>
      </c>
      <c r="I145" s="15">
        <f>MAX(0,H145-INPUTS!$B$7)</f>
        <v/>
      </c>
    </row>
    <row r="146">
      <c r="A146" s="14">
        <f>MC_SEEDS!A135</f>
        <v/>
      </c>
      <c r="B146" s="27">
        <f>MC_SEEDS!B135</f>
        <v/>
      </c>
      <c r="C146" s="11">
        <f>MC_SEEDS!C135</f>
        <v/>
      </c>
      <c r="D146" s="11">
        <f>MC_SEEDS!D135</f>
        <v/>
      </c>
      <c r="E146" s="11">
        <f>MC_SEEDS!E135</f>
        <v/>
      </c>
      <c r="F146" s="11">
        <f>B146*INPUTS!$G$35*INPUTS!$G$42 + C146*INPUTS!$G$42 + D146*INPUTS!$G$43 + E146*INPUTS!$G$44</f>
        <v/>
      </c>
      <c r="G146" s="15">
        <f>INPUTS!$B$6*(1+F146)</f>
        <v/>
      </c>
      <c r="H146" s="15">
        <f>G146-INPUTS!$B$6</f>
        <v/>
      </c>
      <c r="I146" s="15">
        <f>MAX(0,H146-INPUTS!$B$7)</f>
        <v/>
      </c>
    </row>
    <row r="147">
      <c r="A147" s="14">
        <f>MC_SEEDS!A136</f>
        <v/>
      </c>
      <c r="B147" s="27">
        <f>MC_SEEDS!B136</f>
        <v/>
      </c>
      <c r="C147" s="11">
        <f>MC_SEEDS!C136</f>
        <v/>
      </c>
      <c r="D147" s="11">
        <f>MC_SEEDS!D136</f>
        <v/>
      </c>
      <c r="E147" s="11">
        <f>MC_SEEDS!E136</f>
        <v/>
      </c>
      <c r="F147" s="11">
        <f>B147*INPUTS!$G$35*INPUTS!$G$42 + C147*INPUTS!$G$42 + D147*INPUTS!$G$43 + E147*INPUTS!$G$44</f>
        <v/>
      </c>
      <c r="G147" s="15">
        <f>INPUTS!$B$6*(1+F147)</f>
        <v/>
      </c>
      <c r="H147" s="15">
        <f>G147-INPUTS!$B$6</f>
        <v/>
      </c>
      <c r="I147" s="15">
        <f>MAX(0,H147-INPUTS!$B$7)</f>
        <v/>
      </c>
    </row>
    <row r="148">
      <c r="A148" s="14">
        <f>MC_SEEDS!A137</f>
        <v/>
      </c>
      <c r="B148" s="27">
        <f>MC_SEEDS!B137</f>
        <v/>
      </c>
      <c r="C148" s="11">
        <f>MC_SEEDS!C137</f>
        <v/>
      </c>
      <c r="D148" s="11">
        <f>MC_SEEDS!D137</f>
        <v/>
      </c>
      <c r="E148" s="11">
        <f>MC_SEEDS!E137</f>
        <v/>
      </c>
      <c r="F148" s="11">
        <f>B148*INPUTS!$G$35*INPUTS!$G$42 + C148*INPUTS!$G$42 + D148*INPUTS!$G$43 + E148*INPUTS!$G$44</f>
        <v/>
      </c>
      <c r="G148" s="15">
        <f>INPUTS!$B$6*(1+F148)</f>
        <v/>
      </c>
      <c r="H148" s="15">
        <f>G148-INPUTS!$B$6</f>
        <v/>
      </c>
      <c r="I148" s="15">
        <f>MAX(0,H148-INPUTS!$B$7)</f>
        <v/>
      </c>
    </row>
    <row r="149">
      <c r="A149" s="14">
        <f>MC_SEEDS!A138</f>
        <v/>
      </c>
      <c r="B149" s="27">
        <f>MC_SEEDS!B138</f>
        <v/>
      </c>
      <c r="C149" s="11">
        <f>MC_SEEDS!C138</f>
        <v/>
      </c>
      <c r="D149" s="11">
        <f>MC_SEEDS!D138</f>
        <v/>
      </c>
      <c r="E149" s="11">
        <f>MC_SEEDS!E138</f>
        <v/>
      </c>
      <c r="F149" s="11">
        <f>B149*INPUTS!$G$35*INPUTS!$G$42 + C149*INPUTS!$G$42 + D149*INPUTS!$G$43 + E149*INPUTS!$G$44</f>
        <v/>
      </c>
      <c r="G149" s="15">
        <f>INPUTS!$B$6*(1+F149)</f>
        <v/>
      </c>
      <c r="H149" s="15">
        <f>G149-INPUTS!$B$6</f>
        <v/>
      </c>
      <c r="I149" s="15">
        <f>MAX(0,H149-INPUTS!$B$7)</f>
        <v/>
      </c>
    </row>
    <row r="150">
      <c r="A150" s="14">
        <f>MC_SEEDS!A139</f>
        <v/>
      </c>
      <c r="B150" s="27">
        <f>MC_SEEDS!B139</f>
        <v/>
      </c>
      <c r="C150" s="11">
        <f>MC_SEEDS!C139</f>
        <v/>
      </c>
      <c r="D150" s="11">
        <f>MC_SEEDS!D139</f>
        <v/>
      </c>
      <c r="E150" s="11">
        <f>MC_SEEDS!E139</f>
        <v/>
      </c>
      <c r="F150" s="11">
        <f>B150*INPUTS!$G$35*INPUTS!$G$42 + C150*INPUTS!$G$42 + D150*INPUTS!$G$43 + E150*INPUTS!$G$44</f>
        <v/>
      </c>
      <c r="G150" s="15">
        <f>INPUTS!$B$6*(1+F150)</f>
        <v/>
      </c>
      <c r="H150" s="15">
        <f>G150-INPUTS!$B$6</f>
        <v/>
      </c>
      <c r="I150" s="15">
        <f>MAX(0,H150-INPUTS!$B$7)</f>
        <v/>
      </c>
    </row>
    <row r="151">
      <c r="A151" s="14">
        <f>MC_SEEDS!A140</f>
        <v/>
      </c>
      <c r="B151" s="27">
        <f>MC_SEEDS!B140</f>
        <v/>
      </c>
      <c r="C151" s="11">
        <f>MC_SEEDS!C140</f>
        <v/>
      </c>
      <c r="D151" s="11">
        <f>MC_SEEDS!D140</f>
        <v/>
      </c>
      <c r="E151" s="11">
        <f>MC_SEEDS!E140</f>
        <v/>
      </c>
      <c r="F151" s="11">
        <f>B151*INPUTS!$G$35*INPUTS!$G$42 + C151*INPUTS!$G$42 + D151*INPUTS!$G$43 + E151*INPUTS!$G$44</f>
        <v/>
      </c>
      <c r="G151" s="15">
        <f>INPUTS!$B$6*(1+F151)</f>
        <v/>
      </c>
      <c r="H151" s="15">
        <f>G151-INPUTS!$B$6</f>
        <v/>
      </c>
      <c r="I151" s="15">
        <f>MAX(0,H151-INPUTS!$B$7)</f>
        <v/>
      </c>
    </row>
    <row r="152">
      <c r="A152" s="14">
        <f>MC_SEEDS!A141</f>
        <v/>
      </c>
      <c r="B152" s="27">
        <f>MC_SEEDS!B141</f>
        <v/>
      </c>
      <c r="C152" s="11">
        <f>MC_SEEDS!C141</f>
        <v/>
      </c>
      <c r="D152" s="11">
        <f>MC_SEEDS!D141</f>
        <v/>
      </c>
      <c r="E152" s="11">
        <f>MC_SEEDS!E141</f>
        <v/>
      </c>
      <c r="F152" s="11">
        <f>B152*INPUTS!$G$35*INPUTS!$G$42 + C152*INPUTS!$G$42 + D152*INPUTS!$G$43 + E152*INPUTS!$G$44</f>
        <v/>
      </c>
      <c r="G152" s="15">
        <f>INPUTS!$B$6*(1+F152)</f>
        <v/>
      </c>
      <c r="H152" s="15">
        <f>G152-INPUTS!$B$6</f>
        <v/>
      </c>
      <c r="I152" s="15">
        <f>MAX(0,H152-INPUTS!$B$7)</f>
        <v/>
      </c>
    </row>
    <row r="153">
      <c r="A153" s="14">
        <f>MC_SEEDS!A142</f>
        <v/>
      </c>
      <c r="B153" s="27">
        <f>MC_SEEDS!B142</f>
        <v/>
      </c>
      <c r="C153" s="11">
        <f>MC_SEEDS!C142</f>
        <v/>
      </c>
      <c r="D153" s="11">
        <f>MC_SEEDS!D142</f>
        <v/>
      </c>
      <c r="E153" s="11">
        <f>MC_SEEDS!E142</f>
        <v/>
      </c>
      <c r="F153" s="11">
        <f>B153*INPUTS!$G$35*INPUTS!$G$42 + C153*INPUTS!$G$42 + D153*INPUTS!$G$43 + E153*INPUTS!$G$44</f>
        <v/>
      </c>
      <c r="G153" s="15">
        <f>INPUTS!$B$6*(1+F153)</f>
        <v/>
      </c>
      <c r="H153" s="15">
        <f>G153-INPUTS!$B$6</f>
        <v/>
      </c>
      <c r="I153" s="15">
        <f>MAX(0,H153-INPUTS!$B$7)</f>
        <v/>
      </c>
    </row>
    <row r="154">
      <c r="A154" s="14">
        <f>MC_SEEDS!A143</f>
        <v/>
      </c>
      <c r="B154" s="27">
        <f>MC_SEEDS!B143</f>
        <v/>
      </c>
      <c r="C154" s="11">
        <f>MC_SEEDS!C143</f>
        <v/>
      </c>
      <c r="D154" s="11">
        <f>MC_SEEDS!D143</f>
        <v/>
      </c>
      <c r="E154" s="11">
        <f>MC_SEEDS!E143</f>
        <v/>
      </c>
      <c r="F154" s="11">
        <f>B154*INPUTS!$G$35*INPUTS!$G$42 + C154*INPUTS!$G$42 + D154*INPUTS!$G$43 + E154*INPUTS!$G$44</f>
        <v/>
      </c>
      <c r="G154" s="15">
        <f>INPUTS!$B$6*(1+F154)</f>
        <v/>
      </c>
      <c r="H154" s="15">
        <f>G154-INPUTS!$B$6</f>
        <v/>
      </c>
      <c r="I154" s="15">
        <f>MAX(0,H154-INPUTS!$B$7)</f>
        <v/>
      </c>
    </row>
    <row r="155">
      <c r="A155" s="14">
        <f>MC_SEEDS!A144</f>
        <v/>
      </c>
      <c r="B155" s="27">
        <f>MC_SEEDS!B144</f>
        <v/>
      </c>
      <c r="C155" s="11">
        <f>MC_SEEDS!C144</f>
        <v/>
      </c>
      <c r="D155" s="11">
        <f>MC_SEEDS!D144</f>
        <v/>
      </c>
      <c r="E155" s="11">
        <f>MC_SEEDS!E144</f>
        <v/>
      </c>
      <c r="F155" s="11">
        <f>B155*INPUTS!$G$35*INPUTS!$G$42 + C155*INPUTS!$G$42 + D155*INPUTS!$G$43 + E155*INPUTS!$G$44</f>
        <v/>
      </c>
      <c r="G155" s="15">
        <f>INPUTS!$B$6*(1+F155)</f>
        <v/>
      </c>
      <c r="H155" s="15">
        <f>G155-INPUTS!$B$6</f>
        <v/>
      </c>
      <c r="I155" s="15">
        <f>MAX(0,H155-INPUTS!$B$7)</f>
        <v/>
      </c>
    </row>
    <row r="156">
      <c r="A156" s="14">
        <f>MC_SEEDS!A145</f>
        <v/>
      </c>
      <c r="B156" s="27">
        <f>MC_SEEDS!B145</f>
        <v/>
      </c>
      <c r="C156" s="11">
        <f>MC_SEEDS!C145</f>
        <v/>
      </c>
      <c r="D156" s="11">
        <f>MC_SEEDS!D145</f>
        <v/>
      </c>
      <c r="E156" s="11">
        <f>MC_SEEDS!E145</f>
        <v/>
      </c>
      <c r="F156" s="11">
        <f>B156*INPUTS!$G$35*INPUTS!$G$42 + C156*INPUTS!$G$42 + D156*INPUTS!$G$43 + E156*INPUTS!$G$44</f>
        <v/>
      </c>
      <c r="G156" s="15">
        <f>INPUTS!$B$6*(1+F156)</f>
        <v/>
      </c>
      <c r="H156" s="15">
        <f>G156-INPUTS!$B$6</f>
        <v/>
      </c>
      <c r="I156" s="15">
        <f>MAX(0,H156-INPUTS!$B$7)</f>
        <v/>
      </c>
    </row>
    <row r="157">
      <c r="A157" s="14">
        <f>MC_SEEDS!A146</f>
        <v/>
      </c>
      <c r="B157" s="27">
        <f>MC_SEEDS!B146</f>
        <v/>
      </c>
      <c r="C157" s="11">
        <f>MC_SEEDS!C146</f>
        <v/>
      </c>
      <c r="D157" s="11">
        <f>MC_SEEDS!D146</f>
        <v/>
      </c>
      <c r="E157" s="11">
        <f>MC_SEEDS!E146</f>
        <v/>
      </c>
      <c r="F157" s="11">
        <f>B157*INPUTS!$G$35*INPUTS!$G$42 + C157*INPUTS!$G$42 + D157*INPUTS!$G$43 + E157*INPUTS!$G$44</f>
        <v/>
      </c>
      <c r="G157" s="15">
        <f>INPUTS!$B$6*(1+F157)</f>
        <v/>
      </c>
      <c r="H157" s="15">
        <f>G157-INPUTS!$B$6</f>
        <v/>
      </c>
      <c r="I157" s="15">
        <f>MAX(0,H157-INPUTS!$B$7)</f>
        <v/>
      </c>
    </row>
    <row r="158">
      <c r="A158" s="14">
        <f>MC_SEEDS!A147</f>
        <v/>
      </c>
      <c r="B158" s="27">
        <f>MC_SEEDS!B147</f>
        <v/>
      </c>
      <c r="C158" s="11">
        <f>MC_SEEDS!C147</f>
        <v/>
      </c>
      <c r="D158" s="11">
        <f>MC_SEEDS!D147</f>
        <v/>
      </c>
      <c r="E158" s="11">
        <f>MC_SEEDS!E147</f>
        <v/>
      </c>
      <c r="F158" s="11">
        <f>B158*INPUTS!$G$35*INPUTS!$G$42 + C158*INPUTS!$G$42 + D158*INPUTS!$G$43 + E158*INPUTS!$G$44</f>
        <v/>
      </c>
      <c r="G158" s="15">
        <f>INPUTS!$B$6*(1+F158)</f>
        <v/>
      </c>
      <c r="H158" s="15">
        <f>G158-INPUTS!$B$6</f>
        <v/>
      </c>
      <c r="I158" s="15">
        <f>MAX(0,H158-INPUTS!$B$7)</f>
        <v/>
      </c>
    </row>
    <row r="159">
      <c r="A159" s="14">
        <f>MC_SEEDS!A148</f>
        <v/>
      </c>
      <c r="B159" s="27">
        <f>MC_SEEDS!B148</f>
        <v/>
      </c>
      <c r="C159" s="11">
        <f>MC_SEEDS!C148</f>
        <v/>
      </c>
      <c r="D159" s="11">
        <f>MC_SEEDS!D148</f>
        <v/>
      </c>
      <c r="E159" s="11">
        <f>MC_SEEDS!E148</f>
        <v/>
      </c>
      <c r="F159" s="11">
        <f>B159*INPUTS!$G$35*INPUTS!$G$42 + C159*INPUTS!$G$42 + D159*INPUTS!$G$43 + E159*INPUTS!$G$44</f>
        <v/>
      </c>
      <c r="G159" s="15">
        <f>INPUTS!$B$6*(1+F159)</f>
        <v/>
      </c>
      <c r="H159" s="15">
        <f>G159-INPUTS!$B$6</f>
        <v/>
      </c>
      <c r="I159" s="15">
        <f>MAX(0,H159-INPUTS!$B$7)</f>
        <v/>
      </c>
    </row>
    <row r="160">
      <c r="A160" s="14">
        <f>MC_SEEDS!A149</f>
        <v/>
      </c>
      <c r="B160" s="27">
        <f>MC_SEEDS!B149</f>
        <v/>
      </c>
      <c r="C160" s="11">
        <f>MC_SEEDS!C149</f>
        <v/>
      </c>
      <c r="D160" s="11">
        <f>MC_SEEDS!D149</f>
        <v/>
      </c>
      <c r="E160" s="11">
        <f>MC_SEEDS!E149</f>
        <v/>
      </c>
      <c r="F160" s="11">
        <f>B160*INPUTS!$G$35*INPUTS!$G$42 + C160*INPUTS!$G$42 + D160*INPUTS!$G$43 + E160*INPUTS!$G$44</f>
        <v/>
      </c>
      <c r="G160" s="15">
        <f>INPUTS!$B$6*(1+F160)</f>
        <v/>
      </c>
      <c r="H160" s="15">
        <f>G160-INPUTS!$B$6</f>
        <v/>
      </c>
      <c r="I160" s="15">
        <f>MAX(0,H160-INPUTS!$B$7)</f>
        <v/>
      </c>
    </row>
    <row r="161">
      <c r="A161" s="14">
        <f>MC_SEEDS!A150</f>
        <v/>
      </c>
      <c r="B161" s="27">
        <f>MC_SEEDS!B150</f>
        <v/>
      </c>
      <c r="C161" s="11">
        <f>MC_SEEDS!C150</f>
        <v/>
      </c>
      <c r="D161" s="11">
        <f>MC_SEEDS!D150</f>
        <v/>
      </c>
      <c r="E161" s="11">
        <f>MC_SEEDS!E150</f>
        <v/>
      </c>
      <c r="F161" s="11">
        <f>B161*INPUTS!$G$35*INPUTS!$G$42 + C161*INPUTS!$G$42 + D161*INPUTS!$G$43 + E161*INPUTS!$G$44</f>
        <v/>
      </c>
      <c r="G161" s="15">
        <f>INPUTS!$B$6*(1+F161)</f>
        <v/>
      </c>
      <c r="H161" s="15">
        <f>G161-INPUTS!$B$6</f>
        <v/>
      </c>
      <c r="I161" s="15">
        <f>MAX(0,H161-INPUTS!$B$7)</f>
        <v/>
      </c>
    </row>
    <row r="162">
      <c r="A162" s="14">
        <f>MC_SEEDS!A151</f>
        <v/>
      </c>
      <c r="B162" s="27">
        <f>MC_SEEDS!B151</f>
        <v/>
      </c>
      <c r="C162" s="11">
        <f>MC_SEEDS!C151</f>
        <v/>
      </c>
      <c r="D162" s="11">
        <f>MC_SEEDS!D151</f>
        <v/>
      </c>
      <c r="E162" s="11">
        <f>MC_SEEDS!E151</f>
        <v/>
      </c>
      <c r="F162" s="11">
        <f>B162*INPUTS!$G$35*INPUTS!$G$42 + C162*INPUTS!$G$42 + D162*INPUTS!$G$43 + E162*INPUTS!$G$44</f>
        <v/>
      </c>
      <c r="G162" s="15">
        <f>INPUTS!$B$6*(1+F162)</f>
        <v/>
      </c>
      <c r="H162" s="15">
        <f>G162-INPUTS!$B$6</f>
        <v/>
      </c>
      <c r="I162" s="15">
        <f>MAX(0,H162-INPUTS!$B$7)</f>
        <v/>
      </c>
    </row>
    <row r="163">
      <c r="A163" s="14">
        <f>MC_SEEDS!A152</f>
        <v/>
      </c>
      <c r="B163" s="27">
        <f>MC_SEEDS!B152</f>
        <v/>
      </c>
      <c r="C163" s="11">
        <f>MC_SEEDS!C152</f>
        <v/>
      </c>
      <c r="D163" s="11">
        <f>MC_SEEDS!D152</f>
        <v/>
      </c>
      <c r="E163" s="11">
        <f>MC_SEEDS!E152</f>
        <v/>
      </c>
      <c r="F163" s="11">
        <f>B163*INPUTS!$G$35*INPUTS!$G$42 + C163*INPUTS!$G$42 + D163*INPUTS!$G$43 + E163*INPUTS!$G$44</f>
        <v/>
      </c>
      <c r="G163" s="15">
        <f>INPUTS!$B$6*(1+F163)</f>
        <v/>
      </c>
      <c r="H163" s="15">
        <f>G163-INPUTS!$B$6</f>
        <v/>
      </c>
      <c r="I163" s="15">
        <f>MAX(0,H163-INPUTS!$B$7)</f>
        <v/>
      </c>
    </row>
    <row r="164">
      <c r="A164" s="14">
        <f>MC_SEEDS!A153</f>
        <v/>
      </c>
      <c r="B164" s="27">
        <f>MC_SEEDS!B153</f>
        <v/>
      </c>
      <c r="C164" s="11">
        <f>MC_SEEDS!C153</f>
        <v/>
      </c>
      <c r="D164" s="11">
        <f>MC_SEEDS!D153</f>
        <v/>
      </c>
      <c r="E164" s="11">
        <f>MC_SEEDS!E153</f>
        <v/>
      </c>
      <c r="F164" s="11">
        <f>B164*INPUTS!$G$35*INPUTS!$G$42 + C164*INPUTS!$G$42 + D164*INPUTS!$G$43 + E164*INPUTS!$G$44</f>
        <v/>
      </c>
      <c r="G164" s="15">
        <f>INPUTS!$B$6*(1+F164)</f>
        <v/>
      </c>
      <c r="H164" s="15">
        <f>G164-INPUTS!$B$6</f>
        <v/>
      </c>
      <c r="I164" s="15">
        <f>MAX(0,H164-INPUTS!$B$7)</f>
        <v/>
      </c>
    </row>
    <row r="165">
      <c r="A165" s="14">
        <f>MC_SEEDS!A154</f>
        <v/>
      </c>
      <c r="B165" s="27">
        <f>MC_SEEDS!B154</f>
        <v/>
      </c>
      <c r="C165" s="11">
        <f>MC_SEEDS!C154</f>
        <v/>
      </c>
      <c r="D165" s="11">
        <f>MC_SEEDS!D154</f>
        <v/>
      </c>
      <c r="E165" s="11">
        <f>MC_SEEDS!E154</f>
        <v/>
      </c>
      <c r="F165" s="11">
        <f>B165*INPUTS!$G$35*INPUTS!$G$42 + C165*INPUTS!$G$42 + D165*INPUTS!$G$43 + E165*INPUTS!$G$44</f>
        <v/>
      </c>
      <c r="G165" s="15">
        <f>INPUTS!$B$6*(1+F165)</f>
        <v/>
      </c>
      <c r="H165" s="15">
        <f>G165-INPUTS!$B$6</f>
        <v/>
      </c>
      <c r="I165" s="15">
        <f>MAX(0,H165-INPUTS!$B$7)</f>
        <v/>
      </c>
    </row>
    <row r="166">
      <c r="A166" s="14">
        <f>MC_SEEDS!A155</f>
        <v/>
      </c>
      <c r="B166" s="27">
        <f>MC_SEEDS!B155</f>
        <v/>
      </c>
      <c r="C166" s="11">
        <f>MC_SEEDS!C155</f>
        <v/>
      </c>
      <c r="D166" s="11">
        <f>MC_SEEDS!D155</f>
        <v/>
      </c>
      <c r="E166" s="11">
        <f>MC_SEEDS!E155</f>
        <v/>
      </c>
      <c r="F166" s="11">
        <f>B166*INPUTS!$G$35*INPUTS!$G$42 + C166*INPUTS!$G$42 + D166*INPUTS!$G$43 + E166*INPUTS!$G$44</f>
        <v/>
      </c>
      <c r="G166" s="15">
        <f>INPUTS!$B$6*(1+F166)</f>
        <v/>
      </c>
      <c r="H166" s="15">
        <f>G166-INPUTS!$B$6</f>
        <v/>
      </c>
      <c r="I166" s="15">
        <f>MAX(0,H166-INPUTS!$B$7)</f>
        <v/>
      </c>
    </row>
    <row r="167">
      <c r="A167" s="14">
        <f>MC_SEEDS!A156</f>
        <v/>
      </c>
      <c r="B167" s="27">
        <f>MC_SEEDS!B156</f>
        <v/>
      </c>
      <c r="C167" s="11">
        <f>MC_SEEDS!C156</f>
        <v/>
      </c>
      <c r="D167" s="11">
        <f>MC_SEEDS!D156</f>
        <v/>
      </c>
      <c r="E167" s="11">
        <f>MC_SEEDS!E156</f>
        <v/>
      </c>
      <c r="F167" s="11">
        <f>B167*INPUTS!$G$35*INPUTS!$G$42 + C167*INPUTS!$G$42 + D167*INPUTS!$G$43 + E167*INPUTS!$G$44</f>
        <v/>
      </c>
      <c r="G167" s="15">
        <f>INPUTS!$B$6*(1+F167)</f>
        <v/>
      </c>
      <c r="H167" s="15">
        <f>G167-INPUTS!$B$6</f>
        <v/>
      </c>
      <c r="I167" s="15">
        <f>MAX(0,H167-INPUTS!$B$7)</f>
        <v/>
      </c>
    </row>
    <row r="168">
      <c r="A168" s="14">
        <f>MC_SEEDS!A157</f>
        <v/>
      </c>
      <c r="B168" s="27">
        <f>MC_SEEDS!B157</f>
        <v/>
      </c>
      <c r="C168" s="11">
        <f>MC_SEEDS!C157</f>
        <v/>
      </c>
      <c r="D168" s="11">
        <f>MC_SEEDS!D157</f>
        <v/>
      </c>
      <c r="E168" s="11">
        <f>MC_SEEDS!E157</f>
        <v/>
      </c>
      <c r="F168" s="11">
        <f>B168*INPUTS!$G$35*INPUTS!$G$42 + C168*INPUTS!$G$42 + D168*INPUTS!$G$43 + E168*INPUTS!$G$44</f>
        <v/>
      </c>
      <c r="G168" s="15">
        <f>INPUTS!$B$6*(1+F168)</f>
        <v/>
      </c>
      <c r="H168" s="15">
        <f>G168-INPUTS!$B$6</f>
        <v/>
      </c>
      <c r="I168" s="15">
        <f>MAX(0,H168-INPUTS!$B$7)</f>
        <v/>
      </c>
    </row>
    <row r="169">
      <c r="A169" s="14">
        <f>MC_SEEDS!A158</f>
        <v/>
      </c>
      <c r="B169" s="27">
        <f>MC_SEEDS!B158</f>
        <v/>
      </c>
      <c r="C169" s="11">
        <f>MC_SEEDS!C158</f>
        <v/>
      </c>
      <c r="D169" s="11">
        <f>MC_SEEDS!D158</f>
        <v/>
      </c>
      <c r="E169" s="11">
        <f>MC_SEEDS!E158</f>
        <v/>
      </c>
      <c r="F169" s="11">
        <f>B169*INPUTS!$G$35*INPUTS!$G$42 + C169*INPUTS!$G$42 + D169*INPUTS!$G$43 + E169*INPUTS!$G$44</f>
        <v/>
      </c>
      <c r="G169" s="15">
        <f>INPUTS!$B$6*(1+F169)</f>
        <v/>
      </c>
      <c r="H169" s="15">
        <f>G169-INPUTS!$B$6</f>
        <v/>
      </c>
      <c r="I169" s="15">
        <f>MAX(0,H169-INPUTS!$B$7)</f>
        <v/>
      </c>
    </row>
    <row r="170">
      <c r="A170" s="14">
        <f>MC_SEEDS!A159</f>
        <v/>
      </c>
      <c r="B170" s="27">
        <f>MC_SEEDS!B159</f>
        <v/>
      </c>
      <c r="C170" s="11">
        <f>MC_SEEDS!C159</f>
        <v/>
      </c>
      <c r="D170" s="11">
        <f>MC_SEEDS!D159</f>
        <v/>
      </c>
      <c r="E170" s="11">
        <f>MC_SEEDS!E159</f>
        <v/>
      </c>
      <c r="F170" s="11">
        <f>B170*INPUTS!$G$35*INPUTS!$G$42 + C170*INPUTS!$G$42 + D170*INPUTS!$G$43 + E170*INPUTS!$G$44</f>
        <v/>
      </c>
      <c r="G170" s="15">
        <f>INPUTS!$B$6*(1+F170)</f>
        <v/>
      </c>
      <c r="H170" s="15">
        <f>G170-INPUTS!$B$6</f>
        <v/>
      </c>
      <c r="I170" s="15">
        <f>MAX(0,H170-INPUTS!$B$7)</f>
        <v/>
      </c>
    </row>
    <row r="171">
      <c r="A171" s="14">
        <f>MC_SEEDS!A160</f>
        <v/>
      </c>
      <c r="B171" s="27">
        <f>MC_SEEDS!B160</f>
        <v/>
      </c>
      <c r="C171" s="11">
        <f>MC_SEEDS!C160</f>
        <v/>
      </c>
      <c r="D171" s="11">
        <f>MC_SEEDS!D160</f>
        <v/>
      </c>
      <c r="E171" s="11">
        <f>MC_SEEDS!E160</f>
        <v/>
      </c>
      <c r="F171" s="11">
        <f>B171*INPUTS!$G$35*INPUTS!$G$42 + C171*INPUTS!$G$42 + D171*INPUTS!$G$43 + E171*INPUTS!$G$44</f>
        <v/>
      </c>
      <c r="G171" s="15">
        <f>INPUTS!$B$6*(1+F171)</f>
        <v/>
      </c>
      <c r="H171" s="15">
        <f>G171-INPUTS!$B$6</f>
        <v/>
      </c>
      <c r="I171" s="15">
        <f>MAX(0,H171-INPUTS!$B$7)</f>
        <v/>
      </c>
    </row>
    <row r="172">
      <c r="A172" s="14">
        <f>MC_SEEDS!A161</f>
        <v/>
      </c>
      <c r="B172" s="27">
        <f>MC_SEEDS!B161</f>
        <v/>
      </c>
      <c r="C172" s="11">
        <f>MC_SEEDS!C161</f>
        <v/>
      </c>
      <c r="D172" s="11">
        <f>MC_SEEDS!D161</f>
        <v/>
      </c>
      <c r="E172" s="11">
        <f>MC_SEEDS!E161</f>
        <v/>
      </c>
      <c r="F172" s="11">
        <f>B172*INPUTS!$G$35*INPUTS!$G$42 + C172*INPUTS!$G$42 + D172*INPUTS!$G$43 + E172*INPUTS!$G$44</f>
        <v/>
      </c>
      <c r="G172" s="15">
        <f>INPUTS!$B$6*(1+F172)</f>
        <v/>
      </c>
      <c r="H172" s="15">
        <f>G172-INPUTS!$B$6</f>
        <v/>
      </c>
      <c r="I172" s="15">
        <f>MAX(0,H172-INPUTS!$B$7)</f>
        <v/>
      </c>
    </row>
    <row r="173">
      <c r="A173" s="14">
        <f>MC_SEEDS!A162</f>
        <v/>
      </c>
      <c r="B173" s="27">
        <f>MC_SEEDS!B162</f>
        <v/>
      </c>
      <c r="C173" s="11">
        <f>MC_SEEDS!C162</f>
        <v/>
      </c>
      <c r="D173" s="11">
        <f>MC_SEEDS!D162</f>
        <v/>
      </c>
      <c r="E173" s="11">
        <f>MC_SEEDS!E162</f>
        <v/>
      </c>
      <c r="F173" s="11">
        <f>B173*INPUTS!$G$35*INPUTS!$G$42 + C173*INPUTS!$G$42 + D173*INPUTS!$G$43 + E173*INPUTS!$G$44</f>
        <v/>
      </c>
      <c r="G173" s="15">
        <f>INPUTS!$B$6*(1+F173)</f>
        <v/>
      </c>
      <c r="H173" s="15">
        <f>G173-INPUTS!$B$6</f>
        <v/>
      </c>
      <c r="I173" s="15">
        <f>MAX(0,H173-INPUTS!$B$7)</f>
        <v/>
      </c>
    </row>
    <row r="174">
      <c r="A174" s="14">
        <f>MC_SEEDS!A163</f>
        <v/>
      </c>
      <c r="B174" s="27">
        <f>MC_SEEDS!B163</f>
        <v/>
      </c>
      <c r="C174" s="11">
        <f>MC_SEEDS!C163</f>
        <v/>
      </c>
      <c r="D174" s="11">
        <f>MC_SEEDS!D163</f>
        <v/>
      </c>
      <c r="E174" s="11">
        <f>MC_SEEDS!E163</f>
        <v/>
      </c>
      <c r="F174" s="11">
        <f>B174*INPUTS!$G$35*INPUTS!$G$42 + C174*INPUTS!$G$42 + D174*INPUTS!$G$43 + E174*INPUTS!$G$44</f>
        <v/>
      </c>
      <c r="G174" s="15">
        <f>INPUTS!$B$6*(1+F174)</f>
        <v/>
      </c>
      <c r="H174" s="15">
        <f>G174-INPUTS!$B$6</f>
        <v/>
      </c>
      <c r="I174" s="15">
        <f>MAX(0,H174-INPUTS!$B$7)</f>
        <v/>
      </c>
    </row>
    <row r="175">
      <c r="A175" s="14">
        <f>MC_SEEDS!A164</f>
        <v/>
      </c>
      <c r="B175" s="27">
        <f>MC_SEEDS!B164</f>
        <v/>
      </c>
      <c r="C175" s="11">
        <f>MC_SEEDS!C164</f>
        <v/>
      </c>
      <c r="D175" s="11">
        <f>MC_SEEDS!D164</f>
        <v/>
      </c>
      <c r="E175" s="11">
        <f>MC_SEEDS!E164</f>
        <v/>
      </c>
      <c r="F175" s="11">
        <f>B175*INPUTS!$G$35*INPUTS!$G$42 + C175*INPUTS!$G$42 + D175*INPUTS!$G$43 + E175*INPUTS!$G$44</f>
        <v/>
      </c>
      <c r="G175" s="15">
        <f>INPUTS!$B$6*(1+F175)</f>
        <v/>
      </c>
      <c r="H175" s="15">
        <f>G175-INPUTS!$B$6</f>
        <v/>
      </c>
      <c r="I175" s="15">
        <f>MAX(0,H175-INPUTS!$B$7)</f>
        <v/>
      </c>
    </row>
    <row r="176">
      <c r="A176" s="14">
        <f>MC_SEEDS!A165</f>
        <v/>
      </c>
      <c r="B176" s="27">
        <f>MC_SEEDS!B165</f>
        <v/>
      </c>
      <c r="C176" s="11">
        <f>MC_SEEDS!C165</f>
        <v/>
      </c>
      <c r="D176" s="11">
        <f>MC_SEEDS!D165</f>
        <v/>
      </c>
      <c r="E176" s="11">
        <f>MC_SEEDS!E165</f>
        <v/>
      </c>
      <c r="F176" s="11">
        <f>B176*INPUTS!$G$35*INPUTS!$G$42 + C176*INPUTS!$G$42 + D176*INPUTS!$G$43 + E176*INPUTS!$G$44</f>
        <v/>
      </c>
      <c r="G176" s="15">
        <f>INPUTS!$B$6*(1+F176)</f>
        <v/>
      </c>
      <c r="H176" s="15">
        <f>G176-INPUTS!$B$6</f>
        <v/>
      </c>
      <c r="I176" s="15">
        <f>MAX(0,H176-INPUTS!$B$7)</f>
        <v/>
      </c>
    </row>
    <row r="177">
      <c r="A177" s="14">
        <f>MC_SEEDS!A166</f>
        <v/>
      </c>
      <c r="B177" s="27">
        <f>MC_SEEDS!B166</f>
        <v/>
      </c>
      <c r="C177" s="11">
        <f>MC_SEEDS!C166</f>
        <v/>
      </c>
      <c r="D177" s="11">
        <f>MC_SEEDS!D166</f>
        <v/>
      </c>
      <c r="E177" s="11">
        <f>MC_SEEDS!E166</f>
        <v/>
      </c>
      <c r="F177" s="11">
        <f>B177*INPUTS!$G$35*INPUTS!$G$42 + C177*INPUTS!$G$42 + D177*INPUTS!$G$43 + E177*INPUTS!$G$44</f>
        <v/>
      </c>
      <c r="G177" s="15">
        <f>INPUTS!$B$6*(1+F177)</f>
        <v/>
      </c>
      <c r="H177" s="15">
        <f>G177-INPUTS!$B$6</f>
        <v/>
      </c>
      <c r="I177" s="15">
        <f>MAX(0,H177-INPUTS!$B$7)</f>
        <v/>
      </c>
    </row>
    <row r="178">
      <c r="A178" s="14">
        <f>MC_SEEDS!A167</f>
        <v/>
      </c>
      <c r="B178" s="27">
        <f>MC_SEEDS!B167</f>
        <v/>
      </c>
      <c r="C178" s="11">
        <f>MC_SEEDS!C167</f>
        <v/>
      </c>
      <c r="D178" s="11">
        <f>MC_SEEDS!D167</f>
        <v/>
      </c>
      <c r="E178" s="11">
        <f>MC_SEEDS!E167</f>
        <v/>
      </c>
      <c r="F178" s="11">
        <f>B178*INPUTS!$G$35*INPUTS!$G$42 + C178*INPUTS!$G$42 + D178*INPUTS!$G$43 + E178*INPUTS!$G$44</f>
        <v/>
      </c>
      <c r="G178" s="15">
        <f>INPUTS!$B$6*(1+F178)</f>
        <v/>
      </c>
      <c r="H178" s="15">
        <f>G178-INPUTS!$B$6</f>
        <v/>
      </c>
      <c r="I178" s="15">
        <f>MAX(0,H178-INPUTS!$B$7)</f>
        <v/>
      </c>
    </row>
    <row r="179">
      <c r="A179" s="14">
        <f>MC_SEEDS!A168</f>
        <v/>
      </c>
      <c r="B179" s="27">
        <f>MC_SEEDS!B168</f>
        <v/>
      </c>
      <c r="C179" s="11">
        <f>MC_SEEDS!C168</f>
        <v/>
      </c>
      <c r="D179" s="11">
        <f>MC_SEEDS!D168</f>
        <v/>
      </c>
      <c r="E179" s="11">
        <f>MC_SEEDS!E168</f>
        <v/>
      </c>
      <c r="F179" s="11">
        <f>B179*INPUTS!$G$35*INPUTS!$G$42 + C179*INPUTS!$G$42 + D179*INPUTS!$G$43 + E179*INPUTS!$G$44</f>
        <v/>
      </c>
      <c r="G179" s="15">
        <f>INPUTS!$B$6*(1+F179)</f>
        <v/>
      </c>
      <c r="H179" s="15">
        <f>G179-INPUTS!$B$6</f>
        <v/>
      </c>
      <c r="I179" s="15">
        <f>MAX(0,H179-INPUTS!$B$7)</f>
        <v/>
      </c>
    </row>
    <row r="180">
      <c r="A180" s="14">
        <f>MC_SEEDS!A169</f>
        <v/>
      </c>
      <c r="B180" s="27">
        <f>MC_SEEDS!B169</f>
        <v/>
      </c>
      <c r="C180" s="11">
        <f>MC_SEEDS!C169</f>
        <v/>
      </c>
      <c r="D180" s="11">
        <f>MC_SEEDS!D169</f>
        <v/>
      </c>
      <c r="E180" s="11">
        <f>MC_SEEDS!E169</f>
        <v/>
      </c>
      <c r="F180" s="11">
        <f>B180*INPUTS!$G$35*INPUTS!$G$42 + C180*INPUTS!$G$42 + D180*INPUTS!$G$43 + E180*INPUTS!$G$44</f>
        <v/>
      </c>
      <c r="G180" s="15">
        <f>INPUTS!$B$6*(1+F180)</f>
        <v/>
      </c>
      <c r="H180" s="15">
        <f>G180-INPUTS!$B$6</f>
        <v/>
      </c>
      <c r="I180" s="15">
        <f>MAX(0,H180-INPUTS!$B$7)</f>
        <v/>
      </c>
    </row>
    <row r="181">
      <c r="A181" s="14">
        <f>MC_SEEDS!A170</f>
        <v/>
      </c>
      <c r="B181" s="27">
        <f>MC_SEEDS!B170</f>
        <v/>
      </c>
      <c r="C181" s="11">
        <f>MC_SEEDS!C170</f>
        <v/>
      </c>
      <c r="D181" s="11">
        <f>MC_SEEDS!D170</f>
        <v/>
      </c>
      <c r="E181" s="11">
        <f>MC_SEEDS!E170</f>
        <v/>
      </c>
      <c r="F181" s="11">
        <f>B181*INPUTS!$G$35*INPUTS!$G$42 + C181*INPUTS!$G$42 + D181*INPUTS!$G$43 + E181*INPUTS!$G$44</f>
        <v/>
      </c>
      <c r="G181" s="15">
        <f>INPUTS!$B$6*(1+F181)</f>
        <v/>
      </c>
      <c r="H181" s="15">
        <f>G181-INPUTS!$B$6</f>
        <v/>
      </c>
      <c r="I181" s="15">
        <f>MAX(0,H181-INPUTS!$B$7)</f>
        <v/>
      </c>
    </row>
    <row r="182">
      <c r="A182" s="14">
        <f>MC_SEEDS!A171</f>
        <v/>
      </c>
      <c r="B182" s="27">
        <f>MC_SEEDS!B171</f>
        <v/>
      </c>
      <c r="C182" s="11">
        <f>MC_SEEDS!C171</f>
        <v/>
      </c>
      <c r="D182" s="11">
        <f>MC_SEEDS!D171</f>
        <v/>
      </c>
      <c r="E182" s="11">
        <f>MC_SEEDS!E171</f>
        <v/>
      </c>
      <c r="F182" s="11">
        <f>B182*INPUTS!$G$35*INPUTS!$G$42 + C182*INPUTS!$G$42 + D182*INPUTS!$G$43 + E182*INPUTS!$G$44</f>
        <v/>
      </c>
      <c r="G182" s="15">
        <f>INPUTS!$B$6*(1+F182)</f>
        <v/>
      </c>
      <c r="H182" s="15">
        <f>G182-INPUTS!$B$6</f>
        <v/>
      </c>
      <c r="I182" s="15">
        <f>MAX(0,H182-INPUTS!$B$7)</f>
        <v/>
      </c>
    </row>
    <row r="183">
      <c r="A183" s="14">
        <f>MC_SEEDS!A172</f>
        <v/>
      </c>
      <c r="B183" s="27">
        <f>MC_SEEDS!B172</f>
        <v/>
      </c>
      <c r="C183" s="11">
        <f>MC_SEEDS!C172</f>
        <v/>
      </c>
      <c r="D183" s="11">
        <f>MC_SEEDS!D172</f>
        <v/>
      </c>
      <c r="E183" s="11">
        <f>MC_SEEDS!E172</f>
        <v/>
      </c>
      <c r="F183" s="11">
        <f>B183*INPUTS!$G$35*INPUTS!$G$42 + C183*INPUTS!$G$42 + D183*INPUTS!$G$43 + E183*INPUTS!$G$44</f>
        <v/>
      </c>
      <c r="G183" s="15">
        <f>INPUTS!$B$6*(1+F183)</f>
        <v/>
      </c>
      <c r="H183" s="15">
        <f>G183-INPUTS!$B$6</f>
        <v/>
      </c>
      <c r="I183" s="15">
        <f>MAX(0,H183-INPUTS!$B$7)</f>
        <v/>
      </c>
    </row>
    <row r="184">
      <c r="A184" s="14">
        <f>MC_SEEDS!A173</f>
        <v/>
      </c>
      <c r="B184" s="27">
        <f>MC_SEEDS!B173</f>
        <v/>
      </c>
      <c r="C184" s="11">
        <f>MC_SEEDS!C173</f>
        <v/>
      </c>
      <c r="D184" s="11">
        <f>MC_SEEDS!D173</f>
        <v/>
      </c>
      <c r="E184" s="11">
        <f>MC_SEEDS!E173</f>
        <v/>
      </c>
      <c r="F184" s="11">
        <f>B184*INPUTS!$G$35*INPUTS!$G$42 + C184*INPUTS!$G$42 + D184*INPUTS!$G$43 + E184*INPUTS!$G$44</f>
        <v/>
      </c>
      <c r="G184" s="15">
        <f>INPUTS!$B$6*(1+F184)</f>
        <v/>
      </c>
      <c r="H184" s="15">
        <f>G184-INPUTS!$B$6</f>
        <v/>
      </c>
      <c r="I184" s="15">
        <f>MAX(0,H184-INPUTS!$B$7)</f>
        <v/>
      </c>
    </row>
    <row r="185">
      <c r="A185" s="14">
        <f>MC_SEEDS!A174</f>
        <v/>
      </c>
      <c r="B185" s="27">
        <f>MC_SEEDS!B174</f>
        <v/>
      </c>
      <c r="C185" s="11">
        <f>MC_SEEDS!C174</f>
        <v/>
      </c>
      <c r="D185" s="11">
        <f>MC_SEEDS!D174</f>
        <v/>
      </c>
      <c r="E185" s="11">
        <f>MC_SEEDS!E174</f>
        <v/>
      </c>
      <c r="F185" s="11">
        <f>B185*INPUTS!$G$35*INPUTS!$G$42 + C185*INPUTS!$G$42 + D185*INPUTS!$G$43 + E185*INPUTS!$G$44</f>
        <v/>
      </c>
      <c r="G185" s="15">
        <f>INPUTS!$B$6*(1+F185)</f>
        <v/>
      </c>
      <c r="H185" s="15">
        <f>G185-INPUTS!$B$6</f>
        <v/>
      </c>
      <c r="I185" s="15">
        <f>MAX(0,H185-INPUTS!$B$7)</f>
        <v/>
      </c>
    </row>
    <row r="186">
      <c r="A186" s="14">
        <f>MC_SEEDS!A175</f>
        <v/>
      </c>
      <c r="B186" s="27">
        <f>MC_SEEDS!B175</f>
        <v/>
      </c>
      <c r="C186" s="11">
        <f>MC_SEEDS!C175</f>
        <v/>
      </c>
      <c r="D186" s="11">
        <f>MC_SEEDS!D175</f>
        <v/>
      </c>
      <c r="E186" s="11">
        <f>MC_SEEDS!E175</f>
        <v/>
      </c>
      <c r="F186" s="11">
        <f>B186*INPUTS!$G$35*INPUTS!$G$42 + C186*INPUTS!$G$42 + D186*INPUTS!$G$43 + E186*INPUTS!$G$44</f>
        <v/>
      </c>
      <c r="G186" s="15">
        <f>INPUTS!$B$6*(1+F186)</f>
        <v/>
      </c>
      <c r="H186" s="15">
        <f>G186-INPUTS!$B$6</f>
        <v/>
      </c>
      <c r="I186" s="15">
        <f>MAX(0,H186-INPUTS!$B$7)</f>
        <v/>
      </c>
    </row>
    <row r="187">
      <c r="A187" s="14">
        <f>MC_SEEDS!A176</f>
        <v/>
      </c>
      <c r="B187" s="27">
        <f>MC_SEEDS!B176</f>
        <v/>
      </c>
      <c r="C187" s="11">
        <f>MC_SEEDS!C176</f>
        <v/>
      </c>
      <c r="D187" s="11">
        <f>MC_SEEDS!D176</f>
        <v/>
      </c>
      <c r="E187" s="11">
        <f>MC_SEEDS!E176</f>
        <v/>
      </c>
      <c r="F187" s="11">
        <f>B187*INPUTS!$G$35*INPUTS!$G$42 + C187*INPUTS!$G$42 + D187*INPUTS!$G$43 + E187*INPUTS!$G$44</f>
        <v/>
      </c>
      <c r="G187" s="15">
        <f>INPUTS!$B$6*(1+F187)</f>
        <v/>
      </c>
      <c r="H187" s="15">
        <f>G187-INPUTS!$B$6</f>
        <v/>
      </c>
      <c r="I187" s="15">
        <f>MAX(0,H187-INPUTS!$B$7)</f>
        <v/>
      </c>
    </row>
    <row r="188">
      <c r="A188" s="14">
        <f>MC_SEEDS!A177</f>
        <v/>
      </c>
      <c r="B188" s="27">
        <f>MC_SEEDS!B177</f>
        <v/>
      </c>
      <c r="C188" s="11">
        <f>MC_SEEDS!C177</f>
        <v/>
      </c>
      <c r="D188" s="11">
        <f>MC_SEEDS!D177</f>
        <v/>
      </c>
      <c r="E188" s="11">
        <f>MC_SEEDS!E177</f>
        <v/>
      </c>
      <c r="F188" s="11">
        <f>B188*INPUTS!$G$35*INPUTS!$G$42 + C188*INPUTS!$G$42 + D188*INPUTS!$G$43 + E188*INPUTS!$G$44</f>
        <v/>
      </c>
      <c r="G188" s="15">
        <f>INPUTS!$B$6*(1+F188)</f>
        <v/>
      </c>
      <c r="H188" s="15">
        <f>G188-INPUTS!$B$6</f>
        <v/>
      </c>
      <c r="I188" s="15">
        <f>MAX(0,H188-INPUTS!$B$7)</f>
        <v/>
      </c>
    </row>
    <row r="189">
      <c r="A189" s="14">
        <f>MC_SEEDS!A178</f>
        <v/>
      </c>
      <c r="B189" s="27">
        <f>MC_SEEDS!B178</f>
        <v/>
      </c>
      <c r="C189" s="11">
        <f>MC_SEEDS!C178</f>
        <v/>
      </c>
      <c r="D189" s="11">
        <f>MC_SEEDS!D178</f>
        <v/>
      </c>
      <c r="E189" s="11">
        <f>MC_SEEDS!E178</f>
        <v/>
      </c>
      <c r="F189" s="11">
        <f>B189*INPUTS!$G$35*INPUTS!$G$42 + C189*INPUTS!$G$42 + D189*INPUTS!$G$43 + E189*INPUTS!$G$44</f>
        <v/>
      </c>
      <c r="G189" s="15">
        <f>INPUTS!$B$6*(1+F189)</f>
        <v/>
      </c>
      <c r="H189" s="15">
        <f>G189-INPUTS!$B$6</f>
        <v/>
      </c>
      <c r="I189" s="15">
        <f>MAX(0,H189-INPUTS!$B$7)</f>
        <v/>
      </c>
    </row>
    <row r="190">
      <c r="A190" s="14">
        <f>MC_SEEDS!A179</f>
        <v/>
      </c>
      <c r="B190" s="27">
        <f>MC_SEEDS!B179</f>
        <v/>
      </c>
      <c r="C190" s="11">
        <f>MC_SEEDS!C179</f>
        <v/>
      </c>
      <c r="D190" s="11">
        <f>MC_SEEDS!D179</f>
        <v/>
      </c>
      <c r="E190" s="11">
        <f>MC_SEEDS!E179</f>
        <v/>
      </c>
      <c r="F190" s="11">
        <f>B190*INPUTS!$G$35*INPUTS!$G$42 + C190*INPUTS!$G$42 + D190*INPUTS!$G$43 + E190*INPUTS!$G$44</f>
        <v/>
      </c>
      <c r="G190" s="15">
        <f>INPUTS!$B$6*(1+F190)</f>
        <v/>
      </c>
      <c r="H190" s="15">
        <f>G190-INPUTS!$B$6</f>
        <v/>
      </c>
      <c r="I190" s="15">
        <f>MAX(0,H190-INPUTS!$B$7)</f>
        <v/>
      </c>
    </row>
    <row r="191">
      <c r="A191" s="14">
        <f>MC_SEEDS!A180</f>
        <v/>
      </c>
      <c r="B191" s="27">
        <f>MC_SEEDS!B180</f>
        <v/>
      </c>
      <c r="C191" s="11">
        <f>MC_SEEDS!C180</f>
        <v/>
      </c>
      <c r="D191" s="11">
        <f>MC_SEEDS!D180</f>
        <v/>
      </c>
      <c r="E191" s="11">
        <f>MC_SEEDS!E180</f>
        <v/>
      </c>
      <c r="F191" s="11">
        <f>B191*INPUTS!$G$35*INPUTS!$G$42 + C191*INPUTS!$G$42 + D191*INPUTS!$G$43 + E191*INPUTS!$G$44</f>
        <v/>
      </c>
      <c r="G191" s="15">
        <f>INPUTS!$B$6*(1+F191)</f>
        <v/>
      </c>
      <c r="H191" s="15">
        <f>G191-INPUTS!$B$6</f>
        <v/>
      </c>
      <c r="I191" s="15">
        <f>MAX(0,H191-INPUTS!$B$7)</f>
        <v/>
      </c>
    </row>
    <row r="192">
      <c r="A192" s="14">
        <f>MC_SEEDS!A181</f>
        <v/>
      </c>
      <c r="B192" s="27">
        <f>MC_SEEDS!B181</f>
        <v/>
      </c>
      <c r="C192" s="11">
        <f>MC_SEEDS!C181</f>
        <v/>
      </c>
      <c r="D192" s="11">
        <f>MC_SEEDS!D181</f>
        <v/>
      </c>
      <c r="E192" s="11">
        <f>MC_SEEDS!E181</f>
        <v/>
      </c>
      <c r="F192" s="11">
        <f>B192*INPUTS!$G$35*INPUTS!$G$42 + C192*INPUTS!$G$42 + D192*INPUTS!$G$43 + E192*INPUTS!$G$44</f>
        <v/>
      </c>
      <c r="G192" s="15">
        <f>INPUTS!$B$6*(1+F192)</f>
        <v/>
      </c>
      <c r="H192" s="15">
        <f>G192-INPUTS!$B$6</f>
        <v/>
      </c>
      <c r="I192" s="15">
        <f>MAX(0,H192-INPUTS!$B$7)</f>
        <v/>
      </c>
    </row>
    <row r="193">
      <c r="A193" s="14">
        <f>MC_SEEDS!A182</f>
        <v/>
      </c>
      <c r="B193" s="27">
        <f>MC_SEEDS!B182</f>
        <v/>
      </c>
      <c r="C193" s="11">
        <f>MC_SEEDS!C182</f>
        <v/>
      </c>
      <c r="D193" s="11">
        <f>MC_SEEDS!D182</f>
        <v/>
      </c>
      <c r="E193" s="11">
        <f>MC_SEEDS!E182</f>
        <v/>
      </c>
      <c r="F193" s="11">
        <f>B193*INPUTS!$G$35*INPUTS!$G$42 + C193*INPUTS!$G$42 + D193*INPUTS!$G$43 + E193*INPUTS!$G$44</f>
        <v/>
      </c>
      <c r="G193" s="15">
        <f>INPUTS!$B$6*(1+F193)</f>
        <v/>
      </c>
      <c r="H193" s="15">
        <f>G193-INPUTS!$B$6</f>
        <v/>
      </c>
      <c r="I193" s="15">
        <f>MAX(0,H193-INPUTS!$B$7)</f>
        <v/>
      </c>
    </row>
    <row r="194">
      <c r="A194" s="14">
        <f>MC_SEEDS!A183</f>
        <v/>
      </c>
      <c r="B194" s="27">
        <f>MC_SEEDS!B183</f>
        <v/>
      </c>
      <c r="C194" s="11">
        <f>MC_SEEDS!C183</f>
        <v/>
      </c>
      <c r="D194" s="11">
        <f>MC_SEEDS!D183</f>
        <v/>
      </c>
      <c r="E194" s="11">
        <f>MC_SEEDS!E183</f>
        <v/>
      </c>
      <c r="F194" s="11">
        <f>B194*INPUTS!$G$35*INPUTS!$G$42 + C194*INPUTS!$G$42 + D194*INPUTS!$G$43 + E194*INPUTS!$G$44</f>
        <v/>
      </c>
      <c r="G194" s="15">
        <f>INPUTS!$B$6*(1+F194)</f>
        <v/>
      </c>
      <c r="H194" s="15">
        <f>G194-INPUTS!$B$6</f>
        <v/>
      </c>
      <c r="I194" s="15">
        <f>MAX(0,H194-INPUTS!$B$7)</f>
        <v/>
      </c>
    </row>
    <row r="195">
      <c r="A195" s="14">
        <f>MC_SEEDS!A184</f>
        <v/>
      </c>
      <c r="B195" s="27">
        <f>MC_SEEDS!B184</f>
        <v/>
      </c>
      <c r="C195" s="11">
        <f>MC_SEEDS!C184</f>
        <v/>
      </c>
      <c r="D195" s="11">
        <f>MC_SEEDS!D184</f>
        <v/>
      </c>
      <c r="E195" s="11">
        <f>MC_SEEDS!E184</f>
        <v/>
      </c>
      <c r="F195" s="11">
        <f>B195*INPUTS!$G$35*INPUTS!$G$42 + C195*INPUTS!$G$42 + D195*INPUTS!$G$43 + E195*INPUTS!$G$44</f>
        <v/>
      </c>
      <c r="G195" s="15">
        <f>INPUTS!$B$6*(1+F195)</f>
        <v/>
      </c>
      <c r="H195" s="15">
        <f>G195-INPUTS!$B$6</f>
        <v/>
      </c>
      <c r="I195" s="15">
        <f>MAX(0,H195-INPUTS!$B$7)</f>
        <v/>
      </c>
    </row>
    <row r="196">
      <c r="A196" s="14">
        <f>MC_SEEDS!A185</f>
        <v/>
      </c>
      <c r="B196" s="27">
        <f>MC_SEEDS!B185</f>
        <v/>
      </c>
      <c r="C196" s="11">
        <f>MC_SEEDS!C185</f>
        <v/>
      </c>
      <c r="D196" s="11">
        <f>MC_SEEDS!D185</f>
        <v/>
      </c>
      <c r="E196" s="11">
        <f>MC_SEEDS!E185</f>
        <v/>
      </c>
      <c r="F196" s="11">
        <f>B196*INPUTS!$G$35*INPUTS!$G$42 + C196*INPUTS!$G$42 + D196*INPUTS!$G$43 + E196*INPUTS!$G$44</f>
        <v/>
      </c>
      <c r="G196" s="15">
        <f>INPUTS!$B$6*(1+F196)</f>
        <v/>
      </c>
      <c r="H196" s="15">
        <f>G196-INPUTS!$B$6</f>
        <v/>
      </c>
      <c r="I196" s="15">
        <f>MAX(0,H196-INPUTS!$B$7)</f>
        <v/>
      </c>
    </row>
    <row r="197">
      <c r="A197" s="14">
        <f>MC_SEEDS!A186</f>
        <v/>
      </c>
      <c r="B197" s="27">
        <f>MC_SEEDS!B186</f>
        <v/>
      </c>
      <c r="C197" s="11">
        <f>MC_SEEDS!C186</f>
        <v/>
      </c>
      <c r="D197" s="11">
        <f>MC_SEEDS!D186</f>
        <v/>
      </c>
      <c r="E197" s="11">
        <f>MC_SEEDS!E186</f>
        <v/>
      </c>
      <c r="F197" s="11">
        <f>B197*INPUTS!$G$35*INPUTS!$G$42 + C197*INPUTS!$G$42 + D197*INPUTS!$G$43 + E197*INPUTS!$G$44</f>
        <v/>
      </c>
      <c r="G197" s="15">
        <f>INPUTS!$B$6*(1+F197)</f>
        <v/>
      </c>
      <c r="H197" s="15">
        <f>G197-INPUTS!$B$6</f>
        <v/>
      </c>
      <c r="I197" s="15">
        <f>MAX(0,H197-INPUTS!$B$7)</f>
        <v/>
      </c>
    </row>
    <row r="198">
      <c r="A198" s="14">
        <f>MC_SEEDS!A187</f>
        <v/>
      </c>
      <c r="B198" s="27">
        <f>MC_SEEDS!B187</f>
        <v/>
      </c>
      <c r="C198" s="11">
        <f>MC_SEEDS!C187</f>
        <v/>
      </c>
      <c r="D198" s="11">
        <f>MC_SEEDS!D187</f>
        <v/>
      </c>
      <c r="E198" s="11">
        <f>MC_SEEDS!E187</f>
        <v/>
      </c>
      <c r="F198" s="11">
        <f>B198*INPUTS!$G$35*INPUTS!$G$42 + C198*INPUTS!$G$42 + D198*INPUTS!$G$43 + E198*INPUTS!$G$44</f>
        <v/>
      </c>
      <c r="G198" s="15">
        <f>INPUTS!$B$6*(1+F198)</f>
        <v/>
      </c>
      <c r="H198" s="15">
        <f>G198-INPUTS!$B$6</f>
        <v/>
      </c>
      <c r="I198" s="15">
        <f>MAX(0,H198-INPUTS!$B$7)</f>
        <v/>
      </c>
    </row>
    <row r="199">
      <c r="A199" s="14">
        <f>MC_SEEDS!A188</f>
        <v/>
      </c>
      <c r="B199" s="27">
        <f>MC_SEEDS!B188</f>
        <v/>
      </c>
      <c r="C199" s="11">
        <f>MC_SEEDS!C188</f>
        <v/>
      </c>
      <c r="D199" s="11">
        <f>MC_SEEDS!D188</f>
        <v/>
      </c>
      <c r="E199" s="11">
        <f>MC_SEEDS!E188</f>
        <v/>
      </c>
      <c r="F199" s="11">
        <f>B199*INPUTS!$G$35*INPUTS!$G$42 + C199*INPUTS!$G$42 + D199*INPUTS!$G$43 + E199*INPUTS!$G$44</f>
        <v/>
      </c>
      <c r="G199" s="15">
        <f>INPUTS!$B$6*(1+F199)</f>
        <v/>
      </c>
      <c r="H199" s="15">
        <f>G199-INPUTS!$B$6</f>
        <v/>
      </c>
      <c r="I199" s="15">
        <f>MAX(0,H199-INPUTS!$B$7)</f>
        <v/>
      </c>
    </row>
    <row r="200">
      <c r="A200" s="14">
        <f>MC_SEEDS!A189</f>
        <v/>
      </c>
      <c r="B200" s="27">
        <f>MC_SEEDS!B189</f>
        <v/>
      </c>
      <c r="C200" s="11">
        <f>MC_SEEDS!C189</f>
        <v/>
      </c>
      <c r="D200" s="11">
        <f>MC_SEEDS!D189</f>
        <v/>
      </c>
      <c r="E200" s="11">
        <f>MC_SEEDS!E189</f>
        <v/>
      </c>
      <c r="F200" s="11">
        <f>B200*INPUTS!$G$35*INPUTS!$G$42 + C200*INPUTS!$G$42 + D200*INPUTS!$G$43 + E200*INPUTS!$G$44</f>
        <v/>
      </c>
      <c r="G200" s="15">
        <f>INPUTS!$B$6*(1+F200)</f>
        <v/>
      </c>
      <c r="H200" s="15">
        <f>G200-INPUTS!$B$6</f>
        <v/>
      </c>
      <c r="I200" s="15">
        <f>MAX(0,H200-INPUTS!$B$7)</f>
        <v/>
      </c>
    </row>
    <row r="201">
      <c r="A201" s="14">
        <f>MC_SEEDS!A190</f>
        <v/>
      </c>
      <c r="B201" s="27">
        <f>MC_SEEDS!B190</f>
        <v/>
      </c>
      <c r="C201" s="11">
        <f>MC_SEEDS!C190</f>
        <v/>
      </c>
      <c r="D201" s="11">
        <f>MC_SEEDS!D190</f>
        <v/>
      </c>
      <c r="E201" s="11">
        <f>MC_SEEDS!E190</f>
        <v/>
      </c>
      <c r="F201" s="11">
        <f>B201*INPUTS!$G$35*INPUTS!$G$42 + C201*INPUTS!$G$42 + D201*INPUTS!$G$43 + E201*INPUTS!$G$44</f>
        <v/>
      </c>
      <c r="G201" s="15">
        <f>INPUTS!$B$6*(1+F201)</f>
        <v/>
      </c>
      <c r="H201" s="15">
        <f>G201-INPUTS!$B$6</f>
        <v/>
      </c>
      <c r="I201" s="15">
        <f>MAX(0,H201-INPUTS!$B$7)</f>
        <v/>
      </c>
    </row>
    <row r="202">
      <c r="A202" s="14">
        <f>MC_SEEDS!A191</f>
        <v/>
      </c>
      <c r="B202" s="27">
        <f>MC_SEEDS!B191</f>
        <v/>
      </c>
      <c r="C202" s="11">
        <f>MC_SEEDS!C191</f>
        <v/>
      </c>
      <c r="D202" s="11">
        <f>MC_SEEDS!D191</f>
        <v/>
      </c>
      <c r="E202" s="11">
        <f>MC_SEEDS!E191</f>
        <v/>
      </c>
      <c r="F202" s="11">
        <f>B202*INPUTS!$G$35*INPUTS!$G$42 + C202*INPUTS!$G$42 + D202*INPUTS!$G$43 + E202*INPUTS!$G$44</f>
        <v/>
      </c>
      <c r="G202" s="15">
        <f>INPUTS!$B$6*(1+F202)</f>
        <v/>
      </c>
      <c r="H202" s="15">
        <f>G202-INPUTS!$B$6</f>
        <v/>
      </c>
      <c r="I202" s="15">
        <f>MAX(0,H202-INPUTS!$B$7)</f>
        <v/>
      </c>
    </row>
    <row r="203">
      <c r="A203" s="14">
        <f>MC_SEEDS!A192</f>
        <v/>
      </c>
      <c r="B203" s="27">
        <f>MC_SEEDS!B192</f>
        <v/>
      </c>
      <c r="C203" s="11">
        <f>MC_SEEDS!C192</f>
        <v/>
      </c>
      <c r="D203" s="11">
        <f>MC_SEEDS!D192</f>
        <v/>
      </c>
      <c r="E203" s="11">
        <f>MC_SEEDS!E192</f>
        <v/>
      </c>
      <c r="F203" s="11">
        <f>B203*INPUTS!$G$35*INPUTS!$G$42 + C203*INPUTS!$G$42 + D203*INPUTS!$G$43 + E203*INPUTS!$G$44</f>
        <v/>
      </c>
      <c r="G203" s="15">
        <f>INPUTS!$B$6*(1+F203)</f>
        <v/>
      </c>
      <c r="H203" s="15">
        <f>G203-INPUTS!$B$6</f>
        <v/>
      </c>
      <c r="I203" s="15">
        <f>MAX(0,H203-INPUTS!$B$7)</f>
        <v/>
      </c>
    </row>
    <row r="204">
      <c r="A204" s="14">
        <f>MC_SEEDS!A193</f>
        <v/>
      </c>
      <c r="B204" s="27">
        <f>MC_SEEDS!B193</f>
        <v/>
      </c>
      <c r="C204" s="11">
        <f>MC_SEEDS!C193</f>
        <v/>
      </c>
      <c r="D204" s="11">
        <f>MC_SEEDS!D193</f>
        <v/>
      </c>
      <c r="E204" s="11">
        <f>MC_SEEDS!E193</f>
        <v/>
      </c>
      <c r="F204" s="11">
        <f>B204*INPUTS!$G$35*INPUTS!$G$42 + C204*INPUTS!$G$42 + D204*INPUTS!$G$43 + E204*INPUTS!$G$44</f>
        <v/>
      </c>
      <c r="G204" s="15">
        <f>INPUTS!$B$6*(1+F204)</f>
        <v/>
      </c>
      <c r="H204" s="15">
        <f>G204-INPUTS!$B$6</f>
        <v/>
      </c>
      <c r="I204" s="15">
        <f>MAX(0,H204-INPUTS!$B$7)</f>
        <v/>
      </c>
    </row>
    <row r="205">
      <c r="A205" s="14">
        <f>MC_SEEDS!A194</f>
        <v/>
      </c>
      <c r="B205" s="27">
        <f>MC_SEEDS!B194</f>
        <v/>
      </c>
      <c r="C205" s="11">
        <f>MC_SEEDS!C194</f>
        <v/>
      </c>
      <c r="D205" s="11">
        <f>MC_SEEDS!D194</f>
        <v/>
      </c>
      <c r="E205" s="11">
        <f>MC_SEEDS!E194</f>
        <v/>
      </c>
      <c r="F205" s="11">
        <f>B205*INPUTS!$G$35*INPUTS!$G$42 + C205*INPUTS!$G$42 + D205*INPUTS!$G$43 + E205*INPUTS!$G$44</f>
        <v/>
      </c>
      <c r="G205" s="15">
        <f>INPUTS!$B$6*(1+F205)</f>
        <v/>
      </c>
      <c r="H205" s="15">
        <f>G205-INPUTS!$B$6</f>
        <v/>
      </c>
      <c r="I205" s="15">
        <f>MAX(0,H205-INPUTS!$B$7)</f>
        <v/>
      </c>
    </row>
    <row r="206">
      <c r="A206" s="14">
        <f>MC_SEEDS!A195</f>
        <v/>
      </c>
      <c r="B206" s="27">
        <f>MC_SEEDS!B195</f>
        <v/>
      </c>
      <c r="C206" s="11">
        <f>MC_SEEDS!C195</f>
        <v/>
      </c>
      <c r="D206" s="11">
        <f>MC_SEEDS!D195</f>
        <v/>
      </c>
      <c r="E206" s="11">
        <f>MC_SEEDS!E195</f>
        <v/>
      </c>
      <c r="F206" s="11">
        <f>B206*INPUTS!$G$35*INPUTS!$G$42 + C206*INPUTS!$G$42 + D206*INPUTS!$G$43 + E206*INPUTS!$G$44</f>
        <v/>
      </c>
      <c r="G206" s="15">
        <f>INPUTS!$B$6*(1+F206)</f>
        <v/>
      </c>
      <c r="H206" s="15">
        <f>G206-INPUTS!$B$6</f>
        <v/>
      </c>
      <c r="I206" s="15">
        <f>MAX(0,H206-INPUTS!$B$7)</f>
        <v/>
      </c>
    </row>
    <row r="207">
      <c r="A207" s="14">
        <f>MC_SEEDS!A196</f>
        <v/>
      </c>
      <c r="B207" s="27">
        <f>MC_SEEDS!B196</f>
        <v/>
      </c>
      <c r="C207" s="11">
        <f>MC_SEEDS!C196</f>
        <v/>
      </c>
      <c r="D207" s="11">
        <f>MC_SEEDS!D196</f>
        <v/>
      </c>
      <c r="E207" s="11">
        <f>MC_SEEDS!E196</f>
        <v/>
      </c>
      <c r="F207" s="11">
        <f>B207*INPUTS!$G$35*INPUTS!$G$42 + C207*INPUTS!$G$42 + D207*INPUTS!$G$43 + E207*INPUTS!$G$44</f>
        <v/>
      </c>
      <c r="G207" s="15">
        <f>INPUTS!$B$6*(1+F207)</f>
        <v/>
      </c>
      <c r="H207" s="15">
        <f>G207-INPUTS!$B$6</f>
        <v/>
      </c>
      <c r="I207" s="15">
        <f>MAX(0,H207-INPUTS!$B$7)</f>
        <v/>
      </c>
    </row>
    <row r="208">
      <c r="A208" s="14">
        <f>MC_SEEDS!A197</f>
        <v/>
      </c>
      <c r="B208" s="27">
        <f>MC_SEEDS!B197</f>
        <v/>
      </c>
      <c r="C208" s="11">
        <f>MC_SEEDS!C197</f>
        <v/>
      </c>
      <c r="D208" s="11">
        <f>MC_SEEDS!D197</f>
        <v/>
      </c>
      <c r="E208" s="11">
        <f>MC_SEEDS!E197</f>
        <v/>
      </c>
      <c r="F208" s="11">
        <f>B208*INPUTS!$G$35*INPUTS!$G$42 + C208*INPUTS!$G$42 + D208*INPUTS!$G$43 + E208*INPUTS!$G$44</f>
        <v/>
      </c>
      <c r="G208" s="15">
        <f>INPUTS!$B$6*(1+F208)</f>
        <v/>
      </c>
      <c r="H208" s="15">
        <f>G208-INPUTS!$B$6</f>
        <v/>
      </c>
      <c r="I208" s="15">
        <f>MAX(0,H208-INPUTS!$B$7)</f>
        <v/>
      </c>
    </row>
    <row r="209">
      <c r="A209" s="14">
        <f>MC_SEEDS!A198</f>
        <v/>
      </c>
      <c r="B209" s="27">
        <f>MC_SEEDS!B198</f>
        <v/>
      </c>
      <c r="C209" s="11">
        <f>MC_SEEDS!C198</f>
        <v/>
      </c>
      <c r="D209" s="11">
        <f>MC_SEEDS!D198</f>
        <v/>
      </c>
      <c r="E209" s="11">
        <f>MC_SEEDS!E198</f>
        <v/>
      </c>
      <c r="F209" s="11">
        <f>B209*INPUTS!$G$35*INPUTS!$G$42 + C209*INPUTS!$G$42 + D209*INPUTS!$G$43 + E209*INPUTS!$G$44</f>
        <v/>
      </c>
      <c r="G209" s="15">
        <f>INPUTS!$B$6*(1+F209)</f>
        <v/>
      </c>
      <c r="H209" s="15">
        <f>G209-INPUTS!$B$6</f>
        <v/>
      </c>
      <c r="I209" s="15">
        <f>MAX(0,H209-INPUTS!$B$7)</f>
        <v/>
      </c>
    </row>
    <row r="210">
      <c r="A210" s="14">
        <f>MC_SEEDS!A199</f>
        <v/>
      </c>
      <c r="B210" s="27">
        <f>MC_SEEDS!B199</f>
        <v/>
      </c>
      <c r="C210" s="11">
        <f>MC_SEEDS!C199</f>
        <v/>
      </c>
      <c r="D210" s="11">
        <f>MC_SEEDS!D199</f>
        <v/>
      </c>
      <c r="E210" s="11">
        <f>MC_SEEDS!E199</f>
        <v/>
      </c>
      <c r="F210" s="11">
        <f>B210*INPUTS!$G$35*INPUTS!$G$42 + C210*INPUTS!$G$42 + D210*INPUTS!$G$43 + E210*INPUTS!$G$44</f>
        <v/>
      </c>
      <c r="G210" s="15">
        <f>INPUTS!$B$6*(1+F210)</f>
        <v/>
      </c>
      <c r="H210" s="15">
        <f>G210-INPUTS!$B$6</f>
        <v/>
      </c>
      <c r="I210" s="15">
        <f>MAX(0,H210-INPUTS!$B$7)</f>
        <v/>
      </c>
    </row>
    <row r="211">
      <c r="A211" s="14">
        <f>MC_SEEDS!A200</f>
        <v/>
      </c>
      <c r="B211" s="27">
        <f>MC_SEEDS!B200</f>
        <v/>
      </c>
      <c r="C211" s="11">
        <f>MC_SEEDS!C200</f>
        <v/>
      </c>
      <c r="D211" s="11">
        <f>MC_SEEDS!D200</f>
        <v/>
      </c>
      <c r="E211" s="11">
        <f>MC_SEEDS!E200</f>
        <v/>
      </c>
      <c r="F211" s="11">
        <f>B211*INPUTS!$G$35*INPUTS!$G$42 + C211*INPUTS!$G$42 + D211*INPUTS!$G$43 + E211*INPUTS!$G$44</f>
        <v/>
      </c>
      <c r="G211" s="15">
        <f>INPUTS!$B$6*(1+F211)</f>
        <v/>
      </c>
      <c r="H211" s="15">
        <f>G211-INPUTS!$B$6</f>
        <v/>
      </c>
      <c r="I211" s="15">
        <f>MAX(0,H211-INPUTS!$B$7)</f>
        <v/>
      </c>
    </row>
    <row r="212">
      <c r="A212" s="14">
        <f>MC_SEEDS!A201</f>
        <v/>
      </c>
      <c r="B212" s="27">
        <f>MC_SEEDS!B201</f>
        <v/>
      </c>
      <c r="C212" s="11">
        <f>MC_SEEDS!C201</f>
        <v/>
      </c>
      <c r="D212" s="11">
        <f>MC_SEEDS!D201</f>
        <v/>
      </c>
      <c r="E212" s="11">
        <f>MC_SEEDS!E201</f>
        <v/>
      </c>
      <c r="F212" s="11">
        <f>B212*INPUTS!$G$35*INPUTS!$G$42 + C212*INPUTS!$G$42 + D212*INPUTS!$G$43 + E212*INPUTS!$G$44</f>
        <v/>
      </c>
      <c r="G212" s="15">
        <f>INPUTS!$B$6*(1+F212)</f>
        <v/>
      </c>
      <c r="H212" s="15">
        <f>G212-INPUTS!$B$6</f>
        <v/>
      </c>
      <c r="I212" s="15">
        <f>MAX(0,H212-INPUTS!$B$7)</f>
        <v/>
      </c>
    </row>
    <row r="213">
      <c r="A213" s="14">
        <f>MC_SEEDS!A202</f>
        <v/>
      </c>
      <c r="B213" s="27">
        <f>MC_SEEDS!B202</f>
        <v/>
      </c>
      <c r="C213" s="11">
        <f>MC_SEEDS!C202</f>
        <v/>
      </c>
      <c r="D213" s="11">
        <f>MC_SEEDS!D202</f>
        <v/>
      </c>
      <c r="E213" s="11">
        <f>MC_SEEDS!E202</f>
        <v/>
      </c>
      <c r="F213" s="11">
        <f>B213*INPUTS!$G$35*INPUTS!$G$42 + C213*INPUTS!$G$42 + D213*INPUTS!$G$43 + E213*INPUTS!$G$44</f>
        <v/>
      </c>
      <c r="G213" s="15">
        <f>INPUTS!$B$6*(1+F213)</f>
        <v/>
      </c>
      <c r="H213" s="15">
        <f>G213-INPUTS!$B$6</f>
        <v/>
      </c>
      <c r="I213" s="15">
        <f>MAX(0,H213-INPUTS!$B$7)</f>
        <v/>
      </c>
    </row>
    <row r="214">
      <c r="A214" s="14">
        <f>MC_SEEDS!A203</f>
        <v/>
      </c>
      <c r="B214" s="27">
        <f>MC_SEEDS!B203</f>
        <v/>
      </c>
      <c r="C214" s="11">
        <f>MC_SEEDS!C203</f>
        <v/>
      </c>
      <c r="D214" s="11">
        <f>MC_SEEDS!D203</f>
        <v/>
      </c>
      <c r="E214" s="11">
        <f>MC_SEEDS!E203</f>
        <v/>
      </c>
      <c r="F214" s="11">
        <f>B214*INPUTS!$G$35*INPUTS!$G$42 + C214*INPUTS!$G$42 + D214*INPUTS!$G$43 + E214*INPUTS!$G$44</f>
        <v/>
      </c>
      <c r="G214" s="15">
        <f>INPUTS!$B$6*(1+F214)</f>
        <v/>
      </c>
      <c r="H214" s="15">
        <f>G214-INPUTS!$B$6</f>
        <v/>
      </c>
      <c r="I214" s="15">
        <f>MAX(0,H214-INPUTS!$B$7)</f>
        <v/>
      </c>
    </row>
    <row r="215">
      <c r="A215" s="14">
        <f>MC_SEEDS!A204</f>
        <v/>
      </c>
      <c r="B215" s="27">
        <f>MC_SEEDS!B204</f>
        <v/>
      </c>
      <c r="C215" s="11">
        <f>MC_SEEDS!C204</f>
        <v/>
      </c>
      <c r="D215" s="11">
        <f>MC_SEEDS!D204</f>
        <v/>
      </c>
      <c r="E215" s="11">
        <f>MC_SEEDS!E204</f>
        <v/>
      </c>
      <c r="F215" s="11">
        <f>B215*INPUTS!$G$35*INPUTS!$G$42 + C215*INPUTS!$G$42 + D215*INPUTS!$G$43 + E215*INPUTS!$G$44</f>
        <v/>
      </c>
      <c r="G215" s="15">
        <f>INPUTS!$B$6*(1+F215)</f>
        <v/>
      </c>
      <c r="H215" s="15">
        <f>G215-INPUTS!$B$6</f>
        <v/>
      </c>
      <c r="I215" s="15">
        <f>MAX(0,H215-INPUTS!$B$7)</f>
        <v/>
      </c>
    </row>
    <row r="216">
      <c r="A216" s="14">
        <f>MC_SEEDS!A205</f>
        <v/>
      </c>
      <c r="B216" s="27">
        <f>MC_SEEDS!B205</f>
        <v/>
      </c>
      <c r="C216" s="11">
        <f>MC_SEEDS!C205</f>
        <v/>
      </c>
      <c r="D216" s="11">
        <f>MC_SEEDS!D205</f>
        <v/>
      </c>
      <c r="E216" s="11">
        <f>MC_SEEDS!E205</f>
        <v/>
      </c>
      <c r="F216" s="11">
        <f>B216*INPUTS!$G$35*INPUTS!$G$42 + C216*INPUTS!$G$42 + D216*INPUTS!$G$43 + E216*INPUTS!$G$44</f>
        <v/>
      </c>
      <c r="G216" s="15">
        <f>INPUTS!$B$6*(1+F216)</f>
        <v/>
      </c>
      <c r="H216" s="15">
        <f>G216-INPUTS!$B$6</f>
        <v/>
      </c>
      <c r="I216" s="15">
        <f>MAX(0,H216-INPUTS!$B$7)</f>
        <v/>
      </c>
    </row>
    <row r="217">
      <c r="A217" s="14">
        <f>MC_SEEDS!A206</f>
        <v/>
      </c>
      <c r="B217" s="27">
        <f>MC_SEEDS!B206</f>
        <v/>
      </c>
      <c r="C217" s="11">
        <f>MC_SEEDS!C206</f>
        <v/>
      </c>
      <c r="D217" s="11">
        <f>MC_SEEDS!D206</f>
        <v/>
      </c>
      <c r="E217" s="11">
        <f>MC_SEEDS!E206</f>
        <v/>
      </c>
      <c r="F217" s="11">
        <f>B217*INPUTS!$G$35*INPUTS!$G$42 + C217*INPUTS!$G$42 + D217*INPUTS!$G$43 + E217*INPUTS!$G$44</f>
        <v/>
      </c>
      <c r="G217" s="15">
        <f>INPUTS!$B$6*(1+F217)</f>
        <v/>
      </c>
      <c r="H217" s="15">
        <f>G217-INPUTS!$B$6</f>
        <v/>
      </c>
      <c r="I217" s="15">
        <f>MAX(0,H217-INPUTS!$B$7)</f>
        <v/>
      </c>
    </row>
    <row r="218">
      <c r="A218" s="14">
        <f>MC_SEEDS!A207</f>
        <v/>
      </c>
      <c r="B218" s="27">
        <f>MC_SEEDS!B207</f>
        <v/>
      </c>
      <c r="C218" s="11">
        <f>MC_SEEDS!C207</f>
        <v/>
      </c>
      <c r="D218" s="11">
        <f>MC_SEEDS!D207</f>
        <v/>
      </c>
      <c r="E218" s="11">
        <f>MC_SEEDS!E207</f>
        <v/>
      </c>
      <c r="F218" s="11">
        <f>B218*INPUTS!$G$35*INPUTS!$G$42 + C218*INPUTS!$G$42 + D218*INPUTS!$G$43 + E218*INPUTS!$G$44</f>
        <v/>
      </c>
      <c r="G218" s="15">
        <f>INPUTS!$B$6*(1+F218)</f>
        <v/>
      </c>
      <c r="H218" s="15">
        <f>G218-INPUTS!$B$6</f>
        <v/>
      </c>
      <c r="I218" s="15">
        <f>MAX(0,H218-INPUTS!$B$7)</f>
        <v/>
      </c>
    </row>
    <row r="219">
      <c r="A219" s="14">
        <f>MC_SEEDS!A208</f>
        <v/>
      </c>
      <c r="B219" s="27">
        <f>MC_SEEDS!B208</f>
        <v/>
      </c>
      <c r="C219" s="11">
        <f>MC_SEEDS!C208</f>
        <v/>
      </c>
      <c r="D219" s="11">
        <f>MC_SEEDS!D208</f>
        <v/>
      </c>
      <c r="E219" s="11">
        <f>MC_SEEDS!E208</f>
        <v/>
      </c>
      <c r="F219" s="11">
        <f>B219*INPUTS!$G$35*INPUTS!$G$42 + C219*INPUTS!$G$42 + D219*INPUTS!$G$43 + E219*INPUTS!$G$44</f>
        <v/>
      </c>
      <c r="G219" s="15">
        <f>INPUTS!$B$6*(1+F219)</f>
        <v/>
      </c>
      <c r="H219" s="15">
        <f>G219-INPUTS!$B$6</f>
        <v/>
      </c>
      <c r="I219" s="15">
        <f>MAX(0,H219-INPUTS!$B$7)</f>
        <v/>
      </c>
    </row>
    <row r="220">
      <c r="A220" s="14">
        <f>MC_SEEDS!A209</f>
        <v/>
      </c>
      <c r="B220" s="27">
        <f>MC_SEEDS!B209</f>
        <v/>
      </c>
      <c r="C220" s="11">
        <f>MC_SEEDS!C209</f>
        <v/>
      </c>
      <c r="D220" s="11">
        <f>MC_SEEDS!D209</f>
        <v/>
      </c>
      <c r="E220" s="11">
        <f>MC_SEEDS!E209</f>
        <v/>
      </c>
      <c r="F220" s="11">
        <f>B220*INPUTS!$G$35*INPUTS!$G$42 + C220*INPUTS!$G$42 + D220*INPUTS!$G$43 + E220*INPUTS!$G$44</f>
        <v/>
      </c>
      <c r="G220" s="15">
        <f>INPUTS!$B$6*(1+F220)</f>
        <v/>
      </c>
      <c r="H220" s="15">
        <f>G220-INPUTS!$B$6</f>
        <v/>
      </c>
      <c r="I220" s="15">
        <f>MAX(0,H220-INPUTS!$B$7)</f>
        <v/>
      </c>
    </row>
    <row r="221">
      <c r="A221" s="14">
        <f>MC_SEEDS!A210</f>
        <v/>
      </c>
      <c r="B221" s="27">
        <f>MC_SEEDS!B210</f>
        <v/>
      </c>
      <c r="C221" s="11">
        <f>MC_SEEDS!C210</f>
        <v/>
      </c>
      <c r="D221" s="11">
        <f>MC_SEEDS!D210</f>
        <v/>
      </c>
      <c r="E221" s="11">
        <f>MC_SEEDS!E210</f>
        <v/>
      </c>
      <c r="F221" s="11">
        <f>B221*INPUTS!$G$35*INPUTS!$G$42 + C221*INPUTS!$G$42 + D221*INPUTS!$G$43 + E221*INPUTS!$G$44</f>
        <v/>
      </c>
      <c r="G221" s="15">
        <f>INPUTS!$B$6*(1+F221)</f>
        <v/>
      </c>
      <c r="H221" s="15">
        <f>G221-INPUTS!$B$6</f>
        <v/>
      </c>
      <c r="I221" s="15">
        <f>MAX(0,H221-INPUTS!$B$7)</f>
        <v/>
      </c>
    </row>
    <row r="222">
      <c r="A222" s="14">
        <f>MC_SEEDS!A211</f>
        <v/>
      </c>
      <c r="B222" s="27">
        <f>MC_SEEDS!B211</f>
        <v/>
      </c>
      <c r="C222" s="11">
        <f>MC_SEEDS!C211</f>
        <v/>
      </c>
      <c r="D222" s="11">
        <f>MC_SEEDS!D211</f>
        <v/>
      </c>
      <c r="E222" s="11">
        <f>MC_SEEDS!E211</f>
        <v/>
      </c>
      <c r="F222" s="11">
        <f>B222*INPUTS!$G$35*INPUTS!$G$42 + C222*INPUTS!$G$42 + D222*INPUTS!$G$43 + E222*INPUTS!$G$44</f>
        <v/>
      </c>
      <c r="G222" s="15">
        <f>INPUTS!$B$6*(1+F222)</f>
        <v/>
      </c>
      <c r="H222" s="15">
        <f>G222-INPUTS!$B$6</f>
        <v/>
      </c>
      <c r="I222" s="15">
        <f>MAX(0,H222-INPUTS!$B$7)</f>
        <v/>
      </c>
    </row>
    <row r="223">
      <c r="A223" s="14">
        <f>MC_SEEDS!A212</f>
        <v/>
      </c>
      <c r="B223" s="27">
        <f>MC_SEEDS!B212</f>
        <v/>
      </c>
      <c r="C223" s="11">
        <f>MC_SEEDS!C212</f>
        <v/>
      </c>
      <c r="D223" s="11">
        <f>MC_SEEDS!D212</f>
        <v/>
      </c>
      <c r="E223" s="11">
        <f>MC_SEEDS!E212</f>
        <v/>
      </c>
      <c r="F223" s="11">
        <f>B223*INPUTS!$G$35*INPUTS!$G$42 + C223*INPUTS!$G$42 + D223*INPUTS!$G$43 + E223*INPUTS!$G$44</f>
        <v/>
      </c>
      <c r="G223" s="15">
        <f>INPUTS!$B$6*(1+F223)</f>
        <v/>
      </c>
      <c r="H223" s="15">
        <f>G223-INPUTS!$B$6</f>
        <v/>
      </c>
      <c r="I223" s="15">
        <f>MAX(0,H223-INPUTS!$B$7)</f>
        <v/>
      </c>
    </row>
    <row r="224">
      <c r="A224" s="14">
        <f>MC_SEEDS!A213</f>
        <v/>
      </c>
      <c r="B224" s="27">
        <f>MC_SEEDS!B213</f>
        <v/>
      </c>
      <c r="C224" s="11">
        <f>MC_SEEDS!C213</f>
        <v/>
      </c>
      <c r="D224" s="11">
        <f>MC_SEEDS!D213</f>
        <v/>
      </c>
      <c r="E224" s="11">
        <f>MC_SEEDS!E213</f>
        <v/>
      </c>
      <c r="F224" s="11">
        <f>B224*INPUTS!$G$35*INPUTS!$G$42 + C224*INPUTS!$G$42 + D224*INPUTS!$G$43 + E224*INPUTS!$G$44</f>
        <v/>
      </c>
      <c r="G224" s="15">
        <f>INPUTS!$B$6*(1+F224)</f>
        <v/>
      </c>
      <c r="H224" s="15">
        <f>G224-INPUTS!$B$6</f>
        <v/>
      </c>
      <c r="I224" s="15">
        <f>MAX(0,H224-INPUTS!$B$7)</f>
        <v/>
      </c>
    </row>
    <row r="225">
      <c r="A225" s="14">
        <f>MC_SEEDS!A214</f>
        <v/>
      </c>
      <c r="B225" s="27">
        <f>MC_SEEDS!B214</f>
        <v/>
      </c>
      <c r="C225" s="11">
        <f>MC_SEEDS!C214</f>
        <v/>
      </c>
      <c r="D225" s="11">
        <f>MC_SEEDS!D214</f>
        <v/>
      </c>
      <c r="E225" s="11">
        <f>MC_SEEDS!E214</f>
        <v/>
      </c>
      <c r="F225" s="11">
        <f>B225*INPUTS!$G$35*INPUTS!$G$42 + C225*INPUTS!$G$42 + D225*INPUTS!$G$43 + E225*INPUTS!$G$44</f>
        <v/>
      </c>
      <c r="G225" s="15">
        <f>INPUTS!$B$6*(1+F225)</f>
        <v/>
      </c>
      <c r="H225" s="15">
        <f>G225-INPUTS!$B$6</f>
        <v/>
      </c>
      <c r="I225" s="15">
        <f>MAX(0,H225-INPUTS!$B$7)</f>
        <v/>
      </c>
    </row>
    <row r="226">
      <c r="A226" s="14">
        <f>MC_SEEDS!A215</f>
        <v/>
      </c>
      <c r="B226" s="27">
        <f>MC_SEEDS!B215</f>
        <v/>
      </c>
      <c r="C226" s="11">
        <f>MC_SEEDS!C215</f>
        <v/>
      </c>
      <c r="D226" s="11">
        <f>MC_SEEDS!D215</f>
        <v/>
      </c>
      <c r="E226" s="11">
        <f>MC_SEEDS!E215</f>
        <v/>
      </c>
      <c r="F226" s="11">
        <f>B226*INPUTS!$G$35*INPUTS!$G$42 + C226*INPUTS!$G$42 + D226*INPUTS!$G$43 + E226*INPUTS!$G$44</f>
        <v/>
      </c>
      <c r="G226" s="15">
        <f>INPUTS!$B$6*(1+F226)</f>
        <v/>
      </c>
      <c r="H226" s="15">
        <f>G226-INPUTS!$B$6</f>
        <v/>
      </c>
      <c r="I226" s="15">
        <f>MAX(0,H226-INPUTS!$B$7)</f>
        <v/>
      </c>
    </row>
    <row r="227">
      <c r="A227" s="14">
        <f>MC_SEEDS!A216</f>
        <v/>
      </c>
      <c r="B227" s="27">
        <f>MC_SEEDS!B216</f>
        <v/>
      </c>
      <c r="C227" s="11">
        <f>MC_SEEDS!C216</f>
        <v/>
      </c>
      <c r="D227" s="11">
        <f>MC_SEEDS!D216</f>
        <v/>
      </c>
      <c r="E227" s="11">
        <f>MC_SEEDS!E216</f>
        <v/>
      </c>
      <c r="F227" s="11">
        <f>B227*INPUTS!$G$35*INPUTS!$G$42 + C227*INPUTS!$G$42 + D227*INPUTS!$G$43 + E227*INPUTS!$G$44</f>
        <v/>
      </c>
      <c r="G227" s="15">
        <f>INPUTS!$B$6*(1+F227)</f>
        <v/>
      </c>
      <c r="H227" s="15">
        <f>G227-INPUTS!$B$6</f>
        <v/>
      </c>
      <c r="I227" s="15">
        <f>MAX(0,H227-INPUTS!$B$7)</f>
        <v/>
      </c>
    </row>
    <row r="228">
      <c r="A228" s="14">
        <f>MC_SEEDS!A217</f>
        <v/>
      </c>
      <c r="B228" s="27">
        <f>MC_SEEDS!B217</f>
        <v/>
      </c>
      <c r="C228" s="11">
        <f>MC_SEEDS!C217</f>
        <v/>
      </c>
      <c r="D228" s="11">
        <f>MC_SEEDS!D217</f>
        <v/>
      </c>
      <c r="E228" s="11">
        <f>MC_SEEDS!E217</f>
        <v/>
      </c>
      <c r="F228" s="11">
        <f>B228*INPUTS!$G$35*INPUTS!$G$42 + C228*INPUTS!$G$42 + D228*INPUTS!$G$43 + E228*INPUTS!$G$44</f>
        <v/>
      </c>
      <c r="G228" s="15">
        <f>INPUTS!$B$6*(1+F228)</f>
        <v/>
      </c>
      <c r="H228" s="15">
        <f>G228-INPUTS!$B$6</f>
        <v/>
      </c>
      <c r="I228" s="15">
        <f>MAX(0,H228-INPUTS!$B$7)</f>
        <v/>
      </c>
    </row>
    <row r="229">
      <c r="A229" s="14">
        <f>MC_SEEDS!A218</f>
        <v/>
      </c>
      <c r="B229" s="27">
        <f>MC_SEEDS!B218</f>
        <v/>
      </c>
      <c r="C229" s="11">
        <f>MC_SEEDS!C218</f>
        <v/>
      </c>
      <c r="D229" s="11">
        <f>MC_SEEDS!D218</f>
        <v/>
      </c>
      <c r="E229" s="11">
        <f>MC_SEEDS!E218</f>
        <v/>
      </c>
      <c r="F229" s="11">
        <f>B229*INPUTS!$G$35*INPUTS!$G$42 + C229*INPUTS!$G$42 + D229*INPUTS!$G$43 + E229*INPUTS!$G$44</f>
        <v/>
      </c>
      <c r="G229" s="15">
        <f>INPUTS!$B$6*(1+F229)</f>
        <v/>
      </c>
      <c r="H229" s="15">
        <f>G229-INPUTS!$B$6</f>
        <v/>
      </c>
      <c r="I229" s="15">
        <f>MAX(0,H229-INPUTS!$B$7)</f>
        <v/>
      </c>
    </row>
    <row r="230">
      <c r="A230" s="14">
        <f>MC_SEEDS!A219</f>
        <v/>
      </c>
      <c r="B230" s="27">
        <f>MC_SEEDS!B219</f>
        <v/>
      </c>
      <c r="C230" s="11">
        <f>MC_SEEDS!C219</f>
        <v/>
      </c>
      <c r="D230" s="11">
        <f>MC_SEEDS!D219</f>
        <v/>
      </c>
      <c r="E230" s="11">
        <f>MC_SEEDS!E219</f>
        <v/>
      </c>
      <c r="F230" s="11">
        <f>B230*INPUTS!$G$35*INPUTS!$G$42 + C230*INPUTS!$G$42 + D230*INPUTS!$G$43 + E230*INPUTS!$G$44</f>
        <v/>
      </c>
      <c r="G230" s="15">
        <f>INPUTS!$B$6*(1+F230)</f>
        <v/>
      </c>
      <c r="H230" s="15">
        <f>G230-INPUTS!$B$6</f>
        <v/>
      </c>
      <c r="I230" s="15">
        <f>MAX(0,H230-INPUTS!$B$7)</f>
        <v/>
      </c>
    </row>
    <row r="231">
      <c r="A231" s="14">
        <f>MC_SEEDS!A220</f>
        <v/>
      </c>
      <c r="B231" s="27">
        <f>MC_SEEDS!B220</f>
        <v/>
      </c>
      <c r="C231" s="11">
        <f>MC_SEEDS!C220</f>
        <v/>
      </c>
      <c r="D231" s="11">
        <f>MC_SEEDS!D220</f>
        <v/>
      </c>
      <c r="E231" s="11">
        <f>MC_SEEDS!E220</f>
        <v/>
      </c>
      <c r="F231" s="11">
        <f>B231*INPUTS!$G$35*INPUTS!$G$42 + C231*INPUTS!$G$42 + D231*INPUTS!$G$43 + E231*INPUTS!$G$44</f>
        <v/>
      </c>
      <c r="G231" s="15">
        <f>INPUTS!$B$6*(1+F231)</f>
        <v/>
      </c>
      <c r="H231" s="15">
        <f>G231-INPUTS!$B$6</f>
        <v/>
      </c>
      <c r="I231" s="15">
        <f>MAX(0,H231-INPUTS!$B$7)</f>
        <v/>
      </c>
    </row>
    <row r="232">
      <c r="A232" s="14">
        <f>MC_SEEDS!A221</f>
        <v/>
      </c>
      <c r="B232" s="27">
        <f>MC_SEEDS!B221</f>
        <v/>
      </c>
      <c r="C232" s="11">
        <f>MC_SEEDS!C221</f>
        <v/>
      </c>
      <c r="D232" s="11">
        <f>MC_SEEDS!D221</f>
        <v/>
      </c>
      <c r="E232" s="11">
        <f>MC_SEEDS!E221</f>
        <v/>
      </c>
      <c r="F232" s="11">
        <f>B232*INPUTS!$G$35*INPUTS!$G$42 + C232*INPUTS!$G$42 + D232*INPUTS!$G$43 + E232*INPUTS!$G$44</f>
        <v/>
      </c>
      <c r="G232" s="15">
        <f>INPUTS!$B$6*(1+F232)</f>
        <v/>
      </c>
      <c r="H232" s="15">
        <f>G232-INPUTS!$B$6</f>
        <v/>
      </c>
      <c r="I232" s="15">
        <f>MAX(0,H232-INPUTS!$B$7)</f>
        <v/>
      </c>
    </row>
    <row r="233">
      <c r="A233" s="14">
        <f>MC_SEEDS!A222</f>
        <v/>
      </c>
      <c r="B233" s="27">
        <f>MC_SEEDS!B222</f>
        <v/>
      </c>
      <c r="C233" s="11">
        <f>MC_SEEDS!C222</f>
        <v/>
      </c>
      <c r="D233" s="11">
        <f>MC_SEEDS!D222</f>
        <v/>
      </c>
      <c r="E233" s="11">
        <f>MC_SEEDS!E222</f>
        <v/>
      </c>
      <c r="F233" s="11">
        <f>B233*INPUTS!$G$35*INPUTS!$G$42 + C233*INPUTS!$G$42 + D233*INPUTS!$G$43 + E233*INPUTS!$G$44</f>
        <v/>
      </c>
      <c r="G233" s="15">
        <f>INPUTS!$B$6*(1+F233)</f>
        <v/>
      </c>
      <c r="H233" s="15">
        <f>G233-INPUTS!$B$6</f>
        <v/>
      </c>
      <c r="I233" s="15">
        <f>MAX(0,H233-INPUTS!$B$7)</f>
        <v/>
      </c>
    </row>
    <row r="234">
      <c r="A234" s="14">
        <f>MC_SEEDS!A223</f>
        <v/>
      </c>
      <c r="B234" s="27">
        <f>MC_SEEDS!B223</f>
        <v/>
      </c>
      <c r="C234" s="11">
        <f>MC_SEEDS!C223</f>
        <v/>
      </c>
      <c r="D234" s="11">
        <f>MC_SEEDS!D223</f>
        <v/>
      </c>
      <c r="E234" s="11">
        <f>MC_SEEDS!E223</f>
        <v/>
      </c>
      <c r="F234" s="11">
        <f>B234*INPUTS!$G$35*INPUTS!$G$42 + C234*INPUTS!$G$42 + D234*INPUTS!$G$43 + E234*INPUTS!$G$44</f>
        <v/>
      </c>
      <c r="G234" s="15">
        <f>INPUTS!$B$6*(1+F234)</f>
        <v/>
      </c>
      <c r="H234" s="15">
        <f>G234-INPUTS!$B$6</f>
        <v/>
      </c>
      <c r="I234" s="15">
        <f>MAX(0,H234-INPUTS!$B$7)</f>
        <v/>
      </c>
    </row>
    <row r="235">
      <c r="A235" s="14">
        <f>MC_SEEDS!A224</f>
        <v/>
      </c>
      <c r="B235" s="27">
        <f>MC_SEEDS!B224</f>
        <v/>
      </c>
      <c r="C235" s="11">
        <f>MC_SEEDS!C224</f>
        <v/>
      </c>
      <c r="D235" s="11">
        <f>MC_SEEDS!D224</f>
        <v/>
      </c>
      <c r="E235" s="11">
        <f>MC_SEEDS!E224</f>
        <v/>
      </c>
      <c r="F235" s="11">
        <f>B235*INPUTS!$G$35*INPUTS!$G$42 + C235*INPUTS!$G$42 + D235*INPUTS!$G$43 + E235*INPUTS!$G$44</f>
        <v/>
      </c>
      <c r="G235" s="15">
        <f>INPUTS!$B$6*(1+F235)</f>
        <v/>
      </c>
      <c r="H235" s="15">
        <f>G235-INPUTS!$B$6</f>
        <v/>
      </c>
      <c r="I235" s="15">
        <f>MAX(0,H235-INPUTS!$B$7)</f>
        <v/>
      </c>
    </row>
    <row r="236">
      <c r="A236" s="14">
        <f>MC_SEEDS!A225</f>
        <v/>
      </c>
      <c r="B236" s="27">
        <f>MC_SEEDS!B225</f>
        <v/>
      </c>
      <c r="C236" s="11">
        <f>MC_SEEDS!C225</f>
        <v/>
      </c>
      <c r="D236" s="11">
        <f>MC_SEEDS!D225</f>
        <v/>
      </c>
      <c r="E236" s="11">
        <f>MC_SEEDS!E225</f>
        <v/>
      </c>
      <c r="F236" s="11">
        <f>B236*INPUTS!$G$35*INPUTS!$G$42 + C236*INPUTS!$G$42 + D236*INPUTS!$G$43 + E236*INPUTS!$G$44</f>
        <v/>
      </c>
      <c r="G236" s="15">
        <f>INPUTS!$B$6*(1+F236)</f>
        <v/>
      </c>
      <c r="H236" s="15">
        <f>G236-INPUTS!$B$6</f>
        <v/>
      </c>
      <c r="I236" s="15">
        <f>MAX(0,H236-INPUTS!$B$7)</f>
        <v/>
      </c>
    </row>
    <row r="237">
      <c r="A237" s="14">
        <f>MC_SEEDS!A226</f>
        <v/>
      </c>
      <c r="B237" s="27">
        <f>MC_SEEDS!B226</f>
        <v/>
      </c>
      <c r="C237" s="11">
        <f>MC_SEEDS!C226</f>
        <v/>
      </c>
      <c r="D237" s="11">
        <f>MC_SEEDS!D226</f>
        <v/>
      </c>
      <c r="E237" s="11">
        <f>MC_SEEDS!E226</f>
        <v/>
      </c>
      <c r="F237" s="11">
        <f>B237*INPUTS!$G$35*INPUTS!$G$42 + C237*INPUTS!$G$42 + D237*INPUTS!$G$43 + E237*INPUTS!$G$44</f>
        <v/>
      </c>
      <c r="G237" s="15">
        <f>INPUTS!$B$6*(1+F237)</f>
        <v/>
      </c>
      <c r="H237" s="15">
        <f>G237-INPUTS!$B$6</f>
        <v/>
      </c>
      <c r="I237" s="15">
        <f>MAX(0,H237-INPUTS!$B$7)</f>
        <v/>
      </c>
    </row>
    <row r="238">
      <c r="A238" s="14">
        <f>MC_SEEDS!A227</f>
        <v/>
      </c>
      <c r="B238" s="27">
        <f>MC_SEEDS!B227</f>
        <v/>
      </c>
      <c r="C238" s="11">
        <f>MC_SEEDS!C227</f>
        <v/>
      </c>
      <c r="D238" s="11">
        <f>MC_SEEDS!D227</f>
        <v/>
      </c>
      <c r="E238" s="11">
        <f>MC_SEEDS!E227</f>
        <v/>
      </c>
      <c r="F238" s="11">
        <f>B238*INPUTS!$G$35*INPUTS!$G$42 + C238*INPUTS!$G$42 + D238*INPUTS!$G$43 + E238*INPUTS!$G$44</f>
        <v/>
      </c>
      <c r="G238" s="15">
        <f>INPUTS!$B$6*(1+F238)</f>
        <v/>
      </c>
      <c r="H238" s="15">
        <f>G238-INPUTS!$B$6</f>
        <v/>
      </c>
      <c r="I238" s="15">
        <f>MAX(0,H238-INPUTS!$B$7)</f>
        <v/>
      </c>
    </row>
    <row r="239">
      <c r="A239" s="14">
        <f>MC_SEEDS!A228</f>
        <v/>
      </c>
      <c r="B239" s="27">
        <f>MC_SEEDS!B228</f>
        <v/>
      </c>
      <c r="C239" s="11">
        <f>MC_SEEDS!C228</f>
        <v/>
      </c>
      <c r="D239" s="11">
        <f>MC_SEEDS!D228</f>
        <v/>
      </c>
      <c r="E239" s="11">
        <f>MC_SEEDS!E228</f>
        <v/>
      </c>
      <c r="F239" s="11">
        <f>B239*INPUTS!$G$35*INPUTS!$G$42 + C239*INPUTS!$G$42 + D239*INPUTS!$G$43 + E239*INPUTS!$G$44</f>
        <v/>
      </c>
      <c r="G239" s="15">
        <f>INPUTS!$B$6*(1+F239)</f>
        <v/>
      </c>
      <c r="H239" s="15">
        <f>G239-INPUTS!$B$6</f>
        <v/>
      </c>
      <c r="I239" s="15">
        <f>MAX(0,H239-INPUTS!$B$7)</f>
        <v/>
      </c>
    </row>
    <row r="240">
      <c r="A240" s="14">
        <f>MC_SEEDS!A229</f>
        <v/>
      </c>
      <c r="B240" s="27">
        <f>MC_SEEDS!B229</f>
        <v/>
      </c>
      <c r="C240" s="11">
        <f>MC_SEEDS!C229</f>
        <v/>
      </c>
      <c r="D240" s="11">
        <f>MC_SEEDS!D229</f>
        <v/>
      </c>
      <c r="E240" s="11">
        <f>MC_SEEDS!E229</f>
        <v/>
      </c>
      <c r="F240" s="11">
        <f>B240*INPUTS!$G$35*INPUTS!$G$42 + C240*INPUTS!$G$42 + D240*INPUTS!$G$43 + E240*INPUTS!$G$44</f>
        <v/>
      </c>
      <c r="G240" s="15">
        <f>INPUTS!$B$6*(1+F240)</f>
        <v/>
      </c>
      <c r="H240" s="15">
        <f>G240-INPUTS!$B$6</f>
        <v/>
      </c>
      <c r="I240" s="15">
        <f>MAX(0,H240-INPUTS!$B$7)</f>
        <v/>
      </c>
    </row>
    <row r="241">
      <c r="A241" s="14">
        <f>MC_SEEDS!A230</f>
        <v/>
      </c>
      <c r="B241" s="27">
        <f>MC_SEEDS!B230</f>
        <v/>
      </c>
      <c r="C241" s="11">
        <f>MC_SEEDS!C230</f>
        <v/>
      </c>
      <c r="D241" s="11">
        <f>MC_SEEDS!D230</f>
        <v/>
      </c>
      <c r="E241" s="11">
        <f>MC_SEEDS!E230</f>
        <v/>
      </c>
      <c r="F241" s="11">
        <f>B241*INPUTS!$G$35*INPUTS!$G$42 + C241*INPUTS!$G$42 + D241*INPUTS!$G$43 + E241*INPUTS!$G$44</f>
        <v/>
      </c>
      <c r="G241" s="15">
        <f>INPUTS!$B$6*(1+F241)</f>
        <v/>
      </c>
      <c r="H241" s="15">
        <f>G241-INPUTS!$B$6</f>
        <v/>
      </c>
      <c r="I241" s="15">
        <f>MAX(0,H241-INPUTS!$B$7)</f>
        <v/>
      </c>
    </row>
    <row r="242">
      <c r="A242" s="14">
        <f>MC_SEEDS!A231</f>
        <v/>
      </c>
      <c r="B242" s="27">
        <f>MC_SEEDS!B231</f>
        <v/>
      </c>
      <c r="C242" s="11">
        <f>MC_SEEDS!C231</f>
        <v/>
      </c>
      <c r="D242" s="11">
        <f>MC_SEEDS!D231</f>
        <v/>
      </c>
      <c r="E242" s="11">
        <f>MC_SEEDS!E231</f>
        <v/>
      </c>
      <c r="F242" s="11">
        <f>B242*INPUTS!$G$35*INPUTS!$G$42 + C242*INPUTS!$G$42 + D242*INPUTS!$G$43 + E242*INPUTS!$G$44</f>
        <v/>
      </c>
      <c r="G242" s="15">
        <f>INPUTS!$B$6*(1+F242)</f>
        <v/>
      </c>
      <c r="H242" s="15">
        <f>G242-INPUTS!$B$6</f>
        <v/>
      </c>
      <c r="I242" s="15">
        <f>MAX(0,H242-INPUTS!$B$7)</f>
        <v/>
      </c>
    </row>
    <row r="243">
      <c r="A243" s="14">
        <f>MC_SEEDS!A232</f>
        <v/>
      </c>
      <c r="B243" s="27">
        <f>MC_SEEDS!B232</f>
        <v/>
      </c>
      <c r="C243" s="11">
        <f>MC_SEEDS!C232</f>
        <v/>
      </c>
      <c r="D243" s="11">
        <f>MC_SEEDS!D232</f>
        <v/>
      </c>
      <c r="E243" s="11">
        <f>MC_SEEDS!E232</f>
        <v/>
      </c>
      <c r="F243" s="11">
        <f>B243*INPUTS!$G$35*INPUTS!$G$42 + C243*INPUTS!$G$42 + D243*INPUTS!$G$43 + E243*INPUTS!$G$44</f>
        <v/>
      </c>
      <c r="G243" s="15">
        <f>INPUTS!$B$6*(1+F243)</f>
        <v/>
      </c>
      <c r="H243" s="15">
        <f>G243-INPUTS!$B$6</f>
        <v/>
      </c>
      <c r="I243" s="15">
        <f>MAX(0,H243-INPUTS!$B$7)</f>
        <v/>
      </c>
    </row>
    <row r="244">
      <c r="A244" s="14">
        <f>MC_SEEDS!A233</f>
        <v/>
      </c>
      <c r="B244" s="27">
        <f>MC_SEEDS!B233</f>
        <v/>
      </c>
      <c r="C244" s="11">
        <f>MC_SEEDS!C233</f>
        <v/>
      </c>
      <c r="D244" s="11">
        <f>MC_SEEDS!D233</f>
        <v/>
      </c>
      <c r="E244" s="11">
        <f>MC_SEEDS!E233</f>
        <v/>
      </c>
      <c r="F244" s="11">
        <f>B244*INPUTS!$G$35*INPUTS!$G$42 + C244*INPUTS!$G$42 + D244*INPUTS!$G$43 + E244*INPUTS!$G$44</f>
        <v/>
      </c>
      <c r="G244" s="15">
        <f>INPUTS!$B$6*(1+F244)</f>
        <v/>
      </c>
      <c r="H244" s="15">
        <f>G244-INPUTS!$B$6</f>
        <v/>
      </c>
      <c r="I244" s="15">
        <f>MAX(0,H244-INPUTS!$B$7)</f>
        <v/>
      </c>
    </row>
    <row r="245">
      <c r="A245" s="14">
        <f>MC_SEEDS!A234</f>
        <v/>
      </c>
      <c r="B245" s="27">
        <f>MC_SEEDS!B234</f>
        <v/>
      </c>
      <c r="C245" s="11">
        <f>MC_SEEDS!C234</f>
        <v/>
      </c>
      <c r="D245" s="11">
        <f>MC_SEEDS!D234</f>
        <v/>
      </c>
      <c r="E245" s="11">
        <f>MC_SEEDS!E234</f>
        <v/>
      </c>
      <c r="F245" s="11">
        <f>B245*INPUTS!$G$35*INPUTS!$G$42 + C245*INPUTS!$G$42 + D245*INPUTS!$G$43 + E245*INPUTS!$G$44</f>
        <v/>
      </c>
      <c r="G245" s="15">
        <f>INPUTS!$B$6*(1+F245)</f>
        <v/>
      </c>
      <c r="H245" s="15">
        <f>G245-INPUTS!$B$6</f>
        <v/>
      </c>
      <c r="I245" s="15">
        <f>MAX(0,H245-INPUTS!$B$7)</f>
        <v/>
      </c>
    </row>
    <row r="246">
      <c r="A246" s="14">
        <f>MC_SEEDS!A235</f>
        <v/>
      </c>
      <c r="B246" s="27">
        <f>MC_SEEDS!B235</f>
        <v/>
      </c>
      <c r="C246" s="11">
        <f>MC_SEEDS!C235</f>
        <v/>
      </c>
      <c r="D246" s="11">
        <f>MC_SEEDS!D235</f>
        <v/>
      </c>
      <c r="E246" s="11">
        <f>MC_SEEDS!E235</f>
        <v/>
      </c>
      <c r="F246" s="11">
        <f>B246*INPUTS!$G$35*INPUTS!$G$42 + C246*INPUTS!$G$42 + D246*INPUTS!$G$43 + E246*INPUTS!$G$44</f>
        <v/>
      </c>
      <c r="G246" s="15">
        <f>INPUTS!$B$6*(1+F246)</f>
        <v/>
      </c>
      <c r="H246" s="15">
        <f>G246-INPUTS!$B$6</f>
        <v/>
      </c>
      <c r="I246" s="15">
        <f>MAX(0,H246-INPUTS!$B$7)</f>
        <v/>
      </c>
    </row>
    <row r="247">
      <c r="A247" s="14">
        <f>MC_SEEDS!A236</f>
        <v/>
      </c>
      <c r="B247" s="27">
        <f>MC_SEEDS!B236</f>
        <v/>
      </c>
      <c r="C247" s="11">
        <f>MC_SEEDS!C236</f>
        <v/>
      </c>
      <c r="D247" s="11">
        <f>MC_SEEDS!D236</f>
        <v/>
      </c>
      <c r="E247" s="11">
        <f>MC_SEEDS!E236</f>
        <v/>
      </c>
      <c r="F247" s="11">
        <f>B247*INPUTS!$G$35*INPUTS!$G$42 + C247*INPUTS!$G$42 + D247*INPUTS!$G$43 + E247*INPUTS!$G$44</f>
        <v/>
      </c>
      <c r="G247" s="15">
        <f>INPUTS!$B$6*(1+F247)</f>
        <v/>
      </c>
      <c r="H247" s="15">
        <f>G247-INPUTS!$B$6</f>
        <v/>
      </c>
      <c r="I247" s="15">
        <f>MAX(0,H247-INPUTS!$B$7)</f>
        <v/>
      </c>
    </row>
    <row r="248">
      <c r="A248" s="14">
        <f>MC_SEEDS!A237</f>
        <v/>
      </c>
      <c r="B248" s="27">
        <f>MC_SEEDS!B237</f>
        <v/>
      </c>
      <c r="C248" s="11">
        <f>MC_SEEDS!C237</f>
        <v/>
      </c>
      <c r="D248" s="11">
        <f>MC_SEEDS!D237</f>
        <v/>
      </c>
      <c r="E248" s="11">
        <f>MC_SEEDS!E237</f>
        <v/>
      </c>
      <c r="F248" s="11">
        <f>B248*INPUTS!$G$35*INPUTS!$G$42 + C248*INPUTS!$G$42 + D248*INPUTS!$G$43 + E248*INPUTS!$G$44</f>
        <v/>
      </c>
      <c r="G248" s="15">
        <f>INPUTS!$B$6*(1+F248)</f>
        <v/>
      </c>
      <c r="H248" s="15">
        <f>G248-INPUTS!$B$6</f>
        <v/>
      </c>
      <c r="I248" s="15">
        <f>MAX(0,H248-INPUTS!$B$7)</f>
        <v/>
      </c>
    </row>
    <row r="249">
      <c r="A249" s="14">
        <f>MC_SEEDS!A238</f>
        <v/>
      </c>
      <c r="B249" s="27">
        <f>MC_SEEDS!B238</f>
        <v/>
      </c>
      <c r="C249" s="11">
        <f>MC_SEEDS!C238</f>
        <v/>
      </c>
      <c r="D249" s="11">
        <f>MC_SEEDS!D238</f>
        <v/>
      </c>
      <c r="E249" s="11">
        <f>MC_SEEDS!E238</f>
        <v/>
      </c>
      <c r="F249" s="11">
        <f>B249*INPUTS!$G$35*INPUTS!$G$42 + C249*INPUTS!$G$42 + D249*INPUTS!$G$43 + E249*INPUTS!$G$44</f>
        <v/>
      </c>
      <c r="G249" s="15">
        <f>INPUTS!$B$6*(1+F249)</f>
        <v/>
      </c>
      <c r="H249" s="15">
        <f>G249-INPUTS!$B$6</f>
        <v/>
      </c>
      <c r="I249" s="15">
        <f>MAX(0,H249-INPUTS!$B$7)</f>
        <v/>
      </c>
    </row>
    <row r="250">
      <c r="A250" s="14">
        <f>MC_SEEDS!A239</f>
        <v/>
      </c>
      <c r="B250" s="27">
        <f>MC_SEEDS!B239</f>
        <v/>
      </c>
      <c r="C250" s="11">
        <f>MC_SEEDS!C239</f>
        <v/>
      </c>
      <c r="D250" s="11">
        <f>MC_SEEDS!D239</f>
        <v/>
      </c>
      <c r="E250" s="11">
        <f>MC_SEEDS!E239</f>
        <v/>
      </c>
      <c r="F250" s="11">
        <f>B250*INPUTS!$G$35*INPUTS!$G$42 + C250*INPUTS!$G$42 + D250*INPUTS!$G$43 + E250*INPUTS!$G$44</f>
        <v/>
      </c>
      <c r="G250" s="15">
        <f>INPUTS!$B$6*(1+F250)</f>
        <v/>
      </c>
      <c r="H250" s="15">
        <f>G250-INPUTS!$B$6</f>
        <v/>
      </c>
      <c r="I250" s="15">
        <f>MAX(0,H250-INPUTS!$B$7)</f>
        <v/>
      </c>
    </row>
    <row r="251">
      <c r="A251" s="14">
        <f>MC_SEEDS!A240</f>
        <v/>
      </c>
      <c r="B251" s="27">
        <f>MC_SEEDS!B240</f>
        <v/>
      </c>
      <c r="C251" s="11">
        <f>MC_SEEDS!C240</f>
        <v/>
      </c>
      <c r="D251" s="11">
        <f>MC_SEEDS!D240</f>
        <v/>
      </c>
      <c r="E251" s="11">
        <f>MC_SEEDS!E240</f>
        <v/>
      </c>
      <c r="F251" s="11">
        <f>B251*INPUTS!$G$35*INPUTS!$G$42 + C251*INPUTS!$G$42 + D251*INPUTS!$G$43 + E251*INPUTS!$G$44</f>
        <v/>
      </c>
      <c r="G251" s="15">
        <f>INPUTS!$B$6*(1+F251)</f>
        <v/>
      </c>
      <c r="H251" s="15">
        <f>G251-INPUTS!$B$6</f>
        <v/>
      </c>
      <c r="I251" s="15">
        <f>MAX(0,H251-INPUTS!$B$7)</f>
        <v/>
      </c>
    </row>
    <row r="252">
      <c r="A252" s="14">
        <f>MC_SEEDS!A241</f>
        <v/>
      </c>
      <c r="B252" s="27">
        <f>MC_SEEDS!B241</f>
        <v/>
      </c>
      <c r="C252" s="11">
        <f>MC_SEEDS!C241</f>
        <v/>
      </c>
      <c r="D252" s="11">
        <f>MC_SEEDS!D241</f>
        <v/>
      </c>
      <c r="E252" s="11">
        <f>MC_SEEDS!E241</f>
        <v/>
      </c>
      <c r="F252" s="11">
        <f>B252*INPUTS!$G$35*INPUTS!$G$42 + C252*INPUTS!$G$42 + D252*INPUTS!$G$43 + E252*INPUTS!$G$44</f>
        <v/>
      </c>
      <c r="G252" s="15">
        <f>INPUTS!$B$6*(1+F252)</f>
        <v/>
      </c>
      <c r="H252" s="15">
        <f>G252-INPUTS!$B$6</f>
        <v/>
      </c>
      <c r="I252" s="15">
        <f>MAX(0,H252-INPUTS!$B$7)</f>
        <v/>
      </c>
    </row>
    <row r="253">
      <c r="A253" s="14">
        <f>MC_SEEDS!A242</f>
        <v/>
      </c>
      <c r="B253" s="27">
        <f>MC_SEEDS!B242</f>
        <v/>
      </c>
      <c r="C253" s="11">
        <f>MC_SEEDS!C242</f>
        <v/>
      </c>
      <c r="D253" s="11">
        <f>MC_SEEDS!D242</f>
        <v/>
      </c>
      <c r="E253" s="11">
        <f>MC_SEEDS!E242</f>
        <v/>
      </c>
      <c r="F253" s="11">
        <f>B253*INPUTS!$G$35*INPUTS!$G$42 + C253*INPUTS!$G$42 + D253*INPUTS!$G$43 + E253*INPUTS!$G$44</f>
        <v/>
      </c>
      <c r="G253" s="15">
        <f>INPUTS!$B$6*(1+F253)</f>
        <v/>
      </c>
      <c r="H253" s="15">
        <f>G253-INPUTS!$B$6</f>
        <v/>
      </c>
      <c r="I253" s="15">
        <f>MAX(0,H253-INPUTS!$B$7)</f>
        <v/>
      </c>
    </row>
    <row r="254">
      <c r="A254" s="14">
        <f>MC_SEEDS!A243</f>
        <v/>
      </c>
      <c r="B254" s="27">
        <f>MC_SEEDS!B243</f>
        <v/>
      </c>
      <c r="C254" s="11">
        <f>MC_SEEDS!C243</f>
        <v/>
      </c>
      <c r="D254" s="11">
        <f>MC_SEEDS!D243</f>
        <v/>
      </c>
      <c r="E254" s="11">
        <f>MC_SEEDS!E243</f>
        <v/>
      </c>
      <c r="F254" s="11">
        <f>B254*INPUTS!$G$35*INPUTS!$G$42 + C254*INPUTS!$G$42 + D254*INPUTS!$G$43 + E254*INPUTS!$G$44</f>
        <v/>
      </c>
      <c r="G254" s="15">
        <f>INPUTS!$B$6*(1+F254)</f>
        <v/>
      </c>
      <c r="H254" s="15">
        <f>G254-INPUTS!$B$6</f>
        <v/>
      </c>
      <c r="I254" s="15">
        <f>MAX(0,H254-INPUTS!$B$7)</f>
        <v/>
      </c>
    </row>
    <row r="255">
      <c r="A255" s="14">
        <f>MC_SEEDS!A244</f>
        <v/>
      </c>
      <c r="B255" s="27">
        <f>MC_SEEDS!B244</f>
        <v/>
      </c>
      <c r="C255" s="11">
        <f>MC_SEEDS!C244</f>
        <v/>
      </c>
      <c r="D255" s="11">
        <f>MC_SEEDS!D244</f>
        <v/>
      </c>
      <c r="E255" s="11">
        <f>MC_SEEDS!E244</f>
        <v/>
      </c>
      <c r="F255" s="11">
        <f>B255*INPUTS!$G$35*INPUTS!$G$42 + C255*INPUTS!$G$42 + D255*INPUTS!$G$43 + E255*INPUTS!$G$44</f>
        <v/>
      </c>
      <c r="G255" s="15">
        <f>INPUTS!$B$6*(1+F255)</f>
        <v/>
      </c>
      <c r="H255" s="15">
        <f>G255-INPUTS!$B$6</f>
        <v/>
      </c>
      <c r="I255" s="15">
        <f>MAX(0,H255-INPUTS!$B$7)</f>
        <v/>
      </c>
    </row>
    <row r="256">
      <c r="A256" s="14">
        <f>MC_SEEDS!A245</f>
        <v/>
      </c>
      <c r="B256" s="27">
        <f>MC_SEEDS!B245</f>
        <v/>
      </c>
      <c r="C256" s="11">
        <f>MC_SEEDS!C245</f>
        <v/>
      </c>
      <c r="D256" s="11">
        <f>MC_SEEDS!D245</f>
        <v/>
      </c>
      <c r="E256" s="11">
        <f>MC_SEEDS!E245</f>
        <v/>
      </c>
      <c r="F256" s="11">
        <f>B256*INPUTS!$G$35*INPUTS!$G$42 + C256*INPUTS!$G$42 + D256*INPUTS!$G$43 + E256*INPUTS!$G$44</f>
        <v/>
      </c>
      <c r="G256" s="15">
        <f>INPUTS!$B$6*(1+F256)</f>
        <v/>
      </c>
      <c r="H256" s="15">
        <f>G256-INPUTS!$B$6</f>
        <v/>
      </c>
      <c r="I256" s="15">
        <f>MAX(0,H256-INPUTS!$B$7)</f>
        <v/>
      </c>
    </row>
    <row r="257">
      <c r="A257" s="14">
        <f>MC_SEEDS!A246</f>
        <v/>
      </c>
      <c r="B257" s="27">
        <f>MC_SEEDS!B246</f>
        <v/>
      </c>
      <c r="C257" s="11">
        <f>MC_SEEDS!C246</f>
        <v/>
      </c>
      <c r="D257" s="11">
        <f>MC_SEEDS!D246</f>
        <v/>
      </c>
      <c r="E257" s="11">
        <f>MC_SEEDS!E246</f>
        <v/>
      </c>
      <c r="F257" s="11">
        <f>B257*INPUTS!$G$35*INPUTS!$G$42 + C257*INPUTS!$G$42 + D257*INPUTS!$G$43 + E257*INPUTS!$G$44</f>
        <v/>
      </c>
      <c r="G257" s="15">
        <f>INPUTS!$B$6*(1+F257)</f>
        <v/>
      </c>
      <c r="H257" s="15">
        <f>G257-INPUTS!$B$6</f>
        <v/>
      </c>
      <c r="I257" s="15">
        <f>MAX(0,H257-INPUTS!$B$7)</f>
        <v/>
      </c>
    </row>
    <row r="258">
      <c r="A258" s="14">
        <f>MC_SEEDS!A247</f>
        <v/>
      </c>
      <c r="B258" s="27">
        <f>MC_SEEDS!B247</f>
        <v/>
      </c>
      <c r="C258" s="11">
        <f>MC_SEEDS!C247</f>
        <v/>
      </c>
      <c r="D258" s="11">
        <f>MC_SEEDS!D247</f>
        <v/>
      </c>
      <c r="E258" s="11">
        <f>MC_SEEDS!E247</f>
        <v/>
      </c>
      <c r="F258" s="11">
        <f>B258*INPUTS!$G$35*INPUTS!$G$42 + C258*INPUTS!$G$42 + D258*INPUTS!$G$43 + E258*INPUTS!$G$44</f>
        <v/>
      </c>
      <c r="G258" s="15">
        <f>INPUTS!$B$6*(1+F258)</f>
        <v/>
      </c>
      <c r="H258" s="15">
        <f>G258-INPUTS!$B$6</f>
        <v/>
      </c>
      <c r="I258" s="15">
        <f>MAX(0,H258-INPUTS!$B$7)</f>
        <v/>
      </c>
    </row>
    <row r="259">
      <c r="A259" s="14">
        <f>MC_SEEDS!A248</f>
        <v/>
      </c>
      <c r="B259" s="27">
        <f>MC_SEEDS!B248</f>
        <v/>
      </c>
      <c r="C259" s="11">
        <f>MC_SEEDS!C248</f>
        <v/>
      </c>
      <c r="D259" s="11">
        <f>MC_SEEDS!D248</f>
        <v/>
      </c>
      <c r="E259" s="11">
        <f>MC_SEEDS!E248</f>
        <v/>
      </c>
      <c r="F259" s="11">
        <f>B259*INPUTS!$G$35*INPUTS!$G$42 + C259*INPUTS!$G$42 + D259*INPUTS!$G$43 + E259*INPUTS!$G$44</f>
        <v/>
      </c>
      <c r="G259" s="15">
        <f>INPUTS!$B$6*(1+F259)</f>
        <v/>
      </c>
      <c r="H259" s="15">
        <f>G259-INPUTS!$B$6</f>
        <v/>
      </c>
      <c r="I259" s="15">
        <f>MAX(0,H259-INPUTS!$B$7)</f>
        <v/>
      </c>
    </row>
    <row r="260">
      <c r="A260" s="14">
        <f>MC_SEEDS!A249</f>
        <v/>
      </c>
      <c r="B260" s="27">
        <f>MC_SEEDS!B249</f>
        <v/>
      </c>
      <c r="C260" s="11">
        <f>MC_SEEDS!C249</f>
        <v/>
      </c>
      <c r="D260" s="11">
        <f>MC_SEEDS!D249</f>
        <v/>
      </c>
      <c r="E260" s="11">
        <f>MC_SEEDS!E249</f>
        <v/>
      </c>
      <c r="F260" s="11">
        <f>B260*INPUTS!$G$35*INPUTS!$G$42 + C260*INPUTS!$G$42 + D260*INPUTS!$G$43 + E260*INPUTS!$G$44</f>
        <v/>
      </c>
      <c r="G260" s="15">
        <f>INPUTS!$B$6*(1+F260)</f>
        <v/>
      </c>
      <c r="H260" s="15">
        <f>G260-INPUTS!$B$6</f>
        <v/>
      </c>
      <c r="I260" s="15">
        <f>MAX(0,H260-INPUTS!$B$7)</f>
        <v/>
      </c>
    </row>
    <row r="261">
      <c r="A261" s="14">
        <f>MC_SEEDS!A250</f>
        <v/>
      </c>
      <c r="B261" s="27">
        <f>MC_SEEDS!B250</f>
        <v/>
      </c>
      <c r="C261" s="11">
        <f>MC_SEEDS!C250</f>
        <v/>
      </c>
      <c r="D261" s="11">
        <f>MC_SEEDS!D250</f>
        <v/>
      </c>
      <c r="E261" s="11">
        <f>MC_SEEDS!E250</f>
        <v/>
      </c>
      <c r="F261" s="11">
        <f>B261*INPUTS!$G$35*INPUTS!$G$42 + C261*INPUTS!$G$42 + D261*INPUTS!$G$43 + E261*INPUTS!$G$44</f>
        <v/>
      </c>
      <c r="G261" s="15">
        <f>INPUTS!$B$6*(1+F261)</f>
        <v/>
      </c>
      <c r="H261" s="15">
        <f>G261-INPUTS!$B$6</f>
        <v/>
      </c>
      <c r="I261" s="15">
        <f>MAX(0,H261-INPUTS!$B$7)</f>
        <v/>
      </c>
    </row>
    <row r="262">
      <c r="A262" s="14">
        <f>MC_SEEDS!A251</f>
        <v/>
      </c>
      <c r="B262" s="27">
        <f>MC_SEEDS!B251</f>
        <v/>
      </c>
      <c r="C262" s="11">
        <f>MC_SEEDS!C251</f>
        <v/>
      </c>
      <c r="D262" s="11">
        <f>MC_SEEDS!D251</f>
        <v/>
      </c>
      <c r="E262" s="11">
        <f>MC_SEEDS!E251</f>
        <v/>
      </c>
      <c r="F262" s="11">
        <f>B262*INPUTS!$G$35*INPUTS!$G$42 + C262*INPUTS!$G$42 + D262*INPUTS!$G$43 + E262*INPUTS!$G$44</f>
        <v/>
      </c>
      <c r="G262" s="15">
        <f>INPUTS!$B$6*(1+F262)</f>
        <v/>
      </c>
      <c r="H262" s="15">
        <f>G262-INPUTS!$B$6</f>
        <v/>
      </c>
      <c r="I262" s="15">
        <f>MAX(0,H262-INPUTS!$B$7)</f>
        <v/>
      </c>
    </row>
    <row r="263">
      <c r="A263" s="14">
        <f>MC_SEEDS!A252</f>
        <v/>
      </c>
      <c r="B263" s="27">
        <f>MC_SEEDS!B252</f>
        <v/>
      </c>
      <c r="C263" s="11">
        <f>MC_SEEDS!C252</f>
        <v/>
      </c>
      <c r="D263" s="11">
        <f>MC_SEEDS!D252</f>
        <v/>
      </c>
      <c r="E263" s="11">
        <f>MC_SEEDS!E252</f>
        <v/>
      </c>
      <c r="F263" s="11">
        <f>B263*INPUTS!$G$35*INPUTS!$G$42 + C263*INPUTS!$G$42 + D263*INPUTS!$G$43 + E263*INPUTS!$G$44</f>
        <v/>
      </c>
      <c r="G263" s="15">
        <f>INPUTS!$B$6*(1+F263)</f>
        <v/>
      </c>
      <c r="H263" s="15">
        <f>G263-INPUTS!$B$6</f>
        <v/>
      </c>
      <c r="I263" s="15">
        <f>MAX(0,H263-INPUTS!$B$7)</f>
        <v/>
      </c>
    </row>
    <row r="264">
      <c r="A264" s="14">
        <f>MC_SEEDS!A253</f>
        <v/>
      </c>
      <c r="B264" s="27">
        <f>MC_SEEDS!B253</f>
        <v/>
      </c>
      <c r="C264" s="11">
        <f>MC_SEEDS!C253</f>
        <v/>
      </c>
      <c r="D264" s="11">
        <f>MC_SEEDS!D253</f>
        <v/>
      </c>
      <c r="E264" s="11">
        <f>MC_SEEDS!E253</f>
        <v/>
      </c>
      <c r="F264" s="11">
        <f>B264*INPUTS!$G$35*INPUTS!$G$42 + C264*INPUTS!$G$42 + D264*INPUTS!$G$43 + E264*INPUTS!$G$44</f>
        <v/>
      </c>
      <c r="G264" s="15">
        <f>INPUTS!$B$6*(1+F264)</f>
        <v/>
      </c>
      <c r="H264" s="15">
        <f>G264-INPUTS!$B$6</f>
        <v/>
      </c>
      <c r="I264" s="15">
        <f>MAX(0,H264-INPUTS!$B$7)</f>
        <v/>
      </c>
    </row>
    <row r="265">
      <c r="A265" s="14">
        <f>MC_SEEDS!A254</f>
        <v/>
      </c>
      <c r="B265" s="27">
        <f>MC_SEEDS!B254</f>
        <v/>
      </c>
      <c r="C265" s="11">
        <f>MC_SEEDS!C254</f>
        <v/>
      </c>
      <c r="D265" s="11">
        <f>MC_SEEDS!D254</f>
        <v/>
      </c>
      <c r="E265" s="11">
        <f>MC_SEEDS!E254</f>
        <v/>
      </c>
      <c r="F265" s="11">
        <f>B265*INPUTS!$G$35*INPUTS!$G$42 + C265*INPUTS!$G$42 + D265*INPUTS!$G$43 + E265*INPUTS!$G$44</f>
        <v/>
      </c>
      <c r="G265" s="15">
        <f>INPUTS!$B$6*(1+F265)</f>
        <v/>
      </c>
      <c r="H265" s="15">
        <f>G265-INPUTS!$B$6</f>
        <v/>
      </c>
      <c r="I265" s="15">
        <f>MAX(0,H265-INPUTS!$B$7)</f>
        <v/>
      </c>
    </row>
    <row r="266">
      <c r="A266" s="14">
        <f>MC_SEEDS!A255</f>
        <v/>
      </c>
      <c r="B266" s="27">
        <f>MC_SEEDS!B255</f>
        <v/>
      </c>
      <c r="C266" s="11">
        <f>MC_SEEDS!C255</f>
        <v/>
      </c>
      <c r="D266" s="11">
        <f>MC_SEEDS!D255</f>
        <v/>
      </c>
      <c r="E266" s="11">
        <f>MC_SEEDS!E255</f>
        <v/>
      </c>
      <c r="F266" s="11">
        <f>B266*INPUTS!$G$35*INPUTS!$G$42 + C266*INPUTS!$G$42 + D266*INPUTS!$G$43 + E266*INPUTS!$G$44</f>
        <v/>
      </c>
      <c r="G266" s="15">
        <f>INPUTS!$B$6*(1+F266)</f>
        <v/>
      </c>
      <c r="H266" s="15">
        <f>G266-INPUTS!$B$6</f>
        <v/>
      </c>
      <c r="I266" s="15">
        <f>MAX(0,H266-INPUTS!$B$7)</f>
        <v/>
      </c>
    </row>
    <row r="267">
      <c r="A267" s="14">
        <f>MC_SEEDS!A256</f>
        <v/>
      </c>
      <c r="B267" s="27">
        <f>MC_SEEDS!B256</f>
        <v/>
      </c>
      <c r="C267" s="11">
        <f>MC_SEEDS!C256</f>
        <v/>
      </c>
      <c r="D267" s="11">
        <f>MC_SEEDS!D256</f>
        <v/>
      </c>
      <c r="E267" s="11">
        <f>MC_SEEDS!E256</f>
        <v/>
      </c>
      <c r="F267" s="11">
        <f>B267*INPUTS!$G$35*INPUTS!$G$42 + C267*INPUTS!$G$42 + D267*INPUTS!$G$43 + E267*INPUTS!$G$44</f>
        <v/>
      </c>
      <c r="G267" s="15">
        <f>INPUTS!$B$6*(1+F267)</f>
        <v/>
      </c>
      <c r="H267" s="15">
        <f>G267-INPUTS!$B$6</f>
        <v/>
      </c>
      <c r="I267" s="15">
        <f>MAX(0,H267-INPUTS!$B$7)</f>
        <v/>
      </c>
    </row>
    <row r="268">
      <c r="A268" s="14">
        <f>MC_SEEDS!A257</f>
        <v/>
      </c>
      <c r="B268" s="27">
        <f>MC_SEEDS!B257</f>
        <v/>
      </c>
      <c r="C268" s="11">
        <f>MC_SEEDS!C257</f>
        <v/>
      </c>
      <c r="D268" s="11">
        <f>MC_SEEDS!D257</f>
        <v/>
      </c>
      <c r="E268" s="11">
        <f>MC_SEEDS!E257</f>
        <v/>
      </c>
      <c r="F268" s="11">
        <f>B268*INPUTS!$G$35*INPUTS!$G$42 + C268*INPUTS!$G$42 + D268*INPUTS!$G$43 + E268*INPUTS!$G$44</f>
        <v/>
      </c>
      <c r="G268" s="15">
        <f>INPUTS!$B$6*(1+F268)</f>
        <v/>
      </c>
      <c r="H268" s="15">
        <f>G268-INPUTS!$B$6</f>
        <v/>
      </c>
      <c r="I268" s="15">
        <f>MAX(0,H268-INPUTS!$B$7)</f>
        <v/>
      </c>
    </row>
    <row r="269">
      <c r="A269" s="14">
        <f>MC_SEEDS!A258</f>
        <v/>
      </c>
      <c r="B269" s="27">
        <f>MC_SEEDS!B258</f>
        <v/>
      </c>
      <c r="C269" s="11">
        <f>MC_SEEDS!C258</f>
        <v/>
      </c>
      <c r="D269" s="11">
        <f>MC_SEEDS!D258</f>
        <v/>
      </c>
      <c r="E269" s="11">
        <f>MC_SEEDS!E258</f>
        <v/>
      </c>
      <c r="F269" s="11">
        <f>B269*INPUTS!$G$35*INPUTS!$G$42 + C269*INPUTS!$G$42 + D269*INPUTS!$G$43 + E269*INPUTS!$G$44</f>
        <v/>
      </c>
      <c r="G269" s="15">
        <f>INPUTS!$B$6*(1+F269)</f>
        <v/>
      </c>
      <c r="H269" s="15">
        <f>G269-INPUTS!$B$6</f>
        <v/>
      </c>
      <c r="I269" s="15">
        <f>MAX(0,H269-INPUTS!$B$7)</f>
        <v/>
      </c>
    </row>
    <row r="270">
      <c r="A270" s="14">
        <f>MC_SEEDS!A259</f>
        <v/>
      </c>
      <c r="B270" s="27">
        <f>MC_SEEDS!B259</f>
        <v/>
      </c>
      <c r="C270" s="11">
        <f>MC_SEEDS!C259</f>
        <v/>
      </c>
      <c r="D270" s="11">
        <f>MC_SEEDS!D259</f>
        <v/>
      </c>
      <c r="E270" s="11">
        <f>MC_SEEDS!E259</f>
        <v/>
      </c>
      <c r="F270" s="11">
        <f>B270*INPUTS!$G$35*INPUTS!$G$42 + C270*INPUTS!$G$42 + D270*INPUTS!$G$43 + E270*INPUTS!$G$44</f>
        <v/>
      </c>
      <c r="G270" s="15">
        <f>INPUTS!$B$6*(1+F270)</f>
        <v/>
      </c>
      <c r="H270" s="15">
        <f>G270-INPUTS!$B$6</f>
        <v/>
      </c>
      <c r="I270" s="15">
        <f>MAX(0,H270-INPUTS!$B$7)</f>
        <v/>
      </c>
    </row>
    <row r="271">
      <c r="A271" s="14">
        <f>MC_SEEDS!A260</f>
        <v/>
      </c>
      <c r="B271" s="27">
        <f>MC_SEEDS!B260</f>
        <v/>
      </c>
      <c r="C271" s="11">
        <f>MC_SEEDS!C260</f>
        <v/>
      </c>
      <c r="D271" s="11">
        <f>MC_SEEDS!D260</f>
        <v/>
      </c>
      <c r="E271" s="11">
        <f>MC_SEEDS!E260</f>
        <v/>
      </c>
      <c r="F271" s="11">
        <f>B271*INPUTS!$G$35*INPUTS!$G$42 + C271*INPUTS!$G$42 + D271*INPUTS!$G$43 + E271*INPUTS!$G$44</f>
        <v/>
      </c>
      <c r="G271" s="15">
        <f>INPUTS!$B$6*(1+F271)</f>
        <v/>
      </c>
      <c r="H271" s="15">
        <f>G271-INPUTS!$B$6</f>
        <v/>
      </c>
      <c r="I271" s="15">
        <f>MAX(0,H271-INPUTS!$B$7)</f>
        <v/>
      </c>
    </row>
    <row r="272">
      <c r="A272" s="14">
        <f>MC_SEEDS!A261</f>
        <v/>
      </c>
      <c r="B272" s="27">
        <f>MC_SEEDS!B261</f>
        <v/>
      </c>
      <c r="C272" s="11">
        <f>MC_SEEDS!C261</f>
        <v/>
      </c>
      <c r="D272" s="11">
        <f>MC_SEEDS!D261</f>
        <v/>
      </c>
      <c r="E272" s="11">
        <f>MC_SEEDS!E261</f>
        <v/>
      </c>
      <c r="F272" s="11">
        <f>B272*INPUTS!$G$35*INPUTS!$G$42 + C272*INPUTS!$G$42 + D272*INPUTS!$G$43 + E272*INPUTS!$G$44</f>
        <v/>
      </c>
      <c r="G272" s="15">
        <f>INPUTS!$B$6*(1+F272)</f>
        <v/>
      </c>
      <c r="H272" s="15">
        <f>G272-INPUTS!$B$6</f>
        <v/>
      </c>
      <c r="I272" s="15">
        <f>MAX(0,H272-INPUTS!$B$7)</f>
        <v/>
      </c>
    </row>
    <row r="273">
      <c r="A273" s="14">
        <f>MC_SEEDS!A262</f>
        <v/>
      </c>
      <c r="B273" s="27">
        <f>MC_SEEDS!B262</f>
        <v/>
      </c>
      <c r="C273" s="11">
        <f>MC_SEEDS!C262</f>
        <v/>
      </c>
      <c r="D273" s="11">
        <f>MC_SEEDS!D262</f>
        <v/>
      </c>
      <c r="E273" s="11">
        <f>MC_SEEDS!E262</f>
        <v/>
      </c>
      <c r="F273" s="11">
        <f>B273*INPUTS!$G$35*INPUTS!$G$42 + C273*INPUTS!$G$42 + D273*INPUTS!$G$43 + E273*INPUTS!$G$44</f>
        <v/>
      </c>
      <c r="G273" s="15">
        <f>INPUTS!$B$6*(1+F273)</f>
        <v/>
      </c>
      <c r="H273" s="15">
        <f>G273-INPUTS!$B$6</f>
        <v/>
      </c>
      <c r="I273" s="15">
        <f>MAX(0,H273-INPUTS!$B$7)</f>
        <v/>
      </c>
    </row>
    <row r="274">
      <c r="A274" s="14">
        <f>MC_SEEDS!A263</f>
        <v/>
      </c>
      <c r="B274" s="27">
        <f>MC_SEEDS!B263</f>
        <v/>
      </c>
      <c r="C274" s="11">
        <f>MC_SEEDS!C263</f>
        <v/>
      </c>
      <c r="D274" s="11">
        <f>MC_SEEDS!D263</f>
        <v/>
      </c>
      <c r="E274" s="11">
        <f>MC_SEEDS!E263</f>
        <v/>
      </c>
      <c r="F274" s="11">
        <f>B274*INPUTS!$G$35*INPUTS!$G$42 + C274*INPUTS!$G$42 + D274*INPUTS!$G$43 + E274*INPUTS!$G$44</f>
        <v/>
      </c>
      <c r="G274" s="15">
        <f>INPUTS!$B$6*(1+F274)</f>
        <v/>
      </c>
      <c r="H274" s="15">
        <f>G274-INPUTS!$B$6</f>
        <v/>
      </c>
      <c r="I274" s="15">
        <f>MAX(0,H274-INPUTS!$B$7)</f>
        <v/>
      </c>
    </row>
    <row r="275">
      <c r="A275" s="14">
        <f>MC_SEEDS!A264</f>
        <v/>
      </c>
      <c r="B275" s="27">
        <f>MC_SEEDS!B264</f>
        <v/>
      </c>
      <c r="C275" s="11">
        <f>MC_SEEDS!C264</f>
        <v/>
      </c>
      <c r="D275" s="11">
        <f>MC_SEEDS!D264</f>
        <v/>
      </c>
      <c r="E275" s="11">
        <f>MC_SEEDS!E264</f>
        <v/>
      </c>
      <c r="F275" s="11">
        <f>B275*INPUTS!$G$35*INPUTS!$G$42 + C275*INPUTS!$G$42 + D275*INPUTS!$G$43 + E275*INPUTS!$G$44</f>
        <v/>
      </c>
      <c r="G275" s="15">
        <f>INPUTS!$B$6*(1+F275)</f>
        <v/>
      </c>
      <c r="H275" s="15">
        <f>G275-INPUTS!$B$6</f>
        <v/>
      </c>
      <c r="I275" s="15">
        <f>MAX(0,H275-INPUTS!$B$7)</f>
        <v/>
      </c>
    </row>
    <row r="276">
      <c r="A276" s="14">
        <f>MC_SEEDS!A265</f>
        <v/>
      </c>
      <c r="B276" s="27">
        <f>MC_SEEDS!B265</f>
        <v/>
      </c>
      <c r="C276" s="11">
        <f>MC_SEEDS!C265</f>
        <v/>
      </c>
      <c r="D276" s="11">
        <f>MC_SEEDS!D265</f>
        <v/>
      </c>
      <c r="E276" s="11">
        <f>MC_SEEDS!E265</f>
        <v/>
      </c>
      <c r="F276" s="11">
        <f>B276*INPUTS!$G$35*INPUTS!$G$42 + C276*INPUTS!$G$42 + D276*INPUTS!$G$43 + E276*INPUTS!$G$44</f>
        <v/>
      </c>
      <c r="G276" s="15">
        <f>INPUTS!$B$6*(1+F276)</f>
        <v/>
      </c>
      <c r="H276" s="15">
        <f>G276-INPUTS!$B$6</f>
        <v/>
      </c>
      <c r="I276" s="15">
        <f>MAX(0,H276-INPUTS!$B$7)</f>
        <v/>
      </c>
    </row>
    <row r="277">
      <c r="A277" s="14">
        <f>MC_SEEDS!A266</f>
        <v/>
      </c>
      <c r="B277" s="27">
        <f>MC_SEEDS!B266</f>
        <v/>
      </c>
      <c r="C277" s="11">
        <f>MC_SEEDS!C266</f>
        <v/>
      </c>
      <c r="D277" s="11">
        <f>MC_SEEDS!D266</f>
        <v/>
      </c>
      <c r="E277" s="11">
        <f>MC_SEEDS!E266</f>
        <v/>
      </c>
      <c r="F277" s="11">
        <f>B277*INPUTS!$G$35*INPUTS!$G$42 + C277*INPUTS!$G$42 + D277*INPUTS!$G$43 + E277*INPUTS!$G$44</f>
        <v/>
      </c>
      <c r="G277" s="15">
        <f>INPUTS!$B$6*(1+F277)</f>
        <v/>
      </c>
      <c r="H277" s="15">
        <f>G277-INPUTS!$B$6</f>
        <v/>
      </c>
      <c r="I277" s="15">
        <f>MAX(0,H277-INPUTS!$B$7)</f>
        <v/>
      </c>
    </row>
    <row r="278">
      <c r="A278" s="14">
        <f>MC_SEEDS!A267</f>
        <v/>
      </c>
      <c r="B278" s="27">
        <f>MC_SEEDS!B267</f>
        <v/>
      </c>
      <c r="C278" s="11">
        <f>MC_SEEDS!C267</f>
        <v/>
      </c>
      <c r="D278" s="11">
        <f>MC_SEEDS!D267</f>
        <v/>
      </c>
      <c r="E278" s="11">
        <f>MC_SEEDS!E267</f>
        <v/>
      </c>
      <c r="F278" s="11">
        <f>B278*INPUTS!$G$35*INPUTS!$G$42 + C278*INPUTS!$G$42 + D278*INPUTS!$G$43 + E278*INPUTS!$G$44</f>
        <v/>
      </c>
      <c r="G278" s="15">
        <f>INPUTS!$B$6*(1+F278)</f>
        <v/>
      </c>
      <c r="H278" s="15">
        <f>G278-INPUTS!$B$6</f>
        <v/>
      </c>
      <c r="I278" s="15">
        <f>MAX(0,H278-INPUTS!$B$7)</f>
        <v/>
      </c>
    </row>
    <row r="279">
      <c r="A279" s="14">
        <f>MC_SEEDS!A268</f>
        <v/>
      </c>
      <c r="B279" s="27">
        <f>MC_SEEDS!B268</f>
        <v/>
      </c>
      <c r="C279" s="11">
        <f>MC_SEEDS!C268</f>
        <v/>
      </c>
      <c r="D279" s="11">
        <f>MC_SEEDS!D268</f>
        <v/>
      </c>
      <c r="E279" s="11">
        <f>MC_SEEDS!E268</f>
        <v/>
      </c>
      <c r="F279" s="11">
        <f>B279*INPUTS!$G$35*INPUTS!$G$42 + C279*INPUTS!$G$42 + D279*INPUTS!$G$43 + E279*INPUTS!$G$44</f>
        <v/>
      </c>
      <c r="G279" s="15">
        <f>INPUTS!$B$6*(1+F279)</f>
        <v/>
      </c>
      <c r="H279" s="15">
        <f>G279-INPUTS!$B$6</f>
        <v/>
      </c>
      <c r="I279" s="15">
        <f>MAX(0,H279-INPUTS!$B$7)</f>
        <v/>
      </c>
    </row>
    <row r="280">
      <c r="A280" s="14">
        <f>MC_SEEDS!A269</f>
        <v/>
      </c>
      <c r="B280" s="27">
        <f>MC_SEEDS!B269</f>
        <v/>
      </c>
      <c r="C280" s="11">
        <f>MC_SEEDS!C269</f>
        <v/>
      </c>
      <c r="D280" s="11">
        <f>MC_SEEDS!D269</f>
        <v/>
      </c>
      <c r="E280" s="11">
        <f>MC_SEEDS!E269</f>
        <v/>
      </c>
      <c r="F280" s="11">
        <f>B280*INPUTS!$G$35*INPUTS!$G$42 + C280*INPUTS!$G$42 + D280*INPUTS!$G$43 + E280*INPUTS!$G$44</f>
        <v/>
      </c>
      <c r="G280" s="15">
        <f>INPUTS!$B$6*(1+F280)</f>
        <v/>
      </c>
      <c r="H280" s="15">
        <f>G280-INPUTS!$B$6</f>
        <v/>
      </c>
      <c r="I280" s="15">
        <f>MAX(0,H280-INPUTS!$B$7)</f>
        <v/>
      </c>
    </row>
    <row r="281">
      <c r="A281" s="14">
        <f>MC_SEEDS!A270</f>
        <v/>
      </c>
      <c r="B281" s="27">
        <f>MC_SEEDS!B270</f>
        <v/>
      </c>
      <c r="C281" s="11">
        <f>MC_SEEDS!C270</f>
        <v/>
      </c>
      <c r="D281" s="11">
        <f>MC_SEEDS!D270</f>
        <v/>
      </c>
      <c r="E281" s="11">
        <f>MC_SEEDS!E270</f>
        <v/>
      </c>
      <c r="F281" s="11">
        <f>B281*INPUTS!$G$35*INPUTS!$G$42 + C281*INPUTS!$G$42 + D281*INPUTS!$G$43 + E281*INPUTS!$G$44</f>
        <v/>
      </c>
      <c r="G281" s="15">
        <f>INPUTS!$B$6*(1+F281)</f>
        <v/>
      </c>
      <c r="H281" s="15">
        <f>G281-INPUTS!$B$6</f>
        <v/>
      </c>
      <c r="I281" s="15">
        <f>MAX(0,H281-INPUTS!$B$7)</f>
        <v/>
      </c>
    </row>
    <row r="282">
      <c r="A282" s="14">
        <f>MC_SEEDS!A271</f>
        <v/>
      </c>
      <c r="B282" s="27">
        <f>MC_SEEDS!B271</f>
        <v/>
      </c>
      <c r="C282" s="11">
        <f>MC_SEEDS!C271</f>
        <v/>
      </c>
      <c r="D282" s="11">
        <f>MC_SEEDS!D271</f>
        <v/>
      </c>
      <c r="E282" s="11">
        <f>MC_SEEDS!E271</f>
        <v/>
      </c>
      <c r="F282" s="11">
        <f>B282*INPUTS!$G$35*INPUTS!$G$42 + C282*INPUTS!$G$42 + D282*INPUTS!$G$43 + E282*INPUTS!$G$44</f>
        <v/>
      </c>
      <c r="G282" s="15">
        <f>INPUTS!$B$6*(1+F282)</f>
        <v/>
      </c>
      <c r="H282" s="15">
        <f>G282-INPUTS!$B$6</f>
        <v/>
      </c>
      <c r="I282" s="15">
        <f>MAX(0,H282-INPUTS!$B$7)</f>
        <v/>
      </c>
    </row>
    <row r="283">
      <c r="A283" s="14">
        <f>MC_SEEDS!A272</f>
        <v/>
      </c>
      <c r="B283" s="27">
        <f>MC_SEEDS!B272</f>
        <v/>
      </c>
      <c r="C283" s="11">
        <f>MC_SEEDS!C272</f>
        <v/>
      </c>
      <c r="D283" s="11">
        <f>MC_SEEDS!D272</f>
        <v/>
      </c>
      <c r="E283" s="11">
        <f>MC_SEEDS!E272</f>
        <v/>
      </c>
      <c r="F283" s="11">
        <f>B283*INPUTS!$G$35*INPUTS!$G$42 + C283*INPUTS!$G$42 + D283*INPUTS!$G$43 + E283*INPUTS!$G$44</f>
        <v/>
      </c>
      <c r="G283" s="15">
        <f>INPUTS!$B$6*(1+F283)</f>
        <v/>
      </c>
      <c r="H283" s="15">
        <f>G283-INPUTS!$B$6</f>
        <v/>
      </c>
      <c r="I283" s="15">
        <f>MAX(0,H283-INPUTS!$B$7)</f>
        <v/>
      </c>
    </row>
    <row r="284">
      <c r="A284" s="14">
        <f>MC_SEEDS!A273</f>
        <v/>
      </c>
      <c r="B284" s="27">
        <f>MC_SEEDS!B273</f>
        <v/>
      </c>
      <c r="C284" s="11">
        <f>MC_SEEDS!C273</f>
        <v/>
      </c>
      <c r="D284" s="11">
        <f>MC_SEEDS!D273</f>
        <v/>
      </c>
      <c r="E284" s="11">
        <f>MC_SEEDS!E273</f>
        <v/>
      </c>
      <c r="F284" s="11">
        <f>B284*INPUTS!$G$35*INPUTS!$G$42 + C284*INPUTS!$G$42 + D284*INPUTS!$G$43 + E284*INPUTS!$G$44</f>
        <v/>
      </c>
      <c r="G284" s="15">
        <f>INPUTS!$B$6*(1+F284)</f>
        <v/>
      </c>
      <c r="H284" s="15">
        <f>G284-INPUTS!$B$6</f>
        <v/>
      </c>
      <c r="I284" s="15">
        <f>MAX(0,H284-INPUTS!$B$7)</f>
        <v/>
      </c>
    </row>
    <row r="285">
      <c r="A285" s="14">
        <f>MC_SEEDS!A274</f>
        <v/>
      </c>
      <c r="B285" s="27">
        <f>MC_SEEDS!B274</f>
        <v/>
      </c>
      <c r="C285" s="11">
        <f>MC_SEEDS!C274</f>
        <v/>
      </c>
      <c r="D285" s="11">
        <f>MC_SEEDS!D274</f>
        <v/>
      </c>
      <c r="E285" s="11">
        <f>MC_SEEDS!E274</f>
        <v/>
      </c>
      <c r="F285" s="11">
        <f>B285*INPUTS!$G$35*INPUTS!$G$42 + C285*INPUTS!$G$42 + D285*INPUTS!$G$43 + E285*INPUTS!$G$44</f>
        <v/>
      </c>
      <c r="G285" s="15">
        <f>INPUTS!$B$6*(1+F285)</f>
        <v/>
      </c>
      <c r="H285" s="15">
        <f>G285-INPUTS!$B$6</f>
        <v/>
      </c>
      <c r="I285" s="15">
        <f>MAX(0,H285-INPUTS!$B$7)</f>
        <v/>
      </c>
    </row>
    <row r="286">
      <c r="A286" s="14">
        <f>MC_SEEDS!A275</f>
        <v/>
      </c>
      <c r="B286" s="27">
        <f>MC_SEEDS!B275</f>
        <v/>
      </c>
      <c r="C286" s="11">
        <f>MC_SEEDS!C275</f>
        <v/>
      </c>
      <c r="D286" s="11">
        <f>MC_SEEDS!D275</f>
        <v/>
      </c>
      <c r="E286" s="11">
        <f>MC_SEEDS!E275</f>
        <v/>
      </c>
      <c r="F286" s="11">
        <f>B286*INPUTS!$G$35*INPUTS!$G$42 + C286*INPUTS!$G$42 + D286*INPUTS!$G$43 + E286*INPUTS!$G$44</f>
        <v/>
      </c>
      <c r="G286" s="15">
        <f>INPUTS!$B$6*(1+F286)</f>
        <v/>
      </c>
      <c r="H286" s="15">
        <f>G286-INPUTS!$B$6</f>
        <v/>
      </c>
      <c r="I286" s="15">
        <f>MAX(0,H286-INPUTS!$B$7)</f>
        <v/>
      </c>
    </row>
    <row r="287">
      <c r="A287" s="14">
        <f>MC_SEEDS!A276</f>
        <v/>
      </c>
      <c r="B287" s="27">
        <f>MC_SEEDS!B276</f>
        <v/>
      </c>
      <c r="C287" s="11">
        <f>MC_SEEDS!C276</f>
        <v/>
      </c>
      <c r="D287" s="11">
        <f>MC_SEEDS!D276</f>
        <v/>
      </c>
      <c r="E287" s="11">
        <f>MC_SEEDS!E276</f>
        <v/>
      </c>
      <c r="F287" s="11">
        <f>B287*INPUTS!$G$35*INPUTS!$G$42 + C287*INPUTS!$G$42 + D287*INPUTS!$G$43 + E287*INPUTS!$G$44</f>
        <v/>
      </c>
      <c r="G287" s="15">
        <f>INPUTS!$B$6*(1+F287)</f>
        <v/>
      </c>
      <c r="H287" s="15">
        <f>G287-INPUTS!$B$6</f>
        <v/>
      </c>
      <c r="I287" s="15">
        <f>MAX(0,H287-INPUTS!$B$7)</f>
        <v/>
      </c>
    </row>
    <row r="288">
      <c r="A288" s="14">
        <f>MC_SEEDS!A277</f>
        <v/>
      </c>
      <c r="B288" s="27">
        <f>MC_SEEDS!B277</f>
        <v/>
      </c>
      <c r="C288" s="11">
        <f>MC_SEEDS!C277</f>
        <v/>
      </c>
      <c r="D288" s="11">
        <f>MC_SEEDS!D277</f>
        <v/>
      </c>
      <c r="E288" s="11">
        <f>MC_SEEDS!E277</f>
        <v/>
      </c>
      <c r="F288" s="11">
        <f>B288*INPUTS!$G$35*INPUTS!$G$42 + C288*INPUTS!$G$42 + D288*INPUTS!$G$43 + E288*INPUTS!$G$44</f>
        <v/>
      </c>
      <c r="G288" s="15">
        <f>INPUTS!$B$6*(1+F288)</f>
        <v/>
      </c>
      <c r="H288" s="15">
        <f>G288-INPUTS!$B$6</f>
        <v/>
      </c>
      <c r="I288" s="15">
        <f>MAX(0,H288-INPUTS!$B$7)</f>
        <v/>
      </c>
    </row>
    <row r="289">
      <c r="A289" s="14">
        <f>MC_SEEDS!A278</f>
        <v/>
      </c>
      <c r="B289" s="27">
        <f>MC_SEEDS!B278</f>
        <v/>
      </c>
      <c r="C289" s="11">
        <f>MC_SEEDS!C278</f>
        <v/>
      </c>
      <c r="D289" s="11">
        <f>MC_SEEDS!D278</f>
        <v/>
      </c>
      <c r="E289" s="11">
        <f>MC_SEEDS!E278</f>
        <v/>
      </c>
      <c r="F289" s="11">
        <f>B289*INPUTS!$G$35*INPUTS!$G$42 + C289*INPUTS!$G$42 + D289*INPUTS!$G$43 + E289*INPUTS!$G$44</f>
        <v/>
      </c>
      <c r="G289" s="15">
        <f>INPUTS!$B$6*(1+F289)</f>
        <v/>
      </c>
      <c r="H289" s="15">
        <f>G289-INPUTS!$B$6</f>
        <v/>
      </c>
      <c r="I289" s="15">
        <f>MAX(0,H289-INPUTS!$B$7)</f>
        <v/>
      </c>
    </row>
    <row r="290">
      <c r="A290" s="14">
        <f>MC_SEEDS!A279</f>
        <v/>
      </c>
      <c r="B290" s="27">
        <f>MC_SEEDS!B279</f>
        <v/>
      </c>
      <c r="C290" s="11">
        <f>MC_SEEDS!C279</f>
        <v/>
      </c>
      <c r="D290" s="11">
        <f>MC_SEEDS!D279</f>
        <v/>
      </c>
      <c r="E290" s="11">
        <f>MC_SEEDS!E279</f>
        <v/>
      </c>
      <c r="F290" s="11">
        <f>B290*INPUTS!$G$35*INPUTS!$G$42 + C290*INPUTS!$G$42 + D290*INPUTS!$G$43 + E290*INPUTS!$G$44</f>
        <v/>
      </c>
      <c r="G290" s="15">
        <f>INPUTS!$B$6*(1+F290)</f>
        <v/>
      </c>
      <c r="H290" s="15">
        <f>G290-INPUTS!$B$6</f>
        <v/>
      </c>
      <c r="I290" s="15">
        <f>MAX(0,H290-INPUTS!$B$7)</f>
        <v/>
      </c>
    </row>
    <row r="291">
      <c r="A291" s="14">
        <f>MC_SEEDS!A280</f>
        <v/>
      </c>
      <c r="B291" s="27">
        <f>MC_SEEDS!B280</f>
        <v/>
      </c>
      <c r="C291" s="11">
        <f>MC_SEEDS!C280</f>
        <v/>
      </c>
      <c r="D291" s="11">
        <f>MC_SEEDS!D280</f>
        <v/>
      </c>
      <c r="E291" s="11">
        <f>MC_SEEDS!E280</f>
        <v/>
      </c>
      <c r="F291" s="11">
        <f>B291*INPUTS!$G$35*INPUTS!$G$42 + C291*INPUTS!$G$42 + D291*INPUTS!$G$43 + E291*INPUTS!$G$44</f>
        <v/>
      </c>
      <c r="G291" s="15">
        <f>INPUTS!$B$6*(1+F291)</f>
        <v/>
      </c>
      <c r="H291" s="15">
        <f>G291-INPUTS!$B$6</f>
        <v/>
      </c>
      <c r="I291" s="15">
        <f>MAX(0,H291-INPUTS!$B$7)</f>
        <v/>
      </c>
    </row>
    <row r="292">
      <c r="A292" s="14">
        <f>MC_SEEDS!A281</f>
        <v/>
      </c>
      <c r="B292" s="27">
        <f>MC_SEEDS!B281</f>
        <v/>
      </c>
      <c r="C292" s="11">
        <f>MC_SEEDS!C281</f>
        <v/>
      </c>
      <c r="D292" s="11">
        <f>MC_SEEDS!D281</f>
        <v/>
      </c>
      <c r="E292" s="11">
        <f>MC_SEEDS!E281</f>
        <v/>
      </c>
      <c r="F292" s="11">
        <f>B292*INPUTS!$G$35*INPUTS!$G$42 + C292*INPUTS!$G$42 + D292*INPUTS!$G$43 + E292*INPUTS!$G$44</f>
        <v/>
      </c>
      <c r="G292" s="15">
        <f>INPUTS!$B$6*(1+F292)</f>
        <v/>
      </c>
      <c r="H292" s="15">
        <f>G292-INPUTS!$B$6</f>
        <v/>
      </c>
      <c r="I292" s="15">
        <f>MAX(0,H292-INPUTS!$B$7)</f>
        <v/>
      </c>
    </row>
    <row r="293">
      <c r="A293" s="14">
        <f>MC_SEEDS!A282</f>
        <v/>
      </c>
      <c r="B293" s="27">
        <f>MC_SEEDS!B282</f>
        <v/>
      </c>
      <c r="C293" s="11">
        <f>MC_SEEDS!C282</f>
        <v/>
      </c>
      <c r="D293" s="11">
        <f>MC_SEEDS!D282</f>
        <v/>
      </c>
      <c r="E293" s="11">
        <f>MC_SEEDS!E282</f>
        <v/>
      </c>
      <c r="F293" s="11">
        <f>B293*INPUTS!$G$35*INPUTS!$G$42 + C293*INPUTS!$G$42 + D293*INPUTS!$G$43 + E293*INPUTS!$G$44</f>
        <v/>
      </c>
      <c r="G293" s="15">
        <f>INPUTS!$B$6*(1+F293)</f>
        <v/>
      </c>
      <c r="H293" s="15">
        <f>G293-INPUTS!$B$6</f>
        <v/>
      </c>
      <c r="I293" s="15">
        <f>MAX(0,H293-INPUTS!$B$7)</f>
        <v/>
      </c>
    </row>
    <row r="294">
      <c r="A294" s="14">
        <f>MC_SEEDS!A283</f>
        <v/>
      </c>
      <c r="B294" s="27">
        <f>MC_SEEDS!B283</f>
        <v/>
      </c>
      <c r="C294" s="11">
        <f>MC_SEEDS!C283</f>
        <v/>
      </c>
      <c r="D294" s="11">
        <f>MC_SEEDS!D283</f>
        <v/>
      </c>
      <c r="E294" s="11">
        <f>MC_SEEDS!E283</f>
        <v/>
      </c>
      <c r="F294" s="11">
        <f>B294*INPUTS!$G$35*INPUTS!$G$42 + C294*INPUTS!$G$42 + D294*INPUTS!$G$43 + E294*INPUTS!$G$44</f>
        <v/>
      </c>
      <c r="G294" s="15">
        <f>INPUTS!$B$6*(1+F294)</f>
        <v/>
      </c>
      <c r="H294" s="15">
        <f>G294-INPUTS!$B$6</f>
        <v/>
      </c>
      <c r="I294" s="15">
        <f>MAX(0,H294-INPUTS!$B$7)</f>
        <v/>
      </c>
    </row>
    <row r="295">
      <c r="A295" s="14">
        <f>MC_SEEDS!A284</f>
        <v/>
      </c>
      <c r="B295" s="27">
        <f>MC_SEEDS!B284</f>
        <v/>
      </c>
      <c r="C295" s="11">
        <f>MC_SEEDS!C284</f>
        <v/>
      </c>
      <c r="D295" s="11">
        <f>MC_SEEDS!D284</f>
        <v/>
      </c>
      <c r="E295" s="11">
        <f>MC_SEEDS!E284</f>
        <v/>
      </c>
      <c r="F295" s="11">
        <f>B295*INPUTS!$G$35*INPUTS!$G$42 + C295*INPUTS!$G$42 + D295*INPUTS!$G$43 + E295*INPUTS!$G$44</f>
        <v/>
      </c>
      <c r="G295" s="15">
        <f>INPUTS!$B$6*(1+F295)</f>
        <v/>
      </c>
      <c r="H295" s="15">
        <f>G295-INPUTS!$B$6</f>
        <v/>
      </c>
      <c r="I295" s="15">
        <f>MAX(0,H295-INPUTS!$B$7)</f>
        <v/>
      </c>
    </row>
    <row r="296">
      <c r="A296" s="14">
        <f>MC_SEEDS!A285</f>
        <v/>
      </c>
      <c r="B296" s="27">
        <f>MC_SEEDS!B285</f>
        <v/>
      </c>
      <c r="C296" s="11">
        <f>MC_SEEDS!C285</f>
        <v/>
      </c>
      <c r="D296" s="11">
        <f>MC_SEEDS!D285</f>
        <v/>
      </c>
      <c r="E296" s="11">
        <f>MC_SEEDS!E285</f>
        <v/>
      </c>
      <c r="F296" s="11">
        <f>B296*INPUTS!$G$35*INPUTS!$G$42 + C296*INPUTS!$G$42 + D296*INPUTS!$G$43 + E296*INPUTS!$G$44</f>
        <v/>
      </c>
      <c r="G296" s="15">
        <f>INPUTS!$B$6*(1+F296)</f>
        <v/>
      </c>
      <c r="H296" s="15">
        <f>G296-INPUTS!$B$6</f>
        <v/>
      </c>
      <c r="I296" s="15">
        <f>MAX(0,H296-INPUTS!$B$7)</f>
        <v/>
      </c>
    </row>
    <row r="297">
      <c r="A297" s="14">
        <f>MC_SEEDS!A286</f>
        <v/>
      </c>
      <c r="B297" s="27">
        <f>MC_SEEDS!B286</f>
        <v/>
      </c>
      <c r="C297" s="11">
        <f>MC_SEEDS!C286</f>
        <v/>
      </c>
      <c r="D297" s="11">
        <f>MC_SEEDS!D286</f>
        <v/>
      </c>
      <c r="E297" s="11">
        <f>MC_SEEDS!E286</f>
        <v/>
      </c>
      <c r="F297" s="11">
        <f>B297*INPUTS!$G$35*INPUTS!$G$42 + C297*INPUTS!$G$42 + D297*INPUTS!$G$43 + E297*INPUTS!$G$44</f>
        <v/>
      </c>
      <c r="G297" s="15">
        <f>INPUTS!$B$6*(1+F297)</f>
        <v/>
      </c>
      <c r="H297" s="15">
        <f>G297-INPUTS!$B$6</f>
        <v/>
      </c>
      <c r="I297" s="15">
        <f>MAX(0,H297-INPUTS!$B$7)</f>
        <v/>
      </c>
    </row>
    <row r="298">
      <c r="A298" s="14">
        <f>MC_SEEDS!A287</f>
        <v/>
      </c>
      <c r="B298" s="27">
        <f>MC_SEEDS!B287</f>
        <v/>
      </c>
      <c r="C298" s="11">
        <f>MC_SEEDS!C287</f>
        <v/>
      </c>
      <c r="D298" s="11">
        <f>MC_SEEDS!D287</f>
        <v/>
      </c>
      <c r="E298" s="11">
        <f>MC_SEEDS!E287</f>
        <v/>
      </c>
      <c r="F298" s="11">
        <f>B298*INPUTS!$G$35*INPUTS!$G$42 + C298*INPUTS!$G$42 + D298*INPUTS!$G$43 + E298*INPUTS!$G$44</f>
        <v/>
      </c>
      <c r="G298" s="15">
        <f>INPUTS!$B$6*(1+F298)</f>
        <v/>
      </c>
      <c r="H298" s="15">
        <f>G298-INPUTS!$B$6</f>
        <v/>
      </c>
      <c r="I298" s="15">
        <f>MAX(0,H298-INPUTS!$B$7)</f>
        <v/>
      </c>
    </row>
    <row r="299">
      <c r="A299" s="14">
        <f>MC_SEEDS!A288</f>
        <v/>
      </c>
      <c r="B299" s="27">
        <f>MC_SEEDS!B288</f>
        <v/>
      </c>
      <c r="C299" s="11">
        <f>MC_SEEDS!C288</f>
        <v/>
      </c>
      <c r="D299" s="11">
        <f>MC_SEEDS!D288</f>
        <v/>
      </c>
      <c r="E299" s="11">
        <f>MC_SEEDS!E288</f>
        <v/>
      </c>
      <c r="F299" s="11">
        <f>B299*INPUTS!$G$35*INPUTS!$G$42 + C299*INPUTS!$G$42 + D299*INPUTS!$G$43 + E299*INPUTS!$G$44</f>
        <v/>
      </c>
      <c r="G299" s="15">
        <f>INPUTS!$B$6*(1+F299)</f>
        <v/>
      </c>
      <c r="H299" s="15">
        <f>G299-INPUTS!$B$6</f>
        <v/>
      </c>
      <c r="I299" s="15">
        <f>MAX(0,H299-INPUTS!$B$7)</f>
        <v/>
      </c>
    </row>
    <row r="300">
      <c r="A300" s="14">
        <f>MC_SEEDS!A289</f>
        <v/>
      </c>
      <c r="B300" s="27">
        <f>MC_SEEDS!B289</f>
        <v/>
      </c>
      <c r="C300" s="11">
        <f>MC_SEEDS!C289</f>
        <v/>
      </c>
      <c r="D300" s="11">
        <f>MC_SEEDS!D289</f>
        <v/>
      </c>
      <c r="E300" s="11">
        <f>MC_SEEDS!E289</f>
        <v/>
      </c>
      <c r="F300" s="11">
        <f>B300*INPUTS!$G$35*INPUTS!$G$42 + C300*INPUTS!$G$42 + D300*INPUTS!$G$43 + E300*INPUTS!$G$44</f>
        <v/>
      </c>
      <c r="G300" s="15">
        <f>INPUTS!$B$6*(1+F300)</f>
        <v/>
      </c>
      <c r="H300" s="15">
        <f>G300-INPUTS!$B$6</f>
        <v/>
      </c>
      <c r="I300" s="15">
        <f>MAX(0,H300-INPUTS!$B$7)</f>
        <v/>
      </c>
    </row>
    <row r="301">
      <c r="A301" s="14">
        <f>MC_SEEDS!A290</f>
        <v/>
      </c>
      <c r="B301" s="27">
        <f>MC_SEEDS!B290</f>
        <v/>
      </c>
      <c r="C301" s="11">
        <f>MC_SEEDS!C290</f>
        <v/>
      </c>
      <c r="D301" s="11">
        <f>MC_SEEDS!D290</f>
        <v/>
      </c>
      <c r="E301" s="11">
        <f>MC_SEEDS!E290</f>
        <v/>
      </c>
      <c r="F301" s="11">
        <f>B301*INPUTS!$G$35*INPUTS!$G$42 + C301*INPUTS!$G$42 + D301*INPUTS!$G$43 + E301*INPUTS!$G$44</f>
        <v/>
      </c>
      <c r="G301" s="15">
        <f>INPUTS!$B$6*(1+F301)</f>
        <v/>
      </c>
      <c r="H301" s="15">
        <f>G301-INPUTS!$B$6</f>
        <v/>
      </c>
      <c r="I301" s="15">
        <f>MAX(0,H301-INPUTS!$B$7)</f>
        <v/>
      </c>
    </row>
    <row r="302">
      <c r="A302" s="14">
        <f>MC_SEEDS!A291</f>
        <v/>
      </c>
      <c r="B302" s="27">
        <f>MC_SEEDS!B291</f>
        <v/>
      </c>
      <c r="C302" s="11">
        <f>MC_SEEDS!C291</f>
        <v/>
      </c>
      <c r="D302" s="11">
        <f>MC_SEEDS!D291</f>
        <v/>
      </c>
      <c r="E302" s="11">
        <f>MC_SEEDS!E291</f>
        <v/>
      </c>
      <c r="F302" s="11">
        <f>B302*INPUTS!$G$35*INPUTS!$G$42 + C302*INPUTS!$G$42 + D302*INPUTS!$G$43 + E302*INPUTS!$G$44</f>
        <v/>
      </c>
      <c r="G302" s="15">
        <f>INPUTS!$B$6*(1+F302)</f>
        <v/>
      </c>
      <c r="H302" s="15">
        <f>G302-INPUTS!$B$6</f>
        <v/>
      </c>
      <c r="I302" s="15">
        <f>MAX(0,H302-INPUTS!$B$7)</f>
        <v/>
      </c>
    </row>
    <row r="303">
      <c r="A303" s="14">
        <f>MC_SEEDS!A292</f>
        <v/>
      </c>
      <c r="B303" s="27">
        <f>MC_SEEDS!B292</f>
        <v/>
      </c>
      <c r="C303" s="11">
        <f>MC_SEEDS!C292</f>
        <v/>
      </c>
      <c r="D303" s="11">
        <f>MC_SEEDS!D292</f>
        <v/>
      </c>
      <c r="E303" s="11">
        <f>MC_SEEDS!E292</f>
        <v/>
      </c>
      <c r="F303" s="11">
        <f>B303*INPUTS!$G$35*INPUTS!$G$42 + C303*INPUTS!$G$42 + D303*INPUTS!$G$43 + E303*INPUTS!$G$44</f>
        <v/>
      </c>
      <c r="G303" s="15">
        <f>INPUTS!$B$6*(1+F303)</f>
        <v/>
      </c>
      <c r="H303" s="15">
        <f>G303-INPUTS!$B$6</f>
        <v/>
      </c>
      <c r="I303" s="15">
        <f>MAX(0,H303-INPUTS!$B$7)</f>
        <v/>
      </c>
    </row>
    <row r="304">
      <c r="A304" s="14">
        <f>MC_SEEDS!A293</f>
        <v/>
      </c>
      <c r="B304" s="27">
        <f>MC_SEEDS!B293</f>
        <v/>
      </c>
      <c r="C304" s="11">
        <f>MC_SEEDS!C293</f>
        <v/>
      </c>
      <c r="D304" s="11">
        <f>MC_SEEDS!D293</f>
        <v/>
      </c>
      <c r="E304" s="11">
        <f>MC_SEEDS!E293</f>
        <v/>
      </c>
      <c r="F304" s="11">
        <f>B304*INPUTS!$G$35*INPUTS!$G$42 + C304*INPUTS!$G$42 + D304*INPUTS!$G$43 + E304*INPUTS!$G$44</f>
        <v/>
      </c>
      <c r="G304" s="15">
        <f>INPUTS!$B$6*(1+F304)</f>
        <v/>
      </c>
      <c r="H304" s="15">
        <f>G304-INPUTS!$B$6</f>
        <v/>
      </c>
      <c r="I304" s="15">
        <f>MAX(0,H304-INPUTS!$B$7)</f>
        <v/>
      </c>
    </row>
    <row r="305">
      <c r="A305" s="14">
        <f>MC_SEEDS!A294</f>
        <v/>
      </c>
      <c r="B305" s="27">
        <f>MC_SEEDS!B294</f>
        <v/>
      </c>
      <c r="C305" s="11">
        <f>MC_SEEDS!C294</f>
        <v/>
      </c>
      <c r="D305" s="11">
        <f>MC_SEEDS!D294</f>
        <v/>
      </c>
      <c r="E305" s="11">
        <f>MC_SEEDS!E294</f>
        <v/>
      </c>
      <c r="F305" s="11">
        <f>B305*INPUTS!$G$35*INPUTS!$G$42 + C305*INPUTS!$G$42 + D305*INPUTS!$G$43 + E305*INPUTS!$G$44</f>
        <v/>
      </c>
      <c r="G305" s="15">
        <f>INPUTS!$B$6*(1+F305)</f>
        <v/>
      </c>
      <c r="H305" s="15">
        <f>G305-INPUTS!$B$6</f>
        <v/>
      </c>
      <c r="I305" s="15">
        <f>MAX(0,H305-INPUTS!$B$7)</f>
        <v/>
      </c>
    </row>
    <row r="306">
      <c r="A306" s="14">
        <f>MC_SEEDS!A295</f>
        <v/>
      </c>
      <c r="B306" s="27">
        <f>MC_SEEDS!B295</f>
        <v/>
      </c>
      <c r="C306" s="11">
        <f>MC_SEEDS!C295</f>
        <v/>
      </c>
      <c r="D306" s="11">
        <f>MC_SEEDS!D295</f>
        <v/>
      </c>
      <c r="E306" s="11">
        <f>MC_SEEDS!E295</f>
        <v/>
      </c>
      <c r="F306" s="11">
        <f>B306*INPUTS!$G$35*INPUTS!$G$42 + C306*INPUTS!$G$42 + D306*INPUTS!$G$43 + E306*INPUTS!$G$44</f>
        <v/>
      </c>
      <c r="G306" s="15">
        <f>INPUTS!$B$6*(1+F306)</f>
        <v/>
      </c>
      <c r="H306" s="15">
        <f>G306-INPUTS!$B$6</f>
        <v/>
      </c>
      <c r="I306" s="15">
        <f>MAX(0,H306-INPUTS!$B$7)</f>
        <v/>
      </c>
    </row>
    <row r="307">
      <c r="A307" s="14">
        <f>MC_SEEDS!A296</f>
        <v/>
      </c>
      <c r="B307" s="27">
        <f>MC_SEEDS!B296</f>
        <v/>
      </c>
      <c r="C307" s="11">
        <f>MC_SEEDS!C296</f>
        <v/>
      </c>
      <c r="D307" s="11">
        <f>MC_SEEDS!D296</f>
        <v/>
      </c>
      <c r="E307" s="11">
        <f>MC_SEEDS!E296</f>
        <v/>
      </c>
      <c r="F307" s="11">
        <f>B307*INPUTS!$G$35*INPUTS!$G$42 + C307*INPUTS!$G$42 + D307*INPUTS!$G$43 + E307*INPUTS!$G$44</f>
        <v/>
      </c>
      <c r="G307" s="15">
        <f>INPUTS!$B$6*(1+F307)</f>
        <v/>
      </c>
      <c r="H307" s="15">
        <f>G307-INPUTS!$B$6</f>
        <v/>
      </c>
      <c r="I307" s="15">
        <f>MAX(0,H307-INPUTS!$B$7)</f>
        <v/>
      </c>
    </row>
    <row r="308">
      <c r="A308" s="14">
        <f>MC_SEEDS!A297</f>
        <v/>
      </c>
      <c r="B308" s="27">
        <f>MC_SEEDS!B297</f>
        <v/>
      </c>
      <c r="C308" s="11">
        <f>MC_SEEDS!C297</f>
        <v/>
      </c>
      <c r="D308" s="11">
        <f>MC_SEEDS!D297</f>
        <v/>
      </c>
      <c r="E308" s="11">
        <f>MC_SEEDS!E297</f>
        <v/>
      </c>
      <c r="F308" s="11">
        <f>B308*INPUTS!$G$35*INPUTS!$G$42 + C308*INPUTS!$G$42 + D308*INPUTS!$G$43 + E308*INPUTS!$G$44</f>
        <v/>
      </c>
      <c r="G308" s="15">
        <f>INPUTS!$B$6*(1+F308)</f>
        <v/>
      </c>
      <c r="H308" s="15">
        <f>G308-INPUTS!$B$6</f>
        <v/>
      </c>
      <c r="I308" s="15">
        <f>MAX(0,H308-INPUTS!$B$7)</f>
        <v/>
      </c>
    </row>
    <row r="309">
      <c r="A309" s="14">
        <f>MC_SEEDS!A298</f>
        <v/>
      </c>
      <c r="B309" s="27">
        <f>MC_SEEDS!B298</f>
        <v/>
      </c>
      <c r="C309" s="11">
        <f>MC_SEEDS!C298</f>
        <v/>
      </c>
      <c r="D309" s="11">
        <f>MC_SEEDS!D298</f>
        <v/>
      </c>
      <c r="E309" s="11">
        <f>MC_SEEDS!E298</f>
        <v/>
      </c>
      <c r="F309" s="11">
        <f>B309*INPUTS!$G$35*INPUTS!$G$42 + C309*INPUTS!$G$42 + D309*INPUTS!$G$43 + E309*INPUTS!$G$44</f>
        <v/>
      </c>
      <c r="G309" s="15">
        <f>INPUTS!$B$6*(1+F309)</f>
        <v/>
      </c>
      <c r="H309" s="15">
        <f>G309-INPUTS!$B$6</f>
        <v/>
      </c>
      <c r="I309" s="15">
        <f>MAX(0,H309-INPUTS!$B$7)</f>
        <v/>
      </c>
    </row>
    <row r="310">
      <c r="A310" s="14">
        <f>MC_SEEDS!A299</f>
        <v/>
      </c>
      <c r="B310" s="27">
        <f>MC_SEEDS!B299</f>
        <v/>
      </c>
      <c r="C310" s="11">
        <f>MC_SEEDS!C299</f>
        <v/>
      </c>
      <c r="D310" s="11">
        <f>MC_SEEDS!D299</f>
        <v/>
      </c>
      <c r="E310" s="11">
        <f>MC_SEEDS!E299</f>
        <v/>
      </c>
      <c r="F310" s="11">
        <f>B310*INPUTS!$G$35*INPUTS!$G$42 + C310*INPUTS!$G$42 + D310*INPUTS!$G$43 + E310*INPUTS!$G$44</f>
        <v/>
      </c>
      <c r="G310" s="15">
        <f>INPUTS!$B$6*(1+F310)</f>
        <v/>
      </c>
      <c r="H310" s="15">
        <f>G310-INPUTS!$B$6</f>
        <v/>
      </c>
      <c r="I310" s="15">
        <f>MAX(0,H310-INPUTS!$B$7)</f>
        <v/>
      </c>
    </row>
    <row r="311">
      <c r="A311" s="14">
        <f>MC_SEEDS!A300</f>
        <v/>
      </c>
      <c r="B311" s="27">
        <f>MC_SEEDS!B300</f>
        <v/>
      </c>
      <c r="C311" s="11">
        <f>MC_SEEDS!C300</f>
        <v/>
      </c>
      <c r="D311" s="11">
        <f>MC_SEEDS!D300</f>
        <v/>
      </c>
      <c r="E311" s="11">
        <f>MC_SEEDS!E300</f>
        <v/>
      </c>
      <c r="F311" s="11">
        <f>B311*INPUTS!$G$35*INPUTS!$G$42 + C311*INPUTS!$G$42 + D311*INPUTS!$G$43 + E311*INPUTS!$G$44</f>
        <v/>
      </c>
      <c r="G311" s="15">
        <f>INPUTS!$B$6*(1+F311)</f>
        <v/>
      </c>
      <c r="H311" s="15">
        <f>G311-INPUTS!$B$6</f>
        <v/>
      </c>
      <c r="I311" s="15">
        <f>MAX(0,H311-INPUTS!$B$7)</f>
        <v/>
      </c>
    </row>
    <row r="312">
      <c r="A312" s="14">
        <f>MC_SEEDS!A301</f>
        <v/>
      </c>
      <c r="B312" s="27">
        <f>MC_SEEDS!B301</f>
        <v/>
      </c>
      <c r="C312" s="11">
        <f>MC_SEEDS!C301</f>
        <v/>
      </c>
      <c r="D312" s="11">
        <f>MC_SEEDS!D301</f>
        <v/>
      </c>
      <c r="E312" s="11">
        <f>MC_SEEDS!E301</f>
        <v/>
      </c>
      <c r="F312" s="11">
        <f>B312*INPUTS!$G$35*INPUTS!$G$42 + C312*INPUTS!$G$42 + D312*INPUTS!$G$43 + E312*INPUTS!$G$44</f>
        <v/>
      </c>
      <c r="G312" s="15">
        <f>INPUTS!$B$6*(1+F312)</f>
        <v/>
      </c>
      <c r="H312" s="15">
        <f>G312-INPUTS!$B$6</f>
        <v/>
      </c>
      <c r="I312" s="15">
        <f>MAX(0,H312-INPUTS!$B$7)</f>
        <v/>
      </c>
    </row>
    <row r="313">
      <c r="A313" s="14">
        <f>MC_SEEDS!A302</f>
        <v/>
      </c>
      <c r="B313" s="27">
        <f>MC_SEEDS!B302</f>
        <v/>
      </c>
      <c r="C313" s="11">
        <f>MC_SEEDS!C302</f>
        <v/>
      </c>
      <c r="D313" s="11">
        <f>MC_SEEDS!D302</f>
        <v/>
      </c>
      <c r="E313" s="11">
        <f>MC_SEEDS!E302</f>
        <v/>
      </c>
      <c r="F313" s="11">
        <f>B313*INPUTS!$G$35*INPUTS!$G$42 + C313*INPUTS!$G$42 + D313*INPUTS!$G$43 + E313*INPUTS!$G$44</f>
        <v/>
      </c>
      <c r="G313" s="15">
        <f>INPUTS!$B$6*(1+F313)</f>
        <v/>
      </c>
      <c r="H313" s="15">
        <f>G313-INPUTS!$B$6</f>
        <v/>
      </c>
      <c r="I313" s="15">
        <f>MAX(0,H313-INPUTS!$B$7)</f>
        <v/>
      </c>
    </row>
    <row r="314">
      <c r="A314" s="14">
        <f>MC_SEEDS!A303</f>
        <v/>
      </c>
      <c r="B314" s="27">
        <f>MC_SEEDS!B303</f>
        <v/>
      </c>
      <c r="C314" s="11">
        <f>MC_SEEDS!C303</f>
        <v/>
      </c>
      <c r="D314" s="11">
        <f>MC_SEEDS!D303</f>
        <v/>
      </c>
      <c r="E314" s="11">
        <f>MC_SEEDS!E303</f>
        <v/>
      </c>
      <c r="F314" s="11">
        <f>B314*INPUTS!$G$35*INPUTS!$G$42 + C314*INPUTS!$G$42 + D314*INPUTS!$G$43 + E314*INPUTS!$G$44</f>
        <v/>
      </c>
      <c r="G314" s="15">
        <f>INPUTS!$B$6*(1+F314)</f>
        <v/>
      </c>
      <c r="H314" s="15">
        <f>G314-INPUTS!$B$6</f>
        <v/>
      </c>
      <c r="I314" s="15">
        <f>MAX(0,H314-INPUTS!$B$7)</f>
        <v/>
      </c>
    </row>
    <row r="315">
      <c r="A315" s="14">
        <f>MC_SEEDS!A304</f>
        <v/>
      </c>
      <c r="B315" s="27">
        <f>MC_SEEDS!B304</f>
        <v/>
      </c>
      <c r="C315" s="11">
        <f>MC_SEEDS!C304</f>
        <v/>
      </c>
      <c r="D315" s="11">
        <f>MC_SEEDS!D304</f>
        <v/>
      </c>
      <c r="E315" s="11">
        <f>MC_SEEDS!E304</f>
        <v/>
      </c>
      <c r="F315" s="11">
        <f>B315*INPUTS!$G$35*INPUTS!$G$42 + C315*INPUTS!$G$42 + D315*INPUTS!$G$43 + E315*INPUTS!$G$44</f>
        <v/>
      </c>
      <c r="G315" s="15">
        <f>INPUTS!$B$6*(1+F315)</f>
        <v/>
      </c>
      <c r="H315" s="15">
        <f>G315-INPUTS!$B$6</f>
        <v/>
      </c>
      <c r="I315" s="15">
        <f>MAX(0,H315-INPUTS!$B$7)</f>
        <v/>
      </c>
    </row>
    <row r="316">
      <c r="A316" s="14">
        <f>MC_SEEDS!A305</f>
        <v/>
      </c>
      <c r="B316" s="27">
        <f>MC_SEEDS!B305</f>
        <v/>
      </c>
      <c r="C316" s="11">
        <f>MC_SEEDS!C305</f>
        <v/>
      </c>
      <c r="D316" s="11">
        <f>MC_SEEDS!D305</f>
        <v/>
      </c>
      <c r="E316" s="11">
        <f>MC_SEEDS!E305</f>
        <v/>
      </c>
      <c r="F316" s="11">
        <f>B316*INPUTS!$G$35*INPUTS!$G$42 + C316*INPUTS!$G$42 + D316*INPUTS!$G$43 + E316*INPUTS!$G$44</f>
        <v/>
      </c>
      <c r="G316" s="15">
        <f>INPUTS!$B$6*(1+F316)</f>
        <v/>
      </c>
      <c r="H316" s="15">
        <f>G316-INPUTS!$B$6</f>
        <v/>
      </c>
      <c r="I316" s="15">
        <f>MAX(0,H316-INPUTS!$B$7)</f>
        <v/>
      </c>
    </row>
    <row r="317">
      <c r="A317" s="14">
        <f>MC_SEEDS!A306</f>
        <v/>
      </c>
      <c r="B317" s="27">
        <f>MC_SEEDS!B306</f>
        <v/>
      </c>
      <c r="C317" s="11">
        <f>MC_SEEDS!C306</f>
        <v/>
      </c>
      <c r="D317" s="11">
        <f>MC_SEEDS!D306</f>
        <v/>
      </c>
      <c r="E317" s="11">
        <f>MC_SEEDS!E306</f>
        <v/>
      </c>
      <c r="F317" s="11">
        <f>B317*INPUTS!$G$35*INPUTS!$G$42 + C317*INPUTS!$G$42 + D317*INPUTS!$G$43 + E317*INPUTS!$G$44</f>
        <v/>
      </c>
      <c r="G317" s="15">
        <f>INPUTS!$B$6*(1+F317)</f>
        <v/>
      </c>
      <c r="H317" s="15">
        <f>G317-INPUTS!$B$6</f>
        <v/>
      </c>
      <c r="I317" s="15">
        <f>MAX(0,H317-INPUTS!$B$7)</f>
        <v/>
      </c>
    </row>
    <row r="318">
      <c r="A318" s="14">
        <f>MC_SEEDS!A307</f>
        <v/>
      </c>
      <c r="B318" s="27">
        <f>MC_SEEDS!B307</f>
        <v/>
      </c>
      <c r="C318" s="11">
        <f>MC_SEEDS!C307</f>
        <v/>
      </c>
      <c r="D318" s="11">
        <f>MC_SEEDS!D307</f>
        <v/>
      </c>
      <c r="E318" s="11">
        <f>MC_SEEDS!E307</f>
        <v/>
      </c>
      <c r="F318" s="11">
        <f>B318*INPUTS!$G$35*INPUTS!$G$42 + C318*INPUTS!$G$42 + D318*INPUTS!$G$43 + E318*INPUTS!$G$44</f>
        <v/>
      </c>
      <c r="G318" s="15">
        <f>INPUTS!$B$6*(1+F318)</f>
        <v/>
      </c>
      <c r="H318" s="15">
        <f>G318-INPUTS!$B$6</f>
        <v/>
      </c>
      <c r="I318" s="15">
        <f>MAX(0,H318-INPUTS!$B$7)</f>
        <v/>
      </c>
    </row>
    <row r="319">
      <c r="A319" s="14">
        <f>MC_SEEDS!A308</f>
        <v/>
      </c>
      <c r="B319" s="27">
        <f>MC_SEEDS!B308</f>
        <v/>
      </c>
      <c r="C319" s="11">
        <f>MC_SEEDS!C308</f>
        <v/>
      </c>
      <c r="D319" s="11">
        <f>MC_SEEDS!D308</f>
        <v/>
      </c>
      <c r="E319" s="11">
        <f>MC_SEEDS!E308</f>
        <v/>
      </c>
      <c r="F319" s="11">
        <f>B319*INPUTS!$G$35*INPUTS!$G$42 + C319*INPUTS!$G$42 + D319*INPUTS!$G$43 + E319*INPUTS!$G$44</f>
        <v/>
      </c>
      <c r="G319" s="15">
        <f>INPUTS!$B$6*(1+F319)</f>
        <v/>
      </c>
      <c r="H319" s="15">
        <f>G319-INPUTS!$B$6</f>
        <v/>
      </c>
      <c r="I319" s="15">
        <f>MAX(0,H319-INPUTS!$B$7)</f>
        <v/>
      </c>
    </row>
    <row r="320">
      <c r="A320" s="14">
        <f>MC_SEEDS!A309</f>
        <v/>
      </c>
      <c r="B320" s="27">
        <f>MC_SEEDS!B309</f>
        <v/>
      </c>
      <c r="C320" s="11">
        <f>MC_SEEDS!C309</f>
        <v/>
      </c>
      <c r="D320" s="11">
        <f>MC_SEEDS!D309</f>
        <v/>
      </c>
      <c r="E320" s="11">
        <f>MC_SEEDS!E309</f>
        <v/>
      </c>
      <c r="F320" s="11">
        <f>B320*INPUTS!$G$35*INPUTS!$G$42 + C320*INPUTS!$G$42 + D320*INPUTS!$G$43 + E320*INPUTS!$G$44</f>
        <v/>
      </c>
      <c r="G320" s="15">
        <f>INPUTS!$B$6*(1+F320)</f>
        <v/>
      </c>
      <c r="H320" s="15">
        <f>G320-INPUTS!$B$6</f>
        <v/>
      </c>
      <c r="I320" s="15">
        <f>MAX(0,H320-INPUTS!$B$7)</f>
        <v/>
      </c>
    </row>
    <row r="321">
      <c r="A321" s="14">
        <f>MC_SEEDS!A310</f>
        <v/>
      </c>
      <c r="B321" s="27">
        <f>MC_SEEDS!B310</f>
        <v/>
      </c>
      <c r="C321" s="11">
        <f>MC_SEEDS!C310</f>
        <v/>
      </c>
      <c r="D321" s="11">
        <f>MC_SEEDS!D310</f>
        <v/>
      </c>
      <c r="E321" s="11">
        <f>MC_SEEDS!E310</f>
        <v/>
      </c>
      <c r="F321" s="11">
        <f>B321*INPUTS!$G$35*INPUTS!$G$42 + C321*INPUTS!$G$42 + D321*INPUTS!$G$43 + E321*INPUTS!$G$44</f>
        <v/>
      </c>
      <c r="G321" s="15">
        <f>INPUTS!$B$6*(1+F321)</f>
        <v/>
      </c>
      <c r="H321" s="15">
        <f>G321-INPUTS!$B$6</f>
        <v/>
      </c>
      <c r="I321" s="15">
        <f>MAX(0,H321-INPUTS!$B$7)</f>
        <v/>
      </c>
    </row>
    <row r="322">
      <c r="A322" s="14">
        <f>MC_SEEDS!A311</f>
        <v/>
      </c>
      <c r="B322" s="27">
        <f>MC_SEEDS!B311</f>
        <v/>
      </c>
      <c r="C322" s="11">
        <f>MC_SEEDS!C311</f>
        <v/>
      </c>
      <c r="D322" s="11">
        <f>MC_SEEDS!D311</f>
        <v/>
      </c>
      <c r="E322" s="11">
        <f>MC_SEEDS!E311</f>
        <v/>
      </c>
      <c r="F322" s="11">
        <f>B322*INPUTS!$G$35*INPUTS!$G$42 + C322*INPUTS!$G$42 + D322*INPUTS!$G$43 + E322*INPUTS!$G$44</f>
        <v/>
      </c>
      <c r="G322" s="15">
        <f>INPUTS!$B$6*(1+F322)</f>
        <v/>
      </c>
      <c r="H322" s="15">
        <f>G322-INPUTS!$B$6</f>
        <v/>
      </c>
      <c r="I322" s="15">
        <f>MAX(0,H322-INPUTS!$B$7)</f>
        <v/>
      </c>
    </row>
    <row r="323">
      <c r="A323" s="14">
        <f>MC_SEEDS!A312</f>
        <v/>
      </c>
      <c r="B323" s="27">
        <f>MC_SEEDS!B312</f>
        <v/>
      </c>
      <c r="C323" s="11">
        <f>MC_SEEDS!C312</f>
        <v/>
      </c>
      <c r="D323" s="11">
        <f>MC_SEEDS!D312</f>
        <v/>
      </c>
      <c r="E323" s="11">
        <f>MC_SEEDS!E312</f>
        <v/>
      </c>
      <c r="F323" s="11">
        <f>B323*INPUTS!$G$35*INPUTS!$G$42 + C323*INPUTS!$G$42 + D323*INPUTS!$G$43 + E323*INPUTS!$G$44</f>
        <v/>
      </c>
      <c r="G323" s="15">
        <f>INPUTS!$B$6*(1+F323)</f>
        <v/>
      </c>
      <c r="H323" s="15">
        <f>G323-INPUTS!$B$6</f>
        <v/>
      </c>
      <c r="I323" s="15">
        <f>MAX(0,H323-INPUTS!$B$7)</f>
        <v/>
      </c>
    </row>
    <row r="324">
      <c r="A324" s="14">
        <f>MC_SEEDS!A313</f>
        <v/>
      </c>
      <c r="B324" s="27">
        <f>MC_SEEDS!B313</f>
        <v/>
      </c>
      <c r="C324" s="11">
        <f>MC_SEEDS!C313</f>
        <v/>
      </c>
      <c r="D324" s="11">
        <f>MC_SEEDS!D313</f>
        <v/>
      </c>
      <c r="E324" s="11">
        <f>MC_SEEDS!E313</f>
        <v/>
      </c>
      <c r="F324" s="11">
        <f>B324*INPUTS!$G$35*INPUTS!$G$42 + C324*INPUTS!$G$42 + D324*INPUTS!$G$43 + E324*INPUTS!$G$44</f>
        <v/>
      </c>
      <c r="G324" s="15">
        <f>INPUTS!$B$6*(1+F324)</f>
        <v/>
      </c>
      <c r="H324" s="15">
        <f>G324-INPUTS!$B$6</f>
        <v/>
      </c>
      <c r="I324" s="15">
        <f>MAX(0,H324-INPUTS!$B$7)</f>
        <v/>
      </c>
    </row>
    <row r="325">
      <c r="A325" s="14">
        <f>MC_SEEDS!A314</f>
        <v/>
      </c>
      <c r="B325" s="27">
        <f>MC_SEEDS!B314</f>
        <v/>
      </c>
      <c r="C325" s="11">
        <f>MC_SEEDS!C314</f>
        <v/>
      </c>
      <c r="D325" s="11">
        <f>MC_SEEDS!D314</f>
        <v/>
      </c>
      <c r="E325" s="11">
        <f>MC_SEEDS!E314</f>
        <v/>
      </c>
      <c r="F325" s="11">
        <f>B325*INPUTS!$G$35*INPUTS!$G$42 + C325*INPUTS!$G$42 + D325*INPUTS!$G$43 + E325*INPUTS!$G$44</f>
        <v/>
      </c>
      <c r="G325" s="15">
        <f>INPUTS!$B$6*(1+F325)</f>
        <v/>
      </c>
      <c r="H325" s="15">
        <f>G325-INPUTS!$B$6</f>
        <v/>
      </c>
      <c r="I325" s="15">
        <f>MAX(0,H325-INPUTS!$B$7)</f>
        <v/>
      </c>
    </row>
    <row r="326">
      <c r="A326" s="14">
        <f>MC_SEEDS!A315</f>
        <v/>
      </c>
      <c r="B326" s="27">
        <f>MC_SEEDS!B315</f>
        <v/>
      </c>
      <c r="C326" s="11">
        <f>MC_SEEDS!C315</f>
        <v/>
      </c>
      <c r="D326" s="11">
        <f>MC_SEEDS!D315</f>
        <v/>
      </c>
      <c r="E326" s="11">
        <f>MC_SEEDS!E315</f>
        <v/>
      </c>
      <c r="F326" s="11">
        <f>B326*INPUTS!$G$35*INPUTS!$G$42 + C326*INPUTS!$G$42 + D326*INPUTS!$G$43 + E326*INPUTS!$G$44</f>
        <v/>
      </c>
      <c r="G326" s="15">
        <f>INPUTS!$B$6*(1+F326)</f>
        <v/>
      </c>
      <c r="H326" s="15">
        <f>G326-INPUTS!$B$6</f>
        <v/>
      </c>
      <c r="I326" s="15">
        <f>MAX(0,H326-INPUTS!$B$7)</f>
        <v/>
      </c>
    </row>
    <row r="327">
      <c r="A327" s="14">
        <f>MC_SEEDS!A316</f>
        <v/>
      </c>
      <c r="B327" s="27">
        <f>MC_SEEDS!B316</f>
        <v/>
      </c>
      <c r="C327" s="11">
        <f>MC_SEEDS!C316</f>
        <v/>
      </c>
      <c r="D327" s="11">
        <f>MC_SEEDS!D316</f>
        <v/>
      </c>
      <c r="E327" s="11">
        <f>MC_SEEDS!E316</f>
        <v/>
      </c>
      <c r="F327" s="11">
        <f>B327*INPUTS!$G$35*INPUTS!$G$42 + C327*INPUTS!$G$42 + D327*INPUTS!$G$43 + E327*INPUTS!$G$44</f>
        <v/>
      </c>
      <c r="G327" s="15">
        <f>INPUTS!$B$6*(1+F327)</f>
        <v/>
      </c>
      <c r="H327" s="15">
        <f>G327-INPUTS!$B$6</f>
        <v/>
      </c>
      <c r="I327" s="15">
        <f>MAX(0,H327-INPUTS!$B$7)</f>
        <v/>
      </c>
    </row>
    <row r="328">
      <c r="A328" s="14">
        <f>MC_SEEDS!A317</f>
        <v/>
      </c>
      <c r="B328" s="27">
        <f>MC_SEEDS!B317</f>
        <v/>
      </c>
      <c r="C328" s="11">
        <f>MC_SEEDS!C317</f>
        <v/>
      </c>
      <c r="D328" s="11">
        <f>MC_SEEDS!D317</f>
        <v/>
      </c>
      <c r="E328" s="11">
        <f>MC_SEEDS!E317</f>
        <v/>
      </c>
      <c r="F328" s="11">
        <f>B328*INPUTS!$G$35*INPUTS!$G$42 + C328*INPUTS!$G$42 + D328*INPUTS!$G$43 + E328*INPUTS!$G$44</f>
        <v/>
      </c>
      <c r="G328" s="15">
        <f>INPUTS!$B$6*(1+F328)</f>
        <v/>
      </c>
      <c r="H328" s="15">
        <f>G328-INPUTS!$B$6</f>
        <v/>
      </c>
      <c r="I328" s="15">
        <f>MAX(0,H328-INPUTS!$B$7)</f>
        <v/>
      </c>
    </row>
    <row r="329">
      <c r="A329" s="14">
        <f>MC_SEEDS!A318</f>
        <v/>
      </c>
      <c r="B329" s="27">
        <f>MC_SEEDS!B318</f>
        <v/>
      </c>
      <c r="C329" s="11">
        <f>MC_SEEDS!C318</f>
        <v/>
      </c>
      <c r="D329" s="11">
        <f>MC_SEEDS!D318</f>
        <v/>
      </c>
      <c r="E329" s="11">
        <f>MC_SEEDS!E318</f>
        <v/>
      </c>
      <c r="F329" s="11">
        <f>B329*INPUTS!$G$35*INPUTS!$G$42 + C329*INPUTS!$G$42 + D329*INPUTS!$G$43 + E329*INPUTS!$G$44</f>
        <v/>
      </c>
      <c r="G329" s="15">
        <f>INPUTS!$B$6*(1+F329)</f>
        <v/>
      </c>
      <c r="H329" s="15">
        <f>G329-INPUTS!$B$6</f>
        <v/>
      </c>
      <c r="I329" s="15">
        <f>MAX(0,H329-INPUTS!$B$7)</f>
        <v/>
      </c>
    </row>
    <row r="330">
      <c r="A330" s="14">
        <f>MC_SEEDS!A319</f>
        <v/>
      </c>
      <c r="B330" s="27">
        <f>MC_SEEDS!B319</f>
        <v/>
      </c>
      <c r="C330" s="11">
        <f>MC_SEEDS!C319</f>
        <v/>
      </c>
      <c r="D330" s="11">
        <f>MC_SEEDS!D319</f>
        <v/>
      </c>
      <c r="E330" s="11">
        <f>MC_SEEDS!E319</f>
        <v/>
      </c>
      <c r="F330" s="11">
        <f>B330*INPUTS!$G$35*INPUTS!$G$42 + C330*INPUTS!$G$42 + D330*INPUTS!$G$43 + E330*INPUTS!$G$44</f>
        <v/>
      </c>
      <c r="G330" s="15">
        <f>INPUTS!$B$6*(1+F330)</f>
        <v/>
      </c>
      <c r="H330" s="15">
        <f>G330-INPUTS!$B$6</f>
        <v/>
      </c>
      <c r="I330" s="15">
        <f>MAX(0,H330-INPUTS!$B$7)</f>
        <v/>
      </c>
    </row>
    <row r="331">
      <c r="A331" s="14">
        <f>MC_SEEDS!A320</f>
        <v/>
      </c>
      <c r="B331" s="27">
        <f>MC_SEEDS!B320</f>
        <v/>
      </c>
      <c r="C331" s="11">
        <f>MC_SEEDS!C320</f>
        <v/>
      </c>
      <c r="D331" s="11">
        <f>MC_SEEDS!D320</f>
        <v/>
      </c>
      <c r="E331" s="11">
        <f>MC_SEEDS!E320</f>
        <v/>
      </c>
      <c r="F331" s="11">
        <f>B331*INPUTS!$G$35*INPUTS!$G$42 + C331*INPUTS!$G$42 + D331*INPUTS!$G$43 + E331*INPUTS!$G$44</f>
        <v/>
      </c>
      <c r="G331" s="15">
        <f>INPUTS!$B$6*(1+F331)</f>
        <v/>
      </c>
      <c r="H331" s="15">
        <f>G331-INPUTS!$B$6</f>
        <v/>
      </c>
      <c r="I331" s="15">
        <f>MAX(0,H331-INPUTS!$B$7)</f>
        <v/>
      </c>
    </row>
    <row r="332">
      <c r="A332" s="14">
        <f>MC_SEEDS!A321</f>
        <v/>
      </c>
      <c r="B332" s="27">
        <f>MC_SEEDS!B321</f>
        <v/>
      </c>
      <c r="C332" s="11">
        <f>MC_SEEDS!C321</f>
        <v/>
      </c>
      <c r="D332" s="11">
        <f>MC_SEEDS!D321</f>
        <v/>
      </c>
      <c r="E332" s="11">
        <f>MC_SEEDS!E321</f>
        <v/>
      </c>
      <c r="F332" s="11">
        <f>B332*INPUTS!$G$35*INPUTS!$G$42 + C332*INPUTS!$G$42 + D332*INPUTS!$G$43 + E332*INPUTS!$G$44</f>
        <v/>
      </c>
      <c r="G332" s="15">
        <f>INPUTS!$B$6*(1+F332)</f>
        <v/>
      </c>
      <c r="H332" s="15">
        <f>G332-INPUTS!$B$6</f>
        <v/>
      </c>
      <c r="I332" s="15">
        <f>MAX(0,H332-INPUTS!$B$7)</f>
        <v/>
      </c>
    </row>
    <row r="333">
      <c r="A333" s="14">
        <f>MC_SEEDS!A322</f>
        <v/>
      </c>
      <c r="B333" s="27">
        <f>MC_SEEDS!B322</f>
        <v/>
      </c>
      <c r="C333" s="11">
        <f>MC_SEEDS!C322</f>
        <v/>
      </c>
      <c r="D333" s="11">
        <f>MC_SEEDS!D322</f>
        <v/>
      </c>
      <c r="E333" s="11">
        <f>MC_SEEDS!E322</f>
        <v/>
      </c>
      <c r="F333" s="11">
        <f>B333*INPUTS!$G$35*INPUTS!$G$42 + C333*INPUTS!$G$42 + D333*INPUTS!$G$43 + E333*INPUTS!$G$44</f>
        <v/>
      </c>
      <c r="G333" s="15">
        <f>INPUTS!$B$6*(1+F333)</f>
        <v/>
      </c>
      <c r="H333" s="15">
        <f>G333-INPUTS!$B$6</f>
        <v/>
      </c>
      <c r="I333" s="15">
        <f>MAX(0,H333-INPUTS!$B$7)</f>
        <v/>
      </c>
    </row>
    <row r="334">
      <c r="A334" s="14">
        <f>MC_SEEDS!A323</f>
        <v/>
      </c>
      <c r="B334" s="27">
        <f>MC_SEEDS!B323</f>
        <v/>
      </c>
      <c r="C334" s="11">
        <f>MC_SEEDS!C323</f>
        <v/>
      </c>
      <c r="D334" s="11">
        <f>MC_SEEDS!D323</f>
        <v/>
      </c>
      <c r="E334" s="11">
        <f>MC_SEEDS!E323</f>
        <v/>
      </c>
      <c r="F334" s="11">
        <f>B334*INPUTS!$G$35*INPUTS!$G$42 + C334*INPUTS!$G$42 + D334*INPUTS!$G$43 + E334*INPUTS!$G$44</f>
        <v/>
      </c>
      <c r="G334" s="15">
        <f>INPUTS!$B$6*(1+F334)</f>
        <v/>
      </c>
      <c r="H334" s="15">
        <f>G334-INPUTS!$B$6</f>
        <v/>
      </c>
      <c r="I334" s="15">
        <f>MAX(0,H334-INPUTS!$B$7)</f>
        <v/>
      </c>
    </row>
    <row r="335">
      <c r="A335" s="14">
        <f>MC_SEEDS!A324</f>
        <v/>
      </c>
      <c r="B335" s="27">
        <f>MC_SEEDS!B324</f>
        <v/>
      </c>
      <c r="C335" s="11">
        <f>MC_SEEDS!C324</f>
        <v/>
      </c>
      <c r="D335" s="11">
        <f>MC_SEEDS!D324</f>
        <v/>
      </c>
      <c r="E335" s="11">
        <f>MC_SEEDS!E324</f>
        <v/>
      </c>
      <c r="F335" s="11">
        <f>B335*INPUTS!$G$35*INPUTS!$G$42 + C335*INPUTS!$G$42 + D335*INPUTS!$G$43 + E335*INPUTS!$G$44</f>
        <v/>
      </c>
      <c r="G335" s="15">
        <f>INPUTS!$B$6*(1+F335)</f>
        <v/>
      </c>
      <c r="H335" s="15">
        <f>G335-INPUTS!$B$6</f>
        <v/>
      </c>
      <c r="I335" s="15">
        <f>MAX(0,H335-INPUTS!$B$7)</f>
        <v/>
      </c>
    </row>
    <row r="336">
      <c r="A336" s="14">
        <f>MC_SEEDS!A325</f>
        <v/>
      </c>
      <c r="B336" s="27">
        <f>MC_SEEDS!B325</f>
        <v/>
      </c>
      <c r="C336" s="11">
        <f>MC_SEEDS!C325</f>
        <v/>
      </c>
      <c r="D336" s="11">
        <f>MC_SEEDS!D325</f>
        <v/>
      </c>
      <c r="E336" s="11">
        <f>MC_SEEDS!E325</f>
        <v/>
      </c>
      <c r="F336" s="11">
        <f>B336*INPUTS!$G$35*INPUTS!$G$42 + C336*INPUTS!$G$42 + D336*INPUTS!$G$43 + E336*INPUTS!$G$44</f>
        <v/>
      </c>
      <c r="G336" s="15">
        <f>INPUTS!$B$6*(1+F336)</f>
        <v/>
      </c>
      <c r="H336" s="15">
        <f>G336-INPUTS!$B$6</f>
        <v/>
      </c>
      <c r="I336" s="15">
        <f>MAX(0,H336-INPUTS!$B$7)</f>
        <v/>
      </c>
    </row>
    <row r="337">
      <c r="A337" s="14">
        <f>MC_SEEDS!A326</f>
        <v/>
      </c>
      <c r="B337" s="27">
        <f>MC_SEEDS!B326</f>
        <v/>
      </c>
      <c r="C337" s="11">
        <f>MC_SEEDS!C326</f>
        <v/>
      </c>
      <c r="D337" s="11">
        <f>MC_SEEDS!D326</f>
        <v/>
      </c>
      <c r="E337" s="11">
        <f>MC_SEEDS!E326</f>
        <v/>
      </c>
      <c r="F337" s="11">
        <f>B337*INPUTS!$G$35*INPUTS!$G$42 + C337*INPUTS!$G$42 + D337*INPUTS!$G$43 + E337*INPUTS!$G$44</f>
        <v/>
      </c>
      <c r="G337" s="15">
        <f>INPUTS!$B$6*(1+F337)</f>
        <v/>
      </c>
      <c r="H337" s="15">
        <f>G337-INPUTS!$B$6</f>
        <v/>
      </c>
      <c r="I337" s="15">
        <f>MAX(0,H337-INPUTS!$B$7)</f>
        <v/>
      </c>
    </row>
    <row r="338">
      <c r="A338" s="14">
        <f>MC_SEEDS!A327</f>
        <v/>
      </c>
      <c r="B338" s="27">
        <f>MC_SEEDS!B327</f>
        <v/>
      </c>
      <c r="C338" s="11">
        <f>MC_SEEDS!C327</f>
        <v/>
      </c>
      <c r="D338" s="11">
        <f>MC_SEEDS!D327</f>
        <v/>
      </c>
      <c r="E338" s="11">
        <f>MC_SEEDS!E327</f>
        <v/>
      </c>
      <c r="F338" s="11">
        <f>B338*INPUTS!$G$35*INPUTS!$G$42 + C338*INPUTS!$G$42 + D338*INPUTS!$G$43 + E338*INPUTS!$G$44</f>
        <v/>
      </c>
      <c r="G338" s="15">
        <f>INPUTS!$B$6*(1+F338)</f>
        <v/>
      </c>
      <c r="H338" s="15">
        <f>G338-INPUTS!$B$6</f>
        <v/>
      </c>
      <c r="I338" s="15">
        <f>MAX(0,H338-INPUTS!$B$7)</f>
        <v/>
      </c>
    </row>
    <row r="339">
      <c r="A339" s="14">
        <f>MC_SEEDS!A328</f>
        <v/>
      </c>
      <c r="B339" s="27">
        <f>MC_SEEDS!B328</f>
        <v/>
      </c>
      <c r="C339" s="11">
        <f>MC_SEEDS!C328</f>
        <v/>
      </c>
      <c r="D339" s="11">
        <f>MC_SEEDS!D328</f>
        <v/>
      </c>
      <c r="E339" s="11">
        <f>MC_SEEDS!E328</f>
        <v/>
      </c>
      <c r="F339" s="11">
        <f>B339*INPUTS!$G$35*INPUTS!$G$42 + C339*INPUTS!$G$42 + D339*INPUTS!$G$43 + E339*INPUTS!$G$44</f>
        <v/>
      </c>
      <c r="G339" s="15">
        <f>INPUTS!$B$6*(1+F339)</f>
        <v/>
      </c>
      <c r="H339" s="15">
        <f>G339-INPUTS!$B$6</f>
        <v/>
      </c>
      <c r="I339" s="15">
        <f>MAX(0,H339-INPUTS!$B$7)</f>
        <v/>
      </c>
    </row>
    <row r="340">
      <c r="A340" s="14">
        <f>MC_SEEDS!A329</f>
        <v/>
      </c>
      <c r="B340" s="27">
        <f>MC_SEEDS!B329</f>
        <v/>
      </c>
      <c r="C340" s="11">
        <f>MC_SEEDS!C329</f>
        <v/>
      </c>
      <c r="D340" s="11">
        <f>MC_SEEDS!D329</f>
        <v/>
      </c>
      <c r="E340" s="11">
        <f>MC_SEEDS!E329</f>
        <v/>
      </c>
      <c r="F340" s="11">
        <f>B340*INPUTS!$G$35*INPUTS!$G$42 + C340*INPUTS!$G$42 + D340*INPUTS!$G$43 + E340*INPUTS!$G$44</f>
        <v/>
      </c>
      <c r="G340" s="15">
        <f>INPUTS!$B$6*(1+F340)</f>
        <v/>
      </c>
      <c r="H340" s="15">
        <f>G340-INPUTS!$B$6</f>
        <v/>
      </c>
      <c r="I340" s="15">
        <f>MAX(0,H340-INPUTS!$B$7)</f>
        <v/>
      </c>
    </row>
    <row r="341">
      <c r="A341" s="14">
        <f>MC_SEEDS!A330</f>
        <v/>
      </c>
      <c r="B341" s="27">
        <f>MC_SEEDS!B330</f>
        <v/>
      </c>
      <c r="C341" s="11">
        <f>MC_SEEDS!C330</f>
        <v/>
      </c>
      <c r="D341" s="11">
        <f>MC_SEEDS!D330</f>
        <v/>
      </c>
      <c r="E341" s="11">
        <f>MC_SEEDS!E330</f>
        <v/>
      </c>
      <c r="F341" s="11">
        <f>B341*INPUTS!$G$35*INPUTS!$G$42 + C341*INPUTS!$G$42 + D341*INPUTS!$G$43 + E341*INPUTS!$G$44</f>
        <v/>
      </c>
      <c r="G341" s="15">
        <f>INPUTS!$B$6*(1+F341)</f>
        <v/>
      </c>
      <c r="H341" s="15">
        <f>G341-INPUTS!$B$6</f>
        <v/>
      </c>
      <c r="I341" s="15">
        <f>MAX(0,H341-INPUTS!$B$7)</f>
        <v/>
      </c>
    </row>
    <row r="342">
      <c r="A342" s="14">
        <f>MC_SEEDS!A331</f>
        <v/>
      </c>
      <c r="B342" s="27">
        <f>MC_SEEDS!B331</f>
        <v/>
      </c>
      <c r="C342" s="11">
        <f>MC_SEEDS!C331</f>
        <v/>
      </c>
      <c r="D342" s="11">
        <f>MC_SEEDS!D331</f>
        <v/>
      </c>
      <c r="E342" s="11">
        <f>MC_SEEDS!E331</f>
        <v/>
      </c>
      <c r="F342" s="11">
        <f>B342*INPUTS!$G$35*INPUTS!$G$42 + C342*INPUTS!$G$42 + D342*INPUTS!$G$43 + E342*INPUTS!$G$44</f>
        <v/>
      </c>
      <c r="G342" s="15">
        <f>INPUTS!$B$6*(1+F342)</f>
        <v/>
      </c>
      <c r="H342" s="15">
        <f>G342-INPUTS!$B$6</f>
        <v/>
      </c>
      <c r="I342" s="15">
        <f>MAX(0,H342-INPUTS!$B$7)</f>
        <v/>
      </c>
    </row>
    <row r="343">
      <c r="A343" s="14">
        <f>MC_SEEDS!A332</f>
        <v/>
      </c>
      <c r="B343" s="27">
        <f>MC_SEEDS!B332</f>
        <v/>
      </c>
      <c r="C343" s="11">
        <f>MC_SEEDS!C332</f>
        <v/>
      </c>
      <c r="D343" s="11">
        <f>MC_SEEDS!D332</f>
        <v/>
      </c>
      <c r="E343" s="11">
        <f>MC_SEEDS!E332</f>
        <v/>
      </c>
      <c r="F343" s="11">
        <f>B343*INPUTS!$G$35*INPUTS!$G$42 + C343*INPUTS!$G$42 + D343*INPUTS!$G$43 + E343*INPUTS!$G$44</f>
        <v/>
      </c>
      <c r="G343" s="15">
        <f>INPUTS!$B$6*(1+F343)</f>
        <v/>
      </c>
      <c r="H343" s="15">
        <f>G343-INPUTS!$B$6</f>
        <v/>
      </c>
      <c r="I343" s="15">
        <f>MAX(0,H343-INPUTS!$B$7)</f>
        <v/>
      </c>
    </row>
    <row r="344">
      <c r="A344" s="14">
        <f>MC_SEEDS!A333</f>
        <v/>
      </c>
      <c r="B344" s="27">
        <f>MC_SEEDS!B333</f>
        <v/>
      </c>
      <c r="C344" s="11">
        <f>MC_SEEDS!C333</f>
        <v/>
      </c>
      <c r="D344" s="11">
        <f>MC_SEEDS!D333</f>
        <v/>
      </c>
      <c r="E344" s="11">
        <f>MC_SEEDS!E333</f>
        <v/>
      </c>
      <c r="F344" s="11">
        <f>B344*INPUTS!$G$35*INPUTS!$G$42 + C344*INPUTS!$G$42 + D344*INPUTS!$G$43 + E344*INPUTS!$G$44</f>
        <v/>
      </c>
      <c r="G344" s="15">
        <f>INPUTS!$B$6*(1+F344)</f>
        <v/>
      </c>
      <c r="H344" s="15">
        <f>G344-INPUTS!$B$6</f>
        <v/>
      </c>
      <c r="I344" s="15">
        <f>MAX(0,H344-INPUTS!$B$7)</f>
        <v/>
      </c>
    </row>
    <row r="345">
      <c r="A345" s="14">
        <f>MC_SEEDS!A334</f>
        <v/>
      </c>
      <c r="B345" s="27">
        <f>MC_SEEDS!B334</f>
        <v/>
      </c>
      <c r="C345" s="11">
        <f>MC_SEEDS!C334</f>
        <v/>
      </c>
      <c r="D345" s="11">
        <f>MC_SEEDS!D334</f>
        <v/>
      </c>
      <c r="E345" s="11">
        <f>MC_SEEDS!E334</f>
        <v/>
      </c>
      <c r="F345" s="11">
        <f>B345*INPUTS!$G$35*INPUTS!$G$42 + C345*INPUTS!$G$42 + D345*INPUTS!$G$43 + E345*INPUTS!$G$44</f>
        <v/>
      </c>
      <c r="G345" s="15">
        <f>INPUTS!$B$6*(1+F345)</f>
        <v/>
      </c>
      <c r="H345" s="15">
        <f>G345-INPUTS!$B$6</f>
        <v/>
      </c>
      <c r="I345" s="15">
        <f>MAX(0,H345-INPUTS!$B$7)</f>
        <v/>
      </c>
    </row>
    <row r="346">
      <c r="A346" s="14">
        <f>MC_SEEDS!A335</f>
        <v/>
      </c>
      <c r="B346" s="27">
        <f>MC_SEEDS!B335</f>
        <v/>
      </c>
      <c r="C346" s="11">
        <f>MC_SEEDS!C335</f>
        <v/>
      </c>
      <c r="D346" s="11">
        <f>MC_SEEDS!D335</f>
        <v/>
      </c>
      <c r="E346" s="11">
        <f>MC_SEEDS!E335</f>
        <v/>
      </c>
      <c r="F346" s="11">
        <f>B346*INPUTS!$G$35*INPUTS!$G$42 + C346*INPUTS!$G$42 + D346*INPUTS!$G$43 + E346*INPUTS!$G$44</f>
        <v/>
      </c>
      <c r="G346" s="15">
        <f>INPUTS!$B$6*(1+F346)</f>
        <v/>
      </c>
      <c r="H346" s="15">
        <f>G346-INPUTS!$B$6</f>
        <v/>
      </c>
      <c r="I346" s="15">
        <f>MAX(0,H346-INPUTS!$B$7)</f>
        <v/>
      </c>
    </row>
    <row r="347">
      <c r="A347" s="14">
        <f>MC_SEEDS!A336</f>
        <v/>
      </c>
      <c r="B347" s="27">
        <f>MC_SEEDS!B336</f>
        <v/>
      </c>
      <c r="C347" s="11">
        <f>MC_SEEDS!C336</f>
        <v/>
      </c>
      <c r="D347" s="11">
        <f>MC_SEEDS!D336</f>
        <v/>
      </c>
      <c r="E347" s="11">
        <f>MC_SEEDS!E336</f>
        <v/>
      </c>
      <c r="F347" s="11">
        <f>B347*INPUTS!$G$35*INPUTS!$G$42 + C347*INPUTS!$G$42 + D347*INPUTS!$G$43 + E347*INPUTS!$G$44</f>
        <v/>
      </c>
      <c r="G347" s="15">
        <f>INPUTS!$B$6*(1+F347)</f>
        <v/>
      </c>
      <c r="H347" s="15">
        <f>G347-INPUTS!$B$6</f>
        <v/>
      </c>
      <c r="I347" s="15">
        <f>MAX(0,H347-INPUTS!$B$7)</f>
        <v/>
      </c>
    </row>
    <row r="348">
      <c r="A348" s="14">
        <f>MC_SEEDS!A337</f>
        <v/>
      </c>
      <c r="B348" s="27">
        <f>MC_SEEDS!B337</f>
        <v/>
      </c>
      <c r="C348" s="11">
        <f>MC_SEEDS!C337</f>
        <v/>
      </c>
      <c r="D348" s="11">
        <f>MC_SEEDS!D337</f>
        <v/>
      </c>
      <c r="E348" s="11">
        <f>MC_SEEDS!E337</f>
        <v/>
      </c>
      <c r="F348" s="11">
        <f>B348*INPUTS!$G$35*INPUTS!$G$42 + C348*INPUTS!$G$42 + D348*INPUTS!$G$43 + E348*INPUTS!$G$44</f>
        <v/>
      </c>
      <c r="G348" s="15">
        <f>INPUTS!$B$6*(1+F348)</f>
        <v/>
      </c>
      <c r="H348" s="15">
        <f>G348-INPUTS!$B$6</f>
        <v/>
      </c>
      <c r="I348" s="15">
        <f>MAX(0,H348-INPUTS!$B$7)</f>
        <v/>
      </c>
    </row>
    <row r="349">
      <c r="A349" s="14">
        <f>MC_SEEDS!A338</f>
        <v/>
      </c>
      <c r="B349" s="27">
        <f>MC_SEEDS!B338</f>
        <v/>
      </c>
      <c r="C349" s="11">
        <f>MC_SEEDS!C338</f>
        <v/>
      </c>
      <c r="D349" s="11">
        <f>MC_SEEDS!D338</f>
        <v/>
      </c>
      <c r="E349" s="11">
        <f>MC_SEEDS!E338</f>
        <v/>
      </c>
      <c r="F349" s="11">
        <f>B349*INPUTS!$G$35*INPUTS!$G$42 + C349*INPUTS!$G$42 + D349*INPUTS!$G$43 + E349*INPUTS!$G$44</f>
        <v/>
      </c>
      <c r="G349" s="15">
        <f>INPUTS!$B$6*(1+F349)</f>
        <v/>
      </c>
      <c r="H349" s="15">
        <f>G349-INPUTS!$B$6</f>
        <v/>
      </c>
      <c r="I349" s="15">
        <f>MAX(0,H349-INPUTS!$B$7)</f>
        <v/>
      </c>
    </row>
    <row r="350">
      <c r="A350" s="14">
        <f>MC_SEEDS!A339</f>
        <v/>
      </c>
      <c r="B350" s="27">
        <f>MC_SEEDS!B339</f>
        <v/>
      </c>
      <c r="C350" s="11">
        <f>MC_SEEDS!C339</f>
        <v/>
      </c>
      <c r="D350" s="11">
        <f>MC_SEEDS!D339</f>
        <v/>
      </c>
      <c r="E350" s="11">
        <f>MC_SEEDS!E339</f>
        <v/>
      </c>
      <c r="F350" s="11">
        <f>B350*INPUTS!$G$35*INPUTS!$G$42 + C350*INPUTS!$G$42 + D350*INPUTS!$G$43 + E350*INPUTS!$G$44</f>
        <v/>
      </c>
      <c r="G350" s="15">
        <f>INPUTS!$B$6*(1+F350)</f>
        <v/>
      </c>
      <c r="H350" s="15">
        <f>G350-INPUTS!$B$6</f>
        <v/>
      </c>
      <c r="I350" s="15">
        <f>MAX(0,H350-INPUTS!$B$7)</f>
        <v/>
      </c>
    </row>
    <row r="351">
      <c r="A351" s="14">
        <f>MC_SEEDS!A340</f>
        <v/>
      </c>
      <c r="B351" s="27">
        <f>MC_SEEDS!B340</f>
        <v/>
      </c>
      <c r="C351" s="11">
        <f>MC_SEEDS!C340</f>
        <v/>
      </c>
      <c r="D351" s="11">
        <f>MC_SEEDS!D340</f>
        <v/>
      </c>
      <c r="E351" s="11">
        <f>MC_SEEDS!E340</f>
        <v/>
      </c>
      <c r="F351" s="11">
        <f>B351*INPUTS!$G$35*INPUTS!$G$42 + C351*INPUTS!$G$42 + D351*INPUTS!$G$43 + E351*INPUTS!$G$44</f>
        <v/>
      </c>
      <c r="G351" s="15">
        <f>INPUTS!$B$6*(1+F351)</f>
        <v/>
      </c>
      <c r="H351" s="15">
        <f>G351-INPUTS!$B$6</f>
        <v/>
      </c>
      <c r="I351" s="15">
        <f>MAX(0,H351-INPUTS!$B$7)</f>
        <v/>
      </c>
    </row>
    <row r="352">
      <c r="A352" s="14">
        <f>MC_SEEDS!A341</f>
        <v/>
      </c>
      <c r="B352" s="27">
        <f>MC_SEEDS!B341</f>
        <v/>
      </c>
      <c r="C352" s="11">
        <f>MC_SEEDS!C341</f>
        <v/>
      </c>
      <c r="D352" s="11">
        <f>MC_SEEDS!D341</f>
        <v/>
      </c>
      <c r="E352" s="11">
        <f>MC_SEEDS!E341</f>
        <v/>
      </c>
      <c r="F352" s="11">
        <f>B352*INPUTS!$G$35*INPUTS!$G$42 + C352*INPUTS!$G$42 + D352*INPUTS!$G$43 + E352*INPUTS!$G$44</f>
        <v/>
      </c>
      <c r="G352" s="15">
        <f>INPUTS!$B$6*(1+F352)</f>
        <v/>
      </c>
      <c r="H352" s="15">
        <f>G352-INPUTS!$B$6</f>
        <v/>
      </c>
      <c r="I352" s="15">
        <f>MAX(0,H352-INPUTS!$B$7)</f>
        <v/>
      </c>
    </row>
    <row r="353">
      <c r="A353" s="14">
        <f>MC_SEEDS!A342</f>
        <v/>
      </c>
      <c r="B353" s="27">
        <f>MC_SEEDS!B342</f>
        <v/>
      </c>
      <c r="C353" s="11">
        <f>MC_SEEDS!C342</f>
        <v/>
      </c>
      <c r="D353" s="11">
        <f>MC_SEEDS!D342</f>
        <v/>
      </c>
      <c r="E353" s="11">
        <f>MC_SEEDS!E342</f>
        <v/>
      </c>
      <c r="F353" s="11">
        <f>B353*INPUTS!$G$35*INPUTS!$G$42 + C353*INPUTS!$G$42 + D353*INPUTS!$G$43 + E353*INPUTS!$G$44</f>
        <v/>
      </c>
      <c r="G353" s="15">
        <f>INPUTS!$B$6*(1+F353)</f>
        <v/>
      </c>
      <c r="H353" s="15">
        <f>G353-INPUTS!$B$6</f>
        <v/>
      </c>
      <c r="I353" s="15">
        <f>MAX(0,H353-INPUTS!$B$7)</f>
        <v/>
      </c>
    </row>
    <row r="354">
      <c r="A354" s="14">
        <f>MC_SEEDS!A343</f>
        <v/>
      </c>
      <c r="B354" s="27">
        <f>MC_SEEDS!B343</f>
        <v/>
      </c>
      <c r="C354" s="11">
        <f>MC_SEEDS!C343</f>
        <v/>
      </c>
      <c r="D354" s="11">
        <f>MC_SEEDS!D343</f>
        <v/>
      </c>
      <c r="E354" s="11">
        <f>MC_SEEDS!E343</f>
        <v/>
      </c>
      <c r="F354" s="11">
        <f>B354*INPUTS!$G$35*INPUTS!$G$42 + C354*INPUTS!$G$42 + D354*INPUTS!$G$43 + E354*INPUTS!$G$44</f>
        <v/>
      </c>
      <c r="G354" s="15">
        <f>INPUTS!$B$6*(1+F354)</f>
        <v/>
      </c>
      <c r="H354" s="15">
        <f>G354-INPUTS!$B$6</f>
        <v/>
      </c>
      <c r="I354" s="15">
        <f>MAX(0,H354-INPUTS!$B$7)</f>
        <v/>
      </c>
    </row>
    <row r="355">
      <c r="A355" s="14">
        <f>MC_SEEDS!A344</f>
        <v/>
      </c>
      <c r="B355" s="27">
        <f>MC_SEEDS!B344</f>
        <v/>
      </c>
      <c r="C355" s="11">
        <f>MC_SEEDS!C344</f>
        <v/>
      </c>
      <c r="D355" s="11">
        <f>MC_SEEDS!D344</f>
        <v/>
      </c>
      <c r="E355" s="11">
        <f>MC_SEEDS!E344</f>
        <v/>
      </c>
      <c r="F355" s="11">
        <f>B355*INPUTS!$G$35*INPUTS!$G$42 + C355*INPUTS!$G$42 + D355*INPUTS!$G$43 + E355*INPUTS!$G$44</f>
        <v/>
      </c>
      <c r="G355" s="15">
        <f>INPUTS!$B$6*(1+F355)</f>
        <v/>
      </c>
      <c r="H355" s="15">
        <f>G355-INPUTS!$B$6</f>
        <v/>
      </c>
      <c r="I355" s="15">
        <f>MAX(0,H355-INPUTS!$B$7)</f>
        <v/>
      </c>
    </row>
    <row r="356">
      <c r="A356" s="14">
        <f>MC_SEEDS!A345</f>
        <v/>
      </c>
      <c r="B356" s="27">
        <f>MC_SEEDS!B345</f>
        <v/>
      </c>
      <c r="C356" s="11">
        <f>MC_SEEDS!C345</f>
        <v/>
      </c>
      <c r="D356" s="11">
        <f>MC_SEEDS!D345</f>
        <v/>
      </c>
      <c r="E356" s="11">
        <f>MC_SEEDS!E345</f>
        <v/>
      </c>
      <c r="F356" s="11">
        <f>B356*INPUTS!$G$35*INPUTS!$G$42 + C356*INPUTS!$G$42 + D356*INPUTS!$G$43 + E356*INPUTS!$G$44</f>
        <v/>
      </c>
      <c r="G356" s="15">
        <f>INPUTS!$B$6*(1+F356)</f>
        <v/>
      </c>
      <c r="H356" s="15">
        <f>G356-INPUTS!$B$6</f>
        <v/>
      </c>
      <c r="I356" s="15">
        <f>MAX(0,H356-INPUTS!$B$7)</f>
        <v/>
      </c>
    </row>
    <row r="357">
      <c r="A357" s="14">
        <f>MC_SEEDS!A346</f>
        <v/>
      </c>
      <c r="B357" s="27">
        <f>MC_SEEDS!B346</f>
        <v/>
      </c>
      <c r="C357" s="11">
        <f>MC_SEEDS!C346</f>
        <v/>
      </c>
      <c r="D357" s="11">
        <f>MC_SEEDS!D346</f>
        <v/>
      </c>
      <c r="E357" s="11">
        <f>MC_SEEDS!E346</f>
        <v/>
      </c>
      <c r="F357" s="11">
        <f>B357*INPUTS!$G$35*INPUTS!$G$42 + C357*INPUTS!$G$42 + D357*INPUTS!$G$43 + E357*INPUTS!$G$44</f>
        <v/>
      </c>
      <c r="G357" s="15">
        <f>INPUTS!$B$6*(1+F357)</f>
        <v/>
      </c>
      <c r="H357" s="15">
        <f>G357-INPUTS!$B$6</f>
        <v/>
      </c>
      <c r="I357" s="15">
        <f>MAX(0,H357-INPUTS!$B$7)</f>
        <v/>
      </c>
    </row>
    <row r="358">
      <c r="A358" s="14">
        <f>MC_SEEDS!A347</f>
        <v/>
      </c>
      <c r="B358" s="27">
        <f>MC_SEEDS!B347</f>
        <v/>
      </c>
      <c r="C358" s="11">
        <f>MC_SEEDS!C347</f>
        <v/>
      </c>
      <c r="D358" s="11">
        <f>MC_SEEDS!D347</f>
        <v/>
      </c>
      <c r="E358" s="11">
        <f>MC_SEEDS!E347</f>
        <v/>
      </c>
      <c r="F358" s="11">
        <f>B358*INPUTS!$G$35*INPUTS!$G$42 + C358*INPUTS!$G$42 + D358*INPUTS!$G$43 + E358*INPUTS!$G$44</f>
        <v/>
      </c>
      <c r="G358" s="15">
        <f>INPUTS!$B$6*(1+F358)</f>
        <v/>
      </c>
      <c r="H358" s="15">
        <f>G358-INPUTS!$B$6</f>
        <v/>
      </c>
      <c r="I358" s="15">
        <f>MAX(0,H358-INPUTS!$B$7)</f>
        <v/>
      </c>
    </row>
    <row r="359">
      <c r="A359" s="14">
        <f>MC_SEEDS!A348</f>
        <v/>
      </c>
      <c r="B359" s="27">
        <f>MC_SEEDS!B348</f>
        <v/>
      </c>
      <c r="C359" s="11">
        <f>MC_SEEDS!C348</f>
        <v/>
      </c>
      <c r="D359" s="11">
        <f>MC_SEEDS!D348</f>
        <v/>
      </c>
      <c r="E359" s="11">
        <f>MC_SEEDS!E348</f>
        <v/>
      </c>
      <c r="F359" s="11">
        <f>B359*INPUTS!$G$35*INPUTS!$G$42 + C359*INPUTS!$G$42 + D359*INPUTS!$G$43 + E359*INPUTS!$G$44</f>
        <v/>
      </c>
      <c r="G359" s="15">
        <f>INPUTS!$B$6*(1+F359)</f>
        <v/>
      </c>
      <c r="H359" s="15">
        <f>G359-INPUTS!$B$6</f>
        <v/>
      </c>
      <c r="I359" s="15">
        <f>MAX(0,H359-INPUTS!$B$7)</f>
        <v/>
      </c>
    </row>
    <row r="360">
      <c r="A360" s="14">
        <f>MC_SEEDS!A349</f>
        <v/>
      </c>
      <c r="B360" s="27">
        <f>MC_SEEDS!B349</f>
        <v/>
      </c>
      <c r="C360" s="11">
        <f>MC_SEEDS!C349</f>
        <v/>
      </c>
      <c r="D360" s="11">
        <f>MC_SEEDS!D349</f>
        <v/>
      </c>
      <c r="E360" s="11">
        <f>MC_SEEDS!E349</f>
        <v/>
      </c>
      <c r="F360" s="11">
        <f>B360*INPUTS!$G$35*INPUTS!$G$42 + C360*INPUTS!$G$42 + D360*INPUTS!$G$43 + E360*INPUTS!$G$44</f>
        <v/>
      </c>
      <c r="G360" s="15">
        <f>INPUTS!$B$6*(1+F360)</f>
        <v/>
      </c>
      <c r="H360" s="15">
        <f>G360-INPUTS!$B$6</f>
        <v/>
      </c>
      <c r="I360" s="15">
        <f>MAX(0,H360-INPUTS!$B$7)</f>
        <v/>
      </c>
    </row>
    <row r="361">
      <c r="A361" s="14">
        <f>MC_SEEDS!A350</f>
        <v/>
      </c>
      <c r="B361" s="27">
        <f>MC_SEEDS!B350</f>
        <v/>
      </c>
      <c r="C361" s="11">
        <f>MC_SEEDS!C350</f>
        <v/>
      </c>
      <c r="D361" s="11">
        <f>MC_SEEDS!D350</f>
        <v/>
      </c>
      <c r="E361" s="11">
        <f>MC_SEEDS!E350</f>
        <v/>
      </c>
      <c r="F361" s="11">
        <f>B361*INPUTS!$G$35*INPUTS!$G$42 + C361*INPUTS!$G$42 + D361*INPUTS!$G$43 + E361*INPUTS!$G$44</f>
        <v/>
      </c>
      <c r="G361" s="15">
        <f>INPUTS!$B$6*(1+F361)</f>
        <v/>
      </c>
      <c r="H361" s="15">
        <f>G361-INPUTS!$B$6</f>
        <v/>
      </c>
      <c r="I361" s="15">
        <f>MAX(0,H361-INPUTS!$B$7)</f>
        <v/>
      </c>
    </row>
    <row r="362">
      <c r="A362" s="14">
        <f>MC_SEEDS!A351</f>
        <v/>
      </c>
      <c r="B362" s="27">
        <f>MC_SEEDS!B351</f>
        <v/>
      </c>
      <c r="C362" s="11">
        <f>MC_SEEDS!C351</f>
        <v/>
      </c>
      <c r="D362" s="11">
        <f>MC_SEEDS!D351</f>
        <v/>
      </c>
      <c r="E362" s="11">
        <f>MC_SEEDS!E351</f>
        <v/>
      </c>
      <c r="F362" s="11">
        <f>B362*INPUTS!$G$35*INPUTS!$G$42 + C362*INPUTS!$G$42 + D362*INPUTS!$G$43 + E362*INPUTS!$G$44</f>
        <v/>
      </c>
      <c r="G362" s="15">
        <f>INPUTS!$B$6*(1+F362)</f>
        <v/>
      </c>
      <c r="H362" s="15">
        <f>G362-INPUTS!$B$6</f>
        <v/>
      </c>
      <c r="I362" s="15">
        <f>MAX(0,H362-INPUTS!$B$7)</f>
        <v/>
      </c>
    </row>
    <row r="363">
      <c r="A363" s="14">
        <f>MC_SEEDS!A352</f>
        <v/>
      </c>
      <c r="B363" s="27">
        <f>MC_SEEDS!B352</f>
        <v/>
      </c>
      <c r="C363" s="11">
        <f>MC_SEEDS!C352</f>
        <v/>
      </c>
      <c r="D363" s="11">
        <f>MC_SEEDS!D352</f>
        <v/>
      </c>
      <c r="E363" s="11">
        <f>MC_SEEDS!E352</f>
        <v/>
      </c>
      <c r="F363" s="11">
        <f>B363*INPUTS!$G$35*INPUTS!$G$42 + C363*INPUTS!$G$42 + D363*INPUTS!$G$43 + E363*INPUTS!$G$44</f>
        <v/>
      </c>
      <c r="G363" s="15">
        <f>INPUTS!$B$6*(1+F363)</f>
        <v/>
      </c>
      <c r="H363" s="15">
        <f>G363-INPUTS!$B$6</f>
        <v/>
      </c>
      <c r="I363" s="15">
        <f>MAX(0,H363-INPUTS!$B$7)</f>
        <v/>
      </c>
    </row>
    <row r="364">
      <c r="A364" s="14">
        <f>MC_SEEDS!A353</f>
        <v/>
      </c>
      <c r="B364" s="27">
        <f>MC_SEEDS!B353</f>
        <v/>
      </c>
      <c r="C364" s="11">
        <f>MC_SEEDS!C353</f>
        <v/>
      </c>
      <c r="D364" s="11">
        <f>MC_SEEDS!D353</f>
        <v/>
      </c>
      <c r="E364" s="11">
        <f>MC_SEEDS!E353</f>
        <v/>
      </c>
      <c r="F364" s="11">
        <f>B364*INPUTS!$G$35*INPUTS!$G$42 + C364*INPUTS!$G$42 + D364*INPUTS!$G$43 + E364*INPUTS!$G$44</f>
        <v/>
      </c>
      <c r="G364" s="15">
        <f>INPUTS!$B$6*(1+F364)</f>
        <v/>
      </c>
      <c r="H364" s="15">
        <f>G364-INPUTS!$B$6</f>
        <v/>
      </c>
      <c r="I364" s="15">
        <f>MAX(0,H364-INPUTS!$B$7)</f>
        <v/>
      </c>
    </row>
    <row r="365">
      <c r="A365" s="14">
        <f>MC_SEEDS!A354</f>
        <v/>
      </c>
      <c r="B365" s="27">
        <f>MC_SEEDS!B354</f>
        <v/>
      </c>
      <c r="C365" s="11">
        <f>MC_SEEDS!C354</f>
        <v/>
      </c>
      <c r="D365" s="11">
        <f>MC_SEEDS!D354</f>
        <v/>
      </c>
      <c r="E365" s="11">
        <f>MC_SEEDS!E354</f>
        <v/>
      </c>
      <c r="F365" s="11">
        <f>B365*INPUTS!$G$35*INPUTS!$G$42 + C365*INPUTS!$G$42 + D365*INPUTS!$G$43 + E365*INPUTS!$G$44</f>
        <v/>
      </c>
      <c r="G365" s="15">
        <f>INPUTS!$B$6*(1+F365)</f>
        <v/>
      </c>
      <c r="H365" s="15">
        <f>G365-INPUTS!$B$6</f>
        <v/>
      </c>
      <c r="I365" s="15">
        <f>MAX(0,H365-INPUTS!$B$7)</f>
        <v/>
      </c>
    </row>
    <row r="366">
      <c r="A366" s="14">
        <f>MC_SEEDS!A355</f>
        <v/>
      </c>
      <c r="B366" s="27">
        <f>MC_SEEDS!B355</f>
        <v/>
      </c>
      <c r="C366" s="11">
        <f>MC_SEEDS!C355</f>
        <v/>
      </c>
      <c r="D366" s="11">
        <f>MC_SEEDS!D355</f>
        <v/>
      </c>
      <c r="E366" s="11">
        <f>MC_SEEDS!E355</f>
        <v/>
      </c>
      <c r="F366" s="11">
        <f>B366*INPUTS!$G$35*INPUTS!$G$42 + C366*INPUTS!$G$42 + D366*INPUTS!$G$43 + E366*INPUTS!$G$44</f>
        <v/>
      </c>
      <c r="G366" s="15">
        <f>INPUTS!$B$6*(1+F366)</f>
        <v/>
      </c>
      <c r="H366" s="15">
        <f>G366-INPUTS!$B$6</f>
        <v/>
      </c>
      <c r="I366" s="15">
        <f>MAX(0,H366-INPUTS!$B$7)</f>
        <v/>
      </c>
    </row>
    <row r="367">
      <c r="A367" s="14">
        <f>MC_SEEDS!A356</f>
        <v/>
      </c>
      <c r="B367" s="27">
        <f>MC_SEEDS!B356</f>
        <v/>
      </c>
      <c r="C367" s="11">
        <f>MC_SEEDS!C356</f>
        <v/>
      </c>
      <c r="D367" s="11">
        <f>MC_SEEDS!D356</f>
        <v/>
      </c>
      <c r="E367" s="11">
        <f>MC_SEEDS!E356</f>
        <v/>
      </c>
      <c r="F367" s="11">
        <f>B367*INPUTS!$G$35*INPUTS!$G$42 + C367*INPUTS!$G$42 + D367*INPUTS!$G$43 + E367*INPUTS!$G$44</f>
        <v/>
      </c>
      <c r="G367" s="15">
        <f>INPUTS!$B$6*(1+F367)</f>
        <v/>
      </c>
      <c r="H367" s="15">
        <f>G367-INPUTS!$B$6</f>
        <v/>
      </c>
      <c r="I367" s="15">
        <f>MAX(0,H367-INPUTS!$B$7)</f>
        <v/>
      </c>
    </row>
    <row r="368">
      <c r="A368" s="14">
        <f>MC_SEEDS!A357</f>
        <v/>
      </c>
      <c r="B368" s="27">
        <f>MC_SEEDS!B357</f>
        <v/>
      </c>
      <c r="C368" s="11">
        <f>MC_SEEDS!C357</f>
        <v/>
      </c>
      <c r="D368" s="11">
        <f>MC_SEEDS!D357</f>
        <v/>
      </c>
      <c r="E368" s="11">
        <f>MC_SEEDS!E357</f>
        <v/>
      </c>
      <c r="F368" s="11">
        <f>B368*INPUTS!$G$35*INPUTS!$G$42 + C368*INPUTS!$G$42 + D368*INPUTS!$G$43 + E368*INPUTS!$G$44</f>
        <v/>
      </c>
      <c r="G368" s="15">
        <f>INPUTS!$B$6*(1+F368)</f>
        <v/>
      </c>
      <c r="H368" s="15">
        <f>G368-INPUTS!$B$6</f>
        <v/>
      </c>
      <c r="I368" s="15">
        <f>MAX(0,H368-INPUTS!$B$7)</f>
        <v/>
      </c>
    </row>
    <row r="369">
      <c r="A369" s="14">
        <f>MC_SEEDS!A358</f>
        <v/>
      </c>
      <c r="B369" s="27">
        <f>MC_SEEDS!B358</f>
        <v/>
      </c>
      <c r="C369" s="11">
        <f>MC_SEEDS!C358</f>
        <v/>
      </c>
      <c r="D369" s="11">
        <f>MC_SEEDS!D358</f>
        <v/>
      </c>
      <c r="E369" s="11">
        <f>MC_SEEDS!E358</f>
        <v/>
      </c>
      <c r="F369" s="11">
        <f>B369*INPUTS!$G$35*INPUTS!$G$42 + C369*INPUTS!$G$42 + D369*INPUTS!$G$43 + E369*INPUTS!$G$44</f>
        <v/>
      </c>
      <c r="G369" s="15">
        <f>INPUTS!$B$6*(1+F369)</f>
        <v/>
      </c>
      <c r="H369" s="15">
        <f>G369-INPUTS!$B$6</f>
        <v/>
      </c>
      <c r="I369" s="15">
        <f>MAX(0,H369-INPUTS!$B$7)</f>
        <v/>
      </c>
    </row>
    <row r="370">
      <c r="A370" s="14">
        <f>MC_SEEDS!A359</f>
        <v/>
      </c>
      <c r="B370" s="27">
        <f>MC_SEEDS!B359</f>
        <v/>
      </c>
      <c r="C370" s="11">
        <f>MC_SEEDS!C359</f>
        <v/>
      </c>
      <c r="D370" s="11">
        <f>MC_SEEDS!D359</f>
        <v/>
      </c>
      <c r="E370" s="11">
        <f>MC_SEEDS!E359</f>
        <v/>
      </c>
      <c r="F370" s="11">
        <f>B370*INPUTS!$G$35*INPUTS!$G$42 + C370*INPUTS!$G$42 + D370*INPUTS!$G$43 + E370*INPUTS!$G$44</f>
        <v/>
      </c>
      <c r="G370" s="15">
        <f>INPUTS!$B$6*(1+F370)</f>
        <v/>
      </c>
      <c r="H370" s="15">
        <f>G370-INPUTS!$B$6</f>
        <v/>
      </c>
      <c r="I370" s="15">
        <f>MAX(0,H370-INPUTS!$B$7)</f>
        <v/>
      </c>
    </row>
    <row r="371">
      <c r="A371" s="14">
        <f>MC_SEEDS!A360</f>
        <v/>
      </c>
      <c r="B371" s="27">
        <f>MC_SEEDS!B360</f>
        <v/>
      </c>
      <c r="C371" s="11">
        <f>MC_SEEDS!C360</f>
        <v/>
      </c>
      <c r="D371" s="11">
        <f>MC_SEEDS!D360</f>
        <v/>
      </c>
      <c r="E371" s="11">
        <f>MC_SEEDS!E360</f>
        <v/>
      </c>
      <c r="F371" s="11">
        <f>B371*INPUTS!$G$35*INPUTS!$G$42 + C371*INPUTS!$G$42 + D371*INPUTS!$G$43 + E371*INPUTS!$G$44</f>
        <v/>
      </c>
      <c r="G371" s="15">
        <f>INPUTS!$B$6*(1+F371)</f>
        <v/>
      </c>
      <c r="H371" s="15">
        <f>G371-INPUTS!$B$6</f>
        <v/>
      </c>
      <c r="I371" s="15">
        <f>MAX(0,H371-INPUTS!$B$7)</f>
        <v/>
      </c>
    </row>
    <row r="372">
      <c r="A372" s="14">
        <f>MC_SEEDS!A361</f>
        <v/>
      </c>
      <c r="B372" s="27">
        <f>MC_SEEDS!B361</f>
        <v/>
      </c>
      <c r="C372" s="11">
        <f>MC_SEEDS!C361</f>
        <v/>
      </c>
      <c r="D372" s="11">
        <f>MC_SEEDS!D361</f>
        <v/>
      </c>
      <c r="E372" s="11">
        <f>MC_SEEDS!E361</f>
        <v/>
      </c>
      <c r="F372" s="11">
        <f>B372*INPUTS!$G$35*INPUTS!$G$42 + C372*INPUTS!$G$42 + D372*INPUTS!$G$43 + E372*INPUTS!$G$44</f>
        <v/>
      </c>
      <c r="G372" s="15">
        <f>INPUTS!$B$6*(1+F372)</f>
        <v/>
      </c>
      <c r="H372" s="15">
        <f>G372-INPUTS!$B$6</f>
        <v/>
      </c>
      <c r="I372" s="15">
        <f>MAX(0,H372-INPUTS!$B$7)</f>
        <v/>
      </c>
    </row>
    <row r="373">
      <c r="A373" s="14">
        <f>MC_SEEDS!A362</f>
        <v/>
      </c>
      <c r="B373" s="27">
        <f>MC_SEEDS!B362</f>
        <v/>
      </c>
      <c r="C373" s="11">
        <f>MC_SEEDS!C362</f>
        <v/>
      </c>
      <c r="D373" s="11">
        <f>MC_SEEDS!D362</f>
        <v/>
      </c>
      <c r="E373" s="11">
        <f>MC_SEEDS!E362</f>
        <v/>
      </c>
      <c r="F373" s="11">
        <f>B373*INPUTS!$G$35*INPUTS!$G$42 + C373*INPUTS!$G$42 + D373*INPUTS!$G$43 + E373*INPUTS!$G$44</f>
        <v/>
      </c>
      <c r="G373" s="15">
        <f>INPUTS!$B$6*(1+F373)</f>
        <v/>
      </c>
      <c r="H373" s="15">
        <f>G373-INPUTS!$B$6</f>
        <v/>
      </c>
      <c r="I373" s="15">
        <f>MAX(0,H373-INPUTS!$B$7)</f>
        <v/>
      </c>
    </row>
    <row r="374">
      <c r="A374" s="14">
        <f>MC_SEEDS!A363</f>
        <v/>
      </c>
      <c r="B374" s="27">
        <f>MC_SEEDS!B363</f>
        <v/>
      </c>
      <c r="C374" s="11">
        <f>MC_SEEDS!C363</f>
        <v/>
      </c>
      <c r="D374" s="11">
        <f>MC_SEEDS!D363</f>
        <v/>
      </c>
      <c r="E374" s="11">
        <f>MC_SEEDS!E363</f>
        <v/>
      </c>
      <c r="F374" s="11">
        <f>B374*INPUTS!$G$35*INPUTS!$G$42 + C374*INPUTS!$G$42 + D374*INPUTS!$G$43 + E374*INPUTS!$G$44</f>
        <v/>
      </c>
      <c r="G374" s="15">
        <f>INPUTS!$B$6*(1+F374)</f>
        <v/>
      </c>
      <c r="H374" s="15">
        <f>G374-INPUTS!$B$6</f>
        <v/>
      </c>
      <c r="I374" s="15">
        <f>MAX(0,H374-INPUTS!$B$7)</f>
        <v/>
      </c>
    </row>
    <row r="375">
      <c r="A375" s="14">
        <f>MC_SEEDS!A364</f>
        <v/>
      </c>
      <c r="B375" s="27">
        <f>MC_SEEDS!B364</f>
        <v/>
      </c>
      <c r="C375" s="11">
        <f>MC_SEEDS!C364</f>
        <v/>
      </c>
      <c r="D375" s="11">
        <f>MC_SEEDS!D364</f>
        <v/>
      </c>
      <c r="E375" s="11">
        <f>MC_SEEDS!E364</f>
        <v/>
      </c>
      <c r="F375" s="11">
        <f>B375*INPUTS!$G$35*INPUTS!$G$42 + C375*INPUTS!$G$42 + D375*INPUTS!$G$43 + E375*INPUTS!$G$44</f>
        <v/>
      </c>
      <c r="G375" s="15">
        <f>INPUTS!$B$6*(1+F375)</f>
        <v/>
      </c>
      <c r="H375" s="15">
        <f>G375-INPUTS!$B$6</f>
        <v/>
      </c>
      <c r="I375" s="15">
        <f>MAX(0,H375-INPUTS!$B$7)</f>
        <v/>
      </c>
    </row>
    <row r="376">
      <c r="A376" s="14">
        <f>MC_SEEDS!A365</f>
        <v/>
      </c>
      <c r="B376" s="27">
        <f>MC_SEEDS!B365</f>
        <v/>
      </c>
      <c r="C376" s="11">
        <f>MC_SEEDS!C365</f>
        <v/>
      </c>
      <c r="D376" s="11">
        <f>MC_SEEDS!D365</f>
        <v/>
      </c>
      <c r="E376" s="11">
        <f>MC_SEEDS!E365</f>
        <v/>
      </c>
      <c r="F376" s="11">
        <f>B376*INPUTS!$G$35*INPUTS!$G$42 + C376*INPUTS!$G$42 + D376*INPUTS!$G$43 + E376*INPUTS!$G$44</f>
        <v/>
      </c>
      <c r="G376" s="15">
        <f>INPUTS!$B$6*(1+F376)</f>
        <v/>
      </c>
      <c r="H376" s="15">
        <f>G376-INPUTS!$B$6</f>
        <v/>
      </c>
      <c r="I376" s="15">
        <f>MAX(0,H376-INPUTS!$B$7)</f>
        <v/>
      </c>
    </row>
    <row r="377">
      <c r="A377" s="14">
        <f>MC_SEEDS!A366</f>
        <v/>
      </c>
      <c r="B377" s="27">
        <f>MC_SEEDS!B366</f>
        <v/>
      </c>
      <c r="C377" s="11">
        <f>MC_SEEDS!C366</f>
        <v/>
      </c>
      <c r="D377" s="11">
        <f>MC_SEEDS!D366</f>
        <v/>
      </c>
      <c r="E377" s="11">
        <f>MC_SEEDS!E366</f>
        <v/>
      </c>
      <c r="F377" s="11">
        <f>B377*INPUTS!$G$35*INPUTS!$G$42 + C377*INPUTS!$G$42 + D377*INPUTS!$G$43 + E377*INPUTS!$G$44</f>
        <v/>
      </c>
      <c r="G377" s="15">
        <f>INPUTS!$B$6*(1+F377)</f>
        <v/>
      </c>
      <c r="H377" s="15">
        <f>G377-INPUTS!$B$6</f>
        <v/>
      </c>
      <c r="I377" s="15">
        <f>MAX(0,H377-INPUTS!$B$7)</f>
        <v/>
      </c>
    </row>
    <row r="378">
      <c r="A378" s="14">
        <f>MC_SEEDS!A367</f>
        <v/>
      </c>
      <c r="B378" s="27">
        <f>MC_SEEDS!B367</f>
        <v/>
      </c>
      <c r="C378" s="11">
        <f>MC_SEEDS!C367</f>
        <v/>
      </c>
      <c r="D378" s="11">
        <f>MC_SEEDS!D367</f>
        <v/>
      </c>
      <c r="E378" s="11">
        <f>MC_SEEDS!E367</f>
        <v/>
      </c>
      <c r="F378" s="11">
        <f>B378*INPUTS!$G$35*INPUTS!$G$42 + C378*INPUTS!$G$42 + D378*INPUTS!$G$43 + E378*INPUTS!$G$44</f>
        <v/>
      </c>
      <c r="G378" s="15">
        <f>INPUTS!$B$6*(1+F378)</f>
        <v/>
      </c>
      <c r="H378" s="15">
        <f>G378-INPUTS!$B$6</f>
        <v/>
      </c>
      <c r="I378" s="15">
        <f>MAX(0,H378-INPUTS!$B$7)</f>
        <v/>
      </c>
    </row>
    <row r="379">
      <c r="A379" s="14">
        <f>MC_SEEDS!A368</f>
        <v/>
      </c>
      <c r="B379" s="27">
        <f>MC_SEEDS!B368</f>
        <v/>
      </c>
      <c r="C379" s="11">
        <f>MC_SEEDS!C368</f>
        <v/>
      </c>
      <c r="D379" s="11">
        <f>MC_SEEDS!D368</f>
        <v/>
      </c>
      <c r="E379" s="11">
        <f>MC_SEEDS!E368</f>
        <v/>
      </c>
      <c r="F379" s="11">
        <f>B379*INPUTS!$G$35*INPUTS!$G$42 + C379*INPUTS!$G$42 + D379*INPUTS!$G$43 + E379*INPUTS!$G$44</f>
        <v/>
      </c>
      <c r="G379" s="15">
        <f>INPUTS!$B$6*(1+F379)</f>
        <v/>
      </c>
      <c r="H379" s="15">
        <f>G379-INPUTS!$B$6</f>
        <v/>
      </c>
      <c r="I379" s="15">
        <f>MAX(0,H379-INPUTS!$B$7)</f>
        <v/>
      </c>
    </row>
    <row r="380">
      <c r="A380" s="14">
        <f>MC_SEEDS!A369</f>
        <v/>
      </c>
      <c r="B380" s="27">
        <f>MC_SEEDS!B369</f>
        <v/>
      </c>
      <c r="C380" s="11">
        <f>MC_SEEDS!C369</f>
        <v/>
      </c>
      <c r="D380" s="11">
        <f>MC_SEEDS!D369</f>
        <v/>
      </c>
      <c r="E380" s="11">
        <f>MC_SEEDS!E369</f>
        <v/>
      </c>
      <c r="F380" s="11">
        <f>B380*INPUTS!$G$35*INPUTS!$G$42 + C380*INPUTS!$G$42 + D380*INPUTS!$G$43 + E380*INPUTS!$G$44</f>
        <v/>
      </c>
      <c r="G380" s="15">
        <f>INPUTS!$B$6*(1+F380)</f>
        <v/>
      </c>
      <c r="H380" s="15">
        <f>G380-INPUTS!$B$6</f>
        <v/>
      </c>
      <c r="I380" s="15">
        <f>MAX(0,H380-INPUTS!$B$7)</f>
        <v/>
      </c>
    </row>
    <row r="381">
      <c r="A381" s="14">
        <f>MC_SEEDS!A370</f>
        <v/>
      </c>
      <c r="B381" s="27">
        <f>MC_SEEDS!B370</f>
        <v/>
      </c>
      <c r="C381" s="11">
        <f>MC_SEEDS!C370</f>
        <v/>
      </c>
      <c r="D381" s="11">
        <f>MC_SEEDS!D370</f>
        <v/>
      </c>
      <c r="E381" s="11">
        <f>MC_SEEDS!E370</f>
        <v/>
      </c>
      <c r="F381" s="11">
        <f>B381*INPUTS!$G$35*INPUTS!$G$42 + C381*INPUTS!$G$42 + D381*INPUTS!$G$43 + E381*INPUTS!$G$44</f>
        <v/>
      </c>
      <c r="G381" s="15">
        <f>INPUTS!$B$6*(1+F381)</f>
        <v/>
      </c>
      <c r="H381" s="15">
        <f>G381-INPUTS!$B$6</f>
        <v/>
      </c>
      <c r="I381" s="15">
        <f>MAX(0,H381-INPUTS!$B$7)</f>
        <v/>
      </c>
    </row>
    <row r="382">
      <c r="A382" s="14">
        <f>MC_SEEDS!A371</f>
        <v/>
      </c>
      <c r="B382" s="27">
        <f>MC_SEEDS!B371</f>
        <v/>
      </c>
      <c r="C382" s="11">
        <f>MC_SEEDS!C371</f>
        <v/>
      </c>
      <c r="D382" s="11">
        <f>MC_SEEDS!D371</f>
        <v/>
      </c>
      <c r="E382" s="11">
        <f>MC_SEEDS!E371</f>
        <v/>
      </c>
      <c r="F382" s="11">
        <f>B382*INPUTS!$G$35*INPUTS!$G$42 + C382*INPUTS!$G$42 + D382*INPUTS!$G$43 + E382*INPUTS!$G$44</f>
        <v/>
      </c>
      <c r="G382" s="15">
        <f>INPUTS!$B$6*(1+F382)</f>
        <v/>
      </c>
      <c r="H382" s="15">
        <f>G382-INPUTS!$B$6</f>
        <v/>
      </c>
      <c r="I382" s="15">
        <f>MAX(0,H382-INPUTS!$B$7)</f>
        <v/>
      </c>
    </row>
    <row r="383">
      <c r="A383" s="14">
        <f>MC_SEEDS!A372</f>
        <v/>
      </c>
      <c r="B383" s="27">
        <f>MC_SEEDS!B372</f>
        <v/>
      </c>
      <c r="C383" s="11">
        <f>MC_SEEDS!C372</f>
        <v/>
      </c>
      <c r="D383" s="11">
        <f>MC_SEEDS!D372</f>
        <v/>
      </c>
      <c r="E383" s="11">
        <f>MC_SEEDS!E372</f>
        <v/>
      </c>
      <c r="F383" s="11">
        <f>B383*INPUTS!$G$35*INPUTS!$G$42 + C383*INPUTS!$G$42 + D383*INPUTS!$G$43 + E383*INPUTS!$G$44</f>
        <v/>
      </c>
      <c r="G383" s="15">
        <f>INPUTS!$B$6*(1+F383)</f>
        <v/>
      </c>
      <c r="H383" s="15">
        <f>G383-INPUTS!$B$6</f>
        <v/>
      </c>
      <c r="I383" s="15">
        <f>MAX(0,H383-INPUTS!$B$7)</f>
        <v/>
      </c>
    </row>
    <row r="384">
      <c r="A384" s="14">
        <f>MC_SEEDS!A373</f>
        <v/>
      </c>
      <c r="B384" s="27">
        <f>MC_SEEDS!B373</f>
        <v/>
      </c>
      <c r="C384" s="11">
        <f>MC_SEEDS!C373</f>
        <v/>
      </c>
      <c r="D384" s="11">
        <f>MC_SEEDS!D373</f>
        <v/>
      </c>
      <c r="E384" s="11">
        <f>MC_SEEDS!E373</f>
        <v/>
      </c>
      <c r="F384" s="11">
        <f>B384*INPUTS!$G$35*INPUTS!$G$42 + C384*INPUTS!$G$42 + D384*INPUTS!$G$43 + E384*INPUTS!$G$44</f>
        <v/>
      </c>
      <c r="G384" s="15">
        <f>INPUTS!$B$6*(1+F384)</f>
        <v/>
      </c>
      <c r="H384" s="15">
        <f>G384-INPUTS!$B$6</f>
        <v/>
      </c>
      <c r="I384" s="15">
        <f>MAX(0,H384-INPUTS!$B$7)</f>
        <v/>
      </c>
    </row>
    <row r="385">
      <c r="A385" s="14">
        <f>MC_SEEDS!A374</f>
        <v/>
      </c>
      <c r="B385" s="27">
        <f>MC_SEEDS!B374</f>
        <v/>
      </c>
      <c r="C385" s="11">
        <f>MC_SEEDS!C374</f>
        <v/>
      </c>
      <c r="D385" s="11">
        <f>MC_SEEDS!D374</f>
        <v/>
      </c>
      <c r="E385" s="11">
        <f>MC_SEEDS!E374</f>
        <v/>
      </c>
      <c r="F385" s="11">
        <f>B385*INPUTS!$G$35*INPUTS!$G$42 + C385*INPUTS!$G$42 + D385*INPUTS!$G$43 + E385*INPUTS!$G$44</f>
        <v/>
      </c>
      <c r="G385" s="15">
        <f>INPUTS!$B$6*(1+F385)</f>
        <v/>
      </c>
      <c r="H385" s="15">
        <f>G385-INPUTS!$B$6</f>
        <v/>
      </c>
      <c r="I385" s="15">
        <f>MAX(0,H385-INPUTS!$B$7)</f>
        <v/>
      </c>
    </row>
    <row r="386">
      <c r="A386" s="14">
        <f>MC_SEEDS!A375</f>
        <v/>
      </c>
      <c r="B386" s="27">
        <f>MC_SEEDS!B375</f>
        <v/>
      </c>
      <c r="C386" s="11">
        <f>MC_SEEDS!C375</f>
        <v/>
      </c>
      <c r="D386" s="11">
        <f>MC_SEEDS!D375</f>
        <v/>
      </c>
      <c r="E386" s="11">
        <f>MC_SEEDS!E375</f>
        <v/>
      </c>
      <c r="F386" s="11">
        <f>B386*INPUTS!$G$35*INPUTS!$G$42 + C386*INPUTS!$G$42 + D386*INPUTS!$G$43 + E386*INPUTS!$G$44</f>
        <v/>
      </c>
      <c r="G386" s="15">
        <f>INPUTS!$B$6*(1+F386)</f>
        <v/>
      </c>
      <c r="H386" s="15">
        <f>G386-INPUTS!$B$6</f>
        <v/>
      </c>
      <c r="I386" s="15">
        <f>MAX(0,H386-INPUTS!$B$7)</f>
        <v/>
      </c>
    </row>
    <row r="387">
      <c r="A387" s="14">
        <f>MC_SEEDS!A376</f>
        <v/>
      </c>
      <c r="B387" s="27">
        <f>MC_SEEDS!B376</f>
        <v/>
      </c>
      <c r="C387" s="11">
        <f>MC_SEEDS!C376</f>
        <v/>
      </c>
      <c r="D387" s="11">
        <f>MC_SEEDS!D376</f>
        <v/>
      </c>
      <c r="E387" s="11">
        <f>MC_SEEDS!E376</f>
        <v/>
      </c>
      <c r="F387" s="11">
        <f>B387*INPUTS!$G$35*INPUTS!$G$42 + C387*INPUTS!$G$42 + D387*INPUTS!$G$43 + E387*INPUTS!$G$44</f>
        <v/>
      </c>
      <c r="G387" s="15">
        <f>INPUTS!$B$6*(1+F387)</f>
        <v/>
      </c>
      <c r="H387" s="15">
        <f>G387-INPUTS!$B$6</f>
        <v/>
      </c>
      <c r="I387" s="15">
        <f>MAX(0,H387-INPUTS!$B$7)</f>
        <v/>
      </c>
    </row>
    <row r="388">
      <c r="A388" s="14">
        <f>MC_SEEDS!A377</f>
        <v/>
      </c>
      <c r="B388" s="27">
        <f>MC_SEEDS!B377</f>
        <v/>
      </c>
      <c r="C388" s="11">
        <f>MC_SEEDS!C377</f>
        <v/>
      </c>
      <c r="D388" s="11">
        <f>MC_SEEDS!D377</f>
        <v/>
      </c>
      <c r="E388" s="11">
        <f>MC_SEEDS!E377</f>
        <v/>
      </c>
      <c r="F388" s="11">
        <f>B388*INPUTS!$G$35*INPUTS!$G$42 + C388*INPUTS!$G$42 + D388*INPUTS!$G$43 + E388*INPUTS!$G$44</f>
        <v/>
      </c>
      <c r="G388" s="15">
        <f>INPUTS!$B$6*(1+F388)</f>
        <v/>
      </c>
      <c r="H388" s="15">
        <f>G388-INPUTS!$B$6</f>
        <v/>
      </c>
      <c r="I388" s="15">
        <f>MAX(0,H388-INPUTS!$B$7)</f>
        <v/>
      </c>
    </row>
    <row r="389">
      <c r="A389" s="14">
        <f>MC_SEEDS!A378</f>
        <v/>
      </c>
      <c r="B389" s="27">
        <f>MC_SEEDS!B378</f>
        <v/>
      </c>
      <c r="C389" s="11">
        <f>MC_SEEDS!C378</f>
        <v/>
      </c>
      <c r="D389" s="11">
        <f>MC_SEEDS!D378</f>
        <v/>
      </c>
      <c r="E389" s="11">
        <f>MC_SEEDS!E378</f>
        <v/>
      </c>
      <c r="F389" s="11">
        <f>B389*INPUTS!$G$35*INPUTS!$G$42 + C389*INPUTS!$G$42 + D389*INPUTS!$G$43 + E389*INPUTS!$G$44</f>
        <v/>
      </c>
      <c r="G389" s="15">
        <f>INPUTS!$B$6*(1+F389)</f>
        <v/>
      </c>
      <c r="H389" s="15">
        <f>G389-INPUTS!$B$6</f>
        <v/>
      </c>
      <c r="I389" s="15">
        <f>MAX(0,H389-INPUTS!$B$7)</f>
        <v/>
      </c>
    </row>
    <row r="390">
      <c r="A390" s="14">
        <f>MC_SEEDS!A379</f>
        <v/>
      </c>
      <c r="B390" s="27">
        <f>MC_SEEDS!B379</f>
        <v/>
      </c>
      <c r="C390" s="11">
        <f>MC_SEEDS!C379</f>
        <v/>
      </c>
      <c r="D390" s="11">
        <f>MC_SEEDS!D379</f>
        <v/>
      </c>
      <c r="E390" s="11">
        <f>MC_SEEDS!E379</f>
        <v/>
      </c>
      <c r="F390" s="11">
        <f>B390*INPUTS!$G$35*INPUTS!$G$42 + C390*INPUTS!$G$42 + D390*INPUTS!$G$43 + E390*INPUTS!$G$44</f>
        <v/>
      </c>
      <c r="G390" s="15">
        <f>INPUTS!$B$6*(1+F390)</f>
        <v/>
      </c>
      <c r="H390" s="15">
        <f>G390-INPUTS!$B$6</f>
        <v/>
      </c>
      <c r="I390" s="15">
        <f>MAX(0,H390-INPUTS!$B$7)</f>
        <v/>
      </c>
    </row>
    <row r="391">
      <c r="A391" s="14">
        <f>MC_SEEDS!A380</f>
        <v/>
      </c>
      <c r="B391" s="27">
        <f>MC_SEEDS!B380</f>
        <v/>
      </c>
      <c r="C391" s="11">
        <f>MC_SEEDS!C380</f>
        <v/>
      </c>
      <c r="D391" s="11">
        <f>MC_SEEDS!D380</f>
        <v/>
      </c>
      <c r="E391" s="11">
        <f>MC_SEEDS!E380</f>
        <v/>
      </c>
      <c r="F391" s="11">
        <f>B391*INPUTS!$G$35*INPUTS!$G$42 + C391*INPUTS!$G$42 + D391*INPUTS!$G$43 + E391*INPUTS!$G$44</f>
        <v/>
      </c>
      <c r="G391" s="15">
        <f>INPUTS!$B$6*(1+F391)</f>
        <v/>
      </c>
      <c r="H391" s="15">
        <f>G391-INPUTS!$B$6</f>
        <v/>
      </c>
      <c r="I391" s="15">
        <f>MAX(0,H391-INPUTS!$B$7)</f>
        <v/>
      </c>
    </row>
    <row r="392">
      <c r="A392" s="14">
        <f>MC_SEEDS!A381</f>
        <v/>
      </c>
      <c r="B392" s="27">
        <f>MC_SEEDS!B381</f>
        <v/>
      </c>
      <c r="C392" s="11">
        <f>MC_SEEDS!C381</f>
        <v/>
      </c>
      <c r="D392" s="11">
        <f>MC_SEEDS!D381</f>
        <v/>
      </c>
      <c r="E392" s="11">
        <f>MC_SEEDS!E381</f>
        <v/>
      </c>
      <c r="F392" s="11">
        <f>B392*INPUTS!$G$35*INPUTS!$G$42 + C392*INPUTS!$G$42 + D392*INPUTS!$G$43 + E392*INPUTS!$G$44</f>
        <v/>
      </c>
      <c r="G392" s="15">
        <f>INPUTS!$B$6*(1+F392)</f>
        <v/>
      </c>
      <c r="H392" s="15">
        <f>G392-INPUTS!$B$6</f>
        <v/>
      </c>
      <c r="I392" s="15">
        <f>MAX(0,H392-INPUTS!$B$7)</f>
        <v/>
      </c>
    </row>
    <row r="393">
      <c r="A393" s="14">
        <f>MC_SEEDS!A382</f>
        <v/>
      </c>
      <c r="B393" s="27">
        <f>MC_SEEDS!B382</f>
        <v/>
      </c>
      <c r="C393" s="11">
        <f>MC_SEEDS!C382</f>
        <v/>
      </c>
      <c r="D393" s="11">
        <f>MC_SEEDS!D382</f>
        <v/>
      </c>
      <c r="E393" s="11">
        <f>MC_SEEDS!E382</f>
        <v/>
      </c>
      <c r="F393" s="11">
        <f>B393*INPUTS!$G$35*INPUTS!$G$42 + C393*INPUTS!$G$42 + D393*INPUTS!$G$43 + E393*INPUTS!$G$44</f>
        <v/>
      </c>
      <c r="G393" s="15">
        <f>INPUTS!$B$6*(1+F393)</f>
        <v/>
      </c>
      <c r="H393" s="15">
        <f>G393-INPUTS!$B$6</f>
        <v/>
      </c>
      <c r="I393" s="15">
        <f>MAX(0,H393-INPUTS!$B$7)</f>
        <v/>
      </c>
    </row>
    <row r="394">
      <c r="A394" s="14">
        <f>MC_SEEDS!A383</f>
        <v/>
      </c>
      <c r="B394" s="27">
        <f>MC_SEEDS!B383</f>
        <v/>
      </c>
      <c r="C394" s="11">
        <f>MC_SEEDS!C383</f>
        <v/>
      </c>
      <c r="D394" s="11">
        <f>MC_SEEDS!D383</f>
        <v/>
      </c>
      <c r="E394" s="11">
        <f>MC_SEEDS!E383</f>
        <v/>
      </c>
      <c r="F394" s="11">
        <f>B394*INPUTS!$G$35*INPUTS!$G$42 + C394*INPUTS!$G$42 + D394*INPUTS!$G$43 + E394*INPUTS!$G$44</f>
        <v/>
      </c>
      <c r="G394" s="15">
        <f>INPUTS!$B$6*(1+F394)</f>
        <v/>
      </c>
      <c r="H394" s="15">
        <f>G394-INPUTS!$B$6</f>
        <v/>
      </c>
      <c r="I394" s="15">
        <f>MAX(0,H394-INPUTS!$B$7)</f>
        <v/>
      </c>
    </row>
    <row r="395">
      <c r="A395" s="14">
        <f>MC_SEEDS!A384</f>
        <v/>
      </c>
      <c r="B395" s="27">
        <f>MC_SEEDS!B384</f>
        <v/>
      </c>
      <c r="C395" s="11">
        <f>MC_SEEDS!C384</f>
        <v/>
      </c>
      <c r="D395" s="11">
        <f>MC_SEEDS!D384</f>
        <v/>
      </c>
      <c r="E395" s="11">
        <f>MC_SEEDS!E384</f>
        <v/>
      </c>
      <c r="F395" s="11">
        <f>B395*INPUTS!$G$35*INPUTS!$G$42 + C395*INPUTS!$G$42 + D395*INPUTS!$G$43 + E395*INPUTS!$G$44</f>
        <v/>
      </c>
      <c r="G395" s="15">
        <f>INPUTS!$B$6*(1+F395)</f>
        <v/>
      </c>
      <c r="H395" s="15">
        <f>G395-INPUTS!$B$6</f>
        <v/>
      </c>
      <c r="I395" s="15">
        <f>MAX(0,H395-INPUTS!$B$7)</f>
        <v/>
      </c>
    </row>
    <row r="396">
      <c r="A396" s="14">
        <f>MC_SEEDS!A385</f>
        <v/>
      </c>
      <c r="B396" s="27">
        <f>MC_SEEDS!B385</f>
        <v/>
      </c>
      <c r="C396" s="11">
        <f>MC_SEEDS!C385</f>
        <v/>
      </c>
      <c r="D396" s="11">
        <f>MC_SEEDS!D385</f>
        <v/>
      </c>
      <c r="E396" s="11">
        <f>MC_SEEDS!E385</f>
        <v/>
      </c>
      <c r="F396" s="11">
        <f>B396*INPUTS!$G$35*INPUTS!$G$42 + C396*INPUTS!$G$42 + D396*INPUTS!$G$43 + E396*INPUTS!$G$44</f>
        <v/>
      </c>
      <c r="G396" s="15">
        <f>INPUTS!$B$6*(1+F396)</f>
        <v/>
      </c>
      <c r="H396" s="15">
        <f>G396-INPUTS!$B$6</f>
        <v/>
      </c>
      <c r="I396" s="15">
        <f>MAX(0,H396-INPUTS!$B$7)</f>
        <v/>
      </c>
    </row>
    <row r="397">
      <c r="A397" s="14">
        <f>MC_SEEDS!A386</f>
        <v/>
      </c>
      <c r="B397" s="27">
        <f>MC_SEEDS!B386</f>
        <v/>
      </c>
      <c r="C397" s="11">
        <f>MC_SEEDS!C386</f>
        <v/>
      </c>
      <c r="D397" s="11">
        <f>MC_SEEDS!D386</f>
        <v/>
      </c>
      <c r="E397" s="11">
        <f>MC_SEEDS!E386</f>
        <v/>
      </c>
      <c r="F397" s="11">
        <f>B397*INPUTS!$G$35*INPUTS!$G$42 + C397*INPUTS!$G$42 + D397*INPUTS!$G$43 + E397*INPUTS!$G$44</f>
        <v/>
      </c>
      <c r="G397" s="15">
        <f>INPUTS!$B$6*(1+F397)</f>
        <v/>
      </c>
      <c r="H397" s="15">
        <f>G397-INPUTS!$B$6</f>
        <v/>
      </c>
      <c r="I397" s="15">
        <f>MAX(0,H397-INPUTS!$B$7)</f>
        <v/>
      </c>
    </row>
    <row r="398">
      <c r="A398" s="14">
        <f>MC_SEEDS!A387</f>
        <v/>
      </c>
      <c r="B398" s="27">
        <f>MC_SEEDS!B387</f>
        <v/>
      </c>
      <c r="C398" s="11">
        <f>MC_SEEDS!C387</f>
        <v/>
      </c>
      <c r="D398" s="11">
        <f>MC_SEEDS!D387</f>
        <v/>
      </c>
      <c r="E398" s="11">
        <f>MC_SEEDS!E387</f>
        <v/>
      </c>
      <c r="F398" s="11">
        <f>B398*INPUTS!$G$35*INPUTS!$G$42 + C398*INPUTS!$G$42 + D398*INPUTS!$G$43 + E398*INPUTS!$G$44</f>
        <v/>
      </c>
      <c r="G398" s="15">
        <f>INPUTS!$B$6*(1+F398)</f>
        <v/>
      </c>
      <c r="H398" s="15">
        <f>G398-INPUTS!$B$6</f>
        <v/>
      </c>
      <c r="I398" s="15">
        <f>MAX(0,H398-INPUTS!$B$7)</f>
        <v/>
      </c>
    </row>
    <row r="399">
      <c r="A399" s="14">
        <f>MC_SEEDS!A388</f>
        <v/>
      </c>
      <c r="B399" s="27">
        <f>MC_SEEDS!B388</f>
        <v/>
      </c>
      <c r="C399" s="11">
        <f>MC_SEEDS!C388</f>
        <v/>
      </c>
      <c r="D399" s="11">
        <f>MC_SEEDS!D388</f>
        <v/>
      </c>
      <c r="E399" s="11">
        <f>MC_SEEDS!E388</f>
        <v/>
      </c>
      <c r="F399" s="11">
        <f>B399*INPUTS!$G$35*INPUTS!$G$42 + C399*INPUTS!$G$42 + D399*INPUTS!$G$43 + E399*INPUTS!$G$44</f>
        <v/>
      </c>
      <c r="G399" s="15">
        <f>INPUTS!$B$6*(1+F399)</f>
        <v/>
      </c>
      <c r="H399" s="15">
        <f>G399-INPUTS!$B$6</f>
        <v/>
      </c>
      <c r="I399" s="15">
        <f>MAX(0,H399-INPUTS!$B$7)</f>
        <v/>
      </c>
    </row>
    <row r="400">
      <c r="A400" s="14">
        <f>MC_SEEDS!A389</f>
        <v/>
      </c>
      <c r="B400" s="27">
        <f>MC_SEEDS!B389</f>
        <v/>
      </c>
      <c r="C400" s="11">
        <f>MC_SEEDS!C389</f>
        <v/>
      </c>
      <c r="D400" s="11">
        <f>MC_SEEDS!D389</f>
        <v/>
      </c>
      <c r="E400" s="11">
        <f>MC_SEEDS!E389</f>
        <v/>
      </c>
      <c r="F400" s="11">
        <f>B400*INPUTS!$G$35*INPUTS!$G$42 + C400*INPUTS!$G$42 + D400*INPUTS!$G$43 + E400*INPUTS!$G$44</f>
        <v/>
      </c>
      <c r="G400" s="15">
        <f>INPUTS!$B$6*(1+F400)</f>
        <v/>
      </c>
      <c r="H400" s="15">
        <f>G400-INPUTS!$B$6</f>
        <v/>
      </c>
      <c r="I400" s="15">
        <f>MAX(0,H400-INPUTS!$B$7)</f>
        <v/>
      </c>
    </row>
    <row r="401">
      <c r="A401" s="14">
        <f>MC_SEEDS!A390</f>
        <v/>
      </c>
      <c r="B401" s="27">
        <f>MC_SEEDS!B390</f>
        <v/>
      </c>
      <c r="C401" s="11">
        <f>MC_SEEDS!C390</f>
        <v/>
      </c>
      <c r="D401" s="11">
        <f>MC_SEEDS!D390</f>
        <v/>
      </c>
      <c r="E401" s="11">
        <f>MC_SEEDS!E390</f>
        <v/>
      </c>
      <c r="F401" s="11">
        <f>B401*INPUTS!$G$35*INPUTS!$G$42 + C401*INPUTS!$G$42 + D401*INPUTS!$G$43 + E401*INPUTS!$G$44</f>
        <v/>
      </c>
      <c r="G401" s="15">
        <f>INPUTS!$B$6*(1+F401)</f>
        <v/>
      </c>
      <c r="H401" s="15">
        <f>G401-INPUTS!$B$6</f>
        <v/>
      </c>
      <c r="I401" s="15">
        <f>MAX(0,H401-INPUTS!$B$7)</f>
        <v/>
      </c>
    </row>
    <row r="402">
      <c r="A402" s="14">
        <f>MC_SEEDS!A391</f>
        <v/>
      </c>
      <c r="B402" s="27">
        <f>MC_SEEDS!B391</f>
        <v/>
      </c>
      <c r="C402" s="11">
        <f>MC_SEEDS!C391</f>
        <v/>
      </c>
      <c r="D402" s="11">
        <f>MC_SEEDS!D391</f>
        <v/>
      </c>
      <c r="E402" s="11">
        <f>MC_SEEDS!E391</f>
        <v/>
      </c>
      <c r="F402" s="11">
        <f>B402*INPUTS!$G$35*INPUTS!$G$42 + C402*INPUTS!$G$42 + D402*INPUTS!$G$43 + E402*INPUTS!$G$44</f>
        <v/>
      </c>
      <c r="G402" s="15">
        <f>INPUTS!$B$6*(1+F402)</f>
        <v/>
      </c>
      <c r="H402" s="15">
        <f>G402-INPUTS!$B$6</f>
        <v/>
      </c>
      <c r="I402" s="15">
        <f>MAX(0,H402-INPUTS!$B$7)</f>
        <v/>
      </c>
    </row>
    <row r="403">
      <c r="A403" s="14">
        <f>MC_SEEDS!A392</f>
        <v/>
      </c>
      <c r="B403" s="27">
        <f>MC_SEEDS!B392</f>
        <v/>
      </c>
      <c r="C403" s="11">
        <f>MC_SEEDS!C392</f>
        <v/>
      </c>
      <c r="D403" s="11">
        <f>MC_SEEDS!D392</f>
        <v/>
      </c>
      <c r="E403" s="11">
        <f>MC_SEEDS!E392</f>
        <v/>
      </c>
      <c r="F403" s="11">
        <f>B403*INPUTS!$G$35*INPUTS!$G$42 + C403*INPUTS!$G$42 + D403*INPUTS!$G$43 + E403*INPUTS!$G$44</f>
        <v/>
      </c>
      <c r="G403" s="15">
        <f>INPUTS!$B$6*(1+F403)</f>
        <v/>
      </c>
      <c r="H403" s="15">
        <f>G403-INPUTS!$B$6</f>
        <v/>
      </c>
      <c r="I403" s="15">
        <f>MAX(0,H403-INPUTS!$B$7)</f>
        <v/>
      </c>
    </row>
    <row r="404">
      <c r="A404" s="14">
        <f>MC_SEEDS!A393</f>
        <v/>
      </c>
      <c r="B404" s="27">
        <f>MC_SEEDS!B393</f>
        <v/>
      </c>
      <c r="C404" s="11">
        <f>MC_SEEDS!C393</f>
        <v/>
      </c>
      <c r="D404" s="11">
        <f>MC_SEEDS!D393</f>
        <v/>
      </c>
      <c r="E404" s="11">
        <f>MC_SEEDS!E393</f>
        <v/>
      </c>
      <c r="F404" s="11">
        <f>B404*INPUTS!$G$35*INPUTS!$G$42 + C404*INPUTS!$G$42 + D404*INPUTS!$G$43 + E404*INPUTS!$G$44</f>
        <v/>
      </c>
      <c r="G404" s="15">
        <f>INPUTS!$B$6*(1+F404)</f>
        <v/>
      </c>
      <c r="H404" s="15">
        <f>G404-INPUTS!$B$6</f>
        <v/>
      </c>
      <c r="I404" s="15">
        <f>MAX(0,H404-INPUTS!$B$7)</f>
        <v/>
      </c>
    </row>
    <row r="405">
      <c r="A405" s="14">
        <f>MC_SEEDS!A394</f>
        <v/>
      </c>
      <c r="B405" s="27">
        <f>MC_SEEDS!B394</f>
        <v/>
      </c>
      <c r="C405" s="11">
        <f>MC_SEEDS!C394</f>
        <v/>
      </c>
      <c r="D405" s="11">
        <f>MC_SEEDS!D394</f>
        <v/>
      </c>
      <c r="E405" s="11">
        <f>MC_SEEDS!E394</f>
        <v/>
      </c>
      <c r="F405" s="11">
        <f>B405*INPUTS!$G$35*INPUTS!$G$42 + C405*INPUTS!$G$42 + D405*INPUTS!$G$43 + E405*INPUTS!$G$44</f>
        <v/>
      </c>
      <c r="G405" s="15">
        <f>INPUTS!$B$6*(1+F405)</f>
        <v/>
      </c>
      <c r="H405" s="15">
        <f>G405-INPUTS!$B$6</f>
        <v/>
      </c>
      <c r="I405" s="15">
        <f>MAX(0,H405-INPUTS!$B$7)</f>
        <v/>
      </c>
    </row>
    <row r="406">
      <c r="A406" s="14">
        <f>MC_SEEDS!A395</f>
        <v/>
      </c>
      <c r="B406" s="27">
        <f>MC_SEEDS!B395</f>
        <v/>
      </c>
      <c r="C406" s="11">
        <f>MC_SEEDS!C395</f>
        <v/>
      </c>
      <c r="D406" s="11">
        <f>MC_SEEDS!D395</f>
        <v/>
      </c>
      <c r="E406" s="11">
        <f>MC_SEEDS!E395</f>
        <v/>
      </c>
      <c r="F406" s="11">
        <f>B406*INPUTS!$G$35*INPUTS!$G$42 + C406*INPUTS!$G$42 + D406*INPUTS!$G$43 + E406*INPUTS!$G$44</f>
        <v/>
      </c>
      <c r="G406" s="15">
        <f>INPUTS!$B$6*(1+F406)</f>
        <v/>
      </c>
      <c r="H406" s="15">
        <f>G406-INPUTS!$B$6</f>
        <v/>
      </c>
      <c r="I406" s="15">
        <f>MAX(0,H406-INPUTS!$B$7)</f>
        <v/>
      </c>
    </row>
    <row r="407">
      <c r="A407" s="14">
        <f>MC_SEEDS!A396</f>
        <v/>
      </c>
      <c r="B407" s="27">
        <f>MC_SEEDS!B396</f>
        <v/>
      </c>
      <c r="C407" s="11">
        <f>MC_SEEDS!C396</f>
        <v/>
      </c>
      <c r="D407" s="11">
        <f>MC_SEEDS!D396</f>
        <v/>
      </c>
      <c r="E407" s="11">
        <f>MC_SEEDS!E396</f>
        <v/>
      </c>
      <c r="F407" s="11">
        <f>B407*INPUTS!$G$35*INPUTS!$G$42 + C407*INPUTS!$G$42 + D407*INPUTS!$G$43 + E407*INPUTS!$G$44</f>
        <v/>
      </c>
      <c r="G407" s="15">
        <f>INPUTS!$B$6*(1+F407)</f>
        <v/>
      </c>
      <c r="H407" s="15">
        <f>G407-INPUTS!$B$6</f>
        <v/>
      </c>
      <c r="I407" s="15">
        <f>MAX(0,H407-INPUTS!$B$7)</f>
        <v/>
      </c>
    </row>
    <row r="408">
      <c r="A408" s="14">
        <f>MC_SEEDS!A397</f>
        <v/>
      </c>
      <c r="B408" s="27">
        <f>MC_SEEDS!B397</f>
        <v/>
      </c>
      <c r="C408" s="11">
        <f>MC_SEEDS!C397</f>
        <v/>
      </c>
      <c r="D408" s="11">
        <f>MC_SEEDS!D397</f>
        <v/>
      </c>
      <c r="E408" s="11">
        <f>MC_SEEDS!E397</f>
        <v/>
      </c>
      <c r="F408" s="11">
        <f>B408*INPUTS!$G$35*INPUTS!$G$42 + C408*INPUTS!$G$42 + D408*INPUTS!$G$43 + E408*INPUTS!$G$44</f>
        <v/>
      </c>
      <c r="G408" s="15">
        <f>INPUTS!$B$6*(1+F408)</f>
        <v/>
      </c>
      <c r="H408" s="15">
        <f>G408-INPUTS!$B$6</f>
        <v/>
      </c>
      <c r="I408" s="15">
        <f>MAX(0,H408-INPUTS!$B$7)</f>
        <v/>
      </c>
    </row>
    <row r="409">
      <c r="A409" s="14">
        <f>MC_SEEDS!A398</f>
        <v/>
      </c>
      <c r="B409" s="27">
        <f>MC_SEEDS!B398</f>
        <v/>
      </c>
      <c r="C409" s="11">
        <f>MC_SEEDS!C398</f>
        <v/>
      </c>
      <c r="D409" s="11">
        <f>MC_SEEDS!D398</f>
        <v/>
      </c>
      <c r="E409" s="11">
        <f>MC_SEEDS!E398</f>
        <v/>
      </c>
      <c r="F409" s="11">
        <f>B409*INPUTS!$G$35*INPUTS!$G$42 + C409*INPUTS!$G$42 + D409*INPUTS!$G$43 + E409*INPUTS!$G$44</f>
        <v/>
      </c>
      <c r="G409" s="15">
        <f>INPUTS!$B$6*(1+F409)</f>
        <v/>
      </c>
      <c r="H409" s="15">
        <f>G409-INPUTS!$B$6</f>
        <v/>
      </c>
      <c r="I409" s="15">
        <f>MAX(0,H409-INPUTS!$B$7)</f>
        <v/>
      </c>
    </row>
    <row r="410">
      <c r="A410" s="14">
        <f>MC_SEEDS!A399</f>
        <v/>
      </c>
      <c r="B410" s="27">
        <f>MC_SEEDS!B399</f>
        <v/>
      </c>
      <c r="C410" s="11">
        <f>MC_SEEDS!C399</f>
        <v/>
      </c>
      <c r="D410" s="11">
        <f>MC_SEEDS!D399</f>
        <v/>
      </c>
      <c r="E410" s="11">
        <f>MC_SEEDS!E399</f>
        <v/>
      </c>
      <c r="F410" s="11">
        <f>B410*INPUTS!$G$35*INPUTS!$G$42 + C410*INPUTS!$G$42 + D410*INPUTS!$G$43 + E410*INPUTS!$G$44</f>
        <v/>
      </c>
      <c r="G410" s="15">
        <f>INPUTS!$B$6*(1+F410)</f>
        <v/>
      </c>
      <c r="H410" s="15">
        <f>G410-INPUTS!$B$6</f>
        <v/>
      </c>
      <c r="I410" s="15">
        <f>MAX(0,H410-INPUTS!$B$7)</f>
        <v/>
      </c>
    </row>
    <row r="411">
      <c r="A411" s="14">
        <f>MC_SEEDS!A400</f>
        <v/>
      </c>
      <c r="B411" s="27">
        <f>MC_SEEDS!B400</f>
        <v/>
      </c>
      <c r="C411" s="11">
        <f>MC_SEEDS!C400</f>
        <v/>
      </c>
      <c r="D411" s="11">
        <f>MC_SEEDS!D400</f>
        <v/>
      </c>
      <c r="E411" s="11">
        <f>MC_SEEDS!E400</f>
        <v/>
      </c>
      <c r="F411" s="11">
        <f>B411*INPUTS!$G$35*INPUTS!$G$42 + C411*INPUTS!$G$42 + D411*INPUTS!$G$43 + E411*INPUTS!$G$44</f>
        <v/>
      </c>
      <c r="G411" s="15">
        <f>INPUTS!$B$6*(1+F411)</f>
        <v/>
      </c>
      <c r="H411" s="15">
        <f>G411-INPUTS!$B$6</f>
        <v/>
      </c>
      <c r="I411" s="15">
        <f>MAX(0,H411-INPUTS!$B$7)</f>
        <v/>
      </c>
    </row>
    <row r="412">
      <c r="A412" s="14">
        <f>MC_SEEDS!A401</f>
        <v/>
      </c>
      <c r="B412" s="27">
        <f>MC_SEEDS!B401</f>
        <v/>
      </c>
      <c r="C412" s="11">
        <f>MC_SEEDS!C401</f>
        <v/>
      </c>
      <c r="D412" s="11">
        <f>MC_SEEDS!D401</f>
        <v/>
      </c>
      <c r="E412" s="11">
        <f>MC_SEEDS!E401</f>
        <v/>
      </c>
      <c r="F412" s="11">
        <f>B412*INPUTS!$G$35*INPUTS!$G$42 + C412*INPUTS!$G$42 + D412*INPUTS!$G$43 + E412*INPUTS!$G$44</f>
        <v/>
      </c>
      <c r="G412" s="15">
        <f>INPUTS!$B$6*(1+F412)</f>
        <v/>
      </c>
      <c r="H412" s="15">
        <f>G412-INPUTS!$B$6</f>
        <v/>
      </c>
      <c r="I412" s="15">
        <f>MAX(0,H412-INPUTS!$B$7)</f>
        <v/>
      </c>
    </row>
    <row r="413">
      <c r="A413" s="14">
        <f>MC_SEEDS!A402</f>
        <v/>
      </c>
      <c r="B413" s="27">
        <f>MC_SEEDS!B402</f>
        <v/>
      </c>
      <c r="C413" s="11">
        <f>MC_SEEDS!C402</f>
        <v/>
      </c>
      <c r="D413" s="11">
        <f>MC_SEEDS!D402</f>
        <v/>
      </c>
      <c r="E413" s="11">
        <f>MC_SEEDS!E402</f>
        <v/>
      </c>
      <c r="F413" s="11">
        <f>B413*INPUTS!$G$35*INPUTS!$G$42 + C413*INPUTS!$G$42 + D413*INPUTS!$G$43 + E413*INPUTS!$G$44</f>
        <v/>
      </c>
      <c r="G413" s="15">
        <f>INPUTS!$B$6*(1+F413)</f>
        <v/>
      </c>
      <c r="H413" s="15">
        <f>G413-INPUTS!$B$6</f>
        <v/>
      </c>
      <c r="I413" s="15">
        <f>MAX(0,H413-INPUTS!$B$7)</f>
        <v/>
      </c>
    </row>
    <row r="414">
      <c r="A414" s="14">
        <f>MC_SEEDS!A403</f>
        <v/>
      </c>
      <c r="B414" s="27">
        <f>MC_SEEDS!B403</f>
        <v/>
      </c>
      <c r="C414" s="11">
        <f>MC_SEEDS!C403</f>
        <v/>
      </c>
      <c r="D414" s="11">
        <f>MC_SEEDS!D403</f>
        <v/>
      </c>
      <c r="E414" s="11">
        <f>MC_SEEDS!E403</f>
        <v/>
      </c>
      <c r="F414" s="11">
        <f>B414*INPUTS!$G$35*INPUTS!$G$42 + C414*INPUTS!$G$42 + D414*INPUTS!$G$43 + E414*INPUTS!$G$44</f>
        <v/>
      </c>
      <c r="G414" s="15">
        <f>INPUTS!$B$6*(1+F414)</f>
        <v/>
      </c>
      <c r="H414" s="15">
        <f>G414-INPUTS!$B$6</f>
        <v/>
      </c>
      <c r="I414" s="15">
        <f>MAX(0,H414-INPUTS!$B$7)</f>
        <v/>
      </c>
    </row>
    <row r="415">
      <c r="A415" s="14">
        <f>MC_SEEDS!A404</f>
        <v/>
      </c>
      <c r="B415" s="27">
        <f>MC_SEEDS!B404</f>
        <v/>
      </c>
      <c r="C415" s="11">
        <f>MC_SEEDS!C404</f>
        <v/>
      </c>
      <c r="D415" s="11">
        <f>MC_SEEDS!D404</f>
        <v/>
      </c>
      <c r="E415" s="11">
        <f>MC_SEEDS!E404</f>
        <v/>
      </c>
      <c r="F415" s="11">
        <f>B415*INPUTS!$G$35*INPUTS!$G$42 + C415*INPUTS!$G$42 + D415*INPUTS!$G$43 + E415*INPUTS!$G$44</f>
        <v/>
      </c>
      <c r="G415" s="15">
        <f>INPUTS!$B$6*(1+F415)</f>
        <v/>
      </c>
      <c r="H415" s="15">
        <f>G415-INPUTS!$B$6</f>
        <v/>
      </c>
      <c r="I415" s="15">
        <f>MAX(0,H415-INPUTS!$B$7)</f>
        <v/>
      </c>
    </row>
    <row r="416">
      <c r="A416" s="14">
        <f>MC_SEEDS!A405</f>
        <v/>
      </c>
      <c r="B416" s="27">
        <f>MC_SEEDS!B405</f>
        <v/>
      </c>
      <c r="C416" s="11">
        <f>MC_SEEDS!C405</f>
        <v/>
      </c>
      <c r="D416" s="11">
        <f>MC_SEEDS!D405</f>
        <v/>
      </c>
      <c r="E416" s="11">
        <f>MC_SEEDS!E405</f>
        <v/>
      </c>
      <c r="F416" s="11">
        <f>B416*INPUTS!$G$35*INPUTS!$G$42 + C416*INPUTS!$G$42 + D416*INPUTS!$G$43 + E416*INPUTS!$G$44</f>
        <v/>
      </c>
      <c r="G416" s="15">
        <f>INPUTS!$B$6*(1+F416)</f>
        <v/>
      </c>
      <c r="H416" s="15">
        <f>G416-INPUTS!$B$6</f>
        <v/>
      </c>
      <c r="I416" s="15">
        <f>MAX(0,H416-INPUTS!$B$7)</f>
        <v/>
      </c>
    </row>
    <row r="417">
      <c r="A417" s="14">
        <f>MC_SEEDS!A406</f>
        <v/>
      </c>
      <c r="B417" s="27">
        <f>MC_SEEDS!B406</f>
        <v/>
      </c>
      <c r="C417" s="11">
        <f>MC_SEEDS!C406</f>
        <v/>
      </c>
      <c r="D417" s="11">
        <f>MC_SEEDS!D406</f>
        <v/>
      </c>
      <c r="E417" s="11">
        <f>MC_SEEDS!E406</f>
        <v/>
      </c>
      <c r="F417" s="11">
        <f>B417*INPUTS!$G$35*INPUTS!$G$42 + C417*INPUTS!$G$42 + D417*INPUTS!$G$43 + E417*INPUTS!$G$44</f>
        <v/>
      </c>
      <c r="G417" s="15">
        <f>INPUTS!$B$6*(1+F417)</f>
        <v/>
      </c>
      <c r="H417" s="15">
        <f>G417-INPUTS!$B$6</f>
        <v/>
      </c>
      <c r="I417" s="15">
        <f>MAX(0,H417-INPUTS!$B$7)</f>
        <v/>
      </c>
    </row>
    <row r="418">
      <c r="A418" s="14">
        <f>MC_SEEDS!A407</f>
        <v/>
      </c>
      <c r="B418" s="27">
        <f>MC_SEEDS!B407</f>
        <v/>
      </c>
      <c r="C418" s="11">
        <f>MC_SEEDS!C407</f>
        <v/>
      </c>
      <c r="D418" s="11">
        <f>MC_SEEDS!D407</f>
        <v/>
      </c>
      <c r="E418" s="11">
        <f>MC_SEEDS!E407</f>
        <v/>
      </c>
      <c r="F418" s="11">
        <f>B418*INPUTS!$G$35*INPUTS!$G$42 + C418*INPUTS!$G$42 + D418*INPUTS!$G$43 + E418*INPUTS!$G$44</f>
        <v/>
      </c>
      <c r="G418" s="15">
        <f>INPUTS!$B$6*(1+F418)</f>
        <v/>
      </c>
      <c r="H418" s="15">
        <f>G418-INPUTS!$B$6</f>
        <v/>
      </c>
      <c r="I418" s="15">
        <f>MAX(0,H418-INPUTS!$B$7)</f>
        <v/>
      </c>
    </row>
    <row r="419">
      <c r="A419" s="14">
        <f>MC_SEEDS!A408</f>
        <v/>
      </c>
      <c r="B419" s="27">
        <f>MC_SEEDS!B408</f>
        <v/>
      </c>
      <c r="C419" s="11">
        <f>MC_SEEDS!C408</f>
        <v/>
      </c>
      <c r="D419" s="11">
        <f>MC_SEEDS!D408</f>
        <v/>
      </c>
      <c r="E419" s="11">
        <f>MC_SEEDS!E408</f>
        <v/>
      </c>
      <c r="F419" s="11">
        <f>B419*INPUTS!$G$35*INPUTS!$G$42 + C419*INPUTS!$G$42 + D419*INPUTS!$G$43 + E419*INPUTS!$G$44</f>
        <v/>
      </c>
      <c r="G419" s="15">
        <f>INPUTS!$B$6*(1+F419)</f>
        <v/>
      </c>
      <c r="H419" s="15">
        <f>G419-INPUTS!$B$6</f>
        <v/>
      </c>
      <c r="I419" s="15">
        <f>MAX(0,H419-INPUTS!$B$7)</f>
        <v/>
      </c>
    </row>
    <row r="420">
      <c r="A420" s="14">
        <f>MC_SEEDS!A409</f>
        <v/>
      </c>
      <c r="B420" s="27">
        <f>MC_SEEDS!B409</f>
        <v/>
      </c>
      <c r="C420" s="11">
        <f>MC_SEEDS!C409</f>
        <v/>
      </c>
      <c r="D420" s="11">
        <f>MC_SEEDS!D409</f>
        <v/>
      </c>
      <c r="E420" s="11">
        <f>MC_SEEDS!E409</f>
        <v/>
      </c>
      <c r="F420" s="11">
        <f>B420*INPUTS!$G$35*INPUTS!$G$42 + C420*INPUTS!$G$42 + D420*INPUTS!$G$43 + E420*INPUTS!$G$44</f>
        <v/>
      </c>
      <c r="G420" s="15">
        <f>INPUTS!$B$6*(1+F420)</f>
        <v/>
      </c>
      <c r="H420" s="15">
        <f>G420-INPUTS!$B$6</f>
        <v/>
      </c>
      <c r="I420" s="15">
        <f>MAX(0,H420-INPUTS!$B$7)</f>
        <v/>
      </c>
    </row>
    <row r="421">
      <c r="A421" s="14">
        <f>MC_SEEDS!A410</f>
        <v/>
      </c>
      <c r="B421" s="27">
        <f>MC_SEEDS!B410</f>
        <v/>
      </c>
      <c r="C421" s="11">
        <f>MC_SEEDS!C410</f>
        <v/>
      </c>
      <c r="D421" s="11">
        <f>MC_SEEDS!D410</f>
        <v/>
      </c>
      <c r="E421" s="11">
        <f>MC_SEEDS!E410</f>
        <v/>
      </c>
      <c r="F421" s="11">
        <f>B421*INPUTS!$G$35*INPUTS!$G$42 + C421*INPUTS!$G$42 + D421*INPUTS!$G$43 + E421*INPUTS!$G$44</f>
        <v/>
      </c>
      <c r="G421" s="15">
        <f>INPUTS!$B$6*(1+F421)</f>
        <v/>
      </c>
      <c r="H421" s="15">
        <f>G421-INPUTS!$B$6</f>
        <v/>
      </c>
      <c r="I421" s="15">
        <f>MAX(0,H421-INPUTS!$B$7)</f>
        <v/>
      </c>
    </row>
    <row r="422">
      <c r="A422" s="14">
        <f>MC_SEEDS!A411</f>
        <v/>
      </c>
      <c r="B422" s="27">
        <f>MC_SEEDS!B411</f>
        <v/>
      </c>
      <c r="C422" s="11">
        <f>MC_SEEDS!C411</f>
        <v/>
      </c>
      <c r="D422" s="11">
        <f>MC_SEEDS!D411</f>
        <v/>
      </c>
      <c r="E422" s="11">
        <f>MC_SEEDS!E411</f>
        <v/>
      </c>
      <c r="F422" s="11">
        <f>B422*INPUTS!$G$35*INPUTS!$G$42 + C422*INPUTS!$G$42 + D422*INPUTS!$G$43 + E422*INPUTS!$G$44</f>
        <v/>
      </c>
      <c r="G422" s="15">
        <f>INPUTS!$B$6*(1+F422)</f>
        <v/>
      </c>
      <c r="H422" s="15">
        <f>G422-INPUTS!$B$6</f>
        <v/>
      </c>
      <c r="I422" s="15">
        <f>MAX(0,H422-INPUTS!$B$7)</f>
        <v/>
      </c>
    </row>
    <row r="423">
      <c r="A423" s="14">
        <f>MC_SEEDS!A412</f>
        <v/>
      </c>
      <c r="B423" s="27">
        <f>MC_SEEDS!B412</f>
        <v/>
      </c>
      <c r="C423" s="11">
        <f>MC_SEEDS!C412</f>
        <v/>
      </c>
      <c r="D423" s="11">
        <f>MC_SEEDS!D412</f>
        <v/>
      </c>
      <c r="E423" s="11">
        <f>MC_SEEDS!E412</f>
        <v/>
      </c>
      <c r="F423" s="11">
        <f>B423*INPUTS!$G$35*INPUTS!$G$42 + C423*INPUTS!$G$42 + D423*INPUTS!$G$43 + E423*INPUTS!$G$44</f>
        <v/>
      </c>
      <c r="G423" s="15">
        <f>INPUTS!$B$6*(1+F423)</f>
        <v/>
      </c>
      <c r="H423" s="15">
        <f>G423-INPUTS!$B$6</f>
        <v/>
      </c>
      <c r="I423" s="15">
        <f>MAX(0,H423-INPUTS!$B$7)</f>
        <v/>
      </c>
    </row>
    <row r="424">
      <c r="A424" s="14">
        <f>MC_SEEDS!A413</f>
        <v/>
      </c>
      <c r="B424" s="27">
        <f>MC_SEEDS!B413</f>
        <v/>
      </c>
      <c r="C424" s="11">
        <f>MC_SEEDS!C413</f>
        <v/>
      </c>
      <c r="D424" s="11">
        <f>MC_SEEDS!D413</f>
        <v/>
      </c>
      <c r="E424" s="11">
        <f>MC_SEEDS!E413</f>
        <v/>
      </c>
      <c r="F424" s="11">
        <f>B424*INPUTS!$G$35*INPUTS!$G$42 + C424*INPUTS!$G$42 + D424*INPUTS!$G$43 + E424*INPUTS!$G$44</f>
        <v/>
      </c>
      <c r="G424" s="15">
        <f>INPUTS!$B$6*(1+F424)</f>
        <v/>
      </c>
      <c r="H424" s="15">
        <f>G424-INPUTS!$B$6</f>
        <v/>
      </c>
      <c r="I424" s="15">
        <f>MAX(0,H424-INPUTS!$B$7)</f>
        <v/>
      </c>
    </row>
    <row r="425">
      <c r="A425" s="14">
        <f>MC_SEEDS!A414</f>
        <v/>
      </c>
      <c r="B425" s="27">
        <f>MC_SEEDS!B414</f>
        <v/>
      </c>
      <c r="C425" s="11">
        <f>MC_SEEDS!C414</f>
        <v/>
      </c>
      <c r="D425" s="11">
        <f>MC_SEEDS!D414</f>
        <v/>
      </c>
      <c r="E425" s="11">
        <f>MC_SEEDS!E414</f>
        <v/>
      </c>
      <c r="F425" s="11">
        <f>B425*INPUTS!$G$35*INPUTS!$G$42 + C425*INPUTS!$G$42 + D425*INPUTS!$G$43 + E425*INPUTS!$G$44</f>
        <v/>
      </c>
      <c r="G425" s="15">
        <f>INPUTS!$B$6*(1+F425)</f>
        <v/>
      </c>
      <c r="H425" s="15">
        <f>G425-INPUTS!$B$6</f>
        <v/>
      </c>
      <c r="I425" s="15">
        <f>MAX(0,H425-INPUTS!$B$7)</f>
        <v/>
      </c>
    </row>
    <row r="426">
      <c r="A426" s="14">
        <f>MC_SEEDS!A415</f>
        <v/>
      </c>
      <c r="B426" s="27">
        <f>MC_SEEDS!B415</f>
        <v/>
      </c>
      <c r="C426" s="11">
        <f>MC_SEEDS!C415</f>
        <v/>
      </c>
      <c r="D426" s="11">
        <f>MC_SEEDS!D415</f>
        <v/>
      </c>
      <c r="E426" s="11">
        <f>MC_SEEDS!E415</f>
        <v/>
      </c>
      <c r="F426" s="11">
        <f>B426*INPUTS!$G$35*INPUTS!$G$42 + C426*INPUTS!$G$42 + D426*INPUTS!$G$43 + E426*INPUTS!$G$44</f>
        <v/>
      </c>
      <c r="G426" s="15">
        <f>INPUTS!$B$6*(1+F426)</f>
        <v/>
      </c>
      <c r="H426" s="15">
        <f>G426-INPUTS!$B$6</f>
        <v/>
      </c>
      <c r="I426" s="15">
        <f>MAX(0,H426-INPUTS!$B$7)</f>
        <v/>
      </c>
    </row>
    <row r="427">
      <c r="A427" s="14">
        <f>MC_SEEDS!A416</f>
        <v/>
      </c>
      <c r="B427" s="27">
        <f>MC_SEEDS!B416</f>
        <v/>
      </c>
      <c r="C427" s="11">
        <f>MC_SEEDS!C416</f>
        <v/>
      </c>
      <c r="D427" s="11">
        <f>MC_SEEDS!D416</f>
        <v/>
      </c>
      <c r="E427" s="11">
        <f>MC_SEEDS!E416</f>
        <v/>
      </c>
      <c r="F427" s="11">
        <f>B427*INPUTS!$G$35*INPUTS!$G$42 + C427*INPUTS!$G$42 + D427*INPUTS!$G$43 + E427*INPUTS!$G$44</f>
        <v/>
      </c>
      <c r="G427" s="15">
        <f>INPUTS!$B$6*(1+F427)</f>
        <v/>
      </c>
      <c r="H427" s="15">
        <f>G427-INPUTS!$B$6</f>
        <v/>
      </c>
      <c r="I427" s="15">
        <f>MAX(0,H427-INPUTS!$B$7)</f>
        <v/>
      </c>
    </row>
    <row r="428">
      <c r="A428" s="14">
        <f>MC_SEEDS!A417</f>
        <v/>
      </c>
      <c r="B428" s="27">
        <f>MC_SEEDS!B417</f>
        <v/>
      </c>
      <c r="C428" s="11">
        <f>MC_SEEDS!C417</f>
        <v/>
      </c>
      <c r="D428" s="11">
        <f>MC_SEEDS!D417</f>
        <v/>
      </c>
      <c r="E428" s="11">
        <f>MC_SEEDS!E417</f>
        <v/>
      </c>
      <c r="F428" s="11">
        <f>B428*INPUTS!$G$35*INPUTS!$G$42 + C428*INPUTS!$G$42 + D428*INPUTS!$G$43 + E428*INPUTS!$G$44</f>
        <v/>
      </c>
      <c r="G428" s="15">
        <f>INPUTS!$B$6*(1+F428)</f>
        <v/>
      </c>
      <c r="H428" s="15">
        <f>G428-INPUTS!$B$6</f>
        <v/>
      </c>
      <c r="I428" s="15">
        <f>MAX(0,H428-INPUTS!$B$7)</f>
        <v/>
      </c>
    </row>
    <row r="429">
      <c r="A429" s="14">
        <f>MC_SEEDS!A418</f>
        <v/>
      </c>
      <c r="B429" s="27">
        <f>MC_SEEDS!B418</f>
        <v/>
      </c>
      <c r="C429" s="11">
        <f>MC_SEEDS!C418</f>
        <v/>
      </c>
      <c r="D429" s="11">
        <f>MC_SEEDS!D418</f>
        <v/>
      </c>
      <c r="E429" s="11">
        <f>MC_SEEDS!E418</f>
        <v/>
      </c>
      <c r="F429" s="11">
        <f>B429*INPUTS!$G$35*INPUTS!$G$42 + C429*INPUTS!$G$42 + D429*INPUTS!$G$43 + E429*INPUTS!$G$44</f>
        <v/>
      </c>
      <c r="G429" s="15">
        <f>INPUTS!$B$6*(1+F429)</f>
        <v/>
      </c>
      <c r="H429" s="15">
        <f>G429-INPUTS!$B$6</f>
        <v/>
      </c>
      <c r="I429" s="15">
        <f>MAX(0,H429-INPUTS!$B$7)</f>
        <v/>
      </c>
    </row>
    <row r="430">
      <c r="A430" s="14">
        <f>MC_SEEDS!A419</f>
        <v/>
      </c>
      <c r="B430" s="27">
        <f>MC_SEEDS!B419</f>
        <v/>
      </c>
      <c r="C430" s="11">
        <f>MC_SEEDS!C419</f>
        <v/>
      </c>
      <c r="D430" s="11">
        <f>MC_SEEDS!D419</f>
        <v/>
      </c>
      <c r="E430" s="11">
        <f>MC_SEEDS!E419</f>
        <v/>
      </c>
      <c r="F430" s="11">
        <f>B430*INPUTS!$G$35*INPUTS!$G$42 + C430*INPUTS!$G$42 + D430*INPUTS!$G$43 + E430*INPUTS!$G$44</f>
        <v/>
      </c>
      <c r="G430" s="15">
        <f>INPUTS!$B$6*(1+F430)</f>
        <v/>
      </c>
      <c r="H430" s="15">
        <f>G430-INPUTS!$B$6</f>
        <v/>
      </c>
      <c r="I430" s="15">
        <f>MAX(0,H430-INPUTS!$B$7)</f>
        <v/>
      </c>
    </row>
    <row r="431">
      <c r="A431" s="14">
        <f>MC_SEEDS!A420</f>
        <v/>
      </c>
      <c r="B431" s="27">
        <f>MC_SEEDS!B420</f>
        <v/>
      </c>
      <c r="C431" s="11">
        <f>MC_SEEDS!C420</f>
        <v/>
      </c>
      <c r="D431" s="11">
        <f>MC_SEEDS!D420</f>
        <v/>
      </c>
      <c r="E431" s="11">
        <f>MC_SEEDS!E420</f>
        <v/>
      </c>
      <c r="F431" s="11">
        <f>B431*INPUTS!$G$35*INPUTS!$G$42 + C431*INPUTS!$G$42 + D431*INPUTS!$G$43 + E431*INPUTS!$G$44</f>
        <v/>
      </c>
      <c r="G431" s="15">
        <f>INPUTS!$B$6*(1+F431)</f>
        <v/>
      </c>
      <c r="H431" s="15">
        <f>G431-INPUTS!$B$6</f>
        <v/>
      </c>
      <c r="I431" s="15">
        <f>MAX(0,H431-INPUTS!$B$7)</f>
        <v/>
      </c>
    </row>
    <row r="432">
      <c r="A432" s="14">
        <f>MC_SEEDS!A421</f>
        <v/>
      </c>
      <c r="B432" s="27">
        <f>MC_SEEDS!B421</f>
        <v/>
      </c>
      <c r="C432" s="11">
        <f>MC_SEEDS!C421</f>
        <v/>
      </c>
      <c r="D432" s="11">
        <f>MC_SEEDS!D421</f>
        <v/>
      </c>
      <c r="E432" s="11">
        <f>MC_SEEDS!E421</f>
        <v/>
      </c>
      <c r="F432" s="11">
        <f>B432*INPUTS!$G$35*INPUTS!$G$42 + C432*INPUTS!$G$42 + D432*INPUTS!$G$43 + E432*INPUTS!$G$44</f>
        <v/>
      </c>
      <c r="G432" s="15">
        <f>INPUTS!$B$6*(1+F432)</f>
        <v/>
      </c>
      <c r="H432" s="15">
        <f>G432-INPUTS!$B$6</f>
        <v/>
      </c>
      <c r="I432" s="15">
        <f>MAX(0,H432-INPUTS!$B$7)</f>
        <v/>
      </c>
    </row>
    <row r="433">
      <c r="A433" s="14">
        <f>MC_SEEDS!A422</f>
        <v/>
      </c>
      <c r="B433" s="27">
        <f>MC_SEEDS!B422</f>
        <v/>
      </c>
      <c r="C433" s="11">
        <f>MC_SEEDS!C422</f>
        <v/>
      </c>
      <c r="D433" s="11">
        <f>MC_SEEDS!D422</f>
        <v/>
      </c>
      <c r="E433" s="11">
        <f>MC_SEEDS!E422</f>
        <v/>
      </c>
      <c r="F433" s="11">
        <f>B433*INPUTS!$G$35*INPUTS!$G$42 + C433*INPUTS!$G$42 + D433*INPUTS!$G$43 + E433*INPUTS!$G$44</f>
        <v/>
      </c>
      <c r="G433" s="15">
        <f>INPUTS!$B$6*(1+F433)</f>
        <v/>
      </c>
      <c r="H433" s="15">
        <f>G433-INPUTS!$B$6</f>
        <v/>
      </c>
      <c r="I433" s="15">
        <f>MAX(0,H433-INPUTS!$B$7)</f>
        <v/>
      </c>
    </row>
    <row r="434">
      <c r="A434" s="14">
        <f>MC_SEEDS!A423</f>
        <v/>
      </c>
      <c r="B434" s="27">
        <f>MC_SEEDS!B423</f>
        <v/>
      </c>
      <c r="C434" s="11">
        <f>MC_SEEDS!C423</f>
        <v/>
      </c>
      <c r="D434" s="11">
        <f>MC_SEEDS!D423</f>
        <v/>
      </c>
      <c r="E434" s="11">
        <f>MC_SEEDS!E423</f>
        <v/>
      </c>
      <c r="F434" s="11">
        <f>B434*INPUTS!$G$35*INPUTS!$G$42 + C434*INPUTS!$G$42 + D434*INPUTS!$G$43 + E434*INPUTS!$G$44</f>
        <v/>
      </c>
      <c r="G434" s="15">
        <f>INPUTS!$B$6*(1+F434)</f>
        <v/>
      </c>
      <c r="H434" s="15">
        <f>G434-INPUTS!$B$6</f>
        <v/>
      </c>
      <c r="I434" s="15">
        <f>MAX(0,H434-INPUTS!$B$7)</f>
        <v/>
      </c>
    </row>
    <row r="435">
      <c r="A435" s="14">
        <f>MC_SEEDS!A424</f>
        <v/>
      </c>
      <c r="B435" s="27">
        <f>MC_SEEDS!B424</f>
        <v/>
      </c>
      <c r="C435" s="11">
        <f>MC_SEEDS!C424</f>
        <v/>
      </c>
      <c r="D435" s="11">
        <f>MC_SEEDS!D424</f>
        <v/>
      </c>
      <c r="E435" s="11">
        <f>MC_SEEDS!E424</f>
        <v/>
      </c>
      <c r="F435" s="11">
        <f>B435*INPUTS!$G$35*INPUTS!$G$42 + C435*INPUTS!$G$42 + D435*INPUTS!$G$43 + E435*INPUTS!$G$44</f>
        <v/>
      </c>
      <c r="G435" s="15">
        <f>INPUTS!$B$6*(1+F435)</f>
        <v/>
      </c>
      <c r="H435" s="15">
        <f>G435-INPUTS!$B$6</f>
        <v/>
      </c>
      <c r="I435" s="15">
        <f>MAX(0,H435-INPUTS!$B$7)</f>
        <v/>
      </c>
    </row>
    <row r="436">
      <c r="A436" s="14">
        <f>MC_SEEDS!A425</f>
        <v/>
      </c>
      <c r="B436" s="27">
        <f>MC_SEEDS!B425</f>
        <v/>
      </c>
      <c r="C436" s="11">
        <f>MC_SEEDS!C425</f>
        <v/>
      </c>
      <c r="D436" s="11">
        <f>MC_SEEDS!D425</f>
        <v/>
      </c>
      <c r="E436" s="11">
        <f>MC_SEEDS!E425</f>
        <v/>
      </c>
      <c r="F436" s="11">
        <f>B436*INPUTS!$G$35*INPUTS!$G$42 + C436*INPUTS!$G$42 + D436*INPUTS!$G$43 + E436*INPUTS!$G$44</f>
        <v/>
      </c>
      <c r="G436" s="15">
        <f>INPUTS!$B$6*(1+F436)</f>
        <v/>
      </c>
      <c r="H436" s="15">
        <f>G436-INPUTS!$B$6</f>
        <v/>
      </c>
      <c r="I436" s="15">
        <f>MAX(0,H436-INPUTS!$B$7)</f>
        <v/>
      </c>
    </row>
    <row r="437">
      <c r="A437" s="14">
        <f>MC_SEEDS!A426</f>
        <v/>
      </c>
      <c r="B437" s="27">
        <f>MC_SEEDS!B426</f>
        <v/>
      </c>
      <c r="C437" s="11">
        <f>MC_SEEDS!C426</f>
        <v/>
      </c>
      <c r="D437" s="11">
        <f>MC_SEEDS!D426</f>
        <v/>
      </c>
      <c r="E437" s="11">
        <f>MC_SEEDS!E426</f>
        <v/>
      </c>
      <c r="F437" s="11">
        <f>B437*INPUTS!$G$35*INPUTS!$G$42 + C437*INPUTS!$G$42 + D437*INPUTS!$G$43 + E437*INPUTS!$G$44</f>
        <v/>
      </c>
      <c r="G437" s="15">
        <f>INPUTS!$B$6*(1+F437)</f>
        <v/>
      </c>
      <c r="H437" s="15">
        <f>G437-INPUTS!$B$6</f>
        <v/>
      </c>
      <c r="I437" s="15">
        <f>MAX(0,H437-INPUTS!$B$7)</f>
        <v/>
      </c>
    </row>
    <row r="438">
      <c r="A438" s="14">
        <f>MC_SEEDS!A427</f>
        <v/>
      </c>
      <c r="B438" s="27">
        <f>MC_SEEDS!B427</f>
        <v/>
      </c>
      <c r="C438" s="11">
        <f>MC_SEEDS!C427</f>
        <v/>
      </c>
      <c r="D438" s="11">
        <f>MC_SEEDS!D427</f>
        <v/>
      </c>
      <c r="E438" s="11">
        <f>MC_SEEDS!E427</f>
        <v/>
      </c>
      <c r="F438" s="11">
        <f>B438*INPUTS!$G$35*INPUTS!$G$42 + C438*INPUTS!$G$42 + D438*INPUTS!$G$43 + E438*INPUTS!$G$44</f>
        <v/>
      </c>
      <c r="G438" s="15">
        <f>INPUTS!$B$6*(1+F438)</f>
        <v/>
      </c>
      <c r="H438" s="15">
        <f>G438-INPUTS!$B$6</f>
        <v/>
      </c>
      <c r="I438" s="15">
        <f>MAX(0,H438-INPUTS!$B$7)</f>
        <v/>
      </c>
    </row>
    <row r="439">
      <c r="A439" s="14">
        <f>MC_SEEDS!A428</f>
        <v/>
      </c>
      <c r="B439" s="27">
        <f>MC_SEEDS!B428</f>
        <v/>
      </c>
      <c r="C439" s="11">
        <f>MC_SEEDS!C428</f>
        <v/>
      </c>
      <c r="D439" s="11">
        <f>MC_SEEDS!D428</f>
        <v/>
      </c>
      <c r="E439" s="11">
        <f>MC_SEEDS!E428</f>
        <v/>
      </c>
      <c r="F439" s="11">
        <f>B439*INPUTS!$G$35*INPUTS!$G$42 + C439*INPUTS!$G$42 + D439*INPUTS!$G$43 + E439*INPUTS!$G$44</f>
        <v/>
      </c>
      <c r="G439" s="15">
        <f>INPUTS!$B$6*(1+F439)</f>
        <v/>
      </c>
      <c r="H439" s="15">
        <f>G439-INPUTS!$B$6</f>
        <v/>
      </c>
      <c r="I439" s="15">
        <f>MAX(0,H439-INPUTS!$B$7)</f>
        <v/>
      </c>
    </row>
    <row r="440">
      <c r="A440" s="14">
        <f>MC_SEEDS!A429</f>
        <v/>
      </c>
      <c r="B440" s="27">
        <f>MC_SEEDS!B429</f>
        <v/>
      </c>
      <c r="C440" s="11">
        <f>MC_SEEDS!C429</f>
        <v/>
      </c>
      <c r="D440" s="11">
        <f>MC_SEEDS!D429</f>
        <v/>
      </c>
      <c r="E440" s="11">
        <f>MC_SEEDS!E429</f>
        <v/>
      </c>
      <c r="F440" s="11">
        <f>B440*INPUTS!$G$35*INPUTS!$G$42 + C440*INPUTS!$G$42 + D440*INPUTS!$G$43 + E440*INPUTS!$G$44</f>
        <v/>
      </c>
      <c r="G440" s="15">
        <f>INPUTS!$B$6*(1+F440)</f>
        <v/>
      </c>
      <c r="H440" s="15">
        <f>G440-INPUTS!$B$6</f>
        <v/>
      </c>
      <c r="I440" s="15">
        <f>MAX(0,H440-INPUTS!$B$7)</f>
        <v/>
      </c>
    </row>
    <row r="441">
      <c r="A441" s="14">
        <f>MC_SEEDS!A430</f>
        <v/>
      </c>
      <c r="B441" s="27">
        <f>MC_SEEDS!B430</f>
        <v/>
      </c>
      <c r="C441" s="11">
        <f>MC_SEEDS!C430</f>
        <v/>
      </c>
      <c r="D441" s="11">
        <f>MC_SEEDS!D430</f>
        <v/>
      </c>
      <c r="E441" s="11">
        <f>MC_SEEDS!E430</f>
        <v/>
      </c>
      <c r="F441" s="11">
        <f>B441*INPUTS!$G$35*INPUTS!$G$42 + C441*INPUTS!$G$42 + D441*INPUTS!$G$43 + E441*INPUTS!$G$44</f>
        <v/>
      </c>
      <c r="G441" s="15">
        <f>INPUTS!$B$6*(1+F441)</f>
        <v/>
      </c>
      <c r="H441" s="15">
        <f>G441-INPUTS!$B$6</f>
        <v/>
      </c>
      <c r="I441" s="15">
        <f>MAX(0,H441-INPUTS!$B$7)</f>
        <v/>
      </c>
    </row>
    <row r="442">
      <c r="A442" s="14">
        <f>MC_SEEDS!A431</f>
        <v/>
      </c>
      <c r="B442" s="27">
        <f>MC_SEEDS!B431</f>
        <v/>
      </c>
      <c r="C442" s="11">
        <f>MC_SEEDS!C431</f>
        <v/>
      </c>
      <c r="D442" s="11">
        <f>MC_SEEDS!D431</f>
        <v/>
      </c>
      <c r="E442" s="11">
        <f>MC_SEEDS!E431</f>
        <v/>
      </c>
      <c r="F442" s="11">
        <f>B442*INPUTS!$G$35*INPUTS!$G$42 + C442*INPUTS!$G$42 + D442*INPUTS!$G$43 + E442*INPUTS!$G$44</f>
        <v/>
      </c>
      <c r="G442" s="15">
        <f>INPUTS!$B$6*(1+F442)</f>
        <v/>
      </c>
      <c r="H442" s="15">
        <f>G442-INPUTS!$B$6</f>
        <v/>
      </c>
      <c r="I442" s="15">
        <f>MAX(0,H442-INPUTS!$B$7)</f>
        <v/>
      </c>
    </row>
    <row r="443">
      <c r="A443" s="14">
        <f>MC_SEEDS!A432</f>
        <v/>
      </c>
      <c r="B443" s="27">
        <f>MC_SEEDS!B432</f>
        <v/>
      </c>
      <c r="C443" s="11">
        <f>MC_SEEDS!C432</f>
        <v/>
      </c>
      <c r="D443" s="11">
        <f>MC_SEEDS!D432</f>
        <v/>
      </c>
      <c r="E443" s="11">
        <f>MC_SEEDS!E432</f>
        <v/>
      </c>
      <c r="F443" s="11">
        <f>B443*INPUTS!$G$35*INPUTS!$G$42 + C443*INPUTS!$G$42 + D443*INPUTS!$G$43 + E443*INPUTS!$G$44</f>
        <v/>
      </c>
      <c r="G443" s="15">
        <f>INPUTS!$B$6*(1+F443)</f>
        <v/>
      </c>
      <c r="H443" s="15">
        <f>G443-INPUTS!$B$6</f>
        <v/>
      </c>
      <c r="I443" s="15">
        <f>MAX(0,H443-INPUTS!$B$7)</f>
        <v/>
      </c>
    </row>
    <row r="444">
      <c r="A444" s="14">
        <f>MC_SEEDS!A433</f>
        <v/>
      </c>
      <c r="B444" s="27">
        <f>MC_SEEDS!B433</f>
        <v/>
      </c>
      <c r="C444" s="11">
        <f>MC_SEEDS!C433</f>
        <v/>
      </c>
      <c r="D444" s="11">
        <f>MC_SEEDS!D433</f>
        <v/>
      </c>
      <c r="E444" s="11">
        <f>MC_SEEDS!E433</f>
        <v/>
      </c>
      <c r="F444" s="11">
        <f>B444*INPUTS!$G$35*INPUTS!$G$42 + C444*INPUTS!$G$42 + D444*INPUTS!$G$43 + E444*INPUTS!$G$44</f>
        <v/>
      </c>
      <c r="G444" s="15">
        <f>INPUTS!$B$6*(1+F444)</f>
        <v/>
      </c>
      <c r="H444" s="15">
        <f>G444-INPUTS!$B$6</f>
        <v/>
      </c>
      <c r="I444" s="15">
        <f>MAX(0,H444-INPUTS!$B$7)</f>
        <v/>
      </c>
    </row>
    <row r="445">
      <c r="A445" s="14">
        <f>MC_SEEDS!A434</f>
        <v/>
      </c>
      <c r="B445" s="27">
        <f>MC_SEEDS!B434</f>
        <v/>
      </c>
      <c r="C445" s="11">
        <f>MC_SEEDS!C434</f>
        <v/>
      </c>
      <c r="D445" s="11">
        <f>MC_SEEDS!D434</f>
        <v/>
      </c>
      <c r="E445" s="11">
        <f>MC_SEEDS!E434</f>
        <v/>
      </c>
      <c r="F445" s="11">
        <f>B445*INPUTS!$G$35*INPUTS!$G$42 + C445*INPUTS!$G$42 + D445*INPUTS!$G$43 + E445*INPUTS!$G$44</f>
        <v/>
      </c>
      <c r="G445" s="15">
        <f>INPUTS!$B$6*(1+F445)</f>
        <v/>
      </c>
      <c r="H445" s="15">
        <f>G445-INPUTS!$B$6</f>
        <v/>
      </c>
      <c r="I445" s="15">
        <f>MAX(0,H445-INPUTS!$B$7)</f>
        <v/>
      </c>
    </row>
    <row r="446">
      <c r="A446" s="14">
        <f>MC_SEEDS!A435</f>
        <v/>
      </c>
      <c r="B446" s="27">
        <f>MC_SEEDS!B435</f>
        <v/>
      </c>
      <c r="C446" s="11">
        <f>MC_SEEDS!C435</f>
        <v/>
      </c>
      <c r="D446" s="11">
        <f>MC_SEEDS!D435</f>
        <v/>
      </c>
      <c r="E446" s="11">
        <f>MC_SEEDS!E435</f>
        <v/>
      </c>
      <c r="F446" s="11">
        <f>B446*INPUTS!$G$35*INPUTS!$G$42 + C446*INPUTS!$G$42 + D446*INPUTS!$G$43 + E446*INPUTS!$G$44</f>
        <v/>
      </c>
      <c r="G446" s="15">
        <f>INPUTS!$B$6*(1+F446)</f>
        <v/>
      </c>
      <c r="H446" s="15">
        <f>G446-INPUTS!$B$6</f>
        <v/>
      </c>
      <c r="I446" s="15">
        <f>MAX(0,H446-INPUTS!$B$7)</f>
        <v/>
      </c>
    </row>
    <row r="447">
      <c r="A447" s="14">
        <f>MC_SEEDS!A436</f>
        <v/>
      </c>
      <c r="B447" s="27">
        <f>MC_SEEDS!B436</f>
        <v/>
      </c>
      <c r="C447" s="11">
        <f>MC_SEEDS!C436</f>
        <v/>
      </c>
      <c r="D447" s="11">
        <f>MC_SEEDS!D436</f>
        <v/>
      </c>
      <c r="E447" s="11">
        <f>MC_SEEDS!E436</f>
        <v/>
      </c>
      <c r="F447" s="11">
        <f>B447*INPUTS!$G$35*INPUTS!$G$42 + C447*INPUTS!$G$42 + D447*INPUTS!$G$43 + E447*INPUTS!$G$44</f>
        <v/>
      </c>
      <c r="G447" s="15">
        <f>INPUTS!$B$6*(1+F447)</f>
        <v/>
      </c>
      <c r="H447" s="15">
        <f>G447-INPUTS!$B$6</f>
        <v/>
      </c>
      <c r="I447" s="15">
        <f>MAX(0,H447-INPUTS!$B$7)</f>
        <v/>
      </c>
    </row>
    <row r="448">
      <c r="A448" s="14">
        <f>MC_SEEDS!A437</f>
        <v/>
      </c>
      <c r="B448" s="27">
        <f>MC_SEEDS!B437</f>
        <v/>
      </c>
      <c r="C448" s="11">
        <f>MC_SEEDS!C437</f>
        <v/>
      </c>
      <c r="D448" s="11">
        <f>MC_SEEDS!D437</f>
        <v/>
      </c>
      <c r="E448" s="11">
        <f>MC_SEEDS!E437</f>
        <v/>
      </c>
      <c r="F448" s="11">
        <f>B448*INPUTS!$G$35*INPUTS!$G$42 + C448*INPUTS!$G$42 + D448*INPUTS!$G$43 + E448*INPUTS!$G$44</f>
        <v/>
      </c>
      <c r="G448" s="15">
        <f>INPUTS!$B$6*(1+F448)</f>
        <v/>
      </c>
      <c r="H448" s="15">
        <f>G448-INPUTS!$B$6</f>
        <v/>
      </c>
      <c r="I448" s="15">
        <f>MAX(0,H448-INPUTS!$B$7)</f>
        <v/>
      </c>
    </row>
    <row r="449">
      <c r="A449" s="14">
        <f>MC_SEEDS!A438</f>
        <v/>
      </c>
      <c r="B449" s="27">
        <f>MC_SEEDS!B438</f>
        <v/>
      </c>
      <c r="C449" s="11">
        <f>MC_SEEDS!C438</f>
        <v/>
      </c>
      <c r="D449" s="11">
        <f>MC_SEEDS!D438</f>
        <v/>
      </c>
      <c r="E449" s="11">
        <f>MC_SEEDS!E438</f>
        <v/>
      </c>
      <c r="F449" s="11">
        <f>B449*INPUTS!$G$35*INPUTS!$G$42 + C449*INPUTS!$G$42 + D449*INPUTS!$G$43 + E449*INPUTS!$G$44</f>
        <v/>
      </c>
      <c r="G449" s="15">
        <f>INPUTS!$B$6*(1+F449)</f>
        <v/>
      </c>
      <c r="H449" s="15">
        <f>G449-INPUTS!$B$6</f>
        <v/>
      </c>
      <c r="I449" s="15">
        <f>MAX(0,H449-INPUTS!$B$7)</f>
        <v/>
      </c>
    </row>
    <row r="450">
      <c r="A450" s="14">
        <f>MC_SEEDS!A439</f>
        <v/>
      </c>
      <c r="B450" s="27">
        <f>MC_SEEDS!B439</f>
        <v/>
      </c>
      <c r="C450" s="11">
        <f>MC_SEEDS!C439</f>
        <v/>
      </c>
      <c r="D450" s="11">
        <f>MC_SEEDS!D439</f>
        <v/>
      </c>
      <c r="E450" s="11">
        <f>MC_SEEDS!E439</f>
        <v/>
      </c>
      <c r="F450" s="11">
        <f>B450*INPUTS!$G$35*INPUTS!$G$42 + C450*INPUTS!$G$42 + D450*INPUTS!$G$43 + E450*INPUTS!$G$44</f>
        <v/>
      </c>
      <c r="G450" s="15">
        <f>INPUTS!$B$6*(1+F450)</f>
        <v/>
      </c>
      <c r="H450" s="15">
        <f>G450-INPUTS!$B$6</f>
        <v/>
      </c>
      <c r="I450" s="15">
        <f>MAX(0,H450-INPUTS!$B$7)</f>
        <v/>
      </c>
    </row>
    <row r="451">
      <c r="A451" s="14">
        <f>MC_SEEDS!A440</f>
        <v/>
      </c>
      <c r="B451" s="27">
        <f>MC_SEEDS!B440</f>
        <v/>
      </c>
      <c r="C451" s="11">
        <f>MC_SEEDS!C440</f>
        <v/>
      </c>
      <c r="D451" s="11">
        <f>MC_SEEDS!D440</f>
        <v/>
      </c>
      <c r="E451" s="11">
        <f>MC_SEEDS!E440</f>
        <v/>
      </c>
      <c r="F451" s="11">
        <f>B451*INPUTS!$G$35*INPUTS!$G$42 + C451*INPUTS!$G$42 + D451*INPUTS!$G$43 + E451*INPUTS!$G$44</f>
        <v/>
      </c>
      <c r="G451" s="15">
        <f>INPUTS!$B$6*(1+F451)</f>
        <v/>
      </c>
      <c r="H451" s="15">
        <f>G451-INPUTS!$B$6</f>
        <v/>
      </c>
      <c r="I451" s="15">
        <f>MAX(0,H451-INPUTS!$B$7)</f>
        <v/>
      </c>
    </row>
    <row r="452">
      <c r="A452" s="14">
        <f>MC_SEEDS!A441</f>
        <v/>
      </c>
      <c r="B452" s="27">
        <f>MC_SEEDS!B441</f>
        <v/>
      </c>
      <c r="C452" s="11">
        <f>MC_SEEDS!C441</f>
        <v/>
      </c>
      <c r="D452" s="11">
        <f>MC_SEEDS!D441</f>
        <v/>
      </c>
      <c r="E452" s="11">
        <f>MC_SEEDS!E441</f>
        <v/>
      </c>
      <c r="F452" s="11">
        <f>B452*INPUTS!$G$35*INPUTS!$G$42 + C452*INPUTS!$G$42 + D452*INPUTS!$G$43 + E452*INPUTS!$G$44</f>
        <v/>
      </c>
      <c r="G452" s="15">
        <f>INPUTS!$B$6*(1+F452)</f>
        <v/>
      </c>
      <c r="H452" s="15">
        <f>G452-INPUTS!$B$6</f>
        <v/>
      </c>
      <c r="I452" s="15">
        <f>MAX(0,H452-INPUTS!$B$7)</f>
        <v/>
      </c>
    </row>
    <row r="453">
      <c r="A453" s="14">
        <f>MC_SEEDS!A442</f>
        <v/>
      </c>
      <c r="B453" s="27">
        <f>MC_SEEDS!B442</f>
        <v/>
      </c>
      <c r="C453" s="11">
        <f>MC_SEEDS!C442</f>
        <v/>
      </c>
      <c r="D453" s="11">
        <f>MC_SEEDS!D442</f>
        <v/>
      </c>
      <c r="E453" s="11">
        <f>MC_SEEDS!E442</f>
        <v/>
      </c>
      <c r="F453" s="11">
        <f>B453*INPUTS!$G$35*INPUTS!$G$42 + C453*INPUTS!$G$42 + D453*INPUTS!$G$43 + E453*INPUTS!$G$44</f>
        <v/>
      </c>
      <c r="G453" s="15">
        <f>INPUTS!$B$6*(1+F453)</f>
        <v/>
      </c>
      <c r="H453" s="15">
        <f>G453-INPUTS!$B$6</f>
        <v/>
      </c>
      <c r="I453" s="15">
        <f>MAX(0,H453-INPUTS!$B$7)</f>
        <v/>
      </c>
    </row>
    <row r="454">
      <c r="A454" s="14">
        <f>MC_SEEDS!A443</f>
        <v/>
      </c>
      <c r="B454" s="27">
        <f>MC_SEEDS!B443</f>
        <v/>
      </c>
      <c r="C454" s="11">
        <f>MC_SEEDS!C443</f>
        <v/>
      </c>
      <c r="D454" s="11">
        <f>MC_SEEDS!D443</f>
        <v/>
      </c>
      <c r="E454" s="11">
        <f>MC_SEEDS!E443</f>
        <v/>
      </c>
      <c r="F454" s="11">
        <f>B454*INPUTS!$G$35*INPUTS!$G$42 + C454*INPUTS!$G$42 + D454*INPUTS!$G$43 + E454*INPUTS!$G$44</f>
        <v/>
      </c>
      <c r="G454" s="15">
        <f>INPUTS!$B$6*(1+F454)</f>
        <v/>
      </c>
      <c r="H454" s="15">
        <f>G454-INPUTS!$B$6</f>
        <v/>
      </c>
      <c r="I454" s="15">
        <f>MAX(0,H454-INPUTS!$B$7)</f>
        <v/>
      </c>
    </row>
    <row r="455">
      <c r="A455" s="14">
        <f>MC_SEEDS!A444</f>
        <v/>
      </c>
      <c r="B455" s="27">
        <f>MC_SEEDS!B444</f>
        <v/>
      </c>
      <c r="C455" s="11">
        <f>MC_SEEDS!C444</f>
        <v/>
      </c>
      <c r="D455" s="11">
        <f>MC_SEEDS!D444</f>
        <v/>
      </c>
      <c r="E455" s="11">
        <f>MC_SEEDS!E444</f>
        <v/>
      </c>
      <c r="F455" s="11">
        <f>B455*INPUTS!$G$35*INPUTS!$G$42 + C455*INPUTS!$G$42 + D455*INPUTS!$G$43 + E455*INPUTS!$G$44</f>
        <v/>
      </c>
      <c r="G455" s="15">
        <f>INPUTS!$B$6*(1+F455)</f>
        <v/>
      </c>
      <c r="H455" s="15">
        <f>G455-INPUTS!$B$6</f>
        <v/>
      </c>
      <c r="I455" s="15">
        <f>MAX(0,H455-INPUTS!$B$7)</f>
        <v/>
      </c>
    </row>
    <row r="456">
      <c r="A456" s="14">
        <f>MC_SEEDS!A445</f>
        <v/>
      </c>
      <c r="B456" s="27">
        <f>MC_SEEDS!B445</f>
        <v/>
      </c>
      <c r="C456" s="11">
        <f>MC_SEEDS!C445</f>
        <v/>
      </c>
      <c r="D456" s="11">
        <f>MC_SEEDS!D445</f>
        <v/>
      </c>
      <c r="E456" s="11">
        <f>MC_SEEDS!E445</f>
        <v/>
      </c>
      <c r="F456" s="11">
        <f>B456*INPUTS!$G$35*INPUTS!$G$42 + C456*INPUTS!$G$42 + D456*INPUTS!$G$43 + E456*INPUTS!$G$44</f>
        <v/>
      </c>
      <c r="G456" s="15">
        <f>INPUTS!$B$6*(1+F456)</f>
        <v/>
      </c>
      <c r="H456" s="15">
        <f>G456-INPUTS!$B$6</f>
        <v/>
      </c>
      <c r="I456" s="15">
        <f>MAX(0,H456-INPUTS!$B$7)</f>
        <v/>
      </c>
    </row>
    <row r="457">
      <c r="A457" s="14">
        <f>MC_SEEDS!A446</f>
        <v/>
      </c>
      <c r="B457" s="27">
        <f>MC_SEEDS!B446</f>
        <v/>
      </c>
      <c r="C457" s="11">
        <f>MC_SEEDS!C446</f>
        <v/>
      </c>
      <c r="D457" s="11">
        <f>MC_SEEDS!D446</f>
        <v/>
      </c>
      <c r="E457" s="11">
        <f>MC_SEEDS!E446</f>
        <v/>
      </c>
      <c r="F457" s="11">
        <f>B457*INPUTS!$G$35*INPUTS!$G$42 + C457*INPUTS!$G$42 + D457*INPUTS!$G$43 + E457*INPUTS!$G$44</f>
        <v/>
      </c>
      <c r="G457" s="15">
        <f>INPUTS!$B$6*(1+F457)</f>
        <v/>
      </c>
      <c r="H457" s="15">
        <f>G457-INPUTS!$B$6</f>
        <v/>
      </c>
      <c r="I457" s="15">
        <f>MAX(0,H457-INPUTS!$B$7)</f>
        <v/>
      </c>
    </row>
    <row r="458">
      <c r="A458" s="14">
        <f>MC_SEEDS!A447</f>
        <v/>
      </c>
      <c r="B458" s="27">
        <f>MC_SEEDS!B447</f>
        <v/>
      </c>
      <c r="C458" s="11">
        <f>MC_SEEDS!C447</f>
        <v/>
      </c>
      <c r="D458" s="11">
        <f>MC_SEEDS!D447</f>
        <v/>
      </c>
      <c r="E458" s="11">
        <f>MC_SEEDS!E447</f>
        <v/>
      </c>
      <c r="F458" s="11">
        <f>B458*INPUTS!$G$35*INPUTS!$G$42 + C458*INPUTS!$G$42 + D458*INPUTS!$G$43 + E458*INPUTS!$G$44</f>
        <v/>
      </c>
      <c r="G458" s="15">
        <f>INPUTS!$B$6*(1+F458)</f>
        <v/>
      </c>
      <c r="H458" s="15">
        <f>G458-INPUTS!$B$6</f>
        <v/>
      </c>
      <c r="I458" s="15">
        <f>MAX(0,H458-INPUTS!$B$7)</f>
        <v/>
      </c>
    </row>
    <row r="459">
      <c r="A459" s="14">
        <f>MC_SEEDS!A448</f>
        <v/>
      </c>
      <c r="B459" s="27">
        <f>MC_SEEDS!B448</f>
        <v/>
      </c>
      <c r="C459" s="11">
        <f>MC_SEEDS!C448</f>
        <v/>
      </c>
      <c r="D459" s="11">
        <f>MC_SEEDS!D448</f>
        <v/>
      </c>
      <c r="E459" s="11">
        <f>MC_SEEDS!E448</f>
        <v/>
      </c>
      <c r="F459" s="11">
        <f>B459*INPUTS!$G$35*INPUTS!$G$42 + C459*INPUTS!$G$42 + D459*INPUTS!$G$43 + E459*INPUTS!$G$44</f>
        <v/>
      </c>
      <c r="G459" s="15">
        <f>INPUTS!$B$6*(1+F459)</f>
        <v/>
      </c>
      <c r="H459" s="15">
        <f>G459-INPUTS!$B$6</f>
        <v/>
      </c>
      <c r="I459" s="15">
        <f>MAX(0,H459-INPUTS!$B$7)</f>
        <v/>
      </c>
    </row>
    <row r="460">
      <c r="A460" s="14">
        <f>MC_SEEDS!A449</f>
        <v/>
      </c>
      <c r="B460" s="27">
        <f>MC_SEEDS!B449</f>
        <v/>
      </c>
      <c r="C460" s="11">
        <f>MC_SEEDS!C449</f>
        <v/>
      </c>
      <c r="D460" s="11">
        <f>MC_SEEDS!D449</f>
        <v/>
      </c>
      <c r="E460" s="11">
        <f>MC_SEEDS!E449</f>
        <v/>
      </c>
      <c r="F460" s="11">
        <f>B460*INPUTS!$G$35*INPUTS!$G$42 + C460*INPUTS!$G$42 + D460*INPUTS!$G$43 + E460*INPUTS!$G$44</f>
        <v/>
      </c>
      <c r="G460" s="15">
        <f>INPUTS!$B$6*(1+F460)</f>
        <v/>
      </c>
      <c r="H460" s="15">
        <f>G460-INPUTS!$B$6</f>
        <v/>
      </c>
      <c r="I460" s="15">
        <f>MAX(0,H460-INPUTS!$B$7)</f>
        <v/>
      </c>
    </row>
    <row r="461">
      <c r="A461" s="14">
        <f>MC_SEEDS!A450</f>
        <v/>
      </c>
      <c r="B461" s="27">
        <f>MC_SEEDS!B450</f>
        <v/>
      </c>
      <c r="C461" s="11">
        <f>MC_SEEDS!C450</f>
        <v/>
      </c>
      <c r="D461" s="11">
        <f>MC_SEEDS!D450</f>
        <v/>
      </c>
      <c r="E461" s="11">
        <f>MC_SEEDS!E450</f>
        <v/>
      </c>
      <c r="F461" s="11">
        <f>B461*INPUTS!$G$35*INPUTS!$G$42 + C461*INPUTS!$G$42 + D461*INPUTS!$G$43 + E461*INPUTS!$G$44</f>
        <v/>
      </c>
      <c r="G461" s="15">
        <f>INPUTS!$B$6*(1+F461)</f>
        <v/>
      </c>
      <c r="H461" s="15">
        <f>G461-INPUTS!$B$6</f>
        <v/>
      </c>
      <c r="I461" s="15">
        <f>MAX(0,H461-INPUTS!$B$7)</f>
        <v/>
      </c>
    </row>
    <row r="462">
      <c r="A462" s="14">
        <f>MC_SEEDS!A451</f>
        <v/>
      </c>
      <c r="B462" s="27">
        <f>MC_SEEDS!B451</f>
        <v/>
      </c>
      <c r="C462" s="11">
        <f>MC_SEEDS!C451</f>
        <v/>
      </c>
      <c r="D462" s="11">
        <f>MC_SEEDS!D451</f>
        <v/>
      </c>
      <c r="E462" s="11">
        <f>MC_SEEDS!E451</f>
        <v/>
      </c>
      <c r="F462" s="11">
        <f>B462*INPUTS!$G$35*INPUTS!$G$42 + C462*INPUTS!$G$42 + D462*INPUTS!$G$43 + E462*INPUTS!$G$44</f>
        <v/>
      </c>
      <c r="G462" s="15">
        <f>INPUTS!$B$6*(1+F462)</f>
        <v/>
      </c>
      <c r="H462" s="15">
        <f>G462-INPUTS!$B$6</f>
        <v/>
      </c>
      <c r="I462" s="15">
        <f>MAX(0,H462-INPUTS!$B$7)</f>
        <v/>
      </c>
    </row>
    <row r="463">
      <c r="A463" s="14">
        <f>MC_SEEDS!A452</f>
        <v/>
      </c>
      <c r="B463" s="27">
        <f>MC_SEEDS!B452</f>
        <v/>
      </c>
      <c r="C463" s="11">
        <f>MC_SEEDS!C452</f>
        <v/>
      </c>
      <c r="D463" s="11">
        <f>MC_SEEDS!D452</f>
        <v/>
      </c>
      <c r="E463" s="11">
        <f>MC_SEEDS!E452</f>
        <v/>
      </c>
      <c r="F463" s="11">
        <f>B463*INPUTS!$G$35*INPUTS!$G$42 + C463*INPUTS!$G$42 + D463*INPUTS!$G$43 + E463*INPUTS!$G$44</f>
        <v/>
      </c>
      <c r="G463" s="15">
        <f>INPUTS!$B$6*(1+F463)</f>
        <v/>
      </c>
      <c r="H463" s="15">
        <f>G463-INPUTS!$B$6</f>
        <v/>
      </c>
      <c r="I463" s="15">
        <f>MAX(0,H463-INPUTS!$B$7)</f>
        <v/>
      </c>
    </row>
    <row r="464">
      <c r="A464" s="14">
        <f>MC_SEEDS!A453</f>
        <v/>
      </c>
      <c r="B464" s="27">
        <f>MC_SEEDS!B453</f>
        <v/>
      </c>
      <c r="C464" s="11">
        <f>MC_SEEDS!C453</f>
        <v/>
      </c>
      <c r="D464" s="11">
        <f>MC_SEEDS!D453</f>
        <v/>
      </c>
      <c r="E464" s="11">
        <f>MC_SEEDS!E453</f>
        <v/>
      </c>
      <c r="F464" s="11">
        <f>B464*INPUTS!$G$35*INPUTS!$G$42 + C464*INPUTS!$G$42 + D464*INPUTS!$G$43 + E464*INPUTS!$G$44</f>
        <v/>
      </c>
      <c r="G464" s="15">
        <f>INPUTS!$B$6*(1+F464)</f>
        <v/>
      </c>
      <c r="H464" s="15">
        <f>G464-INPUTS!$B$6</f>
        <v/>
      </c>
      <c r="I464" s="15">
        <f>MAX(0,H464-INPUTS!$B$7)</f>
        <v/>
      </c>
    </row>
    <row r="465">
      <c r="A465" s="14">
        <f>MC_SEEDS!A454</f>
        <v/>
      </c>
      <c r="B465" s="27">
        <f>MC_SEEDS!B454</f>
        <v/>
      </c>
      <c r="C465" s="11">
        <f>MC_SEEDS!C454</f>
        <v/>
      </c>
      <c r="D465" s="11">
        <f>MC_SEEDS!D454</f>
        <v/>
      </c>
      <c r="E465" s="11">
        <f>MC_SEEDS!E454</f>
        <v/>
      </c>
      <c r="F465" s="11">
        <f>B465*INPUTS!$G$35*INPUTS!$G$42 + C465*INPUTS!$G$42 + D465*INPUTS!$G$43 + E465*INPUTS!$G$44</f>
        <v/>
      </c>
      <c r="G465" s="15">
        <f>INPUTS!$B$6*(1+F465)</f>
        <v/>
      </c>
      <c r="H465" s="15">
        <f>G465-INPUTS!$B$6</f>
        <v/>
      </c>
      <c r="I465" s="15">
        <f>MAX(0,H465-INPUTS!$B$7)</f>
        <v/>
      </c>
    </row>
    <row r="466">
      <c r="A466" s="14">
        <f>MC_SEEDS!A455</f>
        <v/>
      </c>
      <c r="B466" s="27">
        <f>MC_SEEDS!B455</f>
        <v/>
      </c>
      <c r="C466" s="11">
        <f>MC_SEEDS!C455</f>
        <v/>
      </c>
      <c r="D466" s="11">
        <f>MC_SEEDS!D455</f>
        <v/>
      </c>
      <c r="E466" s="11">
        <f>MC_SEEDS!E455</f>
        <v/>
      </c>
      <c r="F466" s="11">
        <f>B466*INPUTS!$G$35*INPUTS!$G$42 + C466*INPUTS!$G$42 + D466*INPUTS!$G$43 + E466*INPUTS!$G$44</f>
        <v/>
      </c>
      <c r="G466" s="15">
        <f>INPUTS!$B$6*(1+F466)</f>
        <v/>
      </c>
      <c r="H466" s="15">
        <f>G466-INPUTS!$B$6</f>
        <v/>
      </c>
      <c r="I466" s="15">
        <f>MAX(0,H466-INPUTS!$B$7)</f>
        <v/>
      </c>
    </row>
    <row r="467">
      <c r="A467" s="14">
        <f>MC_SEEDS!A456</f>
        <v/>
      </c>
      <c r="B467" s="27">
        <f>MC_SEEDS!B456</f>
        <v/>
      </c>
      <c r="C467" s="11">
        <f>MC_SEEDS!C456</f>
        <v/>
      </c>
      <c r="D467" s="11">
        <f>MC_SEEDS!D456</f>
        <v/>
      </c>
      <c r="E467" s="11">
        <f>MC_SEEDS!E456</f>
        <v/>
      </c>
      <c r="F467" s="11">
        <f>B467*INPUTS!$G$35*INPUTS!$G$42 + C467*INPUTS!$G$42 + D467*INPUTS!$G$43 + E467*INPUTS!$G$44</f>
        <v/>
      </c>
      <c r="G467" s="15">
        <f>INPUTS!$B$6*(1+F467)</f>
        <v/>
      </c>
      <c r="H467" s="15">
        <f>G467-INPUTS!$B$6</f>
        <v/>
      </c>
      <c r="I467" s="15">
        <f>MAX(0,H467-INPUTS!$B$7)</f>
        <v/>
      </c>
    </row>
    <row r="468">
      <c r="A468" s="14">
        <f>MC_SEEDS!A457</f>
        <v/>
      </c>
      <c r="B468" s="27">
        <f>MC_SEEDS!B457</f>
        <v/>
      </c>
      <c r="C468" s="11">
        <f>MC_SEEDS!C457</f>
        <v/>
      </c>
      <c r="D468" s="11">
        <f>MC_SEEDS!D457</f>
        <v/>
      </c>
      <c r="E468" s="11">
        <f>MC_SEEDS!E457</f>
        <v/>
      </c>
      <c r="F468" s="11">
        <f>B468*INPUTS!$G$35*INPUTS!$G$42 + C468*INPUTS!$G$42 + D468*INPUTS!$G$43 + E468*INPUTS!$G$44</f>
        <v/>
      </c>
      <c r="G468" s="15">
        <f>INPUTS!$B$6*(1+F468)</f>
        <v/>
      </c>
      <c r="H468" s="15">
        <f>G468-INPUTS!$B$6</f>
        <v/>
      </c>
      <c r="I468" s="15">
        <f>MAX(0,H468-INPUTS!$B$7)</f>
        <v/>
      </c>
    </row>
    <row r="469">
      <c r="A469" s="14">
        <f>MC_SEEDS!A458</f>
        <v/>
      </c>
      <c r="B469" s="27">
        <f>MC_SEEDS!B458</f>
        <v/>
      </c>
      <c r="C469" s="11">
        <f>MC_SEEDS!C458</f>
        <v/>
      </c>
      <c r="D469" s="11">
        <f>MC_SEEDS!D458</f>
        <v/>
      </c>
      <c r="E469" s="11">
        <f>MC_SEEDS!E458</f>
        <v/>
      </c>
      <c r="F469" s="11">
        <f>B469*INPUTS!$G$35*INPUTS!$G$42 + C469*INPUTS!$G$42 + D469*INPUTS!$G$43 + E469*INPUTS!$G$44</f>
        <v/>
      </c>
      <c r="G469" s="15">
        <f>INPUTS!$B$6*(1+F469)</f>
        <v/>
      </c>
      <c r="H469" s="15">
        <f>G469-INPUTS!$B$6</f>
        <v/>
      </c>
      <c r="I469" s="15">
        <f>MAX(0,H469-INPUTS!$B$7)</f>
        <v/>
      </c>
    </row>
    <row r="470">
      <c r="A470" s="14">
        <f>MC_SEEDS!A459</f>
        <v/>
      </c>
      <c r="B470" s="27">
        <f>MC_SEEDS!B459</f>
        <v/>
      </c>
      <c r="C470" s="11">
        <f>MC_SEEDS!C459</f>
        <v/>
      </c>
      <c r="D470" s="11">
        <f>MC_SEEDS!D459</f>
        <v/>
      </c>
      <c r="E470" s="11">
        <f>MC_SEEDS!E459</f>
        <v/>
      </c>
      <c r="F470" s="11">
        <f>B470*INPUTS!$G$35*INPUTS!$G$42 + C470*INPUTS!$G$42 + D470*INPUTS!$G$43 + E470*INPUTS!$G$44</f>
        <v/>
      </c>
      <c r="G470" s="15">
        <f>INPUTS!$B$6*(1+F470)</f>
        <v/>
      </c>
      <c r="H470" s="15">
        <f>G470-INPUTS!$B$6</f>
        <v/>
      </c>
      <c r="I470" s="15">
        <f>MAX(0,H470-INPUTS!$B$7)</f>
        <v/>
      </c>
    </row>
    <row r="471">
      <c r="A471" s="14">
        <f>MC_SEEDS!A460</f>
        <v/>
      </c>
      <c r="B471" s="27">
        <f>MC_SEEDS!B460</f>
        <v/>
      </c>
      <c r="C471" s="11">
        <f>MC_SEEDS!C460</f>
        <v/>
      </c>
      <c r="D471" s="11">
        <f>MC_SEEDS!D460</f>
        <v/>
      </c>
      <c r="E471" s="11">
        <f>MC_SEEDS!E460</f>
        <v/>
      </c>
      <c r="F471" s="11">
        <f>B471*INPUTS!$G$35*INPUTS!$G$42 + C471*INPUTS!$G$42 + D471*INPUTS!$G$43 + E471*INPUTS!$G$44</f>
        <v/>
      </c>
      <c r="G471" s="15">
        <f>INPUTS!$B$6*(1+F471)</f>
        <v/>
      </c>
      <c r="H471" s="15">
        <f>G471-INPUTS!$B$6</f>
        <v/>
      </c>
      <c r="I471" s="15">
        <f>MAX(0,H471-INPUTS!$B$7)</f>
        <v/>
      </c>
    </row>
    <row r="472">
      <c r="A472" s="14">
        <f>MC_SEEDS!A461</f>
        <v/>
      </c>
      <c r="B472" s="27">
        <f>MC_SEEDS!B461</f>
        <v/>
      </c>
      <c r="C472" s="11">
        <f>MC_SEEDS!C461</f>
        <v/>
      </c>
      <c r="D472" s="11">
        <f>MC_SEEDS!D461</f>
        <v/>
      </c>
      <c r="E472" s="11">
        <f>MC_SEEDS!E461</f>
        <v/>
      </c>
      <c r="F472" s="11">
        <f>B472*INPUTS!$G$35*INPUTS!$G$42 + C472*INPUTS!$G$42 + D472*INPUTS!$G$43 + E472*INPUTS!$G$44</f>
        <v/>
      </c>
      <c r="G472" s="15">
        <f>INPUTS!$B$6*(1+F472)</f>
        <v/>
      </c>
      <c r="H472" s="15">
        <f>G472-INPUTS!$B$6</f>
        <v/>
      </c>
      <c r="I472" s="15">
        <f>MAX(0,H472-INPUTS!$B$7)</f>
        <v/>
      </c>
    </row>
    <row r="473">
      <c r="A473" s="14">
        <f>MC_SEEDS!A462</f>
        <v/>
      </c>
      <c r="B473" s="27">
        <f>MC_SEEDS!B462</f>
        <v/>
      </c>
      <c r="C473" s="11">
        <f>MC_SEEDS!C462</f>
        <v/>
      </c>
      <c r="D473" s="11">
        <f>MC_SEEDS!D462</f>
        <v/>
      </c>
      <c r="E473" s="11">
        <f>MC_SEEDS!E462</f>
        <v/>
      </c>
      <c r="F473" s="11">
        <f>B473*INPUTS!$G$35*INPUTS!$G$42 + C473*INPUTS!$G$42 + D473*INPUTS!$G$43 + E473*INPUTS!$G$44</f>
        <v/>
      </c>
      <c r="G473" s="15">
        <f>INPUTS!$B$6*(1+F473)</f>
        <v/>
      </c>
      <c r="H473" s="15">
        <f>G473-INPUTS!$B$6</f>
        <v/>
      </c>
      <c r="I473" s="15">
        <f>MAX(0,H473-INPUTS!$B$7)</f>
        <v/>
      </c>
    </row>
    <row r="474">
      <c r="A474" s="14">
        <f>MC_SEEDS!A463</f>
        <v/>
      </c>
      <c r="B474" s="27">
        <f>MC_SEEDS!B463</f>
        <v/>
      </c>
      <c r="C474" s="11">
        <f>MC_SEEDS!C463</f>
        <v/>
      </c>
      <c r="D474" s="11">
        <f>MC_SEEDS!D463</f>
        <v/>
      </c>
      <c r="E474" s="11">
        <f>MC_SEEDS!E463</f>
        <v/>
      </c>
      <c r="F474" s="11">
        <f>B474*INPUTS!$G$35*INPUTS!$G$42 + C474*INPUTS!$G$42 + D474*INPUTS!$G$43 + E474*INPUTS!$G$44</f>
        <v/>
      </c>
      <c r="G474" s="15">
        <f>INPUTS!$B$6*(1+F474)</f>
        <v/>
      </c>
      <c r="H474" s="15">
        <f>G474-INPUTS!$B$6</f>
        <v/>
      </c>
      <c r="I474" s="15">
        <f>MAX(0,H474-INPUTS!$B$7)</f>
        <v/>
      </c>
    </row>
    <row r="475">
      <c r="A475" s="14">
        <f>MC_SEEDS!A464</f>
        <v/>
      </c>
      <c r="B475" s="27">
        <f>MC_SEEDS!B464</f>
        <v/>
      </c>
      <c r="C475" s="11">
        <f>MC_SEEDS!C464</f>
        <v/>
      </c>
      <c r="D475" s="11">
        <f>MC_SEEDS!D464</f>
        <v/>
      </c>
      <c r="E475" s="11">
        <f>MC_SEEDS!E464</f>
        <v/>
      </c>
      <c r="F475" s="11">
        <f>B475*INPUTS!$G$35*INPUTS!$G$42 + C475*INPUTS!$G$42 + D475*INPUTS!$G$43 + E475*INPUTS!$G$44</f>
        <v/>
      </c>
      <c r="G475" s="15">
        <f>INPUTS!$B$6*(1+F475)</f>
        <v/>
      </c>
      <c r="H475" s="15">
        <f>G475-INPUTS!$B$6</f>
        <v/>
      </c>
      <c r="I475" s="15">
        <f>MAX(0,H475-INPUTS!$B$7)</f>
        <v/>
      </c>
    </row>
    <row r="476">
      <c r="A476" s="14">
        <f>MC_SEEDS!A465</f>
        <v/>
      </c>
      <c r="B476" s="27">
        <f>MC_SEEDS!B465</f>
        <v/>
      </c>
      <c r="C476" s="11">
        <f>MC_SEEDS!C465</f>
        <v/>
      </c>
      <c r="D476" s="11">
        <f>MC_SEEDS!D465</f>
        <v/>
      </c>
      <c r="E476" s="11">
        <f>MC_SEEDS!E465</f>
        <v/>
      </c>
      <c r="F476" s="11">
        <f>B476*INPUTS!$G$35*INPUTS!$G$42 + C476*INPUTS!$G$42 + D476*INPUTS!$G$43 + E476*INPUTS!$G$44</f>
        <v/>
      </c>
      <c r="G476" s="15">
        <f>INPUTS!$B$6*(1+F476)</f>
        <v/>
      </c>
      <c r="H476" s="15">
        <f>G476-INPUTS!$B$6</f>
        <v/>
      </c>
      <c r="I476" s="15">
        <f>MAX(0,H476-INPUTS!$B$7)</f>
        <v/>
      </c>
    </row>
    <row r="477">
      <c r="A477" s="14">
        <f>MC_SEEDS!A466</f>
        <v/>
      </c>
      <c r="B477" s="27">
        <f>MC_SEEDS!B466</f>
        <v/>
      </c>
      <c r="C477" s="11">
        <f>MC_SEEDS!C466</f>
        <v/>
      </c>
      <c r="D477" s="11">
        <f>MC_SEEDS!D466</f>
        <v/>
      </c>
      <c r="E477" s="11">
        <f>MC_SEEDS!E466</f>
        <v/>
      </c>
      <c r="F477" s="11">
        <f>B477*INPUTS!$G$35*INPUTS!$G$42 + C477*INPUTS!$G$42 + D477*INPUTS!$G$43 + E477*INPUTS!$G$44</f>
        <v/>
      </c>
      <c r="G477" s="15">
        <f>INPUTS!$B$6*(1+F477)</f>
        <v/>
      </c>
      <c r="H477" s="15">
        <f>G477-INPUTS!$B$6</f>
        <v/>
      </c>
      <c r="I477" s="15">
        <f>MAX(0,H477-INPUTS!$B$7)</f>
        <v/>
      </c>
    </row>
    <row r="478">
      <c r="A478" s="14">
        <f>MC_SEEDS!A467</f>
        <v/>
      </c>
      <c r="B478" s="27">
        <f>MC_SEEDS!B467</f>
        <v/>
      </c>
      <c r="C478" s="11">
        <f>MC_SEEDS!C467</f>
        <v/>
      </c>
      <c r="D478" s="11">
        <f>MC_SEEDS!D467</f>
        <v/>
      </c>
      <c r="E478" s="11">
        <f>MC_SEEDS!E467</f>
        <v/>
      </c>
      <c r="F478" s="11">
        <f>B478*INPUTS!$G$35*INPUTS!$G$42 + C478*INPUTS!$G$42 + D478*INPUTS!$G$43 + E478*INPUTS!$G$44</f>
        <v/>
      </c>
      <c r="G478" s="15">
        <f>INPUTS!$B$6*(1+F478)</f>
        <v/>
      </c>
      <c r="H478" s="15">
        <f>G478-INPUTS!$B$6</f>
        <v/>
      </c>
      <c r="I478" s="15">
        <f>MAX(0,H478-INPUTS!$B$7)</f>
        <v/>
      </c>
    </row>
    <row r="479">
      <c r="A479" s="14">
        <f>MC_SEEDS!A468</f>
        <v/>
      </c>
      <c r="B479" s="27">
        <f>MC_SEEDS!B468</f>
        <v/>
      </c>
      <c r="C479" s="11">
        <f>MC_SEEDS!C468</f>
        <v/>
      </c>
      <c r="D479" s="11">
        <f>MC_SEEDS!D468</f>
        <v/>
      </c>
      <c r="E479" s="11">
        <f>MC_SEEDS!E468</f>
        <v/>
      </c>
      <c r="F479" s="11">
        <f>B479*INPUTS!$G$35*INPUTS!$G$42 + C479*INPUTS!$G$42 + D479*INPUTS!$G$43 + E479*INPUTS!$G$44</f>
        <v/>
      </c>
      <c r="G479" s="15">
        <f>INPUTS!$B$6*(1+F479)</f>
        <v/>
      </c>
      <c r="H479" s="15">
        <f>G479-INPUTS!$B$6</f>
        <v/>
      </c>
      <c r="I479" s="15">
        <f>MAX(0,H479-INPUTS!$B$7)</f>
        <v/>
      </c>
    </row>
    <row r="480">
      <c r="A480" s="14">
        <f>MC_SEEDS!A469</f>
        <v/>
      </c>
      <c r="B480" s="27">
        <f>MC_SEEDS!B469</f>
        <v/>
      </c>
      <c r="C480" s="11">
        <f>MC_SEEDS!C469</f>
        <v/>
      </c>
      <c r="D480" s="11">
        <f>MC_SEEDS!D469</f>
        <v/>
      </c>
      <c r="E480" s="11">
        <f>MC_SEEDS!E469</f>
        <v/>
      </c>
      <c r="F480" s="11">
        <f>B480*INPUTS!$G$35*INPUTS!$G$42 + C480*INPUTS!$G$42 + D480*INPUTS!$G$43 + E480*INPUTS!$G$44</f>
        <v/>
      </c>
      <c r="G480" s="15">
        <f>INPUTS!$B$6*(1+F480)</f>
        <v/>
      </c>
      <c r="H480" s="15">
        <f>G480-INPUTS!$B$6</f>
        <v/>
      </c>
      <c r="I480" s="15">
        <f>MAX(0,H480-INPUTS!$B$7)</f>
        <v/>
      </c>
    </row>
    <row r="481">
      <c r="A481" s="14">
        <f>MC_SEEDS!A470</f>
        <v/>
      </c>
      <c r="B481" s="27">
        <f>MC_SEEDS!B470</f>
        <v/>
      </c>
      <c r="C481" s="11">
        <f>MC_SEEDS!C470</f>
        <v/>
      </c>
      <c r="D481" s="11">
        <f>MC_SEEDS!D470</f>
        <v/>
      </c>
      <c r="E481" s="11">
        <f>MC_SEEDS!E470</f>
        <v/>
      </c>
      <c r="F481" s="11">
        <f>B481*INPUTS!$G$35*INPUTS!$G$42 + C481*INPUTS!$G$42 + D481*INPUTS!$G$43 + E481*INPUTS!$G$44</f>
        <v/>
      </c>
      <c r="G481" s="15">
        <f>INPUTS!$B$6*(1+F481)</f>
        <v/>
      </c>
      <c r="H481" s="15">
        <f>G481-INPUTS!$B$6</f>
        <v/>
      </c>
      <c r="I481" s="15">
        <f>MAX(0,H481-INPUTS!$B$7)</f>
        <v/>
      </c>
    </row>
    <row r="482">
      <c r="A482" s="14">
        <f>MC_SEEDS!A471</f>
        <v/>
      </c>
      <c r="B482" s="27">
        <f>MC_SEEDS!B471</f>
        <v/>
      </c>
      <c r="C482" s="11">
        <f>MC_SEEDS!C471</f>
        <v/>
      </c>
      <c r="D482" s="11">
        <f>MC_SEEDS!D471</f>
        <v/>
      </c>
      <c r="E482" s="11">
        <f>MC_SEEDS!E471</f>
        <v/>
      </c>
      <c r="F482" s="11">
        <f>B482*INPUTS!$G$35*INPUTS!$G$42 + C482*INPUTS!$G$42 + D482*INPUTS!$G$43 + E482*INPUTS!$G$44</f>
        <v/>
      </c>
      <c r="G482" s="15">
        <f>INPUTS!$B$6*(1+F482)</f>
        <v/>
      </c>
      <c r="H482" s="15">
        <f>G482-INPUTS!$B$6</f>
        <v/>
      </c>
      <c r="I482" s="15">
        <f>MAX(0,H482-INPUTS!$B$7)</f>
        <v/>
      </c>
    </row>
    <row r="483">
      <c r="A483" s="14">
        <f>MC_SEEDS!A472</f>
        <v/>
      </c>
      <c r="B483" s="27">
        <f>MC_SEEDS!B472</f>
        <v/>
      </c>
      <c r="C483" s="11">
        <f>MC_SEEDS!C472</f>
        <v/>
      </c>
      <c r="D483" s="11">
        <f>MC_SEEDS!D472</f>
        <v/>
      </c>
      <c r="E483" s="11">
        <f>MC_SEEDS!E472</f>
        <v/>
      </c>
      <c r="F483" s="11">
        <f>B483*INPUTS!$G$35*INPUTS!$G$42 + C483*INPUTS!$G$42 + D483*INPUTS!$G$43 + E483*INPUTS!$G$44</f>
        <v/>
      </c>
      <c r="G483" s="15">
        <f>INPUTS!$B$6*(1+F483)</f>
        <v/>
      </c>
      <c r="H483" s="15">
        <f>G483-INPUTS!$B$6</f>
        <v/>
      </c>
      <c r="I483" s="15">
        <f>MAX(0,H483-INPUTS!$B$7)</f>
        <v/>
      </c>
    </row>
    <row r="484">
      <c r="A484" s="14">
        <f>MC_SEEDS!A473</f>
        <v/>
      </c>
      <c r="B484" s="27">
        <f>MC_SEEDS!B473</f>
        <v/>
      </c>
      <c r="C484" s="11">
        <f>MC_SEEDS!C473</f>
        <v/>
      </c>
      <c r="D484" s="11">
        <f>MC_SEEDS!D473</f>
        <v/>
      </c>
      <c r="E484" s="11">
        <f>MC_SEEDS!E473</f>
        <v/>
      </c>
      <c r="F484" s="11">
        <f>B484*INPUTS!$G$35*INPUTS!$G$42 + C484*INPUTS!$G$42 + D484*INPUTS!$G$43 + E484*INPUTS!$G$44</f>
        <v/>
      </c>
      <c r="G484" s="15">
        <f>INPUTS!$B$6*(1+F484)</f>
        <v/>
      </c>
      <c r="H484" s="15">
        <f>G484-INPUTS!$B$6</f>
        <v/>
      </c>
      <c r="I484" s="15">
        <f>MAX(0,H484-INPUTS!$B$7)</f>
        <v/>
      </c>
    </row>
    <row r="485">
      <c r="A485" s="14">
        <f>MC_SEEDS!A474</f>
        <v/>
      </c>
      <c r="B485" s="27">
        <f>MC_SEEDS!B474</f>
        <v/>
      </c>
      <c r="C485" s="11">
        <f>MC_SEEDS!C474</f>
        <v/>
      </c>
      <c r="D485" s="11">
        <f>MC_SEEDS!D474</f>
        <v/>
      </c>
      <c r="E485" s="11">
        <f>MC_SEEDS!E474</f>
        <v/>
      </c>
      <c r="F485" s="11">
        <f>B485*INPUTS!$G$35*INPUTS!$G$42 + C485*INPUTS!$G$42 + D485*INPUTS!$G$43 + E485*INPUTS!$G$44</f>
        <v/>
      </c>
      <c r="G485" s="15">
        <f>INPUTS!$B$6*(1+F485)</f>
        <v/>
      </c>
      <c r="H485" s="15">
        <f>G485-INPUTS!$B$6</f>
        <v/>
      </c>
      <c r="I485" s="15">
        <f>MAX(0,H485-INPUTS!$B$7)</f>
        <v/>
      </c>
    </row>
    <row r="486">
      <c r="A486" s="14">
        <f>MC_SEEDS!A475</f>
        <v/>
      </c>
      <c r="B486" s="27">
        <f>MC_SEEDS!B475</f>
        <v/>
      </c>
      <c r="C486" s="11">
        <f>MC_SEEDS!C475</f>
        <v/>
      </c>
      <c r="D486" s="11">
        <f>MC_SEEDS!D475</f>
        <v/>
      </c>
      <c r="E486" s="11">
        <f>MC_SEEDS!E475</f>
        <v/>
      </c>
      <c r="F486" s="11">
        <f>B486*INPUTS!$G$35*INPUTS!$G$42 + C486*INPUTS!$G$42 + D486*INPUTS!$G$43 + E486*INPUTS!$G$44</f>
        <v/>
      </c>
      <c r="G486" s="15">
        <f>INPUTS!$B$6*(1+F486)</f>
        <v/>
      </c>
      <c r="H486" s="15">
        <f>G486-INPUTS!$B$6</f>
        <v/>
      </c>
      <c r="I486" s="15">
        <f>MAX(0,H486-INPUTS!$B$7)</f>
        <v/>
      </c>
    </row>
    <row r="487">
      <c r="A487" s="14">
        <f>MC_SEEDS!A476</f>
        <v/>
      </c>
      <c r="B487" s="27">
        <f>MC_SEEDS!B476</f>
        <v/>
      </c>
      <c r="C487" s="11">
        <f>MC_SEEDS!C476</f>
        <v/>
      </c>
      <c r="D487" s="11">
        <f>MC_SEEDS!D476</f>
        <v/>
      </c>
      <c r="E487" s="11">
        <f>MC_SEEDS!E476</f>
        <v/>
      </c>
      <c r="F487" s="11">
        <f>B487*INPUTS!$G$35*INPUTS!$G$42 + C487*INPUTS!$G$42 + D487*INPUTS!$G$43 + E487*INPUTS!$G$44</f>
        <v/>
      </c>
      <c r="G487" s="15">
        <f>INPUTS!$B$6*(1+F487)</f>
        <v/>
      </c>
      <c r="H487" s="15">
        <f>G487-INPUTS!$B$6</f>
        <v/>
      </c>
      <c r="I487" s="15">
        <f>MAX(0,H487-INPUTS!$B$7)</f>
        <v/>
      </c>
    </row>
    <row r="488">
      <c r="A488" s="14">
        <f>MC_SEEDS!A477</f>
        <v/>
      </c>
      <c r="B488" s="27">
        <f>MC_SEEDS!B477</f>
        <v/>
      </c>
      <c r="C488" s="11">
        <f>MC_SEEDS!C477</f>
        <v/>
      </c>
      <c r="D488" s="11">
        <f>MC_SEEDS!D477</f>
        <v/>
      </c>
      <c r="E488" s="11">
        <f>MC_SEEDS!E477</f>
        <v/>
      </c>
      <c r="F488" s="11">
        <f>B488*INPUTS!$G$35*INPUTS!$G$42 + C488*INPUTS!$G$42 + D488*INPUTS!$G$43 + E488*INPUTS!$G$44</f>
        <v/>
      </c>
      <c r="G488" s="15">
        <f>INPUTS!$B$6*(1+F488)</f>
        <v/>
      </c>
      <c r="H488" s="15">
        <f>G488-INPUTS!$B$6</f>
        <v/>
      </c>
      <c r="I488" s="15">
        <f>MAX(0,H488-INPUTS!$B$7)</f>
        <v/>
      </c>
    </row>
    <row r="489">
      <c r="A489" s="14">
        <f>MC_SEEDS!A478</f>
        <v/>
      </c>
      <c r="B489" s="27">
        <f>MC_SEEDS!B478</f>
        <v/>
      </c>
      <c r="C489" s="11">
        <f>MC_SEEDS!C478</f>
        <v/>
      </c>
      <c r="D489" s="11">
        <f>MC_SEEDS!D478</f>
        <v/>
      </c>
      <c r="E489" s="11">
        <f>MC_SEEDS!E478</f>
        <v/>
      </c>
      <c r="F489" s="11">
        <f>B489*INPUTS!$G$35*INPUTS!$G$42 + C489*INPUTS!$G$42 + D489*INPUTS!$G$43 + E489*INPUTS!$G$44</f>
        <v/>
      </c>
      <c r="G489" s="15">
        <f>INPUTS!$B$6*(1+F489)</f>
        <v/>
      </c>
      <c r="H489" s="15">
        <f>G489-INPUTS!$B$6</f>
        <v/>
      </c>
      <c r="I489" s="15">
        <f>MAX(0,H489-INPUTS!$B$7)</f>
        <v/>
      </c>
    </row>
    <row r="490">
      <c r="A490" s="14">
        <f>MC_SEEDS!A479</f>
        <v/>
      </c>
      <c r="B490" s="27">
        <f>MC_SEEDS!B479</f>
        <v/>
      </c>
      <c r="C490" s="11">
        <f>MC_SEEDS!C479</f>
        <v/>
      </c>
      <c r="D490" s="11">
        <f>MC_SEEDS!D479</f>
        <v/>
      </c>
      <c r="E490" s="11">
        <f>MC_SEEDS!E479</f>
        <v/>
      </c>
      <c r="F490" s="11">
        <f>B490*INPUTS!$G$35*INPUTS!$G$42 + C490*INPUTS!$G$42 + D490*INPUTS!$G$43 + E490*INPUTS!$G$44</f>
        <v/>
      </c>
      <c r="G490" s="15">
        <f>INPUTS!$B$6*(1+F490)</f>
        <v/>
      </c>
      <c r="H490" s="15">
        <f>G490-INPUTS!$B$6</f>
        <v/>
      </c>
      <c r="I490" s="15">
        <f>MAX(0,H490-INPUTS!$B$7)</f>
        <v/>
      </c>
    </row>
    <row r="491">
      <c r="A491" s="14">
        <f>MC_SEEDS!A480</f>
        <v/>
      </c>
      <c r="B491" s="27">
        <f>MC_SEEDS!B480</f>
        <v/>
      </c>
      <c r="C491" s="11">
        <f>MC_SEEDS!C480</f>
        <v/>
      </c>
      <c r="D491" s="11">
        <f>MC_SEEDS!D480</f>
        <v/>
      </c>
      <c r="E491" s="11">
        <f>MC_SEEDS!E480</f>
        <v/>
      </c>
      <c r="F491" s="11">
        <f>B491*INPUTS!$G$35*INPUTS!$G$42 + C491*INPUTS!$G$42 + D491*INPUTS!$G$43 + E491*INPUTS!$G$44</f>
        <v/>
      </c>
      <c r="G491" s="15">
        <f>INPUTS!$B$6*(1+F491)</f>
        <v/>
      </c>
      <c r="H491" s="15">
        <f>G491-INPUTS!$B$6</f>
        <v/>
      </c>
      <c r="I491" s="15">
        <f>MAX(0,H491-INPUTS!$B$7)</f>
        <v/>
      </c>
    </row>
    <row r="492">
      <c r="A492" s="14">
        <f>MC_SEEDS!A481</f>
        <v/>
      </c>
      <c r="B492" s="27">
        <f>MC_SEEDS!B481</f>
        <v/>
      </c>
      <c r="C492" s="11">
        <f>MC_SEEDS!C481</f>
        <v/>
      </c>
      <c r="D492" s="11">
        <f>MC_SEEDS!D481</f>
        <v/>
      </c>
      <c r="E492" s="11">
        <f>MC_SEEDS!E481</f>
        <v/>
      </c>
      <c r="F492" s="11">
        <f>B492*INPUTS!$G$35*INPUTS!$G$42 + C492*INPUTS!$G$42 + D492*INPUTS!$G$43 + E492*INPUTS!$G$44</f>
        <v/>
      </c>
      <c r="G492" s="15">
        <f>INPUTS!$B$6*(1+F492)</f>
        <v/>
      </c>
      <c r="H492" s="15">
        <f>G492-INPUTS!$B$6</f>
        <v/>
      </c>
      <c r="I492" s="15">
        <f>MAX(0,H492-INPUTS!$B$7)</f>
        <v/>
      </c>
    </row>
    <row r="493">
      <c r="A493" s="14">
        <f>MC_SEEDS!A482</f>
        <v/>
      </c>
      <c r="B493" s="27">
        <f>MC_SEEDS!B482</f>
        <v/>
      </c>
      <c r="C493" s="11">
        <f>MC_SEEDS!C482</f>
        <v/>
      </c>
      <c r="D493" s="11">
        <f>MC_SEEDS!D482</f>
        <v/>
      </c>
      <c r="E493" s="11">
        <f>MC_SEEDS!E482</f>
        <v/>
      </c>
      <c r="F493" s="11">
        <f>B493*INPUTS!$G$35*INPUTS!$G$42 + C493*INPUTS!$G$42 + D493*INPUTS!$G$43 + E493*INPUTS!$G$44</f>
        <v/>
      </c>
      <c r="G493" s="15">
        <f>INPUTS!$B$6*(1+F493)</f>
        <v/>
      </c>
      <c r="H493" s="15">
        <f>G493-INPUTS!$B$6</f>
        <v/>
      </c>
      <c r="I493" s="15">
        <f>MAX(0,H493-INPUTS!$B$7)</f>
        <v/>
      </c>
    </row>
    <row r="494">
      <c r="A494" s="14">
        <f>MC_SEEDS!A483</f>
        <v/>
      </c>
      <c r="B494" s="27">
        <f>MC_SEEDS!B483</f>
        <v/>
      </c>
      <c r="C494" s="11">
        <f>MC_SEEDS!C483</f>
        <v/>
      </c>
      <c r="D494" s="11">
        <f>MC_SEEDS!D483</f>
        <v/>
      </c>
      <c r="E494" s="11">
        <f>MC_SEEDS!E483</f>
        <v/>
      </c>
      <c r="F494" s="11">
        <f>B494*INPUTS!$G$35*INPUTS!$G$42 + C494*INPUTS!$G$42 + D494*INPUTS!$G$43 + E494*INPUTS!$G$44</f>
        <v/>
      </c>
      <c r="G494" s="15">
        <f>INPUTS!$B$6*(1+F494)</f>
        <v/>
      </c>
      <c r="H494" s="15">
        <f>G494-INPUTS!$B$6</f>
        <v/>
      </c>
      <c r="I494" s="15">
        <f>MAX(0,H494-INPUTS!$B$7)</f>
        <v/>
      </c>
    </row>
    <row r="495">
      <c r="A495" s="14">
        <f>MC_SEEDS!A484</f>
        <v/>
      </c>
      <c r="B495" s="27">
        <f>MC_SEEDS!B484</f>
        <v/>
      </c>
      <c r="C495" s="11">
        <f>MC_SEEDS!C484</f>
        <v/>
      </c>
      <c r="D495" s="11">
        <f>MC_SEEDS!D484</f>
        <v/>
      </c>
      <c r="E495" s="11">
        <f>MC_SEEDS!E484</f>
        <v/>
      </c>
      <c r="F495" s="11">
        <f>B495*INPUTS!$G$35*INPUTS!$G$42 + C495*INPUTS!$G$42 + D495*INPUTS!$G$43 + E495*INPUTS!$G$44</f>
        <v/>
      </c>
      <c r="G495" s="15">
        <f>INPUTS!$B$6*(1+F495)</f>
        <v/>
      </c>
      <c r="H495" s="15">
        <f>G495-INPUTS!$B$6</f>
        <v/>
      </c>
      <c r="I495" s="15">
        <f>MAX(0,H495-INPUTS!$B$7)</f>
        <v/>
      </c>
    </row>
    <row r="496">
      <c r="A496" s="14">
        <f>MC_SEEDS!A485</f>
        <v/>
      </c>
      <c r="B496" s="27">
        <f>MC_SEEDS!B485</f>
        <v/>
      </c>
      <c r="C496" s="11">
        <f>MC_SEEDS!C485</f>
        <v/>
      </c>
      <c r="D496" s="11">
        <f>MC_SEEDS!D485</f>
        <v/>
      </c>
      <c r="E496" s="11">
        <f>MC_SEEDS!E485</f>
        <v/>
      </c>
      <c r="F496" s="11">
        <f>B496*INPUTS!$G$35*INPUTS!$G$42 + C496*INPUTS!$G$42 + D496*INPUTS!$G$43 + E496*INPUTS!$G$44</f>
        <v/>
      </c>
      <c r="G496" s="15">
        <f>INPUTS!$B$6*(1+F496)</f>
        <v/>
      </c>
      <c r="H496" s="15">
        <f>G496-INPUTS!$B$6</f>
        <v/>
      </c>
      <c r="I496" s="15">
        <f>MAX(0,H496-INPUTS!$B$7)</f>
        <v/>
      </c>
    </row>
    <row r="497">
      <c r="A497" s="14">
        <f>MC_SEEDS!A486</f>
        <v/>
      </c>
      <c r="B497" s="27">
        <f>MC_SEEDS!B486</f>
        <v/>
      </c>
      <c r="C497" s="11">
        <f>MC_SEEDS!C486</f>
        <v/>
      </c>
      <c r="D497" s="11">
        <f>MC_SEEDS!D486</f>
        <v/>
      </c>
      <c r="E497" s="11">
        <f>MC_SEEDS!E486</f>
        <v/>
      </c>
      <c r="F497" s="11">
        <f>B497*INPUTS!$G$35*INPUTS!$G$42 + C497*INPUTS!$G$42 + D497*INPUTS!$G$43 + E497*INPUTS!$G$44</f>
        <v/>
      </c>
      <c r="G497" s="15">
        <f>INPUTS!$B$6*(1+F497)</f>
        <v/>
      </c>
      <c r="H497" s="15">
        <f>G497-INPUTS!$B$6</f>
        <v/>
      </c>
      <c r="I497" s="15">
        <f>MAX(0,H497-INPUTS!$B$7)</f>
        <v/>
      </c>
    </row>
    <row r="498">
      <c r="A498" s="14">
        <f>MC_SEEDS!A487</f>
        <v/>
      </c>
      <c r="B498" s="27">
        <f>MC_SEEDS!B487</f>
        <v/>
      </c>
      <c r="C498" s="11">
        <f>MC_SEEDS!C487</f>
        <v/>
      </c>
      <c r="D498" s="11">
        <f>MC_SEEDS!D487</f>
        <v/>
      </c>
      <c r="E498" s="11">
        <f>MC_SEEDS!E487</f>
        <v/>
      </c>
      <c r="F498" s="11">
        <f>B498*INPUTS!$G$35*INPUTS!$G$42 + C498*INPUTS!$G$42 + D498*INPUTS!$G$43 + E498*INPUTS!$G$44</f>
        <v/>
      </c>
      <c r="G498" s="15">
        <f>INPUTS!$B$6*(1+F498)</f>
        <v/>
      </c>
      <c r="H498" s="15">
        <f>G498-INPUTS!$B$6</f>
        <v/>
      </c>
      <c r="I498" s="15">
        <f>MAX(0,H498-INPUTS!$B$7)</f>
        <v/>
      </c>
    </row>
    <row r="499">
      <c r="A499" s="14">
        <f>MC_SEEDS!A488</f>
        <v/>
      </c>
      <c r="B499" s="27">
        <f>MC_SEEDS!B488</f>
        <v/>
      </c>
      <c r="C499" s="11">
        <f>MC_SEEDS!C488</f>
        <v/>
      </c>
      <c r="D499" s="11">
        <f>MC_SEEDS!D488</f>
        <v/>
      </c>
      <c r="E499" s="11">
        <f>MC_SEEDS!E488</f>
        <v/>
      </c>
      <c r="F499" s="11">
        <f>B499*INPUTS!$G$35*INPUTS!$G$42 + C499*INPUTS!$G$42 + D499*INPUTS!$G$43 + E499*INPUTS!$G$44</f>
        <v/>
      </c>
      <c r="G499" s="15">
        <f>INPUTS!$B$6*(1+F499)</f>
        <v/>
      </c>
      <c r="H499" s="15">
        <f>G499-INPUTS!$B$6</f>
        <v/>
      </c>
      <c r="I499" s="15">
        <f>MAX(0,H499-INPUTS!$B$7)</f>
        <v/>
      </c>
    </row>
    <row r="500">
      <c r="A500" s="14">
        <f>MC_SEEDS!A489</f>
        <v/>
      </c>
      <c r="B500" s="27">
        <f>MC_SEEDS!B489</f>
        <v/>
      </c>
      <c r="C500" s="11">
        <f>MC_SEEDS!C489</f>
        <v/>
      </c>
      <c r="D500" s="11">
        <f>MC_SEEDS!D489</f>
        <v/>
      </c>
      <c r="E500" s="11">
        <f>MC_SEEDS!E489</f>
        <v/>
      </c>
      <c r="F500" s="11">
        <f>B500*INPUTS!$G$35*INPUTS!$G$42 + C500*INPUTS!$G$42 + D500*INPUTS!$G$43 + E500*INPUTS!$G$44</f>
        <v/>
      </c>
      <c r="G500" s="15">
        <f>INPUTS!$B$6*(1+F500)</f>
        <v/>
      </c>
      <c r="H500" s="15">
        <f>G500-INPUTS!$B$6</f>
        <v/>
      </c>
      <c r="I500" s="15">
        <f>MAX(0,H500-INPUTS!$B$7)</f>
        <v/>
      </c>
    </row>
    <row r="501">
      <c r="A501" s="14">
        <f>MC_SEEDS!A490</f>
        <v/>
      </c>
      <c r="B501" s="27">
        <f>MC_SEEDS!B490</f>
        <v/>
      </c>
      <c r="C501" s="11">
        <f>MC_SEEDS!C490</f>
        <v/>
      </c>
      <c r="D501" s="11">
        <f>MC_SEEDS!D490</f>
        <v/>
      </c>
      <c r="E501" s="11">
        <f>MC_SEEDS!E490</f>
        <v/>
      </c>
      <c r="F501" s="11">
        <f>B501*INPUTS!$G$35*INPUTS!$G$42 + C501*INPUTS!$G$42 + D501*INPUTS!$G$43 + E501*INPUTS!$G$44</f>
        <v/>
      </c>
      <c r="G501" s="15">
        <f>INPUTS!$B$6*(1+F501)</f>
        <v/>
      </c>
      <c r="H501" s="15">
        <f>G501-INPUTS!$B$6</f>
        <v/>
      </c>
      <c r="I501" s="15">
        <f>MAX(0,H501-INPUTS!$B$7)</f>
        <v/>
      </c>
    </row>
    <row r="502">
      <c r="A502" s="14">
        <f>MC_SEEDS!A491</f>
        <v/>
      </c>
      <c r="B502" s="27">
        <f>MC_SEEDS!B491</f>
        <v/>
      </c>
      <c r="C502" s="11">
        <f>MC_SEEDS!C491</f>
        <v/>
      </c>
      <c r="D502" s="11">
        <f>MC_SEEDS!D491</f>
        <v/>
      </c>
      <c r="E502" s="11">
        <f>MC_SEEDS!E491</f>
        <v/>
      </c>
      <c r="F502" s="11">
        <f>B502*INPUTS!$G$35*INPUTS!$G$42 + C502*INPUTS!$G$42 + D502*INPUTS!$G$43 + E502*INPUTS!$G$44</f>
        <v/>
      </c>
      <c r="G502" s="15">
        <f>INPUTS!$B$6*(1+F502)</f>
        <v/>
      </c>
      <c r="H502" s="15">
        <f>G502-INPUTS!$B$6</f>
        <v/>
      </c>
      <c r="I502" s="15">
        <f>MAX(0,H502-INPUTS!$B$7)</f>
        <v/>
      </c>
    </row>
    <row r="503">
      <c r="A503" s="14">
        <f>MC_SEEDS!A492</f>
        <v/>
      </c>
      <c r="B503" s="27">
        <f>MC_SEEDS!B492</f>
        <v/>
      </c>
      <c r="C503" s="11">
        <f>MC_SEEDS!C492</f>
        <v/>
      </c>
      <c r="D503" s="11">
        <f>MC_SEEDS!D492</f>
        <v/>
      </c>
      <c r="E503" s="11">
        <f>MC_SEEDS!E492</f>
        <v/>
      </c>
      <c r="F503" s="11">
        <f>B503*INPUTS!$G$35*INPUTS!$G$42 + C503*INPUTS!$G$42 + D503*INPUTS!$G$43 + E503*INPUTS!$G$44</f>
        <v/>
      </c>
      <c r="G503" s="15">
        <f>INPUTS!$B$6*(1+F503)</f>
        <v/>
      </c>
      <c r="H503" s="15">
        <f>G503-INPUTS!$B$6</f>
        <v/>
      </c>
      <c r="I503" s="15">
        <f>MAX(0,H503-INPUTS!$B$7)</f>
        <v/>
      </c>
    </row>
    <row r="504">
      <c r="A504" s="14">
        <f>MC_SEEDS!A493</f>
        <v/>
      </c>
      <c r="B504" s="27">
        <f>MC_SEEDS!B493</f>
        <v/>
      </c>
      <c r="C504" s="11">
        <f>MC_SEEDS!C493</f>
        <v/>
      </c>
      <c r="D504" s="11">
        <f>MC_SEEDS!D493</f>
        <v/>
      </c>
      <c r="E504" s="11">
        <f>MC_SEEDS!E493</f>
        <v/>
      </c>
      <c r="F504" s="11">
        <f>B504*INPUTS!$G$35*INPUTS!$G$42 + C504*INPUTS!$G$42 + D504*INPUTS!$G$43 + E504*INPUTS!$G$44</f>
        <v/>
      </c>
      <c r="G504" s="15">
        <f>INPUTS!$B$6*(1+F504)</f>
        <v/>
      </c>
      <c r="H504" s="15">
        <f>G504-INPUTS!$B$6</f>
        <v/>
      </c>
      <c r="I504" s="15">
        <f>MAX(0,H504-INPUTS!$B$7)</f>
        <v/>
      </c>
    </row>
    <row r="505">
      <c r="A505" s="14">
        <f>MC_SEEDS!A494</f>
        <v/>
      </c>
      <c r="B505" s="27">
        <f>MC_SEEDS!B494</f>
        <v/>
      </c>
      <c r="C505" s="11">
        <f>MC_SEEDS!C494</f>
        <v/>
      </c>
      <c r="D505" s="11">
        <f>MC_SEEDS!D494</f>
        <v/>
      </c>
      <c r="E505" s="11">
        <f>MC_SEEDS!E494</f>
        <v/>
      </c>
      <c r="F505" s="11">
        <f>B505*INPUTS!$G$35*INPUTS!$G$42 + C505*INPUTS!$G$42 + D505*INPUTS!$G$43 + E505*INPUTS!$G$44</f>
        <v/>
      </c>
      <c r="G505" s="15">
        <f>INPUTS!$B$6*(1+F505)</f>
        <v/>
      </c>
      <c r="H505" s="15">
        <f>G505-INPUTS!$B$6</f>
        <v/>
      </c>
      <c r="I505" s="15">
        <f>MAX(0,H505-INPUTS!$B$7)</f>
        <v/>
      </c>
    </row>
    <row r="506">
      <c r="A506" s="14">
        <f>MC_SEEDS!A495</f>
        <v/>
      </c>
      <c r="B506" s="27">
        <f>MC_SEEDS!B495</f>
        <v/>
      </c>
      <c r="C506" s="11">
        <f>MC_SEEDS!C495</f>
        <v/>
      </c>
      <c r="D506" s="11">
        <f>MC_SEEDS!D495</f>
        <v/>
      </c>
      <c r="E506" s="11">
        <f>MC_SEEDS!E495</f>
        <v/>
      </c>
      <c r="F506" s="11">
        <f>B506*INPUTS!$G$35*INPUTS!$G$42 + C506*INPUTS!$G$42 + D506*INPUTS!$G$43 + E506*INPUTS!$G$44</f>
        <v/>
      </c>
      <c r="G506" s="15">
        <f>INPUTS!$B$6*(1+F506)</f>
        <v/>
      </c>
      <c r="H506" s="15">
        <f>G506-INPUTS!$B$6</f>
        <v/>
      </c>
      <c r="I506" s="15">
        <f>MAX(0,H506-INPUTS!$B$7)</f>
        <v/>
      </c>
    </row>
    <row r="507">
      <c r="A507" s="14">
        <f>MC_SEEDS!A496</f>
        <v/>
      </c>
      <c r="B507" s="27">
        <f>MC_SEEDS!B496</f>
        <v/>
      </c>
      <c r="C507" s="11">
        <f>MC_SEEDS!C496</f>
        <v/>
      </c>
      <c r="D507" s="11">
        <f>MC_SEEDS!D496</f>
        <v/>
      </c>
      <c r="E507" s="11">
        <f>MC_SEEDS!E496</f>
        <v/>
      </c>
      <c r="F507" s="11">
        <f>B507*INPUTS!$G$35*INPUTS!$G$42 + C507*INPUTS!$G$42 + D507*INPUTS!$G$43 + E507*INPUTS!$G$44</f>
        <v/>
      </c>
      <c r="G507" s="15">
        <f>INPUTS!$B$6*(1+F507)</f>
        <v/>
      </c>
      <c r="H507" s="15">
        <f>G507-INPUTS!$B$6</f>
        <v/>
      </c>
      <c r="I507" s="15">
        <f>MAX(0,H507-INPUTS!$B$7)</f>
        <v/>
      </c>
    </row>
    <row r="508">
      <c r="A508" s="14">
        <f>MC_SEEDS!A497</f>
        <v/>
      </c>
      <c r="B508" s="27">
        <f>MC_SEEDS!B497</f>
        <v/>
      </c>
      <c r="C508" s="11">
        <f>MC_SEEDS!C497</f>
        <v/>
      </c>
      <c r="D508" s="11">
        <f>MC_SEEDS!D497</f>
        <v/>
      </c>
      <c r="E508" s="11">
        <f>MC_SEEDS!E497</f>
        <v/>
      </c>
      <c r="F508" s="11">
        <f>B508*INPUTS!$G$35*INPUTS!$G$42 + C508*INPUTS!$G$42 + D508*INPUTS!$G$43 + E508*INPUTS!$G$44</f>
        <v/>
      </c>
      <c r="G508" s="15">
        <f>INPUTS!$B$6*(1+F508)</f>
        <v/>
      </c>
      <c r="H508" s="15">
        <f>G508-INPUTS!$B$6</f>
        <v/>
      </c>
      <c r="I508" s="15">
        <f>MAX(0,H508-INPUTS!$B$7)</f>
        <v/>
      </c>
    </row>
    <row r="509">
      <c r="A509" s="14">
        <f>MC_SEEDS!A498</f>
        <v/>
      </c>
      <c r="B509" s="27">
        <f>MC_SEEDS!B498</f>
        <v/>
      </c>
      <c r="C509" s="11">
        <f>MC_SEEDS!C498</f>
        <v/>
      </c>
      <c r="D509" s="11">
        <f>MC_SEEDS!D498</f>
        <v/>
      </c>
      <c r="E509" s="11">
        <f>MC_SEEDS!E498</f>
        <v/>
      </c>
      <c r="F509" s="11">
        <f>B509*INPUTS!$G$35*INPUTS!$G$42 + C509*INPUTS!$G$42 + D509*INPUTS!$G$43 + E509*INPUTS!$G$44</f>
        <v/>
      </c>
      <c r="G509" s="15">
        <f>INPUTS!$B$6*(1+F509)</f>
        <v/>
      </c>
      <c r="H509" s="15">
        <f>G509-INPUTS!$B$6</f>
        <v/>
      </c>
      <c r="I509" s="15">
        <f>MAX(0,H509-INPUTS!$B$7)</f>
        <v/>
      </c>
    </row>
    <row r="510">
      <c r="A510" s="14">
        <f>MC_SEEDS!A499</f>
        <v/>
      </c>
      <c r="B510" s="27">
        <f>MC_SEEDS!B499</f>
        <v/>
      </c>
      <c r="C510" s="11">
        <f>MC_SEEDS!C499</f>
        <v/>
      </c>
      <c r="D510" s="11">
        <f>MC_SEEDS!D499</f>
        <v/>
      </c>
      <c r="E510" s="11">
        <f>MC_SEEDS!E499</f>
        <v/>
      </c>
      <c r="F510" s="11">
        <f>B510*INPUTS!$G$35*INPUTS!$G$42 + C510*INPUTS!$G$42 + D510*INPUTS!$G$43 + E510*INPUTS!$G$44</f>
        <v/>
      </c>
      <c r="G510" s="15">
        <f>INPUTS!$B$6*(1+F510)</f>
        <v/>
      </c>
      <c r="H510" s="15">
        <f>G510-INPUTS!$B$6</f>
        <v/>
      </c>
      <c r="I510" s="15">
        <f>MAX(0,H510-INPUTS!$B$7)</f>
        <v/>
      </c>
    </row>
    <row r="511">
      <c r="A511" s="14">
        <f>MC_SEEDS!A500</f>
        <v/>
      </c>
      <c r="B511" s="27">
        <f>MC_SEEDS!B500</f>
        <v/>
      </c>
      <c r="C511" s="11">
        <f>MC_SEEDS!C500</f>
        <v/>
      </c>
      <c r="D511" s="11">
        <f>MC_SEEDS!D500</f>
        <v/>
      </c>
      <c r="E511" s="11">
        <f>MC_SEEDS!E500</f>
        <v/>
      </c>
      <c r="F511" s="11">
        <f>B511*INPUTS!$G$35*INPUTS!$G$42 + C511*INPUTS!$G$42 + D511*INPUTS!$G$43 + E511*INPUTS!$G$44</f>
        <v/>
      </c>
      <c r="G511" s="15">
        <f>INPUTS!$B$6*(1+F511)</f>
        <v/>
      </c>
      <c r="H511" s="15">
        <f>G511-INPUTS!$B$6</f>
        <v/>
      </c>
      <c r="I511" s="15">
        <f>MAX(0,H511-INPUTS!$B$7)</f>
        <v/>
      </c>
    </row>
    <row r="512">
      <c r="A512" s="14">
        <f>MC_SEEDS!A501</f>
        <v/>
      </c>
      <c r="B512" s="27">
        <f>MC_SEEDS!B501</f>
        <v/>
      </c>
      <c r="C512" s="11">
        <f>MC_SEEDS!C501</f>
        <v/>
      </c>
      <c r="D512" s="11">
        <f>MC_SEEDS!D501</f>
        <v/>
      </c>
      <c r="E512" s="11">
        <f>MC_SEEDS!E501</f>
        <v/>
      </c>
      <c r="F512" s="11">
        <f>B512*INPUTS!$G$35*INPUTS!$G$42 + C512*INPUTS!$G$42 + D512*INPUTS!$G$43 + E512*INPUTS!$G$44</f>
        <v/>
      </c>
      <c r="G512" s="15">
        <f>INPUTS!$B$6*(1+F512)</f>
        <v/>
      </c>
      <c r="H512" s="15">
        <f>G512-INPUTS!$B$6</f>
        <v/>
      </c>
      <c r="I512" s="15">
        <f>MAX(0,H512-INPUTS!$B$7)</f>
        <v/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CAPEX CONTROL TOWER DASHBOARD</t>
        </is>
      </c>
    </row>
    <row r="3">
      <c r="A3" s="28" t="inlineStr">
        <is>
          <t>Base CAPEX</t>
        </is>
      </c>
      <c r="D3" s="28" t="inlineStr">
        <is>
          <t>Peak monthly draw</t>
        </is>
      </c>
      <c r="G3" s="28" t="inlineStr">
        <is>
          <t>Debt facility</t>
        </is>
      </c>
      <c r="J3" s="28" t="inlineStr">
        <is>
          <t>Equity commitment</t>
        </is>
      </c>
    </row>
    <row r="4">
      <c r="A4" s="29">
        <f>INPUTS!$B$6</f>
        <v/>
      </c>
      <c r="D4" s="29">
        <f>CAPEX_MONTHLY!$B$5</f>
        <v/>
      </c>
      <c r="G4" s="30">
        <f>SUM(FUNDING_DRAWS!E4:E7)</f>
        <v/>
      </c>
      <c r="J4" s="31">
        <f>SUM(FUNDING_DRAWS!D4:D7)</f>
        <v/>
      </c>
    </row>
    <row r="6">
      <c r="A6" s="28" t="inlineStr">
        <is>
          <t>Grants</t>
        </is>
      </c>
      <c r="D6" s="28" t="inlineStr">
        <is>
          <t>COD debt balance</t>
        </is>
      </c>
      <c r="G6" s="28" t="inlineStr">
        <is>
          <t>Minimum DSCR</t>
        </is>
      </c>
      <c r="J6" s="28" t="inlineStr">
        <is>
          <t>P90 CAPEX</t>
        </is>
      </c>
    </row>
    <row r="7">
      <c r="A7" s="29">
        <f>SUM(FUNDING_DRAWS!C4:C7)</f>
        <v/>
      </c>
      <c r="D7" s="30">
        <f>INDEX(DSCR_SCHEDULE!H10:H21,MATCH(INPUTS!$B$9-1,DSCR_SCHEDULE!A10:A21,0))</f>
        <v/>
      </c>
      <c r="G7" s="32">
        <f>MIN(DSCR_SCHEDULE!J14:J21)</f>
        <v/>
      </c>
      <c r="J7" s="33">
        <f>MONTE_CARLO!B9</f>
        <v/>
      </c>
    </row>
    <row r="9">
      <c r="A9" s="28" t="inlineStr">
        <is>
          <t>Reserve exhaustion prob.</t>
        </is>
      </c>
    </row>
    <row r="10">
      <c r="A10" s="34">
        <f>MONTE_CARLO!B10</f>
        <v/>
      </c>
    </row>
    <row r="12">
      <c r="A12" s="5" t="inlineStr">
        <is>
          <t>This dashboard is formula-linked to the canonical memory sheets. Debt/Equity/Grant, S-curve timing and DSCR placeholders can be adjusted centrally in INPUTS.</t>
        </is>
      </c>
    </row>
    <row r="13"/>
    <row r="14"/>
  </sheetData>
  <mergeCells count="20">
    <mergeCell ref="A6:B6"/>
    <mergeCell ref="D6:E6"/>
    <mergeCell ref="A7:B7"/>
    <mergeCell ref="G7:H7"/>
    <mergeCell ref="J6:K6"/>
    <mergeCell ref="A12:L14"/>
    <mergeCell ref="G6:H6"/>
    <mergeCell ref="A3:B3"/>
    <mergeCell ref="G3:H3"/>
    <mergeCell ref="J4:K4"/>
    <mergeCell ref="D7:E7"/>
    <mergeCell ref="J7:K7"/>
    <mergeCell ref="D4:E4"/>
    <mergeCell ref="D3:E3"/>
    <mergeCell ref="A4:B4"/>
    <mergeCell ref="G4:H4"/>
    <mergeCell ref="J3:K3"/>
    <mergeCell ref="A1:L1"/>
    <mergeCell ref="A10:B10"/>
    <mergeCell ref="A9:B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2026-03-20T20:19:18Z</dcterms:created>
  <dcterms:modified xmlns:dcterms="http://purl.org/dc/terms/" xmlns:xsi="http://www.w3.org/2001/XMLSchema-instance" xsi:type="dcterms:W3CDTF">2026-03-20T20:25:12Z</dcterms:modified>
</cp:coreProperties>
</file>