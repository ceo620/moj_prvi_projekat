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ctive_Data_Patch" sheetId="2" state="visible" r:id="rId2"/>
    <sheet xmlns:r="http://schemas.openxmlformats.org/officeDocument/2006/relationships" name="Audit_Checks_Patch" sheetId="3" state="visible" r:id="rId3"/>
    <sheet xmlns:r="http://schemas.openxmlformats.org/officeDocument/2006/relationships" name="Governance_Update" sheetId="4" state="visible" r:id="rId4"/>
    <sheet xmlns:r="http://schemas.openxmlformats.org/officeDocument/2006/relationships" name="Python_Patch" sheetId="5" state="visible" r:id="rId5"/>
    <sheet xmlns:r="http://schemas.openxmlformats.org/officeDocument/2006/relationships" name="Sheet_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Roboto"/>
      <b val="1"/>
      <color rgb="00FFFFFF"/>
      <sz val="11"/>
    </font>
    <font>
      <name val="Roboto"/>
      <color rgb="001F2937"/>
      <sz val="10"/>
    </font>
    <font>
      <name val="Consolas"/>
      <color rgb="001F2937"/>
      <sz val="10"/>
    </font>
  </fonts>
  <fills count="4">
    <fill>
      <patternFill/>
    </fill>
    <fill>
      <patternFill patternType="gray125"/>
    </fill>
    <fill>
      <patternFill patternType="solid">
        <fgColor rgb="00001F3F"/>
      </patternFill>
    </fill>
    <fill>
      <patternFill patternType="solid">
        <fgColor rgb="00F2F4F6"/>
      </patternFill>
    </fill>
  </fills>
  <borders count="2">
    <border>
      <left/>
      <right/>
      <top/>
      <bottom/>
      <diagonal/>
    </border>
    <border>
      <left style="thin">
        <color rgb="00D9DDE3"/>
      </left>
      <right style="thin">
        <color rgb="00D9DDE3"/>
      </right>
      <top style="thin">
        <color rgb="00D9DDE3"/>
      </top>
      <bottom style="thin">
        <color rgb="00D9DDE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Export Name</t>
        </is>
      </c>
      <c r="B2" s="2" t="inlineStr">
        <is>
          <t>TITAN Central Brain Governance Export</t>
        </is>
      </c>
    </row>
    <row r="3">
      <c r="A3" s="2" t="inlineStr">
        <is>
          <t>Version</t>
        </is>
      </c>
      <c r="B3" s="2" t="inlineStr">
        <is>
          <t>Governance lock export for ARS/ADS 3-factory case</t>
        </is>
      </c>
    </row>
    <row r="4">
      <c r="A4" s="2" t="inlineStr">
        <is>
          <t>Purpose</t>
        </is>
      </c>
      <c r="B4" s="2" t="inlineStr">
        <is>
          <t>Direct import / transcription support for Grok and Excel master workbook</t>
        </is>
      </c>
    </row>
    <row r="5">
      <c r="A5" s="2" t="inlineStr">
        <is>
          <t>Locked Governing Case</t>
        </is>
      </c>
      <c r="B5" s="2" t="inlineStr">
        <is>
          <t>ARS_ADS_3Factory_Master</t>
        </is>
      </c>
    </row>
    <row r="6">
      <c r="A6" s="2" t="inlineStr">
        <is>
          <t>Legacy Rule</t>
        </is>
      </c>
      <c r="B6" s="2" t="inlineStr">
        <is>
          <t>All TITAN1-only frameworks remain ARCHIVE_ONLY and cannot override live valuation path</t>
        </is>
      </c>
    </row>
    <row r="7">
      <c r="A7" s="2" t="inlineStr">
        <is>
          <t>Active Sponsor</t>
        </is>
      </c>
      <c r="B7" s="2" t="inlineStr">
        <is>
          <t>ARS Metal DOO / Hamza Yavuz</t>
        </is>
      </c>
    </row>
    <row r="8">
      <c r="A8" s="2" t="inlineStr">
        <is>
          <t>Operating Base</t>
        </is>
      </c>
      <c r="B8" s="2" t="inlineStr">
        <is>
          <t>ADS Metal Turkey - Ankara</t>
        </is>
      </c>
    </row>
    <row r="9">
      <c r="A9" s="2" t="inlineStr">
        <is>
          <t>Product</t>
        </is>
      </c>
      <c r="B9" s="2" t="inlineStr">
        <is>
          <t>Oil-filled transformer tanks</t>
        </is>
      </c>
    </row>
    <row r="10">
      <c r="A10" s="2" t="inlineStr">
        <is>
          <t>Base CAPEX</t>
        </is>
      </c>
      <c r="B10" s="2" t="inlineStr">
        <is>
          <t>43.56 EURm</t>
        </is>
      </c>
    </row>
    <row r="11">
      <c r="A11" s="2" t="inlineStr">
        <is>
          <t>P90 CAPEX</t>
        </is>
      </c>
      <c r="B11" s="2" t="inlineStr">
        <is>
          <t>51.40 EURm</t>
        </is>
      </c>
    </row>
    <row r="12">
      <c r="A12" s="2" t="inlineStr">
        <is>
          <t>Funding Mix</t>
        </is>
      </c>
      <c r="B12" s="2" t="inlineStr">
        <is>
          <t>62% Senior Debt / 13% Equity / 25% Grant</t>
        </is>
      </c>
    </row>
  </sheetData>
  <pageMargins left="0.59" right="0.59" top="0.59" bottom="0.59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2" customWidth="1" min="3" max="3"/>
    <col width="16" customWidth="1" min="4" max="4"/>
    <col width="28" customWidth="1" min="5" max="5"/>
    <col width="16" customWidth="1" min="6" max="6"/>
    <col width="18" customWidth="1" min="7" max="7"/>
    <col width="14" customWidth="1" min="8" max="8"/>
    <col width="16" customWidth="1" min="9" max="9"/>
    <col width="14" customWidth="1" min="10" max="10"/>
    <col width="16" customWidth="1" min="11" max="11"/>
    <col width="42" customWidth="1" min="12" max="12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Category</t>
        </is>
      </c>
      <c r="E1" s="1" t="inlineStr">
        <is>
          <t>Source_Document</t>
        </is>
      </c>
      <c r="F1" s="1" t="inlineStr">
        <is>
          <t>Last_Validated</t>
        </is>
      </c>
      <c r="G1" s="1" t="inlineStr">
        <is>
          <t>Owner</t>
        </is>
      </c>
      <c r="H1" s="1" t="inlineStr">
        <is>
          <t>Status</t>
        </is>
      </c>
      <c r="I1" s="1" t="inlineStr">
        <is>
          <t>Monte_Carlo_P90</t>
        </is>
      </c>
      <c r="J1" s="1" t="inlineStr">
        <is>
          <t>Equity_Impact</t>
        </is>
      </c>
      <c r="K1" s="1" t="inlineStr">
        <is>
          <t>Industry_Specific</t>
        </is>
      </c>
      <c r="L1" s="1" t="inlineStr">
        <is>
          <t>Notes</t>
        </is>
      </c>
    </row>
    <row r="2">
      <c r="A2" s="2" t="inlineStr">
        <is>
          <t>Scenario_Basis</t>
        </is>
      </c>
      <c r="B2" s="2" t="inlineStr">
        <is>
          <t>ARS_ADS_3Factory_Master</t>
        </is>
      </c>
      <c r="C2" s="2" t="inlineStr">
        <is>
          <t>text</t>
        </is>
      </c>
      <c r="D2" s="2" t="inlineStr">
        <is>
          <t>Governance</t>
        </is>
      </c>
      <c r="E2" s="2" t="inlineStr">
        <is>
          <t>Central_Brain_Harmonization</t>
        </is>
      </c>
      <c r="F2" s="2" t="inlineStr">
        <is>
          <t>2026-03-27</t>
        </is>
      </c>
      <c r="G2" s="2" t="inlineStr">
        <is>
          <t>Central_Brain</t>
        </is>
      </c>
      <c r="H2" s="2" t="inlineStr">
        <is>
          <t>ACTIVE</t>
        </is>
      </c>
      <c r="I2" s="2" t="inlineStr"/>
      <c r="J2" s="2" t="inlineStr">
        <is>
          <t>HIGH</t>
        </is>
      </c>
      <c r="K2" s="2" t="inlineStr">
        <is>
          <t>NO</t>
        </is>
      </c>
      <c r="L2" s="2" t="inlineStr">
        <is>
          <t>Master governing case</t>
        </is>
      </c>
    </row>
    <row r="3">
      <c r="A3" s="2" t="inlineStr">
        <is>
          <t>Legacy_TITAN1_Framework_Status</t>
        </is>
      </c>
      <c r="B3" s="2" t="inlineStr">
        <is>
          <t>ARCHIVE_ONLY</t>
        </is>
      </c>
      <c r="C3" s="2" t="inlineStr">
        <is>
          <t>text</t>
        </is>
      </c>
      <c r="D3" s="2" t="inlineStr">
        <is>
          <t>Governance</t>
        </is>
      </c>
      <c r="E3" s="2" t="inlineStr">
        <is>
          <t>Central_Brain_Harmonization</t>
        </is>
      </c>
      <c r="F3" s="2" t="inlineStr">
        <is>
          <t>2026-03-27</t>
        </is>
      </c>
      <c r="G3" s="2" t="inlineStr">
        <is>
          <t>Central_Brain</t>
        </is>
      </c>
      <c r="H3" s="2" t="inlineStr">
        <is>
          <t>ACTIVE</t>
        </is>
      </c>
      <c r="I3" s="2" t="inlineStr"/>
      <c r="J3" s="2" t="inlineStr">
        <is>
          <t>MEDIUM</t>
        </is>
      </c>
      <c r="K3" s="2" t="inlineStr">
        <is>
          <t>NO</t>
        </is>
      </c>
      <c r="L3" s="2" t="inlineStr">
        <is>
          <t>Legacy TITAN1 case cannot drive live model</t>
        </is>
      </c>
    </row>
    <row r="4">
      <c r="A4" s="2" t="inlineStr">
        <is>
          <t>Legacy_TITAN1_Override_Permission</t>
        </is>
      </c>
      <c r="B4" s="2" t="inlineStr">
        <is>
          <t>FALSE</t>
        </is>
      </c>
      <c r="C4" s="2" t="inlineStr">
        <is>
          <t>boolean</t>
        </is>
      </c>
      <c r="D4" s="2" t="inlineStr">
        <is>
          <t>Governance</t>
        </is>
      </c>
      <c r="E4" s="2" t="inlineStr">
        <is>
          <t>Central_Brain_Harmonization</t>
        </is>
      </c>
      <c r="F4" s="2" t="inlineStr">
        <is>
          <t>2026-03-27</t>
        </is>
      </c>
      <c r="G4" s="2" t="inlineStr">
        <is>
          <t>Central_Brain</t>
        </is>
      </c>
      <c r="H4" s="2" t="inlineStr">
        <is>
          <t>ACTIVE</t>
        </is>
      </c>
      <c r="I4" s="2" t="inlineStr"/>
      <c r="J4" s="2" t="inlineStr">
        <is>
          <t>HIGH</t>
        </is>
      </c>
      <c r="K4" s="2" t="inlineStr">
        <is>
          <t>NO</t>
        </is>
      </c>
      <c r="L4" s="2" t="inlineStr">
        <is>
          <t>Prevents legacy override of active path</t>
        </is>
      </c>
    </row>
    <row r="5">
      <c r="A5" s="2" t="inlineStr">
        <is>
          <t>Active_Valuation_Path</t>
        </is>
      </c>
      <c r="B5" s="2" t="inlineStr">
        <is>
          <t>ARS_ADS_3Factory_Master</t>
        </is>
      </c>
      <c r="C5" s="2" t="inlineStr">
        <is>
          <t>text</t>
        </is>
      </c>
      <c r="D5" s="2" t="inlineStr">
        <is>
          <t>Governance</t>
        </is>
      </c>
      <c r="E5" s="2" t="inlineStr">
        <is>
          <t>Central_Brain_Harmonization</t>
        </is>
      </c>
      <c r="F5" s="2" t="inlineStr">
        <is>
          <t>2026-03-27</t>
        </is>
      </c>
      <c r="G5" s="2" t="inlineStr">
        <is>
          <t>Central_Brain</t>
        </is>
      </c>
      <c r="H5" s="2" t="inlineStr">
        <is>
          <t>ACTIVE</t>
        </is>
      </c>
      <c r="I5" s="2" t="inlineStr"/>
      <c r="J5" s="2" t="inlineStr">
        <is>
          <t>HIGH</t>
        </is>
      </c>
      <c r="K5" s="2" t="inlineStr">
        <is>
          <t>NO</t>
        </is>
      </c>
      <c r="L5" s="2" t="inlineStr">
        <is>
          <t>Only valid valuation path</t>
        </is>
      </c>
    </row>
    <row r="6">
      <c r="A6" s="2" t="inlineStr">
        <is>
          <t>Active_Capacity_Path</t>
        </is>
      </c>
      <c r="B6" s="2" t="inlineStr">
        <is>
          <t>3 factories / 3600 units / full by 2029</t>
        </is>
      </c>
      <c r="C6" s="2" t="inlineStr">
        <is>
          <t>text</t>
        </is>
      </c>
      <c r="D6" s="2" t="inlineStr">
        <is>
          <t>Operations</t>
        </is>
      </c>
      <c r="E6" s="2" t="inlineStr">
        <is>
          <t>Central_Brain_Harmonization</t>
        </is>
      </c>
      <c r="F6" s="2" t="inlineStr">
        <is>
          <t>2026-03-27</t>
        </is>
      </c>
      <c r="G6" s="2" t="inlineStr">
        <is>
          <t>Central_Brain</t>
        </is>
      </c>
      <c r="H6" s="2" t="inlineStr">
        <is>
          <t>ACTIVE</t>
        </is>
      </c>
      <c r="I6" s="2" t="inlineStr"/>
      <c r="J6" s="2" t="inlineStr">
        <is>
          <t>HIGH</t>
        </is>
      </c>
      <c r="K6" s="2" t="inlineStr">
        <is>
          <t>YES</t>
        </is>
      </c>
      <c r="L6" s="2" t="inlineStr">
        <is>
          <t>Locked operating ramp</t>
        </is>
      </c>
    </row>
    <row r="7">
      <c r="A7" s="2" t="inlineStr">
        <is>
          <t>Active_CAPEX_Base</t>
        </is>
      </c>
      <c r="B7" s="2" t="n">
        <v>43.56</v>
      </c>
      <c r="C7" s="2" t="inlineStr">
        <is>
          <t>EURm</t>
        </is>
      </c>
      <c r="D7" s="2" t="inlineStr">
        <is>
          <t>CAPEX</t>
        </is>
      </c>
      <c r="E7" s="2" t="inlineStr">
        <is>
          <t>Central_Brain_Harmonization</t>
        </is>
      </c>
      <c r="F7" s="2" t="inlineStr">
        <is>
          <t>2026-03-27</t>
        </is>
      </c>
      <c r="G7" s="2" t="inlineStr">
        <is>
          <t>Central_Brain</t>
        </is>
      </c>
      <c r="H7" s="2" t="inlineStr">
        <is>
          <t>ACTIVE</t>
        </is>
      </c>
      <c r="I7" s="2" t="n">
        <v>51.4</v>
      </c>
      <c r="J7" s="2" t="inlineStr">
        <is>
          <t>HIGH</t>
        </is>
      </c>
      <c r="K7" s="2" t="inlineStr">
        <is>
          <t>YES</t>
        </is>
      </c>
      <c r="L7" s="2" t="inlineStr">
        <is>
          <t>Locked base CAPEX</t>
        </is>
      </c>
    </row>
    <row r="8">
      <c r="A8" s="2" t="inlineStr">
        <is>
          <t>Active_CAPEX_P90</t>
        </is>
      </c>
      <c r="B8" s="2" t="n">
        <v>51.4</v>
      </c>
      <c r="C8" s="2" t="inlineStr">
        <is>
          <t>EURm</t>
        </is>
      </c>
      <c r="D8" s="2" t="inlineStr">
        <is>
          <t>CAPEX</t>
        </is>
      </c>
      <c r="E8" s="2" t="inlineStr">
        <is>
          <t>Central_Brain_Harmonization</t>
        </is>
      </c>
      <c r="F8" s="2" t="inlineStr">
        <is>
          <t>2026-03-27</t>
        </is>
      </c>
      <c r="G8" s="2" t="inlineStr">
        <is>
          <t>Central_Brain</t>
        </is>
      </c>
      <c r="H8" s="2" t="inlineStr">
        <is>
          <t>ACTIVE</t>
        </is>
      </c>
      <c r="I8" s="2" t="n">
        <v>51.4</v>
      </c>
      <c r="J8" s="2" t="inlineStr">
        <is>
          <t>HIGH</t>
        </is>
      </c>
      <c r="K8" s="2" t="inlineStr">
        <is>
          <t>YES</t>
        </is>
      </c>
      <c r="L8" s="2" t="inlineStr">
        <is>
          <t>Locked P90 CAPEX</t>
        </is>
      </c>
    </row>
  </sheetData>
  <dataValidations count="3">
    <dataValidation sqref="H2:H8" showDropDown="0" showInputMessage="0" showErrorMessage="0" allowBlank="1" type="list">
      <formula1>"ACTIVE,ARCHIVE_ONLY,PENDING_VALIDATION"</formula1>
    </dataValidation>
    <dataValidation sqref="J2:J8" showDropDown="0" showInputMessage="0" showErrorMessage="0" allowBlank="1" type="list">
      <formula1>"LOW,MEDIUM,HIGH"</formula1>
    </dataValidation>
    <dataValidation sqref="K2:K8" showDropDown="0" showInputMessage="0" showErrorMessage="0" allowBlank="1" type="list">
      <formula1>"YES,NO"</formula1>
    </dataValidation>
  </dataValidations>
  <pageMargins left="0.59" right="0.59" top="0.59" bottom="0.59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28" customWidth="1" min="3" max="3"/>
    <col width="20" customWidth="1" min="4" max="4"/>
    <col width="14" customWidth="1" min="5" max="5"/>
    <col width="42" customWidth="1" min="6" max="6"/>
  </cols>
  <sheetData>
    <row r="1">
      <c r="A1" s="1" t="inlineStr">
        <is>
          <t>Check_Name</t>
        </is>
      </c>
      <c r="B1" s="1" t="inlineStr">
        <is>
          <t>Expected</t>
        </is>
      </c>
      <c r="C1" s="1" t="inlineStr">
        <is>
          <t>Actual</t>
        </is>
      </c>
      <c r="D1" s="1" t="inlineStr">
        <is>
          <t>Pass_Flag</t>
        </is>
      </c>
      <c r="E1" s="1" t="inlineStr">
        <is>
          <t>Severity</t>
        </is>
      </c>
      <c r="F1" s="1" t="inlineStr">
        <is>
          <t>Comment</t>
        </is>
      </c>
    </row>
    <row r="2">
      <c r="A2" s="2" t="inlineStr">
        <is>
          <t>Scenario_Basis_Lock</t>
        </is>
      </c>
      <c r="B2" s="2" t="inlineStr">
        <is>
          <t>ARS_ADS_3Factory_Master</t>
        </is>
      </c>
      <c r="C2" s="2" t="inlineStr">
        <is>
          <t>[link to Active_Data]</t>
        </is>
      </c>
      <c r="D2" s="2">
        <f>EXACT(B2,C2)</f>
        <v/>
      </c>
      <c r="E2" s="2" t="inlineStr">
        <is>
          <t>HIGH</t>
        </is>
      </c>
      <c r="F2" s="2" t="inlineStr">
        <is>
          <t>Active case must remain 3-factory master</t>
        </is>
      </c>
    </row>
    <row r="3">
      <c r="A3" s="2" t="inlineStr">
        <is>
          <t>Legacy_TITAN1_Status</t>
        </is>
      </c>
      <c r="B3" s="2" t="inlineStr">
        <is>
          <t>ARCHIVE_ONLY</t>
        </is>
      </c>
      <c r="C3" s="2" t="inlineStr">
        <is>
          <t>[link to Active_Data]</t>
        </is>
      </c>
      <c r="D3" s="2">
        <f>EXACT(B3,C3)</f>
        <v/>
      </c>
      <c r="E3" s="2" t="inlineStr">
        <is>
          <t>HIGH</t>
        </is>
      </c>
      <c r="F3" s="2" t="inlineStr">
        <is>
          <t>Legacy TITAN1 must remain archival</t>
        </is>
      </c>
    </row>
    <row r="4">
      <c r="A4" s="2" t="inlineStr">
        <is>
          <t>Legacy_Override_Block</t>
        </is>
      </c>
      <c r="B4" s="2" t="inlineStr">
        <is>
          <t>FALSE</t>
        </is>
      </c>
      <c r="C4" s="2" t="inlineStr">
        <is>
          <t>[link to Active_Data]</t>
        </is>
      </c>
      <c r="D4" s="2">
        <f>EXACT(B4,C4)</f>
        <v/>
      </c>
      <c r="E4" s="2" t="inlineStr">
        <is>
          <t>HIGH</t>
        </is>
      </c>
      <c r="F4" s="2" t="inlineStr">
        <is>
          <t>Legacy override must be disabled</t>
        </is>
      </c>
    </row>
    <row r="5">
      <c r="A5" s="2" t="inlineStr">
        <is>
          <t>Active_CAPEX_Base_Tie</t>
        </is>
      </c>
      <c r="B5" s="2" t="n">
        <v>43.56</v>
      </c>
      <c r="C5" s="2" t="inlineStr">
        <is>
          <t>[link to Active_Data]</t>
        </is>
      </c>
      <c r="D5" s="2">
        <f>ABS(B5-C5)&lt;0.0001</f>
        <v/>
      </c>
      <c r="E5" s="2" t="inlineStr">
        <is>
          <t>HIGH</t>
        </is>
      </c>
      <c r="F5" s="2" t="inlineStr">
        <is>
          <t>Base CAPEX must match governing case</t>
        </is>
      </c>
    </row>
    <row r="6">
      <c r="A6" s="2" t="inlineStr">
        <is>
          <t>Active_CAPEX_P90_Tie</t>
        </is>
      </c>
      <c r="B6" s="2" t="n">
        <v>51.4</v>
      </c>
      <c r="C6" s="2" t="inlineStr">
        <is>
          <t>[link to Active_Data]</t>
        </is>
      </c>
      <c r="D6" s="2">
        <f>ABS(B6-C6)&lt;0.0001</f>
        <v/>
      </c>
      <c r="E6" s="2" t="inlineStr">
        <is>
          <t>HIGH</t>
        </is>
      </c>
      <c r="F6" s="2" t="inlineStr">
        <is>
          <t>P90 CAPEX must match governing case</t>
        </is>
      </c>
    </row>
    <row r="7">
      <c r="A7" s="2" t="inlineStr">
        <is>
          <t>Active_Capacity_Path_Check</t>
        </is>
      </c>
      <c r="B7" s="2" t="inlineStr">
        <is>
          <t>3 factories / 3600 units / full by 2029</t>
        </is>
      </c>
      <c r="C7" s="2" t="inlineStr">
        <is>
          <t>[link to Active_Data]</t>
        </is>
      </c>
      <c r="D7" s="2">
        <f>EXACT(B7,C7)</f>
        <v/>
      </c>
      <c r="E7" s="2" t="inlineStr">
        <is>
          <t>HIGH</t>
        </is>
      </c>
      <c r="F7" s="2" t="inlineStr">
        <is>
          <t>Capacity path must remain locked</t>
        </is>
      </c>
    </row>
  </sheetData>
  <pageMargins left="0.59" right="0.59" top="0.59" bottom="0.59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Scenario_Basis</t>
        </is>
      </c>
      <c r="B2" s="2" t="inlineStr">
        <is>
          <t>ARS_ADS_3Factory_Master</t>
        </is>
      </c>
    </row>
    <row r="3">
      <c r="A3" s="2" t="inlineStr">
        <is>
          <t>Legacy_TITAN1_Framework_Status</t>
        </is>
      </c>
      <c r="B3" s="2" t="inlineStr">
        <is>
          <t>ARCHIVE_ONLY</t>
        </is>
      </c>
    </row>
    <row r="4">
      <c r="A4" s="2" t="inlineStr">
        <is>
          <t>Legacy_TITAN1_Override_Permission</t>
        </is>
      </c>
      <c r="B4" s="2" t="inlineStr">
        <is>
          <t>FALSE</t>
        </is>
      </c>
    </row>
    <row r="5">
      <c r="A5" s="2" t="inlineStr">
        <is>
          <t>Active_Valuation_Path</t>
        </is>
      </c>
      <c r="B5" s="2" t="inlineStr">
        <is>
          <t>ARS_ADS_3Factory_Master</t>
        </is>
      </c>
    </row>
    <row r="6">
      <c r="A6" s="2" t="inlineStr">
        <is>
          <t>Active_Capacity_Path</t>
        </is>
      </c>
      <c r="B6" s="2" t="inlineStr">
        <is>
          <t>3 factories / 3,600 units / full capacity by 2029</t>
        </is>
      </c>
    </row>
    <row r="7">
      <c r="A7" s="2" t="inlineStr">
        <is>
          <t>Active_CAPEX_Base</t>
        </is>
      </c>
      <c r="B7" s="2" t="inlineStr">
        <is>
          <t>43.56 EURm</t>
        </is>
      </c>
    </row>
    <row r="8">
      <c r="A8" s="2" t="inlineStr">
        <is>
          <t>Active_CAPEX_P90</t>
        </is>
      </c>
      <c r="B8" s="2" t="inlineStr">
        <is>
          <t>51.40 EURm</t>
        </is>
      </c>
    </row>
    <row r="9">
      <c r="A9" s="2" t="inlineStr">
        <is>
          <t>Active_Funding_Mix</t>
        </is>
      </c>
      <c r="B9" s="2" t="inlineStr">
        <is>
          <t>62% Senior Debt / 13% Equity / 25% Grant</t>
        </is>
      </c>
    </row>
    <row r="10">
      <c r="A10" s="2" t="inlineStr">
        <is>
          <t>Active_Product_Definition</t>
        </is>
      </c>
      <c r="B10" s="2" t="inlineStr">
        <is>
          <t>Oil-filled transformer tanks</t>
        </is>
      </c>
    </row>
    <row r="11">
      <c r="A11" s="2" t="inlineStr">
        <is>
          <t>Active_Operating_Base</t>
        </is>
      </c>
      <c r="B11" s="2" t="inlineStr">
        <is>
          <t>ADS Metal Turkey - Ankara</t>
        </is>
      </c>
    </row>
    <row r="12">
      <c r="A12" s="2" t="inlineStr">
        <is>
          <t>Active_Sponsor</t>
        </is>
      </c>
      <c r="B12" s="2" t="inlineStr">
        <is>
          <t>ARS Metal DOO / Hamza Yavuz</t>
        </is>
      </c>
    </row>
  </sheetData>
  <pageMargins left="0.59" right="0.59" top="0.59" bottom="0.59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Python Governance Patch</t>
        </is>
      </c>
    </row>
    <row r="2" ht="420" customHeight="1">
      <c r="A2" s="4" t="inlineStr">
        <is>
          <t xml:space="preserve">GOVERNING_RULES = {
    "Scenario_Basis": "ARS_ADS_3Factory_Master",
    "Legacy_TITAN1_Framework_Status": "ARCHIVE_ONLY",
    "Legacy_TITAN1_Override_Permission": False,
    "Active_Valuation_Path": "ARS_ADS_3Factory_Master",
    "Active_Capacity_Path": "3 factories / 3600 units / full by 2029",
    "Active_CAPEX_Base": 43.56,
    "Active_CAPEX_P90": 51.40,
}
def validate_governing_case(active_data: dict) -&gt; list:
    errors = []
    if active_data.get("Scenario_Basis") != "ARS_ADS_3Factory_Master":
        errors.append("Scenario_Basis mismatch")
    if active_data.get("Legacy_TITAN1_Framework_Status") != "ARCHIVE_ONLY":
        errors.append("Legacy TITAN1 status breach")
    if active_data.get("Legacy_TITAN1_Override_Permission") not in [False, "FALSE"]:
        errors.append("Legacy TITAN1 override enabled")
    if float(active_data.get("Active_CAPEX_Base", 0)) != 43.56:
        errors.append("Active_CAPEX_Base mismatch")
    if float(active_data.get("Active_CAPEX_P90", 0)) != 51.40:
        errors.append("Active_CAPEX_P90 mismatch")
    return errors
</t>
        </is>
      </c>
    </row>
  </sheetData>
  <pageMargins left="0.59" right="0.59" top="0.59" bottom="0.59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92" customWidth="1" min="3" max="3"/>
  </cols>
  <sheetData>
    <row r="1">
      <c r="A1" s="1" t="inlineStr">
        <is>
          <t>Sheet_Name</t>
        </is>
      </c>
      <c r="B1" s="1" t="inlineStr">
        <is>
          <t>Purpose</t>
        </is>
      </c>
      <c r="C1" s="1" t="inlineStr">
        <is>
          <t>Key_Columns</t>
        </is>
      </c>
    </row>
    <row r="2">
      <c r="A2" s="2" t="inlineStr">
        <is>
          <t>Active_Data_Patch</t>
        </is>
      </c>
      <c r="B2" s="2" t="inlineStr">
        <is>
          <t>Rows to insert / confirm in Active_Data</t>
        </is>
      </c>
      <c r="C2" s="2" t="inlineStr">
        <is>
          <t>Parameter, Value, Unit, Category, Source_Document, Last_Validated, Owner, Status, Monte_Carlo_P90, Equity_Impact, Industry_Specific, Notes</t>
        </is>
      </c>
    </row>
    <row r="3">
      <c r="A3" s="2" t="inlineStr">
        <is>
          <t>Audit_Checks_Patch</t>
        </is>
      </c>
      <c r="B3" s="2" t="inlineStr">
        <is>
          <t>Audit rows to insert / confirm</t>
        </is>
      </c>
      <c r="C3" s="2" t="inlineStr">
        <is>
          <t>Check_Name, Expected, Actual, Pass_Flag, Severity, Comment</t>
        </is>
      </c>
    </row>
    <row r="4">
      <c r="A4" s="2" t="inlineStr">
        <is>
          <t>Governance_Update</t>
        </is>
      </c>
      <c r="B4" s="2" t="inlineStr">
        <is>
          <t>Simple copy-ready governance list</t>
        </is>
      </c>
      <c r="C4" s="2" t="inlineStr">
        <is>
          <t>Key, Value</t>
        </is>
      </c>
    </row>
    <row r="5">
      <c r="A5" s="2" t="inlineStr">
        <is>
          <t>Python_Patch</t>
        </is>
      </c>
      <c r="B5" s="2" t="inlineStr">
        <is>
          <t>Validation logic for model code</t>
        </is>
      </c>
      <c r="C5" s="2" t="inlineStr">
        <is>
          <t>Embedded code block</t>
        </is>
      </c>
    </row>
  </sheetData>
  <pageMargins left="0.59" right="0.59" top="0.59" bottom="0.59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2026-03-27T09:11:45Z</dcterms:created>
  <dcterms:modified xmlns:dcterms="http://purl.org/dc/terms/" xmlns:xsi="http://www.w3.org/2001/XMLSchema-instance" xsi:type="dcterms:W3CDTF">2026-03-27T09:11:45Z</dcterms:modified>
</cp:coreProperties>
</file>