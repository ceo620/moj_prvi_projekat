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c7362329e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-MAK_Protocol" sheetId="1" r:id="Rcba0096904314cc1"/>
    <x:sheet xmlns:r="http://schemas.openxmlformats.org/officeDocument/2006/relationships" name="LOG_Working" sheetId="2" r:id="Ra8354426d9144fb1"/>
    <x:sheet xmlns:r="http://schemas.openxmlformats.org/officeDocument/2006/relationships" name="Zone_Summary" sheetId="3" r:id="Redb8034ef2974fb6"/>
    <x:sheet xmlns:r="http://schemas.openxmlformats.org/officeDocument/2006/relationships" name="Checks" sheetId="4" r:id="Ra3b10a86adc2455d"/>
    <x:sheet xmlns:r="http://schemas.openxmlformats.org/officeDocument/2006/relationships" name="Canonical_Memory" sheetId="5" r:id="R09152345ce574c5a"/>
    <x:sheet xmlns:r="http://schemas.openxmlformats.org/officeDocument/2006/relationships" name="Formula_Audit" sheetId="6" r:id="R891cf60c283a4069"/>
  </x:sheets>
  <x:definedNames>
    <x:definedName name="Canonical_Key">'UNI-MAK_Protocol'!$B$6</x:definedName>
    <x:definedName name="LOG_Total_CAPEX">'LOG_Working'!$B$7</x:definedName>
    <x:definedName name="_xlnm.Print_Titles" localSheetId="0">'UNI-MAK_Protocol'!$1:$3</x:definedName>
    <x:definedName name="_xlnm.Print_Area" localSheetId="0">'UNI-MAK_Protocol'!$A$1:$H$29</x:definedName>
    <x:definedName name="_xlnm.Print_Titles" localSheetId="1">'LOG_Working'!$1:$11</x:definedName>
    <x:definedName name="_xlnm.Print_Area" localSheetId="1">'LOG_Working'!$A$1:$V$33</x:definedName>
    <x:definedName name="_xlnm.Print_Titles" localSheetId="2">'Zone_Summary'!$1:$3</x:definedName>
    <x:definedName name="_xlnm.Print_Area" localSheetId="2">'Zone_Summary'!$A$1:$H$15</x:definedName>
    <x:definedName name="_xlnm.Print_Titles" localSheetId="3">'Checks'!$1:$3</x:definedName>
    <x:definedName name="_xlnm.Print_Area" localSheetId="3">'Checks'!$A$1:$E$16</x:definedName>
    <x:definedName name="_xlnm.Print_Titles" localSheetId="4">'Canonical_Memory'!$1:$3</x:definedName>
    <x:definedName name="_xlnm.Print_Area" localSheetId="4">'Canonical_Memory'!$A$1:$B$16</x:definedName>
    <x:definedName name="_xlnm.Print_Titles" localSheetId="5">'Formula_Audit'!$1:$1</x:definedName>
    <x:definedName name="_xlnm.Print_Area" localSheetId="5">'Formula_Audit'!$A$1:$F$129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10" authorId="0">
      <x:text>
        <x:r>
          <x:t>Source basis: User-provided breakdown + market benchmarks 2025-2026 (Europe, heavy industry / transformer plants).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K12" authorId="0">
      <x:text>
        <x:r>
          <x:t>User-provided detailed breakdown + Market benchmarks 2025-2026 (Europe, heavy industry/transformer plants)</x:t>
        </x:r>
      </x:text>
    </x:comment>
    <x:comment ref="L12" authorId="0">
      <x:text>
        <x:r>
          <x:t>User payload amount for reconciliation.</x:t>
        </x:r>
      </x:text>
    </x:comment>
    <x:comment ref="V12" authorId="0">
      <x:text>
        <x:r>
          <x:t>Double-girder European-style 20–40 t cranes: 2025–2026 prices €500,000–€1,200,000+ po jedinici (zavisno od span, hoist, automation). €850k prosečno realno za 30–40t sa open winch, 60m span – kritično za sigurno dizanje teških aktivnih delova/tankova. Integrisati sa kranskim stazama (construction package 15).</x:t>
        </x:r>
      </x:text>
    </x:comment>
    <x:comment ref="K13" authorId="0">
      <x:text>
        <x:r>
          <x:t>User-provided detailed breakdown + Market benchmarks 2025-2026 (Europe, heavy industry/transformer plants)</x:t>
        </x:r>
      </x:text>
    </x:comment>
    <x:comment ref="L13" authorId="0">
      <x:text>
        <x:r>
          <x:t>User payload amount for reconciliation.</x:t>
        </x:r>
      </x:text>
    </x:comment>
    <x:comment ref="V13" authorId="0">
      <x:text>
        <x:r>
          <x:t>Secondary 10–20 t cranes: €300,000–€600,000 po jedinici. €420k prosečno realno za precizno rukovanje jezgrima/coil-ovima.</x:t>
        </x:r>
      </x:text>
    </x:comment>
    <x:comment ref="K14" authorId="0">
      <x:text>
        <x:r>
          <x:t>User-provided detailed breakdown + Market benchmarks 2025-2026 (Europe, heavy industry/transformer plants)</x:t>
        </x:r>
      </x:text>
    </x:comment>
    <x:comment ref="L14" authorId="0">
      <x:text>
        <x:r>
          <x:t>User payload amount for reconciliation.</x:t>
        </x:r>
      </x:text>
    </x:comment>
    <x:comment ref="V14" authorId="0">
      <x:text>
        <x:r>
          <x:t>Heavy rail-guided ili powered trolleys 30–80 t: €200,000–€400,000+ po jedinici. Kritičan za intra-hala transport gotovih jedinica.</x:t>
        </x:r>
      </x:text>
    </x:comment>
    <x:comment ref="K15" authorId="0">
      <x:text>
        <x:r>
          <x:t>User-provided detailed breakdown + Market benchmarks 2025-2026 (Europe, heavy industry/transformer plants)</x:t>
        </x:r>
      </x:text>
    </x:comment>
    <x:comment ref="L15" authorId="0">
      <x:text>
        <x:r>
          <x:t>User payload amount for reconciliation.</x:t>
        </x:r>
      </x:text>
    </x:comment>
    <x:comment ref="V15" authorId="0">
      <x:text>
        <x:r>
          <x:t>Heavy electric platform transporters: €150,000–€300,000. Fleksibilni za manevrisanje u fabrici.</x:t>
        </x:r>
      </x:text>
    </x:comment>
    <x:comment ref="K16" authorId="0">
      <x:text>
        <x:r>
          <x:t>User-provided detailed breakdown + Market benchmarks 2025-2026 (Europe, heavy industry/transformer plants)</x:t>
        </x:r>
      </x:text>
    </x:comment>
    <x:comment ref="L16" authorId="0">
      <x:text>
        <x:r>
          <x:t>User payload amount for reconciliation.</x:t>
        </x:r>
      </x:text>
    </x:comment>
    <x:comment ref="V16" authorId="0">
      <x:text>
        <x:r>
          <x:t>Heavy-duty AGV 10–30+ t: €200,000–€600,000+ po jedinici. €420k prosečno realno za custom u transformer fabrici; podržava Industry 4.0. Rizik softverske integracije sa MES/WMS.</x:t>
        </x:r>
      </x:text>
    </x:comment>
    <x:comment ref="K17" authorId="0">
      <x:text>
        <x:r>
          <x:t>User-provided detailed breakdown + Market benchmarks 2025-2026 (Europe, heavy industry/transformer plants)</x:t>
        </x:r>
      </x:text>
    </x:comment>
    <x:comment ref="L17" authorId="0">
      <x:text>
        <x:r>
          <x:t>User payload amount for reconciliation.</x:t>
        </x:r>
      </x:text>
    </x:comment>
    <x:comment ref="V17" authorId="0">
      <x:text>
        <x:r>
          <x:t>Heavy-duty 8–16 t forklifts: €150,000–€300,000+. Realno za robustne modele.</x:t>
        </x:r>
      </x:text>
    </x:comment>
    <x:comment ref="K18" authorId="0">
      <x:text>
        <x:r>
          <x:t>User-provided detailed breakdown + Market benchmarks 2025-2026 (Europe, heavy industry/transformer plants)</x:t>
        </x:r>
      </x:text>
    </x:comment>
    <x:comment ref="L18" authorId="0">
      <x:text>
        <x:r>
          <x:t>User payload amount for reconciliation.</x:t>
        </x:r>
      </x:text>
    </x:comment>
    <x:comment ref="V18" authorId="0">
      <x:text>
        <x:r>
          <x:t>Standard electric 3–5 t: €80,000–€150,000 prosečno.</x:t>
        </x:r>
      </x:text>
    </x:comment>
    <x:comment ref="K19" authorId="0">
      <x:text>
        <x:r>
          <x:t>User-provided detailed breakdown + Market benchmarks 2025-2026 (Europe, heavy industry/transformer plants)</x:t>
        </x:r>
      </x:text>
    </x:comment>
    <x:comment ref="L19" authorId="0">
      <x:text>
        <x:r>
          <x:t>User payload amount for reconciliation.</x:t>
        </x:r>
      </x:text>
    </x:comment>
    <x:comment ref="V19" authorId="0">
      <x:text>
        <x:r>
          <x:t>Electric pallet trucks: €20,000–€50,000 standardno.</x:t>
        </x:r>
      </x:text>
    </x:comment>
    <x:comment ref="K20" authorId="0">
      <x:text>
        <x:r>
          <x:t>User-provided detailed breakdown + Market benchmarks 2025-2026 (Europe, heavy industry/transformer plants)</x:t>
        </x:r>
      </x:text>
    </x:comment>
    <x:comment ref="L20" authorId="0">
      <x:text>
        <x:r>
          <x:t>User payload amount for reconciliation.</x:t>
        </x:r>
      </x:text>
    </x:comment>
    <x:comment ref="V20" authorId="0">
      <x:text>
        <x:r>
          <x:t>Heavy roller conveyors: €200,000–€400,000 po sistemu za kontinuirani flow active parts.</x:t>
        </x:r>
      </x:text>
    </x:comment>
    <x:comment ref="K21" authorId="0">
      <x:text>
        <x:r>
          <x:t>User-provided detailed breakdown + Market benchmarks 2025-2026 (Europe, heavy industry/transformer plants)</x:t>
        </x:r>
      </x:text>
    </x:comment>
    <x:comment ref="L21" authorId="0">
      <x:text>
        <x:r>
          <x:t>User payload amount for reconciliation.</x:t>
        </x:r>
      </x:text>
    </x:comment>
    <x:comment ref="V21" authorId="0">
      <x:text>
        <x:r>
          <x:t>Modular platforms sa manipulatorima: €100,000–€250,000 za precizno pozicioniranje.</x:t>
        </x:r>
      </x:text>
    </x:comment>
    <x:comment ref="K22" authorId="0">
      <x:text>
        <x:r>
          <x:t>User-provided detailed breakdown + Market benchmarks 2025-2026 (Europe, heavy industry/transformer plants)</x:t>
        </x:r>
      </x:text>
    </x:comment>
    <x:comment ref="L22" authorId="0">
      <x:text>
        <x:r>
          <x:t>User payload amount for reconciliation.</x:t>
        </x:r>
      </x:text>
    </x:comment>
    <x:comment ref="V22" authorId="0">
      <x:text>
        <x:r>
          <x:t>Heavy buffer racks: €80,000–€150,000 po setu.</x:t>
        </x:r>
      </x:text>
    </x:comment>
    <x:comment ref="K23" authorId="0">
      <x:text>
        <x:r>
          <x:t>User-provided detailed breakdown + Market benchmarks 2025-2026 (Europe, heavy industry/transformer plants)</x:t>
        </x:r>
      </x:text>
    </x:comment>
    <x:comment ref="L23" authorId="0">
      <x:text>
        <x:r>
          <x:t>User payload amount for reconciliation.</x:t>
        </x:r>
      </x:text>
    </x:comment>
    <x:comment ref="V23" authorId="0">
      <x:text>
        <x:r>
          <x:t>Teški regali za jezgra/coil-ove: €100,000–€200,000.</x:t>
        </x:r>
      </x:text>
    </x:comment>
    <x:comment ref="K24" authorId="0">
      <x:text>
        <x:r>
          <x:t>User-provided detailed breakdown + Market benchmarks 2025-2026 (Europe, heavy industry/transformer plants)</x:t>
        </x:r>
      </x:text>
    </x:comment>
    <x:comment ref="L24" authorId="0">
      <x:text>
        <x:r>
          <x:t>User payload amount for reconciliation.</x:t>
        </x:r>
      </x:text>
    </x:comment>
    <x:comment ref="V24" authorId="0">
      <x:text>
        <x:r>
          <x:t>Markiranje podova/puta: niski trošak.</x:t>
        </x:r>
      </x:text>
    </x:comment>
    <x:comment ref="K25" authorId="0">
      <x:text>
        <x:r>
          <x:t>User-provided detailed breakdown + Market benchmarks 2025-2026 (Europe, heavy industry/transformer plants)</x:t>
        </x:r>
      </x:text>
    </x:comment>
    <x:comment ref="L25" authorId="0">
      <x:text>
        <x:r>
          <x:t>User payload amount for reconciliation.</x:t>
        </x:r>
      </x:text>
    </x:comment>
    <x:comment ref="V25" authorId="0">
      <x:text>
        <x:r>
          <x:t>Zaštitne barijere: standardno.</x:t>
        </x:r>
      </x:text>
    </x:comment>
    <x:comment ref="K26" authorId="0">
      <x:text>
        <x:r>
          <x:t>User-provided detailed breakdown + Market benchmarks 2025-2026 (Europe, heavy industry/transformer plants)</x:t>
        </x:r>
      </x:text>
    </x:comment>
    <x:comment ref="L26" authorId="0">
      <x:text>
        <x:r>
          <x:t>User payload amount for reconciliation.</x:t>
        </x:r>
      </x:text>
    </x:comment>
    <x:comment ref="V26" authorId="0">
      <x:text>
        <x:r>
          <x:t>Saobraćajni monitoring: realno.</x:t>
        </x:r>
      </x:text>
    </x:comment>
    <x:comment ref="K27" authorId="0">
      <x:text>
        <x:r>
          <x:t>User-provided detailed breakdown + Market benchmarks 2025-2026 (Europe, heavy industry/transformer plants)</x:t>
        </x:r>
      </x:text>
    </x:comment>
    <x:comment ref="L27" authorId="0">
      <x:text>
        <x:r>
          <x:t>User payload amount for reconciliation.</x:t>
        </x:r>
      </x:text>
    </x:comment>
    <x:comment ref="V27" authorId="0">
      <x:text>
        <x:r>
          <x:t>IoT za tracking: podržava Industry 4.0.</x:t>
        </x:r>
      </x:text>
    </x:comment>
    <x:comment ref="K28" authorId="0">
      <x:text>
        <x:r>
          <x:t>User-provided detailed breakdown + Market benchmarks 2025-2026 (Europe, heavy industry/transformer plants)</x:t>
        </x:r>
      </x:text>
    </x:comment>
    <x:comment ref="L28" authorId="0">
      <x:text>
        <x:r>
          <x:t>User payload amount for reconciliation.</x:t>
        </x:r>
      </x:text>
    </x:comment>
    <x:comment ref="V28" authorId="0">
      <x:text>
        <x:r>
          <x:t>WMS integracija: €100k–€200k tipično; godišnje održavanje.</x:t>
        </x:r>
      </x:text>
    </x:comment>
    <x:comment ref="K29" authorId="0">
      <x:text>
        <x:r>
          <x:t>User-provided detailed breakdown + Market benchmarks 2025-2026 (Europe, heavy industry/transformer plants)</x:t>
        </x:r>
      </x:text>
    </x:comment>
    <x:comment ref="L29" authorId="0">
      <x:text>
        <x:r>
          <x:t>User payload amount for reconciliation.</x:t>
        </x:r>
      </x:text>
    </x:comment>
    <x:comment ref="V29" authorId="0">
      <x:text>
        <x:r>
          <x:t>Rasvjeta za celu halu: niski trošak; LED za uštedu energije.</x:t>
        </x:r>
      </x:text>
    </x:comment>
    <x:comment ref="K30" authorId="0">
      <x:text>
        <x:r>
          <x:t>User-provided detailed breakdown + Market benchmarks 2025-2026 (Europe, heavy industry/transformer plants)</x:t>
        </x:r>
      </x:text>
    </x:comment>
    <x:comment ref="L30" authorId="0">
      <x:text>
        <x:r>
          <x:t>User payload amount for reconciliation.</x:t>
        </x:r>
      </x:text>
    </x:comment>
    <x:comment ref="V30" authorId="0">
      <x:text>
        <x:r>
          <x:t>Ojačani pod za ≥30 t/m²: ~€150–€400+/m² u specijalnim zonama; €420k za 1,000–2,500 m² ključnih zona.</x:t>
        </x:r>
      </x:text>
    </x:comment>
    <x:comment ref="K31" authorId="0">
      <x:text>
        <x:r>
          <x:t>User-provided detailed breakdown + Market benchmarks 2025-2026 (Europe, heavy industry/transformer plants)</x:t>
        </x:r>
      </x:text>
    </x:comment>
    <x:comment ref="L31" authorId="0">
      <x:text>
        <x:r>
          <x:t>User payload amount for reconciliation.</x:t>
        </x:r>
      </x:text>
    </x:comment>
    <x:comment ref="V31" authorId="0">
      <x:text>
        <x:r>
          <x:t>CCTV sistem: standardno.</x:t>
        </x:r>
      </x:text>
    </x:comment>
    <x:comment ref="K32" authorId="0">
      <x:text>
        <x:r>
          <x:t>User-provided detailed breakdown + Market benchmarks 2025-2026 (Europe, heavy industry/transformer plants)</x:t>
        </x:r>
      </x:text>
    </x:comment>
    <x:comment ref="L32" authorId="0">
      <x:text>
        <x:r>
          <x:t>User payload amount for reconciliation.</x:t>
        </x:r>
      </x:text>
    </x:comment>
    <x:comment ref="V32" authorId="0">
      <x:text>
        <x:r>
          <x:t>Punjačke stanice: realno za flotu; vezano za elektro infrastrukturu.</x:t>
        </x:r>
      </x:text>
    </x:comment>
    <x:comment ref="K33" authorId="0">
      <x:text>
        <x:r>
          <x:t>User-provided detailed breakdown + Market benchmarks 2025-2026 (Europe, heavy industry/transformer plants)</x:t>
        </x:r>
      </x:text>
    </x:comment>
    <x:comment ref="L33" authorId="0">
      <x:text>
        <x:r>
          <x:t>User payload amount for reconciliation.</x:t>
        </x:r>
      </x:text>
    </x:comment>
    <x:comment ref="V33" authorId="0">
      <x:text>
        <x:r>
          <x:t>E-stop mreža: esencijalna sigurnost.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Calculated share against base A (€70.2M). Correct value is ~22.0%, not ~19.90%.</x:t>
        </x:r>
      </x:text>
    </x:comment>
    <x:comment ref="B9" authorId="0">
      <x:text>
        <x:r>
          <x:t>Omitted zones outside the user zone summary total: €1.415M.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€#,##0.00;[Red](€#,##0.00);-"/>
    <x:numFmt numFmtId="165" formatCode="0.0%"/>
    <x:numFmt numFmtId="166" formatCode="#,##0.0;[Red](#,##0.0);-"/>
    <x:numFmt numFmtId="167" formatCode="#,##0;[Red](#,##0);-"/>
    <x:numFmt numFmtId="168" formatCode="#,##0_);[Red](#,##0);-"/>
    <x:numFmt numFmtId="169" formatCode="#,##0;-"/>
  </x:numFmts>
  <x:fonts count="11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>
      <x:color rgb="00666666"/>
    </x:font>
    <x:font>
      <x:color rgb="00008000"/>
    </x:font>
    <x:font>
      <x:color rgb="000000FF"/>
    </x:font>
    <x:font>
      <x:color rgb="00000000"/>
    </x:font>
    <x:font>
      <x:b/>
      <x:color rgb="007030A0"/>
    </x:font>
    <x:font>
      <x:b/>
      <x:sz val="11"/>
    </x:font>
    <x:font>
      <x:sz val="10"/>
      <x:color rgb="00666666"/>
    </x:font>
    <x:font>
      <x:b/>
      <x:sz val="11"/>
      <x:color rgb="00FFFF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1F2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</x:fills>
  <x:borders count="6">
    <x:border>
      <x:left/>
      <x:right/>
      <x:top/>
      <x:bottom/>
      <x:diagonal/>
    </x:border>
    <x:border>
      <x:top style="medium">
        <x:color rgb="001F4E78"/>
      </x:top>
      <x:bottom style="thin">
        <x:color rgb="00C9C9C9"/>
      </x:bottom>
    </x:border>
    <x:border>
      <x:left/>
      <x:right/>
      <x:top style="medium">
        <x:color rgb="001F4E78"/>
      </x:top>
      <x:bottom/>
      <x:diagonal/>
    </x:border>
    <x:border>
      <x:left/>
      <x:right/>
      <x:top style="medium">
        <x:color rgb="001F4E78"/>
      </x:top>
      <x:bottom style="thin">
        <x:color rgb="00C9C9C9"/>
      </x:bottom>
      <x:diagonal/>
    </x:border>
    <x:border>
      <x:right/>
      <x:top style="medium">
        <x:color rgb="001F4E78"/>
      </x:top>
      <x:bottom style="thin">
        <x:color rgb="00C9C9C9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1" xfId="0"/>
    <x:xf numFmtId="0" fontId="2" fillId="4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2" fillId="4" borderId="0" xfId="0"/>
    <x:xf numFmtId="0" fontId="4" fillId="0" borderId="0" xfId="0" applyAlignment="1">
      <x:alignment vertical="top" wrapText="1"/>
    </x:xf>
    <x:xf numFmtId="0" fontId="2" fillId="3" borderId="1" xfId="0" applyAlignment="1">
      <x:alignment vertical="top" wrapText="1"/>
    </x:xf>
    <x:xf numFmtId="164" fontId="5" fillId="5" borderId="0" xfId="0" applyAlignment="1">
      <x:alignment vertical="top" wrapText="1"/>
    </x:xf>
    <x:xf numFmtId="165" fontId="6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0"/>
    <x:xf numFmtId="164" fontId="6" fillId="0" borderId="0" xfId="0" applyAlignment="1">
      <x:alignment vertical="top" wrapText="1"/>
    </x:xf>
    <x:xf numFmtId="166" fontId="6" fillId="0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167" fontId="5" fillId="0" borderId="0" xfId="0"/>
    <x:xf numFmtId="164" fontId="5" fillId="0" borderId="0" xfId="0"/>
    <x:xf numFmtId="164" fontId="0" fillId="0" borderId="0" xfId="0"/>
    <x:xf numFmtId="164" fontId="6" fillId="0" borderId="0" xfId="0"/>
    <x:xf numFmtId="166" fontId="5" fillId="0" borderId="0" xfId="0"/>
    <x:xf numFmtId="165" fontId="5" fillId="0" borderId="0" xfId="0"/>
    <x:xf numFmtId="167" fontId="5" fillId="0" borderId="0" xfId="0" applyAlignment="1">
      <x:alignment vertical="top" wrapText="1"/>
    </x:xf>
    <x:xf numFmtId="164" fontId="5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6" fontId="5" fillId="0" borderId="0" xfId="0" applyAlignment="1">
      <x:alignment vertical="top" wrapText="1"/>
    </x:xf>
    <x:xf numFmtId="165" fontId="5" fillId="0" borderId="0" xfId="0" applyAlignment="1">
      <x:alignment vertical="top" wrapText="1"/>
    </x:xf>
    <x:xf numFmtId="0" fontId="1" fillId="2" borderId="0" xfId="0"/>
    <x:xf numFmtId="166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166" fontId="0" fillId="0" borderId="0" xfId="0"/>
    <x:xf numFmtId="165" fontId="0" fillId="0" borderId="0" xfId="0"/>
    <x:xf numFmtId="0" fontId="2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2" fillId="3" borderId="0" xfId="0"/>
    <x:xf numFmtId="0" fontId="0" fillId="0" borderId="0" xfId="0" applyAlignment="1">
      <x:alignment wrapText="1"/>
    </x:xf>
    <x:xf numFmtId="0" fontId="3" fillId="0" borderId="0" xfId="0" applyAlignment="1">
      <x:alignment wrapText="1"/>
    </x:xf>
    <x:xf numFmtId="0" fontId="0" fillId="0" borderId="3" xfId="0"/>
    <x:xf numFmtId="0" fontId="2" fillId="3" borderId="4" xfId="0"/>
    <x:xf numFmtId="0" fontId="2" fillId="3" borderId="4" xfId="0" applyAlignment="1">
      <x:alignment vertical="top" wrapText="1"/>
    </x:xf>
    <x:xf numFmtId="168" fontId="5" fillId="5" borderId="0" xfId="0" applyAlignment="1">
      <x:alignment vertical="top" wrapText="1"/>
    </x:xf>
    <x:xf numFmtId="0" fontId="8" fillId="4" borderId="4" xfId="0" applyAlignment="1">
      <x:alignment vertical="top" wrapText="1"/>
    </x:xf>
    <x:xf numFmtId="0" fontId="9" fillId="0" borderId="0" xfId="0"/>
    <x:xf numFmtId="168" fontId="6" fillId="0" borderId="0" xfId="0" applyAlignment="1">
      <x:alignment vertical="top" wrapText="1"/>
    </x:xf>
    <x:xf numFmtId="169" fontId="6" fillId="0" borderId="0" xfId="0" applyAlignment="1">
      <x:alignment vertical="top" wrapText="1"/>
    </x:xf>
    <x:xf numFmtId="168" fontId="5" fillId="0" borderId="0" xfId="0"/>
    <x:xf numFmtId="168" fontId="0" fillId="0" borderId="0" xfId="0"/>
    <x:xf numFmtId="168" fontId="6" fillId="0" borderId="0" xfId="0"/>
    <x:xf numFmtId="169" fontId="5" fillId="0" borderId="0" xfId="0"/>
    <x:xf numFmtId="168" fontId="5" fillId="0" borderId="0" xfId="0" applyAlignment="1">
      <x:alignment vertical="top" wrapText="1"/>
    </x:xf>
    <x:xf numFmtId="168" fontId="0" fillId="0" borderId="0" xfId="0" applyAlignment="1">
      <x:alignment vertical="top" wrapText="1"/>
    </x:xf>
    <x:xf numFmtId="169" fontId="5" fillId="0" borderId="0" xfId="0" applyAlignment="1">
      <x:alignment vertical="top" wrapText="1"/>
    </x:xf>
    <x:xf numFmtId="169" fontId="0" fillId="0" borderId="0" xfId="0" applyAlignment="1">
      <x:alignment vertical="top" wrapText="1"/>
    </x:xf>
    <x:xf numFmtId="0" fontId="0" fillId="5" borderId="0" xfId="0"/>
    <x:xf numFmtId="168" fontId="0" fillId="5" borderId="0" xfId="0"/>
    <x:xf numFmtId="169" fontId="0" fillId="5" borderId="0" xfId="0"/>
    <x:xf numFmtId="165" fontId="0" fillId="5" borderId="0" xfId="0"/>
    <x:xf numFmtId="0" fontId="0" fillId="5" borderId="0" xfId="0" applyAlignment="1">
      <x:alignment vertical="top" wrapText="1"/>
    </x:xf>
    <x:xf numFmtId="168" fontId="0" fillId="5" borderId="0" xfId="0" applyAlignment="1">
      <x:alignment vertical="top" wrapText="1"/>
    </x:xf>
    <x:xf numFmtId="169" fontId="0" fillId="5" borderId="0" xfId="0" applyAlignment="1">
      <x:alignment vertical="top" wrapText="1"/>
    </x:xf>
    <x:xf numFmtId="165" fontId="0" fillId="5" borderId="0" xfId="0" applyAlignment="1">
      <x:alignment vertical="top" wrapText="1"/>
    </x:xf>
    <x:xf numFmtId="0" fontId="10" fillId="2" borderId="0" xfId="0" applyAlignment="1">
      <x:alignment vertical="top" wrapText="1"/>
    </x:xf>
    <x:xf numFmtId="0" fontId="10" fillId="2" borderId="0" xfId="0"/>
    <x:xf numFmtId="168" fontId="10" fillId="2" borderId="0" xfId="0" applyAlignment="1">
      <x:alignment vertical="top" wrapText="1"/>
    </x:xf>
    <x:xf numFmtId="169" fontId="10" fillId="2" borderId="0" xfId="0" applyAlignment="1">
      <x:alignment vertical="top" wrapText="1"/>
    </x:xf>
    <x:xf numFmtId="165" fontId="10" fillId="2" borderId="0" xfId="0" applyAlignment="1">
      <x:alignment vertical="top" wrapText="1"/>
    </x:xf>
    <x:xf numFmtId="168" fontId="10" fillId="2" borderId="0" xfId="0"/>
    <x:xf numFmtId="0" fontId="10" fillId="2" borderId="0" xfId="0" applyAlignment="1">
      <x:alignment horizontal="center" vertical="center"/>
    </x:xf>
    <x:xf numFmtId="0" fontId="7" fillId="0" borderId="5" xfId="0" applyAlignment="1">
      <x:alignment horizontal="left" vertical="center"/>
    </x:xf>
    <x:xf numFmtId="168" fontId="6" fillId="0" borderId="5" xfId="0" applyAlignment="1">
      <x:alignment horizontal="right" vertical="center"/>
    </x:xf>
    <x:xf numFmtId="168" fontId="5" fillId="0" borderId="5" xfId="0" applyAlignment="1">
      <x:alignment horizontal="right" vertical="center"/>
    </x:xf>
    <x:xf numFmtId="0" fontId="3" fillId="0" borderId="5" xfId="0" applyAlignment="1">
      <x:alignment vertical="top" wrapText="1"/>
    </x:xf>
    <x:xf numFmtId="0" fontId="0" fillId="0" borderId="5" xfId="0" applyAlignment="1">
      <x:alignment horizontal="right" vertical="center"/>
    </x:xf>
    <x:xf numFmtId="165" fontId="6" fillId="0" borderId="5" xfId="0" applyAlignment="1">
      <x:alignment horizontal="right" vertical="center"/>
    </x:xf>
    <x:xf numFmtId="165" fontId="5" fillId="0" borderId="5" xfId="0" applyAlignment="1">
      <x:alignment horizontal="right" vertical="center"/>
    </x:xf>
    <x:xf numFmtId="0" fontId="0" fillId="0" borderId="5" xfId="0" applyAlignment="1">
      <x:alignment horizontal="left" vertical="center"/>
    </x:xf>
    <x:xf numFmtId="0" fontId="0" fillId="0" borderId="5" xfId="0" applyAlignment="1">
      <x:alignment vertical="top" wrapText="1"/>
    </x:xf>
    <x:xf numFmtId="0" fontId="2" fillId="3" borderId="5" xfId="0" applyAlignment="1">
      <x:alignment horizontal="left" vertical="center"/>
    </x:xf>
    <x:xf numFmtId="169" fontId="0" fillId="0" borderId="5" xfId="0" applyAlignment="1">
      <x:alignment horizontal="right" vertical="center"/>
    </x:xf>
    <x:xf numFmtId="168" fontId="0" fillId="0" borderId="5" xfId="0" applyAlignment="1">
      <x:alignment horizontal="right" vertical="center"/>
    </x:xf>
    <x:xf numFmtId="165" fontId="0" fillId="0" borderId="5" xfId="0" applyAlignment="1">
      <x:alignment horizontal="right" vertical="center"/>
    </x:xf>
    <x:xf numFmtId="0" fontId="10" fillId="2" borderId="5" xfId="0" applyAlignment="1">
      <x:alignment horizontal="center" vertical="center"/>
    </x:xf>
  </x:cellXfs>
  <x:cellStyles count="1">
    <x:cellStyle name="Normal" xfId="0"/>
  </x:cellStyles>
  <x:dxfs count="1">
    <x:dxf>
      <x:fill>
        <x:patternFill>
          <x:bgColor rgb="00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2ea1e5eb8429a" /><Relationship Type="http://schemas.openxmlformats.org/officeDocument/2006/relationships/theme" Target="/xl/theme/theme1.xml" Id="R7ffc97c06aed49e6" /><Relationship Type="http://schemas.openxmlformats.org/officeDocument/2006/relationships/sharedStrings" Target="/xl/sharedStrings.xml" Id="R5e03eb099c3c468b" /><Relationship Type="http://schemas.openxmlformats.org/officeDocument/2006/relationships/worksheet" Target="/xl/worksheets/sheet1.xml" Id="Rcba0096904314cc1" /><Relationship Type="http://schemas.openxmlformats.org/officeDocument/2006/relationships/worksheet" Target="/xl/worksheets/sheet2.xml" Id="Ra8354426d9144fb1" /><Relationship Type="http://schemas.openxmlformats.org/officeDocument/2006/relationships/worksheet" Target="/xl/worksheets/sheet3.xml" Id="Redb8034ef2974fb6" /><Relationship Type="http://schemas.openxmlformats.org/officeDocument/2006/relationships/worksheet" Target="/xl/worksheets/sheet4.xml" Id="Ra3b10a86adc2455d" /><Relationship Type="http://schemas.openxmlformats.org/officeDocument/2006/relationships/worksheet" Target="/xl/worksheets/sheet5.xml" Id="R09152345ce574c5a" /><Relationship Type="http://schemas.openxmlformats.org/officeDocument/2006/relationships/worksheet" Target="/xl/worksheets/sheet6.xml" Id="R891cf60c283a4069" /><Relationship Type="http://schemas.microsoft.com/office/2017/10/relationships/person" Target="/xl/persons/person.xml" Id="R71fc285cd3cf4243" /></Relationships>
</file>

<file path=xl/persons/person.xml><?xml version="1.0" encoding="utf-8"?>
<xltc:personList xmlns:xltc="http://schemas.microsoft.com/office/spreadsheetml/2018/threadedcomments">
  <xltc:person displayName="OpenAI" id="{A7902646-30F8-F828-7889-27E2B0B1747F}"/>
  <xltc:person displayName="OpenAI" id="{5C414A7F-5A7B-0DC4-6ED0-C172A1009063}"/>
  <xltc:person displayName="OpenAI" id="{64E1CF3A-5486-7A9A-9AAE-227D84C459D7}"/>
</xltc:personList>
</file>

<file path=xl/tables/table1.xml><?xml version="1.0" encoding="utf-8"?>
<x:table xmlns:x="http://schemas.openxmlformats.org/spreadsheetml/2006/main" id="1" name="tbl_LOG_Working" displayName="tbl_LOG_Working" ref="A11:V33" headerRowCount="1">
  <x:autoFilter ref="A11:V33"/>
  <x:tableColumns count="22">
    <x:tableColumn id="1" name="Module"/>
    <x:tableColumn id="2" name="Item ID"/>
    <x:tableColumn id="3" name="Sub ID"/>
    <x:tableColumn id="4" name="Description"/>
    <x:tableColumn id="5" name="Category"/>
    <x:tableColumn id="6" name="Budget Line"/>
    <x:tableColumn id="7" name="Primary Zone"/>
    <x:tableColumn id="8" name="Main Function"/>
    <x:tableColumn id="9" name="Main Suppliers"/>
    <x:tableColumn id="10" name="Qty"/>
    <x:tableColumn id="11" name="Unit Price (EUR)"/>
    <x:tableColumn id="12" name="User Amount (EUR)"/>
    <x:tableColumn id="13" name="Calc Amount (EUR)"/>
    <x:tableColumn id="14" name="Connected Load kW"/>
    <x:tableColumn id="15" name="Floor Load"/>
    <x:tableColumn id="16" name="Footprint m²"/>
    <x:tableColumn id="17" name="Automation"/>
    <x:tableColumn id="18" name="Maint % / yr"/>
    <x:tableColumn id="19" name="Annual Maint (EUR)"/>
    <x:tableColumn id="20" name="Lifetime yrs"/>
    <x:tableColumn id="21" name="Criticality"/>
    <x:tableColumn id="22" name="Commen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819fd715c55427e" /><Relationship Type="http://schemas.openxmlformats.org/officeDocument/2006/relationships/vmlDrawing" Target="/xl/drawings/vmldrawing.vml" Id="R11be321407bd42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053643d611b459b" /><Relationship Type="http://schemas.openxmlformats.org/officeDocument/2006/relationships/vmlDrawing" Target="/xl/drawings/vmldrawing2.vml" Id="R43b7cb3caec2445a" /><Relationship Type="http://schemas.openxmlformats.org/officeDocument/2006/relationships/table" Target="/xl/tables/table1.xml" Id="R6539bd0d9d5e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90485c8042204b9e" /><Relationship Type="http://schemas.openxmlformats.org/officeDocument/2006/relationships/vmlDrawing" Target="/xl/drawings/vmldrawing3.vml" Id="R98c4ba85e9b140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  <x:col min="3" max="3" width="18" customWidth="1"/>
    <x:col min="4" max="4" width="18" customWidth="1"/>
    <x:col min="5" max="5" width="18" customWidth="1"/>
    <x:col min="6" max="6" width="16" customWidth="1"/>
    <x:col min="7" max="7" width="16" customWidth="1"/>
    <x:col min="8" max="8" width="16" customWidth="1"/>
  </x:cols>
  <x:sheetData>
    <x:row r="1" ht="24" customHeight="1">
      <x:c r="A1" s="1" t="inlineStr">
        <x:is>
          <x:t xml:space="preserve">UNI-MAK Protocol | CAPEX Master | Logistics Working Model</x:t>
        </x:is>
      </x:c>
    </x:row>
    <x:row r="3" ht="20" customHeight="1">
      <x:c r="A3" s="37" t="inlineStr">
        <x:is>
          <x:t xml:space="preserve">Protocol Header</x:t>
        </x:is>
      </x:c>
      <x:c r="B3" s="36" t="n"/>
      <x:c r="C3" s="36" t="n"/>
      <x:c r="D3" s="36" t="n"/>
      <x:c r="E3" s="36" t="n"/>
      <x:c r="F3" s="36" t="n"/>
      <x:c r="G3" s="36" t="n"/>
      <x:c r="H3" s="36" t="n"/>
    </x:row>
    <x:row r="4">
      <x:c r="A4" s="3" t="inlineStr">
        <x:is>
          <x:t xml:space="preserve">Module</x:t>
        </x:is>
      </x:c>
      <x:c r="B4" s="4" t="inlineStr">
        <x:is>
          <x:t xml:space="preserve">CAPEX_Master</x:t>
        </x:is>
      </x:c>
    </x:row>
    <x:row r="5">
      <x:c r="A5" s="3" t="inlineStr">
        <x:is>
          <x:t xml:space="preserve">Item ID</x:t>
        </x:is>
      </x:c>
      <x:c r="B5" s="4" t="inlineStr">
        <x:is>
          <x:t xml:space="preserve">LOG-001</x:t>
        </x:is>
      </x:c>
    </x:row>
    <x:row r="6">
      <x:c r="A6" s="3" t="inlineStr">
        <x:is>
          <x:t xml:space="preserve">Canonical Memory Key</x:t>
        </x:is>
      </x:c>
      <x:c r="B6" s="4" t="inlineStr">
        <x:is>
          <x:t xml:space="preserve">CAPEX_Master|LOG-001|Investiciona_Logistika_01</x:t>
        </x:is>
      </x:c>
    </x:row>
    <x:row r="7">
      <x:c r="A7" s="3" t="inlineStr">
        <x:is>
          <x:t xml:space="preserve">Description</x:t>
        </x:is>
      </x:c>
      <x:c r="B7" s="4" t="inlineStr">
        <x:is>
          <x:t xml:space="preserve">Logistics - Material Handling &amp; Internal Transport Systems (kranovi, AGV, forklifts, conveyors, storage, safety, IoT)</x:t>
        </x:is>
      </x:c>
    </x:row>
    <x:row r="8">
      <x:c r="A8" s="3" t="inlineStr">
        <x:is>
          <x:t xml:space="preserve">Category</x:t>
        </x:is>
      </x:c>
      <x:c r="B8" s="4" t="inlineStr">
        <x:is>
          <x:t xml:space="preserve">Logistika i Materijalno Rukovanje</x:t>
        </x:is>
      </x:c>
    </x:row>
    <x:row r="9">
      <x:c r="A9" s="3" t="inlineStr">
        <x:is>
          <x:t xml:space="preserve">Budget Line</x:t>
        </x:is>
      </x:c>
      <x:c r="B9" s="4" t="inlineStr">
        <x:is>
          <x:t xml:space="preserve">Investiciona_Logistika_01</x:t>
        </x:is>
      </x:c>
    </x:row>
    <x:row r="10">
      <x:c r="A10" s="5" t="inlineStr">
        <x:is>
          <x:t xml:space="preserve">Source Reference</x:t>
        </x:is>
      </x:c>
      <x:c r="B10" s="6" t="inlineStr">
        <x:is>
          <x:t xml:space="preserve">User-provided detailed breakdown + Market benchmarks 2025-2026 (Europe, heavy industry/transformer plants)</x:t>
        </x:is>
      </x:c>
    </x:row>
    <x:row r="11">
      <x:c r="A11" s="5" t="inlineStr">
        <x:is>
          <x:t xml:space="preserve">Status</x:t>
        </x:is>
      </x:c>
      <x:c r="B11" s="4" t="inlineStr">
        <x:is>
          <x:t xml:space="preserve">A4 READY | CHECKED</x:t>
        </x:is>
      </x:c>
    </x:row>
    <x:row r="12">
      <x:c r="A12" s="5" t="inlineStr">
        <x:is>
          <x:t xml:space="preserve">Version</x:t>
        </x:is>
      </x:c>
      <x:c r="B12" s="4" t="inlineStr">
        <x:is>
          <x:t xml:space="preserve">v1.1</x:t>
        </x:is>
      </x:c>
    </x:row>
    <x:row r="13">
      <x:c r="A13" s="3" t="inlineStr">
        <x:is>
          <x:t xml:space="preserve">Prepared On</x:t>
        </x:is>
      </x:c>
      <x:c r="B13" s="4" t="inlineStr">
        <x:is>
          <x:t xml:space="preserve">2026-03-12</x:t>
        </x:is>
      </x:c>
    </x:row>
    <x:row r="14">
      <x:c r="A14" s="3" t="inlineStr">
        <x:is>
          <x:t xml:space="preserve">Currency</x:t>
        </x:is>
      </x:c>
      <x:c r="B14" s="4" t="inlineStr">
        <x:is>
          <x:t xml:space="preserve">EUR</x:t>
        </x:is>
      </x:c>
    </x:row>
    <x:row r="16">
      <x:c r="A16" s="38" t="inlineStr">
        <x:is>
          <x:t xml:space="preserve">Control Inputs / Assumptions</x:t>
        </x:is>
      </x:c>
      <x:c r="B16" s="36" t="n"/>
      <x:c r="C16" s="36" t="n"/>
      <x:c r="D16" s="36" t="n"/>
      <x:c r="E16" s="36" t="n"/>
      <x:c r="F16" s="36" t="n"/>
      <x:c r="G16" s="36" t="n"/>
      <x:c r="H16" s="36" t="n"/>
    </x:row>
    <x:row r="17">
      <x:c r="A17" s="3" t="inlineStr">
        <x:is>
          <x:t xml:space="preserve">Expected Total from User Payload</x:t>
        </x:is>
      </x:c>
      <x:c r="B17" s="39" t="n">
        <x:v>15445000</x:v>
      </x:c>
    </x:row>
    <x:row r="18">
      <x:c r="A18" s="3" t="inlineStr">
        <x:is>
          <x:t xml:space="preserve">Overall CAPEX Base A</x:t>
        </x:is>
      </x:c>
      <x:c r="B18" s="39" t="n">
        <x:v>70200000</x:v>
      </x:c>
    </x:row>
    <x:row r="19">
      <x:c r="A19" s="3" t="inlineStr">
        <x:is>
          <x:t xml:space="preserve">Share of Overall CAPEX A</x:t>
        </x:is>
      </x:c>
      <x:c r="B19" s="9">
        <x:f>B17/B18</x:f>
        <x:v>0.22001424501424502</x:v>
      </x:c>
    </x:row>
    <x:row r="20">
      <x:c r="A20" s="3" t="inlineStr">
        <x:is>
          <x:t xml:space="preserve">Overall CAPEX Base B</x:t>
        </x:is>
      </x:c>
      <x:c r="B20" s="39" t="n">
        <x:v>58275000</x:v>
      </x:c>
    </x:row>
    <x:row r="21">
      <x:c r="A21" s="3" t="inlineStr">
        <x:is>
          <x:t xml:space="preserve">Share of Overall CAPEX B</x:t>
        </x:is>
      </x:c>
      <x:c r="B21" s="9">
        <x:f>B17/B20</x:f>
        <x:v>0.26503646503646505</x:v>
      </x:c>
    </x:row>
    <x:row r="22">
      <x:c r="A22" s="3" t="inlineStr">
        <x:is>
          <x:t xml:space="preserve">User-Stated Share Text</x:t>
        </x:is>
      </x:c>
      <x:c r="B22" s="4" t="inlineStr">
        <x:is>
          <x:t xml:space="preserve">~22.0% of overall CAPEX (~€70.2M) | corrected from prior ~19.90%</x:t>
        </x:is>
      </x:c>
    </x:row>
    <x:row r="24">
      <x:c r="A24" s="40" t="inlineStr">
        <x:is>
          <x:t xml:space="preserve">Protocol Notes</x:t>
        </x:is>
      </x:c>
      <x:c r="B24" s="36" t="n"/>
      <x:c r="C24" s="36" t="n"/>
      <x:c r="D24" s="36" t="n"/>
      <x:c r="E24" s="36" t="n"/>
      <x:c r="F24" s="36" t="n"/>
      <x:c r="G24" s="36" t="n"/>
      <x:c r="H24" s="36" t="n"/>
    </x:row>
    <x:row r="25">
      <x:c r="A25" s="10" t="inlineStr">
        <x:is>
          <x:t xml:space="preserve">•</x:t>
        </x:is>
      </x:c>
      <x:c r="B25" s="4" t="inlineStr">
        <x:is>
          <x:t xml:space="preserve">Radna verzija povezana sa UNI-MAK canonical memory ključem i CAPEX protokolom.</x:t>
        </x:is>
      </x:c>
    </x:row>
    <x:row r="26">
      <x:c r="A26" s="10" t="inlineStr">
        <x:is>
          <x:t xml:space="preserve">•</x:t>
        </x:is>
      </x:c>
      <x:c r="B26" s="4" t="inlineStr">
        <x:is>
          <x:t xml:space="preserve">LOG_Working sadrži editabilne inpute i formule za amount, annual maintenance i total controls.</x:t>
        </x:is>
      </x:c>
    </x:row>
    <x:row r="27">
      <x:c r="A27" s="10" t="inlineStr">
        <x:is>
          <x:t xml:space="preserve">•</x:t>
        </x:is>
      </x:c>
      <x:c r="B27" s="4" t="inlineStr">
        <x:is>
          <x:t xml:space="preserve">Zone_Summary je dinamički povezan sa LOG_Working preko formula.</x:t>
        </x:is>
      </x:c>
    </x:row>
    <x:row r="28">
      <x:c r="A28" s="10" t="inlineStr">
        <x:is>
          <x:t xml:space="preserve">•</x:t>
        </x:is>
      </x:c>
      <x:c r="B28" s="4" t="inlineStr">
        <x:is>
          <x:t xml:space="preserve">Checks sheet evidentira poznate nekonzistentnosti iz korisničkog payload-a.</x:t>
        </x:is>
      </x:c>
    </x:row>
    <x:row r="29">
      <x:c r="A29" s="41" t="inlineStr">
        <x:is>
          <x:t xml:space="preserve">•</x:t>
        </x:is>
      </x:c>
      <x:c r="B29" s="41" t="inlineStr">
        <x:is>
          <x:t xml:space="preserve">Workbook updated with formula audit, A4 print setup, repeat headers, and PDF-ready page settings.</x:t>
        </x:is>
      </x:c>
    </x:row>
  </x:sheetData>
  <x:mergeCells>
    <x:mergeCell ref="B9:H9"/>
    <x:mergeCell ref="A24:H24"/>
    <x:mergeCell ref="B17:D17"/>
    <x:mergeCell ref="B6:H6"/>
    <x:mergeCell ref="A1:H1"/>
    <x:mergeCell ref="B5:H5"/>
    <x:mergeCell ref="B19:D19"/>
    <x:mergeCell ref="B26:H26"/>
    <x:mergeCell ref="B4:H4"/>
    <x:mergeCell ref="A16:H16"/>
    <x:mergeCell ref="B7:H7"/>
    <x:mergeCell ref="B25:H25"/>
    <x:mergeCell ref="B20:D20"/>
    <x:mergeCell ref="A3:H3"/>
    <x:mergeCell ref="B27:H27"/>
    <x:mergeCell ref="B12:H12"/>
    <x:mergeCell ref="B11:H11"/>
    <x:mergeCell ref="B8:H8"/>
    <x:mergeCell ref="B14:H14"/>
    <x:mergeCell ref="B13:H13"/>
    <x:mergeCell ref="B22:D22"/>
    <x:mergeCell ref="B18:D18"/>
    <x:mergeCell ref="B21:D21"/>
    <x:mergeCell ref="B10:H10"/>
    <x:mergeCell ref="B28:H28"/>
  </x:mergeCells>
  <x:pageMargins left="0.7" right="0.7" top="0.75" bottom="0.75" header="0.3" footer="0.3"/>
  <x:legacyDrawing xmlns:r="http://schemas.openxmlformats.org/officeDocument/2006/relationships" r:id="R11be321407bd425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5" customWidth="1"/>
    <x:col min="4" max="4" width="38" customWidth="1"/>
    <x:col min="5" max="5" width="22" customWidth="1"/>
    <x:col min="6" max="6" width="22" customWidth="1"/>
    <x:col min="7" max="7" width="22" customWidth="1"/>
    <x:col min="8" max="8" width="22" customWidth="1"/>
    <x:col min="9" max="9" width="20" customWidth="1"/>
    <x:col min="10" max="10" width="8" customWidth="1"/>
    <x:col min="11" max="11" width="15" customWidth="1"/>
    <x:col min="12" max="12" width="15" customWidth="1"/>
    <x:col min="13" max="13" width="15" customWidth="1"/>
    <x:col min="14" max="14" width="14" customWidth="1"/>
    <x:col min="15" max="15" width="12" customWidth="1"/>
    <x:col min="16" max="16" width="12" customWidth="1"/>
    <x:col min="17" max="17" width="12" customWidth="1"/>
    <x:col min="18" max="18" width="11" customWidth="1"/>
    <x:col min="19" max="19" width="15" customWidth="1"/>
    <x:col min="20" max="20" width="12" customWidth="1"/>
    <x:col min="21" max="21" width="12" customWidth="1"/>
    <x:col min="22" max="22" width="60" customWidth="1"/>
  </x:cols>
  <x:sheetData>
    <x:row r="1" ht="24" customHeight="1">
      <x:c r="A1" s="1" t="inlineStr">
        <x:is>
          <x:t xml:space="preserve">LOG-001 | Logistics Working Sheet</x:t>
        </x:is>
      </x:c>
    </x:row>
    <x:row r="3" ht="20" customHeight="1">
      <x:c r="A3" s="5" t="inlineStr">
        <x:is>
          <x:t xml:space="preserve">Module</x:t>
        </x:is>
      </x:c>
      <x:c r="B3" s="11" t="inlineStr">
        <x:is>
          <x:t xml:space="preserve">CAPEX_Master</x:t>
        </x:is>
      </x:c>
    </x:row>
    <x:row r="4">
      <x:c r="A4" s="3" t="inlineStr">
        <x:is>
          <x:t xml:space="preserve">Item ID</x:t>
        </x:is>
      </x:c>
      <x:c r="B4" s="4" t="inlineStr">
        <x:is>
          <x:t xml:space="preserve">LOG-001</x:t>
        </x:is>
      </x:c>
    </x:row>
    <x:row r="5">
      <x:c r="A5" s="3" t="inlineStr">
        <x:is>
          <x:t xml:space="preserve">Category</x:t>
        </x:is>
      </x:c>
      <x:c r="B5" s="4" t="inlineStr">
        <x:is>
          <x:t xml:space="preserve">Logistika i Materijalno Rukovanje</x:t>
        </x:is>
      </x:c>
    </x:row>
    <x:row r="6">
      <x:c r="A6" s="3" t="inlineStr">
        <x:is>
          <x:t xml:space="preserve">Budget Line</x:t>
        </x:is>
      </x:c>
      <x:c r="B6" s="4" t="inlineStr">
        <x:is>
          <x:t xml:space="preserve">Investiciona_Logistika_01</x:t>
        </x:is>
      </x:c>
    </x:row>
    <x:row r="7">
      <x:c r="A7" s="3" t="inlineStr">
        <x:is>
          <x:t xml:space="preserve">Total CAPEX</x:t>
        </x:is>
      </x:c>
      <x:c r="B7" s="42">
        <x:f>SUM(M12:M33)</x:f>
        <x:v>15445000</x:v>
      </x:c>
    </x:row>
    <x:row r="8">
      <x:c r="A8" s="3" t="inlineStr">
        <x:is>
          <x:t xml:space="preserve">Connected Load (sum kW)</x:t>
        </x:is>
      </x:c>
      <x:c r="B8" s="43">
        <x:f>SUM(N12:N33)</x:f>
        <x:v>307</x:v>
      </x:c>
    </x:row>
    <x:row r="9">
      <x:c r="A9" s="3" t="inlineStr">
        <x:is>
          <x:t xml:space="preserve">Annual Maintenance</x:t>
        </x:is>
      </x:c>
      <x:c r="B9" s="42">
        <x:f>SUM(S12:S33)</x:f>
        <x:v>381600</x:v>
      </x:c>
    </x:row>
    <x:row r="10">
      <x:c r="A10" s="37" t="inlineStr">
        <x:is>
          <x:t xml:space="preserve">Sub-item Working Table</x:t>
        </x:is>
      </x:c>
      <x:c r="B10" s="36" t="n"/>
      <x:c r="C10" s="36" t="n"/>
      <x:c r="D10" s="36" t="n"/>
      <x:c r="E10" s="36" t="n"/>
      <x:c r="F10" s="36" t="n"/>
      <x:c r="G10" s="36" t="n"/>
      <x:c r="H10" s="36" t="n"/>
      <x:c r="I10" s="36" t="n"/>
      <x:c r="J10" s="36" t="n"/>
      <x:c r="K10" s="36" t="n"/>
      <x:c r="L10" s="36" t="n"/>
      <x:c r="M10" s="36" t="n"/>
      <x:c r="N10" s="36" t="n"/>
      <x:c r="O10" s="36" t="n"/>
      <x:c r="P10" s="36" t="n"/>
      <x:c r="Q10" s="36" t="n"/>
      <x:c r="R10" s="36" t="n"/>
      <x:c r="S10" s="36" t="n"/>
      <x:c r="T10" s="36" t="n"/>
      <x:c r="U10" s="36" t="n"/>
      <x:c r="V10" s="36" t="n"/>
    </x:row>
    <x:row r="11">
      <x:c r="A11" s="14" t="inlineStr">
        <x:is>
          <x:t xml:space="preserve">Module</x:t>
        </x:is>
      </x:c>
      <x:c r="B11" s="14" t="inlineStr">
        <x:is>
          <x:t xml:space="preserve">Item ID</x:t>
        </x:is>
      </x:c>
      <x:c r="C11" s="14" t="inlineStr">
        <x:is>
          <x:t xml:space="preserve">Sub ID</x:t>
        </x:is>
      </x:c>
      <x:c r="D11" s="14" t="inlineStr">
        <x:is>
          <x:t xml:space="preserve">Description</x:t>
        </x:is>
      </x:c>
      <x:c r="E11" s="14" t="inlineStr">
        <x:is>
          <x:t xml:space="preserve">Category</x:t>
        </x:is>
      </x:c>
      <x:c r="F11" s="14" t="inlineStr">
        <x:is>
          <x:t xml:space="preserve">Budget Line</x:t>
        </x:is>
      </x:c>
      <x:c r="G11" s="14" t="inlineStr">
        <x:is>
          <x:t xml:space="preserve">Primary Zone</x:t>
        </x:is>
      </x:c>
      <x:c r="H11" s="14" t="inlineStr">
        <x:is>
          <x:t xml:space="preserve">Main Function</x:t>
        </x:is>
      </x:c>
      <x:c r="I11" s="14" t="inlineStr">
        <x:is>
          <x:t xml:space="preserve">Main Suppliers</x:t>
        </x:is>
      </x:c>
      <x:c r="J11" s="14" t="inlineStr">
        <x:is>
          <x:t xml:space="preserve">Qty</x:t>
        </x:is>
      </x:c>
      <x:c r="K11" s="14" t="inlineStr">
        <x:is>
          <x:t xml:space="preserve">Unit Price (EUR)</x:t>
        </x:is>
      </x:c>
      <x:c r="L11" s="14" t="inlineStr">
        <x:is>
          <x:t xml:space="preserve">User Amount (EUR)</x:t>
        </x:is>
      </x:c>
      <x:c r="M11" s="14" t="inlineStr">
        <x:is>
          <x:t xml:space="preserve">Calc Amount (EUR)</x:t>
        </x:is>
      </x:c>
      <x:c r="N11" s="14" t="inlineStr">
        <x:is>
          <x:t xml:space="preserve">Connected Load kW</x:t>
        </x:is>
      </x:c>
      <x:c r="O11" s="14" t="inlineStr">
        <x:is>
          <x:t xml:space="preserve">Floor Load</x:t>
        </x:is>
      </x:c>
      <x:c r="P11" s="14" t="inlineStr">
        <x:is>
          <x:t xml:space="preserve">Footprint m²</x:t>
        </x:is>
      </x:c>
      <x:c r="Q11" s="14" t="inlineStr">
        <x:is>
          <x:t xml:space="preserve">Automation</x:t>
        </x:is>
      </x:c>
      <x:c r="R11" s="14" t="inlineStr">
        <x:is>
          <x:t xml:space="preserve">Maint % / yr</x:t>
        </x:is>
      </x:c>
      <x:c r="S11" s="14" t="inlineStr">
        <x:is>
          <x:t xml:space="preserve">Annual Maint (EUR)</x:t>
        </x:is>
      </x:c>
      <x:c r="T11" s="14" t="inlineStr">
        <x:is>
          <x:t xml:space="preserve">Lifetime yrs</x:t>
        </x:is>
      </x:c>
      <x:c r="U11" s="14" t="inlineStr">
        <x:is>
          <x:t xml:space="preserve">Criticality</x:t>
        </x:is>
      </x:c>
      <x:c r="V11" s="14" t="inlineStr">
        <x:is>
          <x:t xml:space="preserve">Comment</x:t>
        </x:is>
      </x:c>
    </x:row>
    <x:row r="12" ht="34" customHeight="1">
      <x:c r="A12" s="11" t="inlineStr">
        <x:is>
          <x:t xml:space="preserve">CAPEX_Master</x:t>
        </x:is>
      </x:c>
      <x:c r="B12" s="11" t="inlineStr">
        <x:is>
          <x:t xml:space="preserve">LOG-001</x:t>
        </x:is>
      </x:c>
      <x:c r="C12" s="11" t="inlineStr">
        <x:is>
          <x:t xml:space="preserve">LOG-CRANE-001</x:t>
        </x:is>
      </x:c>
      <x:c r="D12" s="11" t="inlineStr">
        <x:is>
          <x:t xml:space="preserve">Heavy Duty Overhead Cranes 20–40 t lifting</x:t>
        </x:is>
      </x:c>
      <x:c r="E12" s="11" t="inlineStr">
        <x:is>
          <x:t xml:space="preserve">Logistika i Materijalno Rukovanje</x:t>
        </x:is>
      </x:c>
      <x:c r="F12" s="11" t="inlineStr">
        <x:is>
          <x:t xml:space="preserve">Investiciona_Logistika_01</x:t>
        </x:is>
      </x:c>
      <x:c r="G12" s="11" t="inlineStr">
        <x:is>
          <x:t xml:space="preserve">Assembly / Testing</x:t>
        </x:is>
      </x:c>
      <x:c r="H12" s="11" t="inlineStr">
        <x:is>
          <x:t xml:space="preserve">Lift active parts &amp; tanks</x:t>
        </x:is>
      </x:c>
      <x:c r="I12" s="11" t="inlineStr">
        <x:is>
          <x:t xml:space="preserve">Konecranes, Demag, GH, ABUS</x:t>
        </x:is>
      </x:c>
      <x:c r="J12" s="15" t="n">
        <x:v>4</x:v>
      </x:c>
      <x:c r="K12" s="44" t="n">
        <x:v>850000</x:v>
      </x:c>
      <x:c r="L12" s="45" t="n">
        <x:v>3400000</x:v>
      </x:c>
      <x:c r="M12" s="46">
        <x:f>J12*K12</x:f>
        <x:v>3400000</x:v>
      </x:c>
      <x:c r="N12" s="47" t="n">
        <x:v>60</x:v>
      </x:c>
      <x:c r="O12" s="11" t="inlineStr">
        <x:is>
          <x:t xml:space="preserve">≥30 t/m²</x:t>
        </x:is>
      </x:c>
      <x:c r="P12" s="47" t="n">
        <x:v>150</x:v>
      </x:c>
      <x:c r="Q12" s="11" t="inlineStr">
        <x:is>
          <x:t xml:space="preserve">Medium</x:t>
        </x:is>
      </x:c>
      <x:c r="R12" s="20" t="n">
        <x:v>0.03</x:v>
      </x:c>
      <x:c r="S12" s="46">
        <x:f>M12*R12</x:f>
        <x:v>102000</x:v>
      </x:c>
      <x:c r="T12" s="47" t="n">
        <x:v>25</x:v>
      </x:c>
      <x:c r="U12" s="11" t="inlineStr">
        <x:is>
          <x:t xml:space="preserve">Critical</x:t>
        </x:is>
      </x:c>
      <x:c r="V12" s="11" t="inlineStr">
        <x:is>
          <x:t xml:space="preserve">Double-girder European-style 20–40 t cranes: 2025–2026 prices €500,000–€1,200,000+ po jedinici (zavisno od span, hoist, automation). €850k prosečno realno za 30–40t sa open winch, 60m span – kritično za sigurno dizanje teških aktivnih delova/tankova. Integrisati sa kranskim stazama (construction package 15).</x:t>
        </x:is>
      </x:c>
    </x:row>
    <x:row r="13" ht="34" customHeight="1">
      <x:c r="A13" s="4" t="inlineStr">
        <x:is>
          <x:t xml:space="preserve">CAPEX_Master</x:t>
        </x:is>
      </x:c>
      <x:c r="B13" s="4" t="inlineStr">
        <x:is>
          <x:t xml:space="preserve">LOG-001</x:t>
        </x:is>
      </x:c>
      <x:c r="C13" s="4" t="inlineStr">
        <x:is>
          <x:t xml:space="preserve">LOG-CRANE-002</x:t>
        </x:is>
      </x:c>
      <x:c r="D13" s="4" t="inlineStr">
        <x:is>
          <x:t xml:space="preserve">Secondary Bridge Cranes 10–20 t</x:t>
        </x:is>
      </x:c>
      <x:c r="E13" s="4" t="inlineStr">
        <x:is>
          <x:t xml:space="preserve">Logistika i Materijalno Rukovanje</x:t>
        </x:is>
      </x:c>
      <x:c r="F13" s="4" t="inlineStr">
        <x:is>
          <x:t xml:space="preserve">Investiciona_Logistika_01</x:t>
        </x:is>
      </x:c>
      <x:c r="G13" s="4" t="inlineStr">
        <x:is>
          <x:t xml:space="preserve">Core / Winding</x:t>
        </x:is>
      </x:c>
      <x:c r="H13" s="4" t="inlineStr">
        <x:is>
          <x:t xml:space="preserve">Material handling</x:t>
        </x:is>
      </x:c>
      <x:c r="I13" s="4" t="inlineStr">
        <x:is>
          <x:t xml:space="preserve">Konecranes, Demag</x:t>
        </x:is>
      </x:c>
      <x:c r="J13" s="21" t="n">
        <x:v>6</x:v>
      </x:c>
      <x:c r="K13" s="48" t="n">
        <x:v>420000</x:v>
      </x:c>
      <x:c r="L13" s="49" t="n">
        <x:v>2520000</x:v>
      </x:c>
      <x:c r="M13" s="42">
        <x:f>J13*K13</x:f>
        <x:v>2520000</x:v>
      </x:c>
      <x:c r="N13" s="50" t="n">
        <x:v>40</x:v>
      </x:c>
      <x:c r="O13" s="4" t="inlineStr">
        <x:is>
          <x:t xml:space="preserve">≥20 t/m²</x:t>
        </x:is>
      </x:c>
      <x:c r="P13" s="50" t="n">
        <x:v>120</x:v>
      </x:c>
      <x:c r="Q13" s="4" t="inlineStr">
        <x:is>
          <x:t xml:space="preserve">Medium</x:t>
        </x:is>
      </x:c>
      <x:c r="R13" s="25" t="n">
        <x:v>0.03</x:v>
      </x:c>
      <x:c r="S13" s="42">
        <x:f>M13*R13</x:f>
        <x:v>75600</x:v>
      </x:c>
      <x:c r="T13" s="50" t="n">
        <x:v>25</x:v>
      </x:c>
      <x:c r="U13" s="4" t="inlineStr">
        <x:is>
          <x:t xml:space="preserve">High</x:t>
        </x:is>
      </x:c>
      <x:c r="V13" s="4" t="inlineStr">
        <x:is>
          <x:t xml:space="preserve">Secondary 10–20 t cranes: €300,000–€600,000 po jedinici. €420k prosečno realno za precizno rukovanje jezgrima/coil-ovima.</x:t>
        </x:is>
      </x:c>
    </x:row>
    <x:row r="14" ht="34" customHeight="1">
      <x:c r="A14" s="4" t="inlineStr">
        <x:is>
          <x:t xml:space="preserve">CAPEX_Master</x:t>
        </x:is>
      </x:c>
      <x:c r="B14" s="4" t="inlineStr">
        <x:is>
          <x:t xml:space="preserve">LOG-001</x:t>
        </x:is>
      </x:c>
      <x:c r="C14" s="4" t="inlineStr">
        <x:is>
          <x:t xml:space="preserve">LOG-TROLLEY-001</x:t>
        </x:is>
      </x:c>
      <x:c r="D14" s="4" t="inlineStr">
        <x:is>
          <x:t xml:space="preserve">Heavy Transport Trolleys 30–80 t capacity</x:t>
        </x:is>
      </x:c>
      <x:c r="E14" s="4" t="inlineStr">
        <x:is>
          <x:t xml:space="preserve">Logistika i Materijalno Rukovanje</x:t>
        </x:is>
      </x:c>
      <x:c r="F14" s="4" t="inlineStr">
        <x:is>
          <x:t xml:space="preserve">Investiciona_Logistika_01</x:t>
        </x:is>
      </x:c>
      <x:c r="G14" s="4" t="inlineStr">
        <x:is>
          <x:t xml:space="preserve">Assembly</x:t>
        </x:is>
      </x:c>
      <x:c r="H14" s="4" t="inlineStr">
        <x:is>
          <x:t xml:space="preserve">Transformer movement</x:t>
        </x:is>
      </x:c>
      <x:c r="I14" s="4" t="inlineStr">
        <x:is>
          <x:t xml:space="preserve">Enerpac, Hilman</x:t>
        </x:is>
      </x:c>
      <x:c r="J14" s="21" t="n">
        <x:v>4</x:v>
      </x:c>
      <x:c r="K14" s="48" t="n">
        <x:v>320000</x:v>
      </x:c>
      <x:c r="L14" s="49" t="n">
        <x:v>1280000</x:v>
      </x:c>
      <x:c r="M14" s="42">
        <x:f>J14*K14</x:f>
        <x:v>1280000</x:v>
      </x:c>
      <x:c r="N14" s="50" t="n">
        <x:v>20</x:v>
      </x:c>
      <x:c r="O14" s="4" t="inlineStr">
        <x:is>
          <x:t xml:space="preserve">≥30 t/m²</x:t>
        </x:is>
      </x:c>
      <x:c r="P14" s="50" t="n">
        <x:v>60</x:v>
      </x:c>
      <x:c r="Q14" s="4" t="inlineStr">
        <x:is>
          <x:t xml:space="preserve">Low</x:t>
        </x:is>
      </x:c>
      <x:c r="R14" s="25" t="n">
        <x:v>0.02</x:v>
      </x:c>
      <x:c r="S14" s="42">
        <x:f>M14*R14</x:f>
        <x:v>25600</x:v>
      </x:c>
      <x:c r="T14" s="50" t="n">
        <x:v>20</x:v>
      </x:c>
      <x:c r="U14" s="4" t="inlineStr">
        <x:is>
          <x:t xml:space="preserve">Critical</x:t>
        </x:is>
      </x:c>
      <x:c r="V14" s="4" t="inlineStr">
        <x:is>
          <x:t xml:space="preserve">Heavy rail-guided ili powered trolleys 30–80 t: €200,000–€400,000+ po jedinici. Kritičan za intra-hala transport gotovih jedinica.</x:t>
        </x:is>
      </x:c>
    </x:row>
    <x:row r="15" ht="34" customHeight="1">
      <x:c r="A15" s="4" t="inlineStr">
        <x:is>
          <x:t xml:space="preserve">CAPEX_Master</x:t>
        </x:is>
      </x:c>
      <x:c r="B15" s="4" t="inlineStr">
        <x:is>
          <x:t xml:space="preserve">LOG-001</x:t>
        </x:is>
      </x:c>
      <x:c r="C15" s="4" t="inlineStr">
        <x:is>
          <x:t xml:space="preserve">LOG-TRANSP-001</x:t>
        </x:is>
      </x:c>
      <x:c r="D15" s="4" t="inlineStr">
        <x:is>
          <x:t xml:space="preserve">Electric Platform Transporters industrial heavy transport</x:t>
        </x:is>
      </x:c>
      <x:c r="E15" s="4" t="inlineStr">
        <x:is>
          <x:t xml:space="preserve">Logistika i Materijalno Rukovanje</x:t>
        </x:is>
      </x:c>
      <x:c r="F15" s="4" t="inlineStr">
        <x:is>
          <x:t xml:space="preserve">Investiciona_Logistika_01</x:t>
        </x:is>
      </x:c>
      <x:c r="G15" s="4" t="inlineStr">
        <x:is>
          <x:t xml:space="preserve">Internal logistics</x:t>
        </x:is>
      </x:c>
      <x:c r="H15" s="4" t="inlineStr">
        <x:is>
          <x:t xml:space="preserve">Flexible transport</x:t>
        </x:is>
      </x:c>
      <x:c r="I15" s="4" t="inlineStr">
        <x:is>
          <x:t xml:space="preserve">Toyota, Jungheinrich</x:t>
        </x:is>
      </x:c>
      <x:c r="J15" s="21" t="n">
        <x:v>3</x:v>
      </x:c>
      <x:c r="K15" s="48" t="n">
        <x:v>220000</x:v>
      </x:c>
      <x:c r="L15" s="49" t="n">
        <x:v>660000</x:v>
      </x:c>
      <x:c r="M15" s="42">
        <x:f>J15*K15</x:f>
        <x:v>660000</x:v>
      </x:c>
      <x:c r="N15" s="50" t="n">
        <x:v>15</x:v>
      </x:c>
      <x:c r="O15" s="4" t="inlineStr">
        <x:is>
          <x:t xml:space="preserve">≥20 t/m²</x:t>
        </x:is>
      </x:c>
      <x:c r="P15" s="50" t="n">
        <x:v>40</x:v>
      </x:c>
      <x:c r="Q15" s="4" t="inlineStr">
        <x:is>
          <x:t xml:space="preserve">Medium</x:t>
        </x:is>
      </x:c>
      <x:c r="R15" s="25" t="n">
        <x:v>0.02</x:v>
      </x:c>
      <x:c r="S15" s="42">
        <x:f>M15*R15</x:f>
        <x:v>13200</x:v>
      </x:c>
      <x:c r="T15" s="50" t="n">
        <x:v>15</x:v>
      </x:c>
      <x:c r="U15" s="4" t="inlineStr">
        <x:is>
          <x:t xml:space="preserve">High</x:t>
        </x:is>
      </x:c>
      <x:c r="V15" s="4" t="inlineStr">
        <x:is>
          <x:t xml:space="preserve">Heavy electric platform transporters: €150,000–€300,000. Fleksibilni za manevrisanje u fabrici.</x:t>
        </x:is>
      </x:c>
    </x:row>
    <x:row r="16" ht="34" customHeight="1">
      <x:c r="A16" s="4" t="inlineStr">
        <x:is>
          <x:t xml:space="preserve">CAPEX_Master</x:t>
        </x:is>
      </x:c>
      <x:c r="B16" s="4" t="inlineStr">
        <x:is>
          <x:t xml:space="preserve">LOG-001</x:t>
        </x:is>
      </x:c>
      <x:c r="C16" s="4" t="inlineStr">
        <x:is>
          <x:t xml:space="preserve">LOG-AGV-001</x:t>
        </x:is>
      </x:c>
      <x:c r="D16" s="4" t="inlineStr">
        <x:is>
          <x:t xml:space="preserve">Automated Guided Vehicles automated logistics</x:t>
        </x:is>
      </x:c>
      <x:c r="E16" s="4" t="inlineStr">
        <x:is>
          <x:t xml:space="preserve">Logistika i Materijalno Rukovanje</x:t>
        </x:is>
      </x:c>
      <x:c r="F16" s="4" t="inlineStr">
        <x:is>
          <x:t xml:space="preserve">Investiciona_Logistika_01</x:t>
        </x:is>
      </x:c>
      <x:c r="G16" s="4" t="inlineStr">
        <x:is>
          <x:t xml:space="preserve">Whole factory</x:t>
        </x:is>
      </x:c>
      <x:c r="H16" s="4" t="inlineStr">
        <x:is>
          <x:t xml:space="preserve">Autonomous material flow</x:t>
        </x:is>
      </x:c>
      <x:c r="I16" s="4" t="inlineStr">
        <x:is>
          <x:t xml:space="preserve">KUKA, Daifuku</x:t>
        </x:is>
      </x:c>
      <x:c r="J16" s="21" t="n">
        <x:v>4</x:v>
      </x:c>
      <x:c r="K16" s="48" t="n">
        <x:v>420000</x:v>
      </x:c>
      <x:c r="L16" s="49" t="n">
        <x:v>1680000</x:v>
      </x:c>
      <x:c r="M16" s="42">
        <x:f>J16*K16</x:f>
        <x:v>1680000</x:v>
      </x:c>
      <x:c r="N16" s="50" t="n">
        <x:v>10</x:v>
      </x:c>
      <x:c r="O16" s="4" t="inlineStr">
        <x:is>
          <x:t xml:space="preserve">≥10 t/m²</x:t>
        </x:is>
      </x:c>
      <x:c r="P16" s="50" t="n">
        <x:v>20</x:v>
      </x:c>
      <x:c r="Q16" s="4" t="inlineStr">
        <x:is>
          <x:t xml:space="preserve">High</x:t>
        </x:is>
      </x:c>
      <x:c r="R16" s="25" t="n">
        <x:v>0.03</x:v>
      </x:c>
      <x:c r="S16" s="42">
        <x:f>M16*R16</x:f>
        <x:v>50400</x:v>
      </x:c>
      <x:c r="T16" s="50" t="n">
        <x:v>15</x:v>
      </x:c>
      <x:c r="U16" s="4" t="inlineStr">
        <x:is>
          <x:t xml:space="preserve">High</x:t>
        </x:is>
      </x:c>
      <x:c r="V16" s="4" t="inlineStr">
        <x:is>
          <x:t xml:space="preserve">Heavy-duty AGV 10–30+ t: €200,000–€600,000+ po jedinici. €420k prosečno realno za custom u transformer fabrici; podržava Industry 4.0. Rizik softverske integracije sa MES/WMS.</x:t>
        </x:is>
      </x:c>
    </x:row>
    <x:row r="17" ht="34" customHeight="1">
      <x:c r="A17" s="4" t="inlineStr">
        <x:is>
          <x:t xml:space="preserve">CAPEX_Master</x:t>
        </x:is>
      </x:c>
      <x:c r="B17" s="4" t="inlineStr">
        <x:is>
          <x:t xml:space="preserve">LOG-001</x:t>
        </x:is>
      </x:c>
      <x:c r="C17" s="4" t="inlineStr">
        <x:is>
          <x:t xml:space="preserve">LOG-FORK-001</x:t>
        </x:is>
      </x:c>
      <x:c r="D17" s="4" t="inlineStr">
        <x:is>
          <x:t xml:space="preserve">Forklifts Heavy Duty 8–16 t</x:t>
        </x:is>
      </x:c>
      <x:c r="E17" s="4" t="inlineStr">
        <x:is>
          <x:t xml:space="preserve">Logistika i Materijalno Rukovanje</x:t>
        </x:is>
      </x:c>
      <x:c r="F17" s="4" t="inlineStr">
        <x:is>
          <x:t xml:space="preserve">Investiciona_Logistika_01</x:t>
        </x:is>
      </x:c>
      <x:c r="G17" s="4" t="inlineStr">
        <x:is>
          <x:t xml:space="preserve">Warehouse</x:t>
        </x:is>
      </x:c>
      <x:c r="H17" s="4" t="inlineStr">
        <x:is>
          <x:t xml:space="preserve">Heavy pallet handling</x:t>
        </x:is>
      </x:c>
      <x:c r="I17" s="4" t="inlineStr">
        <x:is>
          <x:t xml:space="preserve">Toyota, Kalmar</x:t>
        </x:is>
      </x:c>
      <x:c r="J17" s="21" t="n">
        <x:v>3</x:v>
      </x:c>
      <x:c r="K17" s="48" t="n">
        <x:v>260000</x:v>
      </x:c>
      <x:c r="L17" s="49" t="n">
        <x:v>780000</x:v>
      </x:c>
      <x:c r="M17" s="42">
        <x:f>J17*K17</x:f>
        <x:v>780000</x:v>
      </x:c>
      <x:c r="N17" s="50" t="n">
        <x:v>12</x:v>
      </x:c>
      <x:c r="O17" s="4" t="inlineStr">
        <x:is>
          <x:t xml:space="preserve">≥15 t/m²</x:t>
        </x:is>
      </x:c>
      <x:c r="P17" s="50" t="n">
        <x:v>20</x:v>
      </x:c>
      <x:c r="Q17" s="4" t="inlineStr">
        <x:is>
          <x:t xml:space="preserve">Low</x:t>
        </x:is>
      </x:c>
      <x:c r="R17" s="25" t="n">
        <x:v>0.03</x:v>
      </x:c>
      <x:c r="S17" s="42">
        <x:f>M17*R17</x:f>
        <x:v>23400</x:v>
      </x:c>
      <x:c r="T17" s="50" t="n">
        <x:v>12</x:v>
      </x:c>
      <x:c r="U17" s="4" t="inlineStr">
        <x:is>
          <x:t xml:space="preserve">High</x:t>
        </x:is>
      </x:c>
      <x:c r="V17" s="4" t="inlineStr">
        <x:is>
          <x:t xml:space="preserve">Heavy-duty 8–16 t forklifts: €150,000–€300,000+. Realno za robustne modele.</x:t>
        </x:is>
      </x:c>
    </x:row>
    <x:row r="18" ht="34" customHeight="1">
      <x:c r="A18" s="4" t="inlineStr">
        <x:is>
          <x:t xml:space="preserve">CAPEX_Master</x:t>
        </x:is>
      </x:c>
      <x:c r="B18" s="4" t="inlineStr">
        <x:is>
          <x:t xml:space="preserve">LOG-001</x:t>
        </x:is>
      </x:c>
      <x:c r="C18" s="4" t="inlineStr">
        <x:is>
          <x:t xml:space="preserve">LOG-FORK-002</x:t>
        </x:is>
      </x:c>
      <x:c r="D18" s="4" t="inlineStr">
        <x:is>
          <x:t xml:space="preserve">Standard Electric Forklifts 3–5 t</x:t>
        </x:is>
      </x:c>
      <x:c r="E18" s="4" t="inlineStr">
        <x:is>
          <x:t xml:space="preserve">Logistika i Materijalno Rukovanje</x:t>
        </x:is>
      </x:c>
      <x:c r="F18" s="4" t="inlineStr">
        <x:is>
          <x:t xml:space="preserve">Investiciona_Logistika_01</x:t>
        </x:is>
      </x:c>
      <x:c r="G18" s="4" t="inlineStr">
        <x:is>
          <x:t xml:space="preserve">Warehouse</x:t>
        </x:is>
      </x:c>
      <x:c r="H18" s="4" t="inlineStr">
        <x:is>
          <x:t xml:space="preserve">General handling</x:t>
        </x:is>
      </x:c>
      <x:c r="I18" s="4" t="inlineStr">
        <x:is>
          <x:t xml:space="preserve">Toyota, Linde</x:t>
        </x:is>
      </x:c>
      <x:c r="J18" s="21" t="n">
        <x:v>5</x:v>
      </x:c>
      <x:c r="K18" s="48" t="n">
        <x:v>120000</x:v>
      </x:c>
      <x:c r="L18" s="49" t="n">
        <x:v>600000</x:v>
      </x:c>
      <x:c r="M18" s="42">
        <x:f>J18*K18</x:f>
        <x:v>600000</x:v>
      </x:c>
      <x:c r="N18" s="50" t="n">
        <x:v>8</x:v>
      </x:c>
      <x:c r="O18" s="4" t="inlineStr">
        <x:is>
          <x:t xml:space="preserve">≥10 t/m²</x:t>
        </x:is>
      </x:c>
      <x:c r="P18" s="50" t="n">
        <x:v>12</x:v>
      </x:c>
      <x:c r="Q18" s="4" t="inlineStr">
        <x:is>
          <x:t xml:space="preserve">Low</x:t>
        </x:is>
      </x:c>
      <x:c r="R18" s="25" t="n">
        <x:v>0.02</x:v>
      </x:c>
      <x:c r="S18" s="42">
        <x:f>M18*R18</x:f>
        <x:v>12000</x:v>
      </x:c>
      <x:c r="T18" s="50" t="n">
        <x:v>10</x:v>
      </x:c>
      <x:c r="U18" s="4" t="inlineStr">
        <x:is>
          <x:t xml:space="preserve">Medium</x:t>
        </x:is>
      </x:c>
      <x:c r="V18" s="4" t="inlineStr">
        <x:is>
          <x:t xml:space="preserve">Standard electric 3–5 t: €80,000–€150,000 prosečno.</x:t>
        </x:is>
      </x:c>
    </x:row>
    <x:row r="19" ht="34" customHeight="1">
      <x:c r="A19" s="4" t="inlineStr">
        <x:is>
          <x:t xml:space="preserve">CAPEX_Master</x:t>
        </x:is>
      </x:c>
      <x:c r="B19" s="4" t="inlineStr">
        <x:is>
          <x:t xml:space="preserve">LOG-001</x:t>
        </x:is>
      </x:c>
      <x:c r="C19" s="4" t="inlineStr">
        <x:is>
          <x:t xml:space="preserve">LOG-PALLET-001</x:t>
        </x:is>
      </x:c>
      <x:c r="D19" s="4" t="inlineStr">
        <x:is>
          <x:t xml:space="preserve">Industrial Pallet Trucks electric</x:t>
        </x:is>
      </x:c>
      <x:c r="E19" s="4" t="inlineStr">
        <x:is>
          <x:t xml:space="preserve">Logistika i Materijalno Rukovanje</x:t>
        </x:is>
      </x:c>
      <x:c r="F19" s="4" t="inlineStr">
        <x:is>
          <x:t xml:space="preserve">Investiciona_Logistika_01</x:t>
        </x:is>
      </x:c>
      <x:c r="G19" s="4" t="inlineStr">
        <x:is>
          <x:t xml:space="preserve">Warehouse</x:t>
        </x:is>
      </x:c>
      <x:c r="H19" s="4" t="inlineStr">
        <x:is>
          <x:t xml:space="preserve">Short-distance logistics</x:t>
        </x:is>
      </x:c>
      <x:c r="I19" s="4" t="inlineStr">
        <x:is>
          <x:t xml:space="preserve">Crown, Jungheinrich</x:t>
        </x:is>
      </x:c>
      <x:c r="J19" s="21" t="n">
        <x:v>6</x:v>
      </x:c>
      <x:c r="K19" s="48" t="n">
        <x:v>40000</x:v>
      </x:c>
      <x:c r="L19" s="49" t="n">
        <x:v>240000</x:v>
      </x:c>
      <x:c r="M19" s="42">
        <x:f>J19*K19</x:f>
        <x:v>240000</x:v>
      </x:c>
      <x:c r="N19" s="50" t="n">
        <x:v>5</x:v>
      </x:c>
      <x:c r="O19" s="4" t="inlineStr">
        <x:is>
          <x:t xml:space="preserve">≥8 t/m²</x:t>
        </x:is>
      </x:c>
      <x:c r="P19" s="50" t="n">
        <x:v>6</x:v>
      </x:c>
      <x:c r="Q19" s="4" t="inlineStr">
        <x:is>
          <x:t xml:space="preserve">Low</x:t>
        </x:is>
      </x:c>
      <x:c r="R19" s="25" t="n">
        <x:v>0.02</x:v>
      </x:c>
      <x:c r="S19" s="42">
        <x:f>M19*R19</x:f>
        <x:v>4800</x:v>
      </x:c>
      <x:c r="T19" s="50" t="n">
        <x:v>10</x:v>
      </x:c>
      <x:c r="U19" s="4" t="inlineStr">
        <x:is>
          <x:t xml:space="preserve">Low</x:t>
        </x:is>
      </x:c>
      <x:c r="V19" s="4" t="inlineStr">
        <x:is>
          <x:t xml:space="preserve">Electric pallet trucks: €20,000–€50,000 standardno.</x:t>
        </x:is>
      </x:c>
    </x:row>
    <x:row r="20" ht="34" customHeight="1">
      <x:c r="A20" s="4" t="inlineStr">
        <x:is>
          <x:t xml:space="preserve">CAPEX_Master</x:t>
        </x:is>
      </x:c>
      <x:c r="B20" s="4" t="inlineStr">
        <x:is>
          <x:t xml:space="preserve">LOG-001</x:t>
        </x:is>
      </x:c>
      <x:c r="C20" s="4" t="inlineStr">
        <x:is>
          <x:t xml:space="preserve">LOG-CONV-001</x:t>
        </x:is>
      </x:c>
      <x:c r="D20" s="4" t="inlineStr">
        <x:is>
          <x:t xml:space="preserve">Heavy Roller Conveyor Systems active part transport</x:t>
        </x:is>
      </x:c>
      <x:c r="E20" s="4" t="inlineStr">
        <x:is>
          <x:t xml:space="preserve">Logistika i Materijalno Rukovanje</x:t>
        </x:is>
      </x:c>
      <x:c r="F20" s="4" t="inlineStr">
        <x:is>
          <x:t xml:space="preserve">Investiciona_Logistika_01</x:t>
        </x:is>
      </x:c>
      <x:c r="G20" s="4" t="inlineStr">
        <x:is>
          <x:t xml:space="preserve">Assembly</x:t>
        </x:is>
      </x:c>
      <x:c r="H20" s="4" t="inlineStr">
        <x:is>
          <x:t xml:space="preserve">Continuous transport</x:t>
        </x:is>
      </x:c>
      <x:c r="I20" s="4" t="inlineStr">
        <x:is>
          <x:t xml:space="preserve">Dematic, Interroll</x:t>
        </x:is>
      </x:c>
      <x:c r="J20" s="21" t="n">
        <x:v>3</x:v>
      </x:c>
      <x:c r="K20" s="48" t="n">
        <x:v>260000</x:v>
      </x:c>
      <x:c r="L20" s="49" t="n">
        <x:v>780000</x:v>
      </x:c>
      <x:c r="M20" s="42">
        <x:f>J20*K20</x:f>
        <x:v>780000</x:v>
      </x:c>
      <x:c r="N20" s="50" t="n">
        <x:v>18</x:v>
      </x:c>
      <x:c r="O20" s="4" t="inlineStr">
        <x:is>
          <x:t xml:space="preserve">≥20 t/m²</x:t>
        </x:is>
      </x:c>
      <x:c r="P20" s="50" t="n">
        <x:v>80</x:v>
      </x:c>
      <x:c r="Q20" s="4" t="inlineStr">
        <x:is>
          <x:t xml:space="preserve">Medium</x:t>
        </x:is>
      </x:c>
      <x:c r="R20" s="25" t="n">
        <x:v>0.03</x:v>
      </x:c>
      <x:c r="S20" s="42">
        <x:f>M20*R20</x:f>
        <x:v>23400</x:v>
      </x:c>
      <x:c r="T20" s="50" t="n">
        <x:v>20</x:v>
      </x:c>
      <x:c r="U20" s="4" t="inlineStr">
        <x:is>
          <x:t xml:space="preserve">High</x:t>
        </x:is>
      </x:c>
      <x:c r="V20" s="4" t="inlineStr">
        <x:is>
          <x:t xml:space="preserve">Heavy roller conveyors: €200,000–€400,000 po sistemu za kontinuirani flow active parts.</x:t>
        </x:is>
      </x:c>
    </x:row>
    <x:row r="21" ht="34" customHeight="1">
      <x:c r="A21" s="4" t="inlineStr">
        <x:is>
          <x:t xml:space="preserve">CAPEX_Master</x:t>
        </x:is>
      </x:c>
      <x:c r="B21" s="4" t="inlineStr">
        <x:is>
          <x:t xml:space="preserve">LOG-001</x:t>
        </x:is>
      </x:c>
      <x:c r="C21" s="4" t="inlineStr">
        <x:is>
          <x:t xml:space="preserve">LOG-PLAT-001</x:t>
        </x:is>
      </x:c>
      <x:c r="D21" s="4" t="inlineStr">
        <x:is>
          <x:t xml:space="preserve">Modular Assembly Platforms transformer manipulation</x:t>
        </x:is>
      </x:c>
      <x:c r="E21" s="4" t="inlineStr">
        <x:is>
          <x:t xml:space="preserve">Logistika i Materijalno Rukovanje</x:t>
        </x:is>
      </x:c>
      <x:c r="F21" s="4" t="inlineStr">
        <x:is>
          <x:t xml:space="preserve">Investiciona_Logistika_01</x:t>
        </x:is>
      </x:c>
      <x:c r="G21" s="4" t="inlineStr">
        <x:is>
          <x:t xml:space="preserve">Assembly</x:t>
        </x:is>
      </x:c>
      <x:c r="H21" s="4" t="inlineStr">
        <x:is>
          <x:t xml:space="preserve">Assembly positioning</x:t>
        </x:is>
      </x:c>
      <x:c r="I21" s="4" t="inlineStr">
        <x:is>
          <x:t xml:space="preserve">Enerpac, Demag</x:t>
        </x:is>
      </x:c>
      <x:c r="J21" s="21" t="n">
        <x:v>4</x:v>
      </x:c>
      <x:c r="K21" s="48" t="n">
        <x:v>180000</x:v>
      </x:c>
      <x:c r="L21" s="49" t="n">
        <x:v>720000</x:v>
      </x:c>
      <x:c r="M21" s="42">
        <x:f>J21*K21</x:f>
        <x:v>720000</x:v>
      </x:c>
      <x:c r="N21" s="50" t="n">
        <x:v>6</x:v>
      </x:c>
      <x:c r="O21" s="4" t="inlineStr">
        <x:is>
          <x:t xml:space="preserve">≥25 t/m²</x:t>
        </x:is>
      </x:c>
      <x:c r="P21" s="50" t="n">
        <x:v>50</x:v>
      </x:c>
      <x:c r="Q21" s="4" t="inlineStr">
        <x:is>
          <x:t xml:space="preserve">Low</x:t>
        </x:is>
      </x:c>
      <x:c r="R21" s="25" t="n">
        <x:v>0.02</x:v>
      </x:c>
      <x:c r="S21" s="42">
        <x:f>M21*R21</x:f>
        <x:v>14400</x:v>
      </x:c>
      <x:c r="T21" s="50" t="n">
        <x:v>20</x:v>
      </x:c>
      <x:c r="U21" s="4" t="inlineStr">
        <x:is>
          <x:t xml:space="preserve">High</x:t>
        </x:is>
      </x:c>
      <x:c r="V21" s="4" t="inlineStr">
        <x:is>
          <x:t xml:space="preserve">Modular platforms sa manipulatorima: €100,000–€250,000 za precizno pozicioniranje.</x:t>
        </x:is>
      </x:c>
    </x:row>
    <x:row r="22" ht="34" customHeight="1">
      <x:c r="A22" s="4" t="inlineStr">
        <x:is>
          <x:t xml:space="preserve">CAPEX_Master</x:t>
        </x:is>
      </x:c>
      <x:c r="B22" s="4" t="inlineStr">
        <x:is>
          <x:t xml:space="preserve">LOG-001</x:t>
        </x:is>
      </x:c>
      <x:c r="C22" s="4" t="inlineStr">
        <x:is>
          <x:t xml:space="preserve">LOG-RACK-001</x:t>
        </x:is>
      </x:c>
      <x:c r="D22" s="4" t="inlineStr">
        <x:is>
          <x:t xml:space="preserve">Material Buffer Racks component storage</x:t>
        </x:is>
      </x:c>
      <x:c r="E22" s="4" t="inlineStr">
        <x:is>
          <x:t xml:space="preserve">Logistika i Materijalno Rukovanje</x:t>
        </x:is>
      </x:c>
      <x:c r="F22" s="4" t="inlineStr">
        <x:is>
          <x:t xml:space="preserve">Investiciona_Logistika_01</x:t>
        </x:is>
      </x:c>
      <x:c r="G22" s="4" t="inlineStr">
        <x:is>
          <x:t xml:space="preserve">Logistics buffers</x:t>
        </x:is>
      </x:c>
      <x:c r="H22" s="4" t="inlineStr">
        <x:is>
          <x:t xml:space="preserve">Temporary storage</x:t>
        </x:is>
      </x:c>
      <x:c r="I22" s="4" t="inlineStr">
        <x:is>
          <x:t xml:space="preserve">Mecalux, SSI Schaefer</x:t>
        </x:is>
      </x:c>
      <x:c r="J22" s="21" t="n">
        <x:v>6</x:v>
      </x:c>
      <x:c r="K22" s="48" t="n">
        <x:v>120000</x:v>
      </x:c>
      <x:c r="L22" s="49" t="n">
        <x:v>720000</x:v>
      </x:c>
      <x:c r="M22" s="42">
        <x:f>J22*K22</x:f>
        <x:v>720000</x:v>
      </x:c>
      <x:c r="N22" s="50" t="n">
        <x:v>2</x:v>
      </x:c>
      <x:c r="O22" s="4" t="inlineStr">
        <x:is>
          <x:t xml:space="preserve">≥10 t/m²</x:t>
        </x:is>
      </x:c>
      <x:c r="P22" s="50" t="n">
        <x:v>120</x:v>
      </x:c>
      <x:c r="Q22" s="4" t="inlineStr">
        <x:is>
          <x:t xml:space="preserve">Low</x:t>
        </x:is>
      </x:c>
      <x:c r="R22" s="25" t="n">
        <x:v>0.01</x:v>
      </x:c>
      <x:c r="S22" s="42">
        <x:f>M22*R22</x:f>
        <x:v>7200</x:v>
      </x:c>
      <x:c r="T22" s="50" t="n">
        <x:v>20</x:v>
      </x:c>
      <x:c r="U22" s="4" t="inlineStr">
        <x:is>
          <x:t xml:space="preserve">Medium</x:t>
        </x:is>
      </x:c>
      <x:c r="V22" s="4" t="inlineStr">
        <x:is>
          <x:t xml:space="preserve">Heavy buffer racks: €80,000–€150,000 po setu.</x:t>
        </x:is>
      </x:c>
    </x:row>
    <x:row r="23" ht="34" customHeight="1">
      <x:c r="A23" s="4" t="inlineStr">
        <x:is>
          <x:t xml:space="preserve">CAPEX_Master</x:t>
        </x:is>
      </x:c>
      <x:c r="B23" s="4" t="inlineStr">
        <x:is>
          <x:t xml:space="preserve">LOG-001</x:t>
        </x:is>
      </x:c>
      <x:c r="C23" s="4" t="inlineStr">
        <x:is>
          <x:t xml:space="preserve">LOG-STORAGE-001</x:t>
        </x:is>
      </x:c>
      <x:c r="D23" s="4" t="inlineStr">
        <x:is>
          <x:t xml:space="preserve">Heavy Steel Storage Systems core &amp; coil storage</x:t>
        </x:is>
      </x:c>
      <x:c r="E23" s="4" t="inlineStr">
        <x:is>
          <x:t xml:space="preserve">Logistika i Materijalno Rukovanje</x:t>
        </x:is>
      </x:c>
      <x:c r="F23" s="4" t="inlineStr">
        <x:is>
          <x:t xml:space="preserve">Investiciona_Logistika_01</x:t>
        </x:is>
      </x:c>
      <x:c r="G23" s="4" t="inlineStr">
        <x:is>
          <x:t xml:space="preserve">Core / Winding</x:t>
        </x:is>
      </x:c>
      <x:c r="H23" s="4" t="inlineStr">
        <x:is>
          <x:t xml:space="preserve">Heavy storage</x:t>
        </x:is>
      </x:c>
      <x:c r="I23" s="4" t="inlineStr">
        <x:is>
          <x:t xml:space="preserve">Mecalux, BITO</x:t>
        </x:is>
      </x:c>
      <x:c r="J23" s="21" t="n">
        <x:v>4</x:v>
      </x:c>
      <x:c r="K23" s="48" t="n">
        <x:v>160000</x:v>
      </x:c>
      <x:c r="L23" s="49" t="n">
        <x:v>640000</x:v>
      </x:c>
      <x:c r="M23" s="42">
        <x:f>J23*K23</x:f>
        <x:v>640000</x:v>
      </x:c>
      <x:c r="N23" s="50" t="n">
        <x:v>2</x:v>
      </x:c>
      <x:c r="O23" s="4" t="inlineStr">
        <x:is>
          <x:t xml:space="preserve">≥15 t/m²</x:t>
        </x:is>
      </x:c>
      <x:c r="P23" s="50" t="n">
        <x:v>100</x:v>
      </x:c>
      <x:c r="Q23" s="4" t="inlineStr">
        <x:is>
          <x:t xml:space="preserve">Low</x:t>
        </x:is>
      </x:c>
      <x:c r="R23" s="25" t="n">
        <x:v>0.01</x:v>
      </x:c>
      <x:c r="S23" s="42">
        <x:f>M23*R23</x:f>
        <x:v>6400</x:v>
      </x:c>
      <x:c r="T23" s="50" t="n">
        <x:v>25</x:v>
      </x:c>
      <x:c r="U23" s="4" t="inlineStr">
        <x:is>
          <x:t xml:space="preserve">High</x:t>
        </x:is>
      </x:c>
      <x:c r="V23" s="4" t="inlineStr">
        <x:is>
          <x:t xml:space="preserve">Teški regali za jezgra/coil-ove: €100,000–€200,000.</x:t>
        </x:is>
      </x:c>
    </x:row>
    <x:row r="24" ht="34" customHeight="1">
      <x:c r="A24" s="4" t="inlineStr">
        <x:is>
          <x:t xml:space="preserve">CAPEX_Master</x:t>
        </x:is>
      </x:c>
      <x:c r="B24" s="4" t="inlineStr">
        <x:is>
          <x:t xml:space="preserve">LOG-001</x:t>
        </x:is>
      </x:c>
      <x:c r="C24" s="4" t="inlineStr">
        <x:is>
          <x:t xml:space="preserve">LOG-SAFETY-001</x:t>
        </x:is>
      </x:c>
      <x:c r="D24" s="4" t="inlineStr">
        <x:is>
          <x:t xml:space="preserve">Industrial Marking Systems safety markings</x:t>
        </x:is>
      </x:c>
      <x:c r="E24" s="4" t="inlineStr">
        <x:is>
          <x:t xml:space="preserve">Logistika i Materijalno Rukovanje</x:t>
        </x:is>
      </x:c>
      <x:c r="F24" s="4" t="inlineStr">
        <x:is>
          <x:t xml:space="preserve">Investiciona_Logistika_01</x:t>
        </x:is>
      </x:c>
      <x:c r="G24" s="4" t="inlineStr">
        <x:is>
          <x:t xml:space="preserve">Entire plant</x:t>
        </x:is>
      </x:c>
      <x:c r="H24" s="4" t="inlineStr">
        <x:is>
          <x:t xml:space="preserve">Safety identification</x:t>
        </x:is>
      </x:c>
      <x:c r="I24" s="4" t="inlineStr">
        <x:is>
          <x:t xml:space="preserve">Brady, 3M</x:t>
        </x:is>
      </x:c>
      <x:c r="J24" s="21" t="n">
        <x:v>2</x:v>
      </x:c>
      <x:c r="K24" s="48" t="n">
        <x:v>30000</x:v>
      </x:c>
      <x:c r="L24" s="49" t="n">
        <x:v>60000</x:v>
      </x:c>
      <x:c r="M24" s="42">
        <x:f>J24*K24</x:f>
        <x:v>60000</x:v>
      </x:c>
      <x:c r="N24" s="50" t="n">
        <x:v>1</x:v>
      </x:c>
      <x:c r="O24" s="4" t="inlineStr">
        <x:is>
          <x:t xml:space="preserve">N/A</x:t>
        </x:is>
      </x:c>
      <x:c r="P24" s="50" t="n">
        <x:v>5</x:v>
      </x:c>
      <x:c r="Q24" s="4" t="inlineStr">
        <x:is>
          <x:t xml:space="preserve">Low</x:t>
        </x:is>
      </x:c>
      <x:c r="R24" s="25" t="n">
        <x:v>0.01</x:v>
      </x:c>
      <x:c r="S24" s="42">
        <x:f>M24*R24</x:f>
        <x:v>600</x:v>
      </x:c>
      <x:c r="T24" s="50" t="n">
        <x:v>10</x:v>
      </x:c>
      <x:c r="U24" s="4" t="inlineStr">
        <x:is>
          <x:t xml:space="preserve">Low</x:t>
        </x:is>
      </x:c>
      <x:c r="V24" s="4" t="inlineStr">
        <x:is>
          <x:t xml:space="preserve">Markiranje podova/puta: niski trošak.</x:t>
        </x:is>
      </x:c>
    </x:row>
    <x:row r="25" ht="34" customHeight="1">
      <x:c r="A25" s="4" t="inlineStr">
        <x:is>
          <x:t xml:space="preserve">CAPEX_Master</x:t>
        </x:is>
      </x:c>
      <x:c r="B25" s="4" t="inlineStr">
        <x:is>
          <x:t xml:space="preserve">LOG-001</x:t>
        </x:is>
      </x:c>
      <x:c r="C25" s="4" t="inlineStr">
        <x:is>
          <x:t xml:space="preserve">LOG-BARRIER-001</x:t>
        </x:is>
      </x:c>
      <x:c r="D25" s="4" t="inlineStr">
        <x:is>
          <x:t xml:space="preserve">Safety Barriers transport protection</x:t>
        </x:is>
      </x:c>
      <x:c r="E25" s="4" t="inlineStr">
        <x:is>
          <x:t xml:space="preserve">Logistika i Materijalno Rukovanje</x:t>
        </x:is>
      </x:c>
      <x:c r="F25" s="4" t="inlineStr">
        <x:is>
          <x:t xml:space="preserve">Investiciona_Logistika_01</x:t>
        </x:is>
      </x:c>
      <x:c r="G25" s="4" t="inlineStr">
        <x:is>
          <x:t xml:space="preserve">Logistics corridors</x:t>
        </x:is>
      </x:c>
      <x:c r="H25" s="4" t="inlineStr">
        <x:is>
          <x:t xml:space="preserve">Personnel safety</x:t>
        </x:is>
      </x:c>
      <x:c r="I25" s="4" t="inlineStr">
        <x:is>
          <x:t xml:space="preserve">Troax, Axelent</x:t>
        </x:is>
      </x:c>
      <x:c r="J25" s="21" t="n">
        <x:v>6</x:v>
      </x:c>
      <x:c r="K25" s="48" t="n">
        <x:v>60000</x:v>
      </x:c>
      <x:c r="L25" s="49" t="n">
        <x:v>360000</x:v>
      </x:c>
      <x:c r="M25" s="42">
        <x:f>J25*K25</x:f>
        <x:v>360000</x:v>
      </x:c>
      <x:c r="N25" s="50" t="n">
        <x:v>0</x:v>
      </x:c>
      <x:c r="O25" s="4" t="inlineStr">
        <x:is>
          <x:t xml:space="preserve">N/A</x:t>
        </x:is>
      </x:c>
      <x:c r="P25" s="50" t="n">
        <x:v>40</x:v>
      </x:c>
      <x:c r="Q25" s="4" t="inlineStr">
        <x:is>
          <x:t xml:space="preserve">Low</x:t>
        </x:is>
      </x:c>
      <x:c r="R25" s="25" t="n">
        <x:v>0.01</x:v>
      </x:c>
      <x:c r="S25" s="42">
        <x:f>M25*R25</x:f>
        <x:v>3600</x:v>
      </x:c>
      <x:c r="T25" s="50" t="n">
        <x:v>20</x:v>
      </x:c>
      <x:c r="U25" s="4" t="inlineStr">
        <x:is>
          <x:t xml:space="preserve">Medium</x:t>
        </x:is>
      </x:c>
      <x:c r="V25" s="4" t="inlineStr">
        <x:is>
          <x:t xml:space="preserve">Zaštitne barijere: standardno.</x:t>
        </x:is>
      </x:c>
    </x:row>
    <x:row r="26" ht="34" customHeight="1">
      <x:c r="A26" s="4" t="inlineStr">
        <x:is>
          <x:t xml:space="preserve">CAPEX_Master</x:t>
        </x:is>
      </x:c>
      <x:c r="B26" s="4" t="inlineStr">
        <x:is>
          <x:t xml:space="preserve">LOG-001</x:t>
        </x:is>
      </x:c>
      <x:c r="C26" s="4" t="inlineStr">
        <x:is>
          <x:t xml:space="preserve">LOG-TRAFFIC-001</x:t>
        </x:is>
      </x:c>
      <x:c r="D26" s="4" t="inlineStr">
        <x:is>
          <x:t xml:space="preserve">Traffic Management System logistics monitoring</x:t>
        </x:is>
      </x:c>
      <x:c r="E26" s="4" t="inlineStr">
        <x:is>
          <x:t xml:space="preserve">Logistika i Materijalno Rukovanje</x:t>
        </x:is>
      </x:c>
      <x:c r="F26" s="4" t="inlineStr">
        <x:is>
          <x:t xml:space="preserve">Investiciona_Logistika_01</x:t>
        </x:is>
      </x:c>
      <x:c r="G26" s="4" t="inlineStr">
        <x:is>
          <x:t xml:space="preserve">Internal logistics</x:t>
        </x:is>
      </x:c>
      <x:c r="H26" s="4" t="inlineStr">
        <x:is>
          <x:t xml:space="preserve">Vehicle flow control</x:t>
        </x:is>
      </x:c>
      <x:c r="I26" s="4" t="inlineStr">
        <x:is>
          <x:t xml:space="preserve">Siemens, Bosch</x:t>
        </x:is>
      </x:c>
      <x:c r="J26" s="21" t="n">
        <x:v>1</x:v>
      </x:c>
      <x:c r="K26" s="48" t="n">
        <x:v>80000</x:v>
      </x:c>
      <x:c r="L26" s="49" t="n">
        <x:v>80000</x:v>
      </x:c>
      <x:c r="M26" s="42">
        <x:f>J26*K26</x:f>
        <x:v>80000</x:v>
      </x:c>
      <x:c r="N26" s="50" t="n">
        <x:v>5</x:v>
      </x:c>
      <x:c r="O26" s="4" t="inlineStr">
        <x:is>
          <x:t xml:space="preserve">N/A</x:t>
        </x:is>
      </x:c>
      <x:c r="P26" s="50" t="n">
        <x:v>10</x:v>
      </x:c>
      <x:c r="Q26" s="4" t="inlineStr">
        <x:is>
          <x:t xml:space="preserve">High</x:t>
        </x:is>
      </x:c>
      <x:c r="R26" s="25" t="n">
        <x:v>0.03</x:v>
      </x:c>
      <x:c r="S26" s="42">
        <x:f>M26*R26</x:f>
        <x:v>2400</x:v>
      </x:c>
      <x:c r="T26" s="50" t="n">
        <x:v>10</x:v>
      </x:c>
      <x:c r="U26" s="4" t="inlineStr">
        <x:is>
          <x:t xml:space="preserve">Medium</x:t>
        </x:is>
      </x:c>
      <x:c r="V26" s="4" t="inlineStr">
        <x:is>
          <x:t xml:space="preserve">Saobraćajni monitoring: realno.</x:t>
        </x:is>
      </x:c>
    </x:row>
    <x:row r="27" ht="34" customHeight="1">
      <x:c r="A27" s="4" t="inlineStr">
        <x:is>
          <x:t xml:space="preserve">CAPEX_Master</x:t>
        </x:is>
      </x:c>
      <x:c r="B27" s="4" t="inlineStr">
        <x:is>
          <x:t xml:space="preserve">LOG-001</x:t>
        </x:is>
      </x:c>
      <x:c r="C27" s="4" t="inlineStr">
        <x:is>
          <x:t xml:space="preserve">LOG-IOT-001</x:t>
        </x:is>
      </x:c>
      <x:c r="D27" s="4" t="inlineStr">
        <x:is>
          <x:t xml:space="preserve">Industrial IoT Sensors asset monitoring</x:t>
        </x:is>
      </x:c>
      <x:c r="E27" s="4" t="inlineStr">
        <x:is>
          <x:t xml:space="preserve">Logistika i Materijalno Rukovanje</x:t>
        </x:is>
      </x:c>
      <x:c r="F27" s="4" t="inlineStr">
        <x:is>
          <x:t xml:space="preserve">Investiciona_Logistika_01</x:t>
        </x:is>
      </x:c>
      <x:c r="G27" s="4" t="inlineStr">
        <x:is>
          <x:t xml:space="preserve">Whole factory</x:t>
        </x:is>
      </x:c>
      <x:c r="H27" s="4" t="inlineStr">
        <x:is>
          <x:t xml:space="preserve">Real-time tracking</x:t>
        </x:is>
      </x:c>
      <x:c r="I27" s="4" t="inlineStr">
        <x:is>
          <x:t xml:space="preserve">Siemens, Schneider</x:t>
        </x:is>
      </x:c>
      <x:c r="J27" s="21" t="n">
        <x:v>1</x:v>
      </x:c>
      <x:c r="K27" s="48" t="n">
        <x:v>70000</x:v>
      </x:c>
      <x:c r="L27" s="49" t="n">
        <x:v>70000</x:v>
      </x:c>
      <x:c r="M27" s="42">
        <x:f>J27*K27</x:f>
        <x:v>70000</x:v>
      </x:c>
      <x:c r="N27" s="50" t="n">
        <x:v>3</x:v>
      </x:c>
      <x:c r="O27" s="4" t="inlineStr">
        <x:is>
          <x:t xml:space="preserve">N/A</x:t>
        </x:is>
      </x:c>
      <x:c r="P27" s="50" t="n">
        <x:v>5</x:v>
      </x:c>
      <x:c r="Q27" s="4" t="inlineStr">
        <x:is>
          <x:t xml:space="preserve">High</x:t>
        </x:is>
      </x:c>
      <x:c r="R27" s="25" t="n">
        <x:v>0.02</x:v>
      </x:c>
      <x:c r="S27" s="42">
        <x:f>M27*R27</x:f>
        <x:v>1400</x:v>
      </x:c>
      <x:c r="T27" s="50" t="n">
        <x:v>10</x:v>
      </x:c>
      <x:c r="U27" s="4" t="inlineStr">
        <x:is>
          <x:t xml:space="preserve">Medium</x:t>
        </x:is>
      </x:c>
      <x:c r="V27" s="4" t="inlineStr">
        <x:is>
          <x:t xml:space="preserve">IoT za tracking: podržava Industry 4.0.</x:t>
        </x:is>
      </x:c>
    </x:row>
    <x:row r="28" ht="34" customHeight="1">
      <x:c r="A28" s="4" t="inlineStr">
        <x:is>
          <x:t xml:space="preserve">CAPEX_Master</x:t>
        </x:is>
      </x:c>
      <x:c r="B28" s="4" t="inlineStr">
        <x:is>
          <x:t xml:space="preserve">LOG-001</x:t>
        </x:is>
      </x:c>
      <x:c r="C28" s="4" t="inlineStr">
        <x:is>
          <x:t xml:space="preserve">LOG-WMS-001</x:t>
        </x:is>
      </x:c>
      <x:c r="D28" s="4" t="inlineStr">
        <x:is>
          <x:t xml:space="preserve">Warehouse Management System logistics software</x:t>
        </x:is>
      </x:c>
      <x:c r="E28" s="4" t="inlineStr">
        <x:is>
          <x:t xml:space="preserve">Logistika i Materijalno Rukovanje</x:t>
        </x:is>
      </x:c>
      <x:c r="F28" s="4" t="inlineStr">
        <x:is>
          <x:t xml:space="preserve">Investiciona_Logistika_01</x:t>
        </x:is>
      </x:c>
      <x:c r="G28" s="4" t="inlineStr">
        <x:is>
          <x:t xml:space="preserve">Warehouse</x:t>
        </x:is>
      </x:c>
      <x:c r="H28" s="4" t="inlineStr">
        <x:is>
          <x:t xml:space="preserve">Inventory management</x:t>
        </x:is>
      </x:c>
      <x:c r="I28" s="4" t="inlineStr">
        <x:is>
          <x:t xml:space="preserve">SAP, Oracle</x:t>
        </x:is>
      </x:c>
      <x:c r="J28" s="21" t="n">
        <x:v>1</x:v>
      </x:c>
      <x:c r="K28" s="48" t="n">
        <x:v>160000</x:v>
      </x:c>
      <x:c r="L28" s="49" t="n">
        <x:v>160000</x:v>
      </x:c>
      <x:c r="M28" s="42">
        <x:f>J28*K28</x:f>
        <x:v>160000</x:v>
      </x:c>
      <x:c r="N28" s="50" t="n">
        <x:v>5</x:v>
      </x:c>
      <x:c r="O28" s="4" t="inlineStr">
        <x:is>
          <x:t xml:space="preserve">N/A</x:t>
        </x:is>
      </x:c>
      <x:c r="P28" s="50" t="n">
        <x:v>10</x:v>
      </x:c>
      <x:c r="Q28" s="4" t="inlineStr">
        <x:is>
          <x:t xml:space="preserve">High</x:t>
        </x:is>
      </x:c>
      <x:c r="R28" s="25" t="n">
        <x:v>0.05</x:v>
      </x:c>
      <x:c r="S28" s="42">
        <x:f>M28*R28</x:f>
        <x:v>8000</x:v>
      </x:c>
      <x:c r="T28" s="50" t="n">
        <x:v>10</x:v>
      </x:c>
      <x:c r="U28" s="4" t="inlineStr">
        <x:is>
          <x:t xml:space="preserve">High</x:t>
        </x:is>
      </x:c>
      <x:c r="V28" s="4" t="inlineStr">
        <x:is>
          <x:t xml:space="preserve">WMS integracija: €100k–€200k tipično; godišnje održavanje.</x:t>
        </x:is>
      </x:c>
    </x:row>
    <x:row r="29" ht="34" customHeight="1">
      <x:c r="A29" s="4" t="inlineStr">
        <x:is>
          <x:t xml:space="preserve">CAPEX_Master</x:t>
        </x:is>
      </x:c>
      <x:c r="B29" s="4" t="inlineStr">
        <x:is>
          <x:t xml:space="preserve">LOG-001</x:t>
        </x:is>
      </x:c>
      <x:c r="C29" s="4" t="inlineStr">
        <x:is>
          <x:t xml:space="preserve">LOG-LIGHT-001</x:t>
        </x:is>
      </x:c>
      <x:c r="D29" s="4" t="inlineStr">
        <x:is>
          <x:t xml:space="preserve">Industrial Lighting ≥500 lux</x:t>
        </x:is>
      </x:c>
      <x:c r="E29" s="4" t="inlineStr">
        <x:is>
          <x:t xml:space="preserve">Logistika i Materijalno Rukovanje</x:t>
        </x:is>
      </x:c>
      <x:c r="F29" s="4" t="inlineStr">
        <x:is>
          <x:t xml:space="preserve">Investiciona_Logistika_01</x:t>
        </x:is>
      </x:c>
      <x:c r="G29" s="4" t="inlineStr">
        <x:is>
          <x:t xml:space="preserve">Entire plant</x:t>
        </x:is>
      </x:c>
      <x:c r="H29" s="4" t="inlineStr">
        <x:is>
          <x:t xml:space="preserve">Factory lighting</x:t>
        </x:is>
      </x:c>
      <x:c r="I29" s="4" t="inlineStr">
        <x:is>
          <x:t xml:space="preserve">Philips, Osram</x:t>
        </x:is>
      </x:c>
      <x:c r="J29" s="21" t="n">
        <x:v>1</x:v>
      </x:c>
      <x:c r="K29" s="48" t="n">
        <x:v>40000</x:v>
      </x:c>
      <x:c r="L29" s="49" t="n">
        <x:v>40000</x:v>
      </x:c>
      <x:c r="M29" s="42">
        <x:f>J29*K29</x:f>
        <x:v>40000</x:v>
      </x:c>
      <x:c r="N29" s="50" t="n">
        <x:v>40</x:v>
      </x:c>
      <x:c r="O29" s="4" t="inlineStr">
        <x:is>
          <x:t xml:space="preserve">N/A</x:t>
        </x:is>
      </x:c>
      <x:c r="P29" s="50" t="n">
        <x:v>0</x:v>
      </x:c>
      <x:c r="Q29" s="4" t="inlineStr">
        <x:is>
          <x:t xml:space="preserve">Low</x:t>
        </x:is>
      </x:c>
      <x:c r="R29" s="25" t="n">
        <x:v>0.01</x:v>
      </x:c>
      <x:c r="S29" s="42">
        <x:f>M29*R29</x:f>
        <x:v>400</x:v>
      </x:c>
      <x:c r="T29" s="50" t="n">
        <x:v>15</x:v>
      </x:c>
      <x:c r="U29" s="4" t="inlineStr">
        <x:is>
          <x:t xml:space="preserve">Low</x:t>
        </x:is>
      </x:c>
      <x:c r="V29" s="4" t="inlineStr">
        <x:is>
          <x:t xml:space="preserve">Rasvjeta za celu halu: niski trošak; LED za uštedu energije.</x:t>
        </x:is>
      </x:c>
    </x:row>
    <x:row r="30" ht="34" customHeight="1">
      <x:c r="A30" s="4" t="inlineStr">
        <x:is>
          <x:t xml:space="preserve">CAPEX_Master</x:t>
        </x:is>
      </x:c>
      <x:c r="B30" s="4" t="inlineStr">
        <x:is>
          <x:t xml:space="preserve">LOG-001</x:t>
        </x:is>
      </x:c>
      <x:c r="C30" s="4" t="inlineStr">
        <x:is>
          <x:t xml:space="preserve">LOG-FLOOR-001</x:t>
        </x:is>
      </x:c>
      <x:c r="D30" s="4" t="inlineStr">
        <x:is>
          <x:t xml:space="preserve">Reinforced Industrial Floor ≥30 t/m²</x:t>
        </x:is>
      </x:c>
      <x:c r="E30" s="4" t="inlineStr">
        <x:is>
          <x:t xml:space="preserve">Logistika i Materijalno Rukovanje</x:t>
        </x:is>
      </x:c>
      <x:c r="F30" s="4" t="inlineStr">
        <x:is>
          <x:t xml:space="preserve">Investiciona_Logistika_01</x:t>
        </x:is>
      </x:c>
      <x:c r="G30" s="4" t="inlineStr">
        <x:is>
          <x:t xml:space="preserve">Assembly / Testing</x:t>
        </x:is>
      </x:c>
      <x:c r="H30" s="4" t="inlineStr">
        <x:is>
          <x:t xml:space="preserve">Support heavy loads</x:t>
        </x:is>
      </x:c>
      <x:c r="I30" s="4" t="inlineStr">
        <x:is>
          <x:t xml:space="preserve">Holcim, Lafarge</x:t>
        </x:is>
      </x:c>
      <x:c r="J30" s="21" t="n">
        <x:v>1</x:v>
      </x:c>
      <x:c r="K30" s="48" t="n">
        <x:v>420000</x:v>
      </x:c>
      <x:c r="L30" s="49" t="n">
        <x:v>420000</x:v>
      </x:c>
      <x:c r="M30" s="42">
        <x:f>J30*K30</x:f>
        <x:v>420000</x:v>
      </x:c>
      <x:c r="N30" s="50" t="n">
        <x:v>0</x:v>
      </x:c>
      <x:c r="O30" s="4" t="inlineStr">
        <x:is>
          <x:t xml:space="preserve">≥30 t/m²</x:t>
        </x:is>
      </x:c>
      <x:c r="P30" s="50" t="n">
        <x:v>0</x:v>
      </x:c>
      <x:c r="Q30" s="4" t="inlineStr">
        <x:is>
          <x:t xml:space="preserve">N/A</x:t>
        </x:is>
      </x:c>
      <x:c r="R30" s="25" t="n">
        <x:v>0.005</x:v>
      </x:c>
      <x:c r="S30" s="42">
        <x:f>M30*R30</x:f>
        <x:v>2100</x:v>
      </x:c>
      <x:c r="T30" s="50" t="n">
        <x:v>40</x:v>
      </x:c>
      <x:c r="U30" s="4" t="inlineStr">
        <x:is>
          <x:t xml:space="preserve">Critical</x:t>
        </x:is>
      </x:c>
      <x:c r="V30" s="4" t="inlineStr">
        <x:is>
          <x:t xml:space="preserve">Ojačani pod za ≥30 t/m²: ~€150–€400+/m² u specijalnim zonama; €420k za 1,000–2,500 m² ključnih zona.</x:t>
        </x:is>
      </x:c>
    </x:row>
    <x:row r="31" ht="34" customHeight="1">
      <x:c r="A31" s="4" t="inlineStr">
        <x:is>
          <x:t xml:space="preserve">CAPEX_Master</x:t>
        </x:is>
      </x:c>
      <x:c r="B31" s="4" t="inlineStr">
        <x:is>
          <x:t xml:space="preserve">LOG-001</x:t>
        </x:is>
      </x:c>
      <x:c r="C31" s="4" t="inlineStr">
        <x:is>
          <x:t xml:space="preserve">LOG-CCTV-001</x:t>
        </x:is>
      </x:c>
      <x:c r="D31" s="4" t="inlineStr">
        <x:is>
          <x:t xml:space="preserve">Safety Monitoring Cameras video surveillance</x:t>
        </x:is>
      </x:c>
      <x:c r="E31" s="4" t="inlineStr">
        <x:is>
          <x:t xml:space="preserve">Logistika i Materijalno Rukovanje</x:t>
        </x:is>
      </x:c>
      <x:c r="F31" s="4" t="inlineStr">
        <x:is>
          <x:t xml:space="preserve">Investiciona_Logistika_01</x:t>
        </x:is>
      </x:c>
      <x:c r="G31" s="4" t="inlineStr">
        <x:is>
          <x:t xml:space="preserve">Entire plant</x:t>
        </x:is>
      </x:c>
      <x:c r="H31" s="4" t="inlineStr">
        <x:is>
          <x:t xml:space="preserve">Security monitoring</x:t>
        </x:is>
      </x:c>
      <x:c r="I31" s="4" t="inlineStr">
        <x:is>
          <x:t xml:space="preserve">Bosch, Axis</x:t>
        </x:is>
      </x:c>
      <x:c r="J31" s="21" t="n">
        <x:v>1</x:v>
      </x:c>
      <x:c r="K31" s="48" t="n">
        <x:v>50000</x:v>
      </x:c>
      <x:c r="L31" s="49" t="n">
        <x:v>50000</x:v>
      </x:c>
      <x:c r="M31" s="42">
        <x:f>J31*K31</x:f>
        <x:v>50000</x:v>
      </x:c>
      <x:c r="N31" s="50" t="n">
        <x:v>3</x:v>
      </x:c>
      <x:c r="O31" s="4" t="inlineStr">
        <x:is>
          <x:t xml:space="preserve">N/A</x:t>
        </x:is>
      </x:c>
      <x:c r="P31" s="50" t="n">
        <x:v>10</x:v>
      </x:c>
      <x:c r="Q31" s="4" t="inlineStr">
        <x:is>
          <x:t xml:space="preserve">Medium</x:t>
        </x:is>
      </x:c>
      <x:c r="R31" s="25" t="n">
        <x:v>0.02</x:v>
      </x:c>
      <x:c r="S31" s="42">
        <x:f>M31*R31</x:f>
        <x:v>1000</x:v>
      </x:c>
      <x:c r="T31" s="50" t="n">
        <x:v>10</x:v>
      </x:c>
      <x:c r="U31" s="4" t="inlineStr">
        <x:is>
          <x:t xml:space="preserve">Low</x:t>
        </x:is>
      </x:c>
      <x:c r="V31" s="4" t="inlineStr">
        <x:is>
          <x:t xml:space="preserve">CCTV sistem: standardno.</x:t>
        </x:is>
      </x:c>
    </x:row>
    <x:row r="32" ht="34" customHeight="1">
      <x:c r="A32" s="4" t="inlineStr">
        <x:is>
          <x:t xml:space="preserve">CAPEX_Master</x:t>
        </x:is>
      </x:c>
      <x:c r="B32" s="4" t="inlineStr">
        <x:is>
          <x:t xml:space="preserve">LOG-001</x:t>
        </x:is>
      </x:c>
      <x:c r="C32" s="4" t="inlineStr">
        <x:is>
          <x:t xml:space="preserve">LOG-CHARG-001</x:t>
        </x:is>
      </x:c>
      <x:c r="D32" s="4" t="inlineStr">
        <x:is>
          <x:t xml:space="preserve">Industrial Charging Stations battery charging</x:t>
        </x:is>
      </x:c>
      <x:c r="E32" s="4" t="inlineStr">
        <x:is>
          <x:t xml:space="preserve">Logistika i Materijalno Rukovanje</x:t>
        </x:is>
      </x:c>
      <x:c r="F32" s="4" t="inlineStr">
        <x:is>
          <x:t xml:space="preserve">Investiciona_Logistika_01</x:t>
        </x:is>
      </x:c>
      <x:c r="G32" s="4" t="inlineStr">
        <x:is>
          <x:t xml:space="preserve">Logistics</x:t>
        </x:is>
      </x:c>
      <x:c r="H32" s="4" t="inlineStr">
        <x:is>
          <x:t xml:space="preserve">Charging AGV/forklifts</x:t>
        </x:is>
      </x:c>
      <x:c r="I32" s="4" t="inlineStr">
        <x:is>
          <x:t xml:space="preserve">ABB, Siemens</x:t>
        </x:is>
      </x:c>
      <x:c r="J32" s="21" t="n">
        <x:v>2</x:v>
      </x:c>
      <x:c r="K32" s="48" t="n">
        <x:v>80000</x:v>
      </x:c>
      <x:c r="L32" s="49" t="n">
        <x:v>160000</x:v>
      </x:c>
      <x:c r="M32" s="42">
        <x:f>J32*K32</x:f>
        <x:v>160000</x:v>
      </x:c>
      <x:c r="N32" s="50" t="n">
        <x:v>50</x:v>
      </x:c>
      <x:c r="O32" s="4" t="inlineStr">
        <x:is>
          <x:t xml:space="preserve">≥10 t/m²</x:t>
        </x:is>
      </x:c>
      <x:c r="P32" s="50" t="n">
        <x:v>20</x:v>
      </x:c>
      <x:c r="Q32" s="4" t="inlineStr">
        <x:is>
          <x:t xml:space="preserve">Medium</x:t>
        </x:is>
      </x:c>
      <x:c r="R32" s="25" t="n">
        <x:v>0.02</x:v>
      </x:c>
      <x:c r="S32" s="42">
        <x:f>M32*R32</x:f>
        <x:v>3200</x:v>
      </x:c>
      <x:c r="T32" s="50" t="n">
        <x:v>12</x:v>
      </x:c>
      <x:c r="U32" s="4" t="inlineStr">
        <x:is>
          <x:t xml:space="preserve">Medium</x:t>
        </x:is>
      </x:c>
      <x:c r="V32" s="4" t="inlineStr">
        <x:is>
          <x:t xml:space="preserve">Punjačke stanice: realno za flotu; vezano za elektro infrastrukturu.</x:t>
        </x:is>
      </x:c>
    </x:row>
    <x:row r="33" ht="34" customHeight="1">
      <x:c r="A33" s="4" t="inlineStr">
        <x:is>
          <x:t xml:space="preserve">CAPEX_Master</x:t>
        </x:is>
      </x:c>
      <x:c r="B33" s="4" t="inlineStr">
        <x:is>
          <x:t xml:space="preserve">LOG-001</x:t>
        </x:is>
      </x:c>
      <x:c r="C33" s="4" t="inlineStr">
        <x:is>
          <x:t xml:space="preserve">LOG-ESTOP-001</x:t>
        </x:is>
      </x:c>
      <x:c r="D33" s="4" t="inlineStr">
        <x:is>
          <x:t xml:space="preserve">Emergency Stop Systems safety systems</x:t>
        </x:is>
      </x:c>
      <x:c r="E33" s="4" t="inlineStr">
        <x:is>
          <x:t xml:space="preserve">Logistika i Materijalno Rukovanje</x:t>
        </x:is>
      </x:c>
      <x:c r="F33" s="4" t="inlineStr">
        <x:is>
          <x:t xml:space="preserve">Investiciona_Logistika_01</x:t>
        </x:is>
      </x:c>
      <x:c r="G33" s="4" t="inlineStr">
        <x:is>
          <x:t xml:space="preserve">All production zones</x:t>
        </x:is>
      </x:c>
      <x:c r="H33" s="4" t="inlineStr">
        <x:is>
          <x:t xml:space="preserve">Emergency shutdown</x:t>
        </x:is>
      </x:c>
      <x:c r="I33" s="4" t="inlineStr">
        <x:is>
          <x:t xml:space="preserve">Siemens, ABB</x:t>
        </x:is>
      </x:c>
      <x:c r="J33" s="21" t="n">
        <x:v>1</x:v>
      </x:c>
      <x:c r="K33" s="48" t="n">
        <x:v>25000</x:v>
      </x:c>
      <x:c r="L33" s="49" t="n">
        <x:v>25000</x:v>
      </x:c>
      <x:c r="M33" s="42">
        <x:f>J33*K33</x:f>
        <x:v>25000</x:v>
      </x:c>
      <x:c r="N33" s="50" t="n">
        <x:v>2</x:v>
      </x:c>
      <x:c r="O33" s="4" t="inlineStr">
        <x:is>
          <x:t xml:space="preserve">N/A</x:t>
        </x:is>
      </x:c>
      <x:c r="P33" s="50" t="n">
        <x:v>5</x:v>
      </x:c>
      <x:c r="Q33" s="4" t="inlineStr">
        <x:is>
          <x:t xml:space="preserve">High</x:t>
        </x:is>
      </x:c>
      <x:c r="R33" s="25" t="n">
        <x:v>0.02</x:v>
      </x:c>
      <x:c r="S33" s="42">
        <x:f>M33*R33</x:f>
        <x:v>500</x:v>
      </x:c>
      <x:c r="T33" s="50" t="n">
        <x:v>15</x:v>
      </x:c>
      <x:c r="U33" s="4" t="inlineStr">
        <x:is>
          <x:t xml:space="preserve">Critical</x:t>
        </x:is>
      </x:c>
      <x:c r="V33" s="4" t="inlineStr">
        <x:is>
          <x:t xml:space="preserve">E-stop mreža: esencijalna sigurnost.</x:t>
        </x:is>
      </x:c>
    </x:row>
  </x:sheetData>
  <x:mergeCells>
    <x:mergeCell ref="A10:V10"/>
    <x:mergeCell ref="B5:D5"/>
    <x:mergeCell ref="B3:D3"/>
    <x:mergeCell ref="A1:V1"/>
    <x:mergeCell ref="B8:D8"/>
    <x:mergeCell ref="B4:D4"/>
    <x:mergeCell ref="B9:D9"/>
    <x:mergeCell ref="B7:D7"/>
    <x:mergeCell ref="B6:D6"/>
  </x:mergeCells>
  <x:conditionalFormatting sqref="M12:M33">
    <x:cfRule type="expression" dxfId="0" priority="1">
      <x:formula>ABS(M12-L12)&gt;0.01</x:formula>
    </x:cfRule>
  </x:conditionalFormatting>
  <x:pageMargins left="0.7" right="0.7" top="0.75" bottom="0.75" header="0.3" footer="0.3"/>
  <x:legacyDrawing xmlns:r="http://schemas.openxmlformats.org/officeDocument/2006/relationships" r:id="R43b7cb3caec2445a"/>
  <x:tableParts count="1">
    <x:tablePart xmlns:r="http://schemas.openxmlformats.org/officeDocument/2006/relationships" r:id="R6539bd0d9d5e4b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0" customWidth="1"/>
    <x:col min="3" max="3" width="16" customWidth="1"/>
    <x:col min="4" max="4" width="18" customWidth="1"/>
    <x:col min="5" max="5" width="12" customWidth="1"/>
    <x:col min="6" max="6" width="22" customWidth="1"/>
    <x:col min="7" max="7" width="18" customWidth="1"/>
    <x:col min="8" max="8" width="16" customWidth="1"/>
    <x:col min="9" max="9" width="22" customWidth="1"/>
  </x:cols>
  <x:sheetData>
    <x:row r="1" ht="24" customHeight="1">
      <x:c r="A1" s="1" t="inlineStr">
        <x:is>
          <x:t xml:space="preserve">Dynamic Zone Summary | Canonical</x:t>
        </x:is>
      </x:c>
    </x:row>
    <x:row r="3" ht="20" customHeight="1">
      <x:c r="A3" s="26" t="inlineStr">
        <x:is>
          <x:t xml:space="preserve">Zone</x:t>
        </x:is>
      </x:c>
      <x:c r="B3" s="26" t="inlineStr">
        <x:is>
          <x:t xml:space="preserve">Item Count</x:t>
        </x:is>
      </x:c>
      <x:c r="C3" s="26" t="inlineStr">
        <x:is>
          <x:t xml:space="preserve">CAPEX (EUR)</x:t>
        </x:is>
      </x:c>
      <x:c r="D3" s="26" t="inlineStr">
        <x:is>
          <x:t xml:space="preserve">Connected Load (kW)</x:t>
        </x:is>
      </x:c>
      <x:c r="E3" s="26" t="inlineStr">
        <x:is>
          <x:t xml:space="preserve">Share of Total</x:t>
        </x:is>
      </x:c>
      <x:c r="F3" s="26" t="inlineStr">
        <x:is>
          <x:t xml:space="preserve">Included in User Zone Summary</x:t>
        </x:is>
      </x:c>
      <x:c r="G3" s="26" t="inlineStr">
        <x:is>
          <x:t xml:space="preserve">User Zone CAPEX (EUR)</x:t>
        </x:is>
      </x:c>
      <x:c r="H3" s="26" t="inlineStr">
        <x:is>
          <x:t xml:space="preserve">Delta vs User (EUR)</x:t>
        </x:is>
      </x:c>
      <x:c r="I3" s="26" t="inlineStr">
        <x:is>
          <x:t xml:space="preserve">Status</x:t>
        </x:is>
      </x:c>
    </x:row>
    <x:row r="4">
      <x:c r="A4" s="10" t="inlineStr">
        <x:is>
          <x:t xml:space="preserve">Assembly / Testing</x:t>
        </x:is>
      </x:c>
      <x:c r="B4" s="10">
        <x:f>COUNTIF(LOG_Working!$G$12:$G$33,A4)</x:f>
        <x:v>2</x:v>
      </x:c>
      <x:c r="C4" s="49">
        <x:f>SUMIF(LOG_Working!$G$12:$G$33,A4,LOG_Working!$M$12:$M$33)</x:f>
        <x:v>3820000</x:v>
      </x:c>
      <x:c r="D4" s="51">
        <x:f>SUMIF(LOG_Working!$G$12:$G$33,A4,LOG_Working!$N$12:$N$33)</x:f>
        <x:v>60</x:v>
      </x:c>
      <x:c r="E4" s="28">
        <x:f>C4/LOG_Working!$B$7</x:f>
        <x:v>0.24732923276141147</x:v>
      </x:c>
      <x:c r="F4" s="10" t="inlineStr">
        <x:is>
          <x:t xml:space="preserve">Yes</x:t>
        </x:is>
      </x:c>
      <x:c r="G4" s="49" t="n">
        <x:v>3820000</x:v>
      </x:c>
      <x:c r="H4" s="49">
        <x:f>C4-G4</x:f>
        <x:v>0</x:v>
      </x:c>
      <x:c r="I4" s="10" t="str">
        <x:f>IF(F4="No","Missing in user summary",IF(ABS(H4)&lt;0.01,"OK","Check delta"))</x:f>
        <x:v>OK</x:v>
      </x:c>
    </x:row>
    <x:row r="5">
      <x:c r="A5" s="10" t="inlineStr">
        <x:is>
          <x:t xml:space="preserve">Core / Winding</x:t>
        </x:is>
      </x:c>
      <x:c r="B5" s="10">
        <x:f>COUNTIF(LOG_Working!$G$12:$G$33,A5)</x:f>
        <x:v>2</x:v>
      </x:c>
      <x:c r="C5" s="49">
        <x:f>SUMIF(LOG_Working!$G$12:$G$33,A5,LOG_Working!$M$12:$M$33)</x:f>
        <x:v>3160000</x:v>
      </x:c>
      <x:c r="D5" s="51">
        <x:f>SUMIF(LOG_Working!$G$12:$G$33,A5,LOG_Working!$N$12:$N$33)</x:f>
        <x:v>42</x:v>
      </x:c>
      <x:c r="E5" s="28">
        <x:f>C5/LOG_Working!$B$7</x:f>
        <x:v>0.20459695694399482</x:v>
      </x:c>
      <x:c r="F5" s="10" t="inlineStr">
        <x:is>
          <x:t xml:space="preserve">Yes</x:t>
        </x:is>
      </x:c>
      <x:c r="G5" s="49" t="n">
        <x:v>3160000</x:v>
      </x:c>
      <x:c r="H5" s="49">
        <x:f>C5-G5</x:f>
        <x:v>0</x:v>
      </x:c>
      <x:c r="I5" s="10" t="str">
        <x:f>IF(F5="No","Missing in user summary",IF(ABS(H5)&lt;0.01,"OK","Check delta"))</x:f>
        <x:v>OK</x:v>
      </x:c>
    </x:row>
    <x:row r="6">
      <x:c r="A6" s="10" t="inlineStr">
        <x:is>
          <x:t xml:space="preserve">Assembly</x:t>
        </x:is>
      </x:c>
      <x:c r="B6" s="10">
        <x:f>COUNTIF(LOG_Working!$G$12:$G$33,A6)</x:f>
        <x:v>3</x:v>
      </x:c>
      <x:c r="C6" s="49">
        <x:f>SUMIF(LOG_Working!$G$12:$G$33,A6,LOG_Working!$M$12:$M$33)</x:f>
        <x:v>2780000</x:v>
      </x:c>
      <x:c r="D6" s="51">
        <x:f>SUMIF(LOG_Working!$G$12:$G$33,A6,LOG_Working!$N$12:$N$33)</x:f>
        <x:v>44</x:v>
      </x:c>
      <x:c r="E6" s="28">
        <x:f>C6/LOG_Working!$B$7</x:f>
        <x:v>0.17999352541275493</x:v>
      </x:c>
      <x:c r="F6" s="10" t="inlineStr">
        <x:is>
          <x:t xml:space="preserve">Yes</x:t>
        </x:is>
      </x:c>
      <x:c r="G6" s="49" t="n">
        <x:v>2780000</x:v>
      </x:c>
      <x:c r="H6" s="49">
        <x:f>C6-G6</x:f>
        <x:v>0</x:v>
      </x:c>
      <x:c r="I6" s="10" t="str">
        <x:f>IF(F6="No","Missing in user summary",IF(ABS(H6)&lt;0.01,"OK","Check delta"))</x:f>
        <x:v>OK</x:v>
      </x:c>
    </x:row>
    <x:row r="7">
      <x:c r="A7" s="10" t="inlineStr">
        <x:is>
          <x:t xml:space="preserve">Internal logistics</x:t>
        </x:is>
      </x:c>
      <x:c r="B7" s="10">
        <x:f>COUNTIF(LOG_Working!$G$12:$G$33,A7)</x:f>
        <x:v>2</x:v>
      </x:c>
      <x:c r="C7" s="49">
        <x:f>SUMIF(LOG_Working!$G$12:$G$33,A7,LOG_Working!$M$12:$M$33)</x:f>
        <x:v>740000</x:v>
      </x:c>
      <x:c r="D7" s="51">
        <x:f>SUMIF(LOG_Working!$G$12:$G$33,A7,LOG_Working!$N$12:$N$33)</x:f>
        <x:v>20</x:v>
      </x:c>
      <x:c r="E7" s="28">
        <x:f>C7/LOG_Working!$B$7</x:f>
        <x:v>0.04791194561346714</x:v>
      </x:c>
      <x:c r="F7" s="10" t="inlineStr">
        <x:is>
          <x:t xml:space="preserve">Yes</x:t>
        </x:is>
      </x:c>
      <x:c r="G7" s="49" t="n">
        <x:v>740000</x:v>
      </x:c>
      <x:c r="H7" s="49">
        <x:f>C7-G7</x:f>
        <x:v>0</x:v>
      </x:c>
      <x:c r="I7" s="10" t="str">
        <x:f>IF(F7="No","Missing in user summary",IF(ABS(H7)&lt;0.01,"OK","Check delta"))</x:f>
        <x:v>OK</x:v>
      </x:c>
    </x:row>
    <x:row r="8">
      <x:c r="A8" s="10" t="inlineStr">
        <x:is>
          <x:t xml:space="preserve">Whole factory</x:t>
        </x:is>
      </x:c>
      <x:c r="B8" s="10">
        <x:f>COUNTIF(LOG_Working!$G$12:$G$33,A8)</x:f>
        <x:v>2</x:v>
      </x:c>
      <x:c r="C8" s="49">
        <x:f>SUMIF(LOG_Working!$G$12:$G$33,A8,LOG_Working!$M$12:$M$33)</x:f>
        <x:v>1750000</x:v>
      </x:c>
      <x:c r="D8" s="51">
        <x:f>SUMIF(LOG_Working!$G$12:$G$33,A8,LOG_Working!$N$12:$N$33)</x:f>
        <x:v>13</x:v>
      </x:c>
      <x:c r="E8" s="28">
        <x:f>C8/LOG_Working!$B$7</x:f>
        <x:v>0.11330527678860472</x:v>
      </x:c>
      <x:c r="F8" s="10" t="inlineStr">
        <x:is>
          <x:t xml:space="preserve">Yes</x:t>
        </x:is>
      </x:c>
      <x:c r="G8" s="49" t="n">
        <x:v>1750000</x:v>
      </x:c>
      <x:c r="H8" s="49">
        <x:f>C8-G8</x:f>
        <x:v>0</x:v>
      </x:c>
      <x:c r="I8" s="10" t="str">
        <x:f>IF(F8="No","Missing in user summary",IF(ABS(H8)&lt;0.01,"OK","Check delta"))</x:f>
        <x:v>OK</x:v>
      </x:c>
    </x:row>
    <x:row r="9">
      <x:c r="A9" s="10" t="inlineStr">
        <x:is>
          <x:t xml:space="preserve">Warehouse</x:t>
        </x:is>
      </x:c>
      <x:c r="B9" s="10">
        <x:f>COUNTIF(LOG_Working!$G$12:$G$33,A9)</x:f>
        <x:v>4</x:v>
      </x:c>
      <x:c r="C9" s="49">
        <x:f>SUMIF(LOG_Working!$G$12:$G$33,A9,LOG_Working!$M$12:$M$33)</x:f>
        <x:v>1780000</x:v>
      </x:c>
      <x:c r="D9" s="51">
        <x:f>SUMIF(LOG_Working!$G$12:$G$33,A9,LOG_Working!$N$12:$N$33)</x:f>
        <x:v>30</x:v>
      </x:c>
      <x:c r="E9" s="28">
        <x:f>C9/LOG_Working!$B$7</x:f>
        <x:v>0.11524765296212366</x:v>
      </x:c>
      <x:c r="F9" s="10" t="inlineStr">
        <x:is>
          <x:t xml:space="preserve">Yes</x:t>
        </x:is>
      </x:c>
      <x:c r="G9" s="49" t="n">
        <x:v>1780000</x:v>
      </x:c>
      <x:c r="H9" s="49">
        <x:f>C9-G9</x:f>
        <x:v>0</x:v>
      </x:c>
      <x:c r="I9" s="10" t="str">
        <x:f>IF(F9="No","Missing in user summary",IF(ABS(H9)&lt;0.01,"OK","Check delta"))</x:f>
        <x:v>OK</x:v>
      </x:c>
    </x:row>
    <x:row r="10">
      <x:c r="A10" s="52" t="inlineStr">
        <x:is>
          <x:t xml:space="preserve">Logistics buffers</x:t>
        </x:is>
      </x:c>
      <x:c r="B10" s="52">
        <x:f>COUNTIF(LOG_Working!$G$12:$G$33,A10)</x:f>
        <x:v>1</x:v>
      </x:c>
      <x:c r="C10" s="53">
        <x:f>SUMIF(LOG_Working!$G$12:$G$33,A10,LOG_Working!$M$12:$M$33)</x:f>
        <x:v>720000</x:v>
      </x:c>
      <x:c r="D10" s="54">
        <x:f>SUMIF(LOG_Working!$G$12:$G$33,A10,LOG_Working!$N$12:$N$33)</x:f>
        <x:v>2</x:v>
      </x:c>
      <x:c r="E10" s="55">
        <x:f>C10/LOG_Working!$B$7</x:f>
        <x:v>0.04661702816445452</x:v>
      </x:c>
      <x:c r="F10" s="52" t="inlineStr">
        <x:is>
          <x:t xml:space="preserve">No</x:t>
        </x:is>
      </x:c>
      <x:c r="G10" s="53" t="n">
        <x:v>0</x:v>
      </x:c>
      <x:c r="H10" s="53">
        <x:f>C10-G10</x:f>
        <x:v>720000</x:v>
      </x:c>
      <x:c r="I10" t="str">
        <x:f>IF(F10="No","Missing in user summary",IF(ABS(H10)&lt;0.01,"OK","Check delta"))</x:f>
        <x:v>Missing in user summary</x:v>
      </x:c>
    </x:row>
    <x:row r="11">
      <x:c r="A11" s="52" t="inlineStr">
        <x:is>
          <x:t xml:space="preserve">Entire plant</x:t>
        </x:is>
      </x:c>
      <x:c r="B11" s="52">
        <x:f>COUNTIF(LOG_Working!$G$12:$G$33,A11)</x:f>
        <x:v>3</x:v>
      </x:c>
      <x:c r="C11" s="53">
        <x:f>SUMIF(LOG_Working!$G$12:$G$33,A11,LOG_Working!$M$12:$M$33)</x:f>
        <x:v>150000</x:v>
      </x:c>
      <x:c r="D11" s="54">
        <x:f>SUMIF(LOG_Working!$G$12:$G$33,A11,LOG_Working!$N$12:$N$33)</x:f>
        <x:v>44</x:v>
      </x:c>
      <x:c r="E11" s="55">
        <x:f>C11/LOG_Working!$B$7</x:f>
        <x:v>0.009711880867594691</x:v>
      </x:c>
      <x:c r="F11" s="52" t="inlineStr">
        <x:is>
          <x:t xml:space="preserve">No</x:t>
        </x:is>
      </x:c>
      <x:c r="G11" s="53" t="n">
        <x:v>0</x:v>
      </x:c>
      <x:c r="H11" s="53">
        <x:f>C11-G11</x:f>
        <x:v>150000</x:v>
      </x:c>
      <x:c r="I11" t="str">
        <x:f>IF(F11="No","Missing in user summary",IF(ABS(H11)&lt;0.01,"OK","Check delta"))</x:f>
        <x:v>Missing in user summary</x:v>
      </x:c>
    </x:row>
    <x:row r="12">
      <x:c r="A12" s="52" t="inlineStr">
        <x:is>
          <x:t xml:space="preserve">Logistics corridors</x:t>
        </x:is>
      </x:c>
      <x:c r="B12" s="52">
        <x:f>COUNTIF(LOG_Working!$G$12:$G$33,A12)</x:f>
        <x:v>1</x:v>
      </x:c>
      <x:c r="C12" s="53">
        <x:f>SUMIF(LOG_Working!$G$12:$G$33,A12,LOG_Working!$M$12:$M$33)</x:f>
        <x:v>360000</x:v>
      </x:c>
      <x:c r="D12" s="54">
        <x:f>SUMIF(LOG_Working!$G$12:$G$33,A12,LOG_Working!$N$12:$N$33)</x:f>
        <x:v>0</x:v>
      </x:c>
      <x:c r="E12" s="55">
        <x:f>C12/LOG_Working!$B$7</x:f>
        <x:v>0.02330851408222726</x:v>
      </x:c>
      <x:c r="F12" s="52" t="inlineStr">
        <x:is>
          <x:t xml:space="preserve">No</x:t>
        </x:is>
      </x:c>
      <x:c r="G12" s="53" t="n">
        <x:v>0</x:v>
      </x:c>
      <x:c r="H12" s="53">
        <x:f>C12-G12</x:f>
        <x:v>360000</x:v>
      </x:c>
      <x:c r="I12" t="str">
        <x:f>IF(F12="No","Missing in user summary",IF(ABS(H12)&lt;0.01,"OK","Check delta"))</x:f>
        <x:v>Missing in user summary</x:v>
      </x:c>
    </x:row>
    <x:row r="13">
      <x:c r="A13" s="56" t="inlineStr">
        <x:is>
          <x:t xml:space="preserve">Logistics</x:t>
        </x:is>
      </x:c>
      <x:c r="B13" s="56">
        <x:f>COUNTIF(LOG_Working!$G$12:$G$33,A13)</x:f>
        <x:v>1</x:v>
      </x:c>
      <x:c r="C13" s="57">
        <x:f>SUMIF(LOG_Working!$G$12:$G$33,A13,LOG_Working!$M$12:$M$33)</x:f>
        <x:v>160000</x:v>
      </x:c>
      <x:c r="D13" s="58">
        <x:f>SUMIF(LOG_Working!$G$12:$G$33,A13,LOG_Working!$N$12:$N$33)</x:f>
        <x:v>50</x:v>
      </x:c>
      <x:c r="E13" s="59">
        <x:f>C13/LOG_Working!$B$7</x:f>
        <x:v>0.010359339592101004</x:v>
      </x:c>
      <x:c r="F13" s="56" t="inlineStr">
        <x:is>
          <x:t xml:space="preserve">No</x:t>
        </x:is>
      </x:c>
      <x:c r="G13" s="57" t="n">
        <x:v>0</x:v>
      </x:c>
      <x:c r="H13" s="57">
        <x:f>C13-G13</x:f>
        <x:v>160000</x:v>
      </x:c>
      <x:c r="I13" s="10" t="str">
        <x:f>IF(F13="No","Missing in user summary",IF(ABS(H13)&lt;0.01,"OK","Check delta"))</x:f>
        <x:v>Missing in user summary</x:v>
      </x:c>
    </x:row>
    <x:row r="14">
      <x:c r="A14" s="56" t="inlineStr">
        <x:is>
          <x:t xml:space="preserve">All production zones</x:t>
        </x:is>
      </x:c>
      <x:c r="B14" s="56">
        <x:f>COUNTIF(LOG_Working!$G$12:$G$33,A14)</x:f>
        <x:v>1</x:v>
      </x:c>
      <x:c r="C14" s="57">
        <x:f>SUMIF(LOG_Working!$G$12:$G$33,A14,LOG_Working!$M$12:$M$33)</x:f>
        <x:v>25000</x:v>
      </x:c>
      <x:c r="D14" s="58">
        <x:f>SUMIF(LOG_Working!$G$12:$G$33,A14,LOG_Working!$N$12:$N$33)</x:f>
        <x:v>2</x:v>
      </x:c>
      <x:c r="E14" s="59">
        <x:f>C14/LOG_Working!$B$7</x:f>
        <x:v>0.0016186468112657818</x:v>
      </x:c>
      <x:c r="F14" s="56" t="inlineStr">
        <x:is>
          <x:t xml:space="preserve">No</x:t>
        </x:is>
      </x:c>
      <x:c r="G14" s="57" t="n">
        <x:v>0</x:v>
      </x:c>
      <x:c r="H14" s="57">
        <x:f>C14-G14</x:f>
        <x:v>25000</x:v>
      </x:c>
      <x:c r="I14" s="10" t="str">
        <x:f>IF(F14="No","Missing in user summary",IF(ABS(H14)&lt;0.01,"OK","Check delta"))</x:f>
        <x:v>Missing in user summary</x:v>
      </x:c>
    </x:row>
    <x:row r="15">
      <x:c r="A15" s="60" t="inlineStr">
        <x:is>
          <x:t xml:space="preserve">TOTAL</x:t>
        </x:is>
      </x:c>
      <x:c r="B15" s="61" t="n"/>
      <x:c r="C15" s="62">
        <x:f>SUM(C4:C14)</x:f>
        <x:v>15445000</x:v>
      </x:c>
      <x:c r="D15" s="63">
        <x:f>SUM(D4:D14)</x:f>
        <x:v>307</x:v>
      </x:c>
      <x:c r="E15" s="64">
        <x:f>C15/LOG_Working!$B$7</x:f>
        <x:v>1</x:v>
      </x:c>
      <x:c r="F15" s="61" t="n"/>
      <x:c r="G15" s="65" t="n"/>
      <x:c r="H15" s="65" t="n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16" customWidth="1"/>
    <x:col min="4" max="4" width="14" customWidth="1"/>
    <x:col min="5" max="5" width="48" customWidth="1"/>
    <x:col min="6" max="6" width="12" customWidth="1"/>
    <x:col min="7" max="7" width="12" customWidth="1"/>
    <x:col min="8" max="8" width="12" customWidth="1"/>
  </x:cols>
  <x:sheetData>
    <x:row r="1" ht="24" customHeight="1">
      <x:c r="A1" s="1" t="inlineStr">
        <x:is>
          <x:t xml:space="preserve">Validation &amp; Audit Checks</x:t>
        </x:is>
      </x:c>
    </x:row>
    <x:row r="3" ht="20" customHeight="1">
      <x:c r="A3" s="66" t="inlineStr">
        <x:is>
          <x:t xml:space="preserve">Check</x:t>
        </x:is>
      </x:c>
      <x:c r="B3" s="66" t="inlineStr">
        <x:is>
          <x:t xml:space="preserve">Calculated</x:t>
        </x:is>
      </x:c>
      <x:c r="C3" s="66" t="inlineStr">
        <x:is>
          <x:t xml:space="preserve">Reference</x:t>
        </x:is>
      </x:c>
      <x:c r="D3" s="66" t="inlineStr">
        <x:is>
          <x:t xml:space="preserve">Delta</x:t>
        </x:is>
      </x:c>
      <x:c r="E3" s="66" t="inlineStr">
        <x:is>
          <x:t xml:space="preserve">Comment</x:t>
        </x:is>
      </x:c>
    </x:row>
    <x:row r="4">
      <x:c r="A4" s="67" t="inlineStr">
        <x:is>
          <x:t xml:space="preserve">Control total from sub-items</x:t>
        </x:is>
      </x:c>
      <x:c r="B4" s="68">
        <x:f>SUM(LOG_Working!M12:M33)</x:f>
        <x:v>15445000</x:v>
      </x:c>
      <x:c r="C4" s="69" t="n">
        <x:v>15445000</x:v>
      </x:c>
      <x:c r="D4" s="68">
        <x:f>B4-C4</x:f>
        <x:v>0</x:v>
      </x:c>
      <x:c r="E4" s="70" t="inlineStr">
        <x:is>
          <x:t xml:space="preserve">OK if delta = 0</x:t>
        </x:is>
      </x:c>
    </x:row>
    <x:row r="5">
      <x:c r="A5" s="67" t="inlineStr">
        <x:is>
          <x:t xml:space="preserve">Annual maintenance total</x:t>
        </x:is>
      </x:c>
      <x:c r="B5" s="68">
        <x:f>SUM(LOG_Working!S12:S33)</x:f>
        <x:v>381600</x:v>
      </x:c>
      <x:c r="C5" s="71" t="n"/>
      <x:c r="D5" s="71" t="n"/>
      <x:c r="E5" s="70" t="inlineStr">
        <x:is>
          <x:t xml:space="preserve">Derived</x:t>
        </x:is>
      </x:c>
    </x:row>
    <x:row r="6">
      <x:c r="A6" s="67" t="inlineStr">
        <x:is>
          <x:t xml:space="preserve">Share vs base A (€70.2M)</x:t>
        </x:is>
      </x:c>
      <x:c r="B6" s="72">
        <x:f>B4/'UNI-MAK_Protocol'!B18</x:f>
        <x:v>0.22001424501424502</x:v>
      </x:c>
      <x:c r="C6" s="73" t="n">
        <x:v>0.220014245</x:v>
      </x:c>
      <x:c r="D6" s="72">
        <x:f>B6-C6</x:f>
        <x:v>1.4245021828784843e-11</x:v>
      </x:c>
      <x:c r="E6" s="70" t="inlineStr">
        <x:is>
          <x:t xml:space="preserve">User text says ~19.90%; formula shows ~22.0%</x:t>
        </x:is>
      </x:c>
    </x:row>
    <x:row r="7">
      <x:c r="A7" s="67" t="inlineStr">
        <x:is>
          <x:t xml:space="preserve">Share vs base B (€58.275M)</x:t>
        </x:is>
      </x:c>
      <x:c r="B7" s="72">
        <x:f>B4/'UNI-MAK_Protocol'!B20</x:f>
        <x:v>0.26503646503646505</x:v>
      </x:c>
      <x:c r="C7" s="73" t="n">
        <x:v>0.265026</x:v>
      </x:c>
      <x:c r="D7" s="72">
        <x:f>B7-C7</x:f>
        <x:v>0.000010465036465068245</x:v>
      </x:c>
      <x:c r="E7" s="70" t="inlineStr">
        <x:is>
          <x:t xml:space="preserve">Alternative base if total CAPEX changed</x:t>
        </x:is>
      </x:c>
    </x:row>
    <x:row r="8">
      <x:c r="A8" s="67" t="inlineStr">
        <x:is>
          <x:t xml:space="preserve">Current user zone summary total</x:t>
        </x:is>
      </x:c>
      <x:c r="B8" s="68" t="n">
        <x:v>14030000</x:v>
      </x:c>
      <x:c r="C8" s="71" t="n"/>
      <x:c r="D8" s="68">
        <x:f>B8-B4</x:f>
        <x:v>-1415000</x:v>
      </x:c>
      <x:c r="E8" s="70" t="inlineStr">
        <x:is>
          <x:t xml:space="preserve">Partial summary only</x:t>
        </x:is>
      </x:c>
    </x:row>
    <x:row r="9">
      <x:c r="A9" s="67" t="inlineStr">
        <x:is>
          <x:t xml:space="preserve">Missing amount outside user zone summary</x:t>
        </x:is>
      </x:c>
      <x:c r="B9" s="68">
        <x:f>SUM(Zone_Summary!C10:C14)</x:f>
        <x:v>1415000</x:v>
      </x:c>
      <x:c r="C9" s="69" t="n">
        <x:v>1415000</x:v>
      </x:c>
      <x:c r="D9" s="68">
        <x:f>B9-C9</x:f>
        <x:v>0</x:v>
      </x:c>
      <x:c r="E9" s="70" t="inlineStr">
        <x:is>
          <x:t xml:space="preserve">Omitted zones gap</x:t>
        </x:is>
      </x:c>
    </x:row>
    <x:row r="10">
      <x:c r="A10" s="74" t="n"/>
      <x:c r="B10" s="71" t="n"/>
      <x:c r="C10" s="71" t="n"/>
      <x:c r="D10" s="71" t="n"/>
      <x:c r="E10" s="75" t="n"/>
    </x:row>
    <x:row r="11">
      <x:c r="A11" s="74" t="n"/>
      <x:c r="B11" s="71" t="n"/>
      <x:c r="C11" s="71" t="n"/>
      <x:c r="D11" s="71" t="n"/>
      <x:c r="E11" s="75" t="n"/>
    </x:row>
    <x:row r="12" ht="42" customHeight="1">
      <x:c r="A12" s="76" t="inlineStr">
        <x:is>
          <x:t xml:space="preserve">Audit conclusion</x:t>
        </x:is>
      </x:c>
      <x:c r="B12" s="71" t="inlineStr">
        <x:is>
          <x:t xml:space="preserve">Conditionally valid: arithmetic total is correct; user-stated ~19.90% share vs €70.2M is not correct; dynamic zone summary identifies omitted zones totaling €1.415M.</x:t>
        </x:is>
      </x:c>
      <x:c r="C12" s="71" t="n"/>
      <x:c r="D12" s="71" t="n"/>
      <x:c r="E12" s="75" t="n"/>
    </x:row>
    <x:row r="13">
      <x:c r="A13" s="74" t="inlineStr">
        <x:is>
          <x:t xml:space="preserve">Formula count (all sheets)</x:t>
        </x:is>
      </x:c>
      <x:c r="B13" s="77">
        <x:f>COUNTA(Formula_Audit!A2:A1000)</x:f>
        <x:v>128</x:v>
      </x:c>
      <x:c r="C13" s="71" t="n"/>
      <x:c r="D13" s="71" t="n"/>
      <x:c r="E13" s="75" t="inlineStr">
        <x:is>
          <x:t xml:space="preserve">Should match audit sheet count</x:t>
        </x:is>
      </x:c>
    </x:row>
    <x:row r="14">
      <x:c r="A14" s="74" t="inlineStr">
        <x:is>
          <x:t xml:space="preserve">Formula errors (all sheets)</x:t>
        </x:is>
      </x:c>
      <x:c r="B14" s="77">
        <x:f>COUNTIF(Formula_Audit!E2:E1000,"ERROR")</x:f>
        <x:v>0</x:v>
      </x:c>
      <x:c r="C14" s="77" t="n">
        <x:v>0</x:v>
      </x:c>
      <x:c r="D14" s="77">
        <x:f>B14-C14</x:f>
        <x:v>0</x:v>
      </x:c>
      <x:c r="E14" s="75" t="inlineStr">
        <x:is>
          <x:t xml:space="preserve">OK if delta = 0</x:t>
        </x:is>
      </x:c>
    </x:row>
    <x:row r="15">
      <x:c r="A15" s="74" t="inlineStr">
        <x:is>
          <x:t xml:space="preserve">Zone summary total</x:t>
        </x:is>
      </x:c>
      <x:c r="B15" s="78">
        <x:f>Zone_Summary!C15</x:f>
        <x:v>15445000</x:v>
      </x:c>
      <x:c r="C15" s="78" t="n">
        <x:v>15445000</x:v>
      </x:c>
      <x:c r="D15" s="78">
        <x:f>B15-C15</x:f>
        <x:v>0</x:v>
      </x:c>
      <x:c r="E15" s="75" t="inlineStr">
        <x:is>
          <x:t xml:space="preserve">OK if delta = 0</x:t>
        </x:is>
      </x:c>
    </x:row>
    <x:row r="16">
      <x:c r="A16" s="74" t="inlineStr">
        <x:is>
          <x:t xml:space="preserve">Corrected share vs base A</x:t>
        </x:is>
      </x:c>
      <x:c r="B16" s="79">
        <x:f>B6</x:f>
        <x:v>0.22001424501424502</x:v>
      </x:c>
      <x:c r="C16" s="79" t="n">
        <x:v>0.220014245014245</x:v>
      </x:c>
      <x:c r="D16" s="79">
        <x:f>B16-C16</x:f>
        <x:v>2.7755575615628914e-17</x:v>
      </x:c>
      <x:c r="E16" s="75" t="inlineStr">
        <x:is>
          <x:t xml:space="preserve">Use ~22.0% vs €70.2M</x:t>
        </x:is>
      </x:c>
    </x:row>
  </x:sheetData>
  <x:mergeCells>
    <x:mergeCell ref="B12:H12"/>
    <x:mergeCell ref="A1:H1"/>
  </x:mergeCells>
  <x:pageMargins left="0.7" right="0.7" top="0.75" bottom="0.75" header="0.3" footer="0.3"/>
  <x:legacyDrawing xmlns:r="http://schemas.openxmlformats.org/officeDocument/2006/relationships" r:id="R98c4ba85e9b1401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6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4" customHeight="1">
      <x:c r="A1" s="1" t="inlineStr">
        <x:is>
          <x:t xml:space="preserve">Canonical Memory Mapping</x:t>
        </x:is>
      </x:c>
    </x:row>
    <x:row r="3" ht="20" customHeight="1">
      <x:c r="A3" s="5" t="inlineStr">
        <x:is>
          <x:t xml:space="preserve">canonical_key</x:t>
        </x:is>
      </x:c>
      <x:c r="B3" s="35" t="inlineStr">
        <x:is>
          <x:t xml:space="preserve">CAPEX_Master|LOG-001|Investiciona_Logistika_01</x:t>
        </x:is>
      </x:c>
    </x:row>
    <x:row r="4">
      <x:c r="A4" s="3" t="inlineStr">
        <x:is>
          <x:t xml:space="preserve">parent_module</x:t>
        </x:is>
      </x:c>
      <x:c r="B4" s="4" t="inlineStr">
        <x:is>
          <x:t xml:space="preserve">CAPEX_Master</x:t>
        </x:is>
      </x:c>
    </x:row>
    <x:row r="5">
      <x:c r="A5" s="3" t="inlineStr">
        <x:is>
          <x:t xml:space="preserve">entity_type</x:t>
        </x:is>
      </x:c>
      <x:c r="B5" s="4" t="inlineStr">
        <x:is>
          <x:t xml:space="preserve">CAPEX line item</x:t>
        </x:is>
      </x:c>
    </x:row>
    <x:row r="6">
      <x:c r="A6" s="3" t="inlineStr">
        <x:is>
          <x:t xml:space="preserve">entity_id</x:t>
        </x:is>
      </x:c>
      <x:c r="B6" s="4" t="inlineStr">
        <x:is>
          <x:t xml:space="preserve">LOG-001</x:t>
        </x:is>
      </x:c>
    </x:row>
    <x:row r="7">
      <x:c r="A7" s="3" t="inlineStr">
        <x:is>
          <x:t xml:space="preserve">budget_line</x:t>
        </x:is>
      </x:c>
      <x:c r="B7" s="4" t="inlineStr">
        <x:is>
          <x:t xml:space="preserve">Investiciona_Logistika_01</x:t>
        </x:is>
      </x:c>
    </x:row>
    <x:row r="8">
      <x:c r="A8" s="3" t="inlineStr">
        <x:is>
          <x:t xml:space="preserve">category</x:t>
        </x:is>
      </x:c>
      <x:c r="B8" s="4" t="inlineStr">
        <x:is>
          <x:t xml:space="preserve">Logistika i Materijalno Rukovanje</x:t>
        </x:is>
      </x:c>
    </x:row>
    <x:row r="9">
      <x:c r="A9" s="3" t="inlineStr">
        <x:is>
          <x:t xml:space="preserve">status</x:t>
        </x:is>
      </x:c>
      <x:c r="B9" s="4" t="inlineStr">
        <x:is>
          <x:t xml:space="preserve">working</x:t>
        </x:is>
      </x:c>
    </x:row>
    <x:row r="10">
      <x:c r="A10" s="5" t="inlineStr">
        <x:is>
          <x:t xml:space="preserve">version</x:t>
        </x:is>
      </x:c>
      <x:c r="B10" s="35" t="inlineStr">
        <x:is>
          <x:t xml:space="preserve">v1.0</x:t>
        </x:is>
      </x:c>
    </x:row>
    <x:row r="11">
      <x:c r="A11" s="5" t="inlineStr">
        <x:is>
          <x:t xml:space="preserve">source_reference</x:t>
        </x:is>
      </x:c>
      <x:c r="B11" s="35" t="inlineStr">
        <x:is>
          <x:t xml:space="preserve">User-provided detailed breakdown + Market benchmarks 2025-2026 (Europe, heavy industry/transformer plants)</x:t>
        </x:is>
      </x:c>
    </x:row>
    <x:row r="12">
      <x:c r="A12" s="5" t="inlineStr">
        <x:is>
          <x:t xml:space="preserve">protocol_sheet</x:t>
        </x:is>
      </x:c>
      <x:c r="B12" s="35" t="inlineStr">
        <x:is>
          <x:t xml:space="preserve">UNI-MAK_Protocol</x:t>
        </x:is>
      </x:c>
    </x:row>
    <x:row r="13">
      <x:c r="A13" s="3" t="inlineStr">
        <x:is>
          <x:t xml:space="preserve">working_sheet</x:t>
        </x:is>
      </x:c>
      <x:c r="B13" s="4" t="inlineStr">
        <x:is>
          <x:t xml:space="preserve">LOG_Working</x:t>
        </x:is>
      </x:c>
    </x:row>
    <x:row r="14">
      <x:c r="A14" s="3" t="inlineStr">
        <x:is>
          <x:t xml:space="preserve">zone_sheet</x:t>
        </x:is>
      </x:c>
      <x:c r="B14" s="4" t="inlineStr">
        <x:is>
          <x:t xml:space="preserve">Zone_Summary</x:t>
        </x:is>
      </x:c>
    </x:row>
    <x:row r="15">
      <x:c r="A15" s="3" t="inlineStr">
        <x:is>
          <x:t xml:space="preserve">checks_sheet</x:t>
        </x:is>
      </x:c>
      <x:c r="B15" s="4" t="inlineStr">
        <x:is>
          <x:t xml:space="preserve">Checks</x:t>
        </x:is>
      </x:c>
    </x:row>
    <x:row r="16">
      <x:c r="A16" s="3" t="inlineStr">
        <x:is>
          <x:t xml:space="preserve">refresh_rule</x:t>
        </x:is>
      </x:c>
      <x:c r="B16" s="4" t="inlineStr">
        <x:is>
          <x:t xml:space="preserve">Edit LOG_Working inputs only; formulas update total, zone summary and checks.</x:t>
        </x:is>
      </x:c>
    </x:row>
  </x:sheetData>
  <x:mergeCells>
    <x:mergeCell ref="B8:H8"/>
    <x:mergeCell ref="B14:H14"/>
    <x:mergeCell ref="B9:H9"/>
    <x:mergeCell ref="B13:H13"/>
    <x:mergeCell ref="B4:H4"/>
    <x:mergeCell ref="B12:H12"/>
    <x:mergeCell ref="B6:H6"/>
    <x:mergeCell ref="B16:H16"/>
    <x:mergeCell ref="B15:H15"/>
    <x:mergeCell ref="B7:H7"/>
    <x:mergeCell ref="A1:H1"/>
    <x:mergeCell ref="B10:H10"/>
    <x:mergeCell ref="B3:H3"/>
    <x:mergeCell ref="B5:H5"/>
    <x:mergeCell ref="B11:H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50" customWidth="1"/>
    <x:col min="4" max="4" width="20" customWidth="1"/>
    <x:col min="5" max="5" width="10" customWidth="1"/>
    <x:col min="6" max="6" width="45" customWidth="1"/>
  </x:cols>
  <x:sheetData>
    <x:row r="1" ht="24" customHeight="1">
      <x:c r="A1" s="80" t="inlineStr">
        <x:is>
          <x:t xml:space="preserve">Sheet</x:t>
        </x:is>
      </x:c>
      <x:c r="B1" s="80" t="inlineStr">
        <x:is>
          <x:t xml:space="preserve">Cell</x:t>
        </x:is>
      </x:c>
      <x:c r="C1" s="80" t="inlineStr">
        <x:is>
          <x:t xml:space="preserve">Formula</x:t>
        </x:is>
      </x:c>
      <x:c r="D1" s="80" t="inlineStr">
        <x:is>
          <x:t xml:space="preserve">Calculated Value</x:t>
        </x:is>
      </x:c>
      <x:c r="E1" s="80" t="inlineStr">
        <x:is>
          <x:t xml:space="preserve">Status</x:t>
        </x:is>
      </x:c>
      <x:c r="F1" s="80" t="inlineStr">
        <x:is>
          <x:t xml:space="preserve">References</x:t>
        </x:is>
      </x:c>
    </x:row>
    <x:row r="2">
      <x:c r="A2" s="75" t="inlineStr">
        <x:is>
          <x:t xml:space="preserve">UNI-MAK_Protocol</x:t>
        </x:is>
      </x:c>
      <x:c r="B2" s="74" t="inlineStr">
        <x:is>
          <x:t xml:space="preserve">B19</x:t>
        </x:is>
      </x:c>
      <x:c r="C2" s="75" t="e">
        <x:f>B17/B18</x:f>
      </x:c>
      <x:c r="D2" s="74" t="n">
        <x:v>0.220014245014245</x:v>
      </x:c>
      <x:c r="E2" s="74" t="inlineStr">
        <x:is>
          <x:t xml:space="preserve">OK</x:t>
        </x:is>
      </x:c>
      <x:c r="F2" s="75" t="inlineStr">
        <x:is>
          <x:t xml:space="preserve">B17, B18</x:t>
        </x:is>
      </x:c>
    </x:row>
    <x:row r="3" ht="20" customHeight="1">
      <x:c r="A3" s="75" t="inlineStr">
        <x:is>
          <x:t xml:space="preserve">UNI-MAK_Protocol</x:t>
        </x:is>
      </x:c>
      <x:c r="B3" s="74" t="inlineStr">
        <x:is>
          <x:t xml:space="preserve">B21</x:t>
        </x:is>
      </x:c>
      <x:c r="C3" s="75" t="e">
        <x:f>B17/B20</x:f>
      </x:c>
      <x:c r="D3" s="74" t="n">
        <x:v>0.2650364650364651</x:v>
      </x:c>
      <x:c r="E3" s="74" t="inlineStr">
        <x:is>
          <x:t xml:space="preserve">OK</x:t>
        </x:is>
      </x:c>
      <x:c r="F3" s="75" t="inlineStr">
        <x:is>
          <x:t xml:space="preserve">B17, B20</x:t>
        </x:is>
      </x:c>
    </x:row>
    <x:row r="4">
      <x:c r="A4" s="75" t="inlineStr">
        <x:is>
          <x:t xml:space="preserve">LOG_Working</x:t>
        </x:is>
      </x:c>
      <x:c r="B4" s="74" t="inlineStr">
        <x:is>
          <x:t xml:space="preserve">B7</x:t>
        </x:is>
      </x:c>
      <x:c r="C4" s="75">
        <x:f>SUM(M12:M33)</x:f>
        <x:v>0</x:v>
      </x:c>
      <x:c r="D4" s="74" t="n">
        <x:v>15445000</x:v>
      </x:c>
      <x:c r="E4" s="74" t="inlineStr">
        <x:is>
          <x:t xml:space="preserve">OK</x:t>
        </x:is>
      </x:c>
      <x:c r="F4" s="75" t="inlineStr">
        <x:is>
          <x:t xml:space="preserve">M12, M12:M33, M33</x:t>
        </x:is>
      </x:c>
    </x:row>
    <x:row r="5">
      <x:c r="A5" s="75" t="inlineStr">
        <x:is>
          <x:t xml:space="preserve">LOG_Working</x:t>
        </x:is>
      </x:c>
      <x:c r="B5" s="74" t="inlineStr">
        <x:is>
          <x:t xml:space="preserve">B8</x:t>
        </x:is>
      </x:c>
      <x:c r="C5" s="75">
        <x:f>SUM(N12:N33)</x:f>
        <x:v>0</x:v>
      </x:c>
      <x:c r="D5" s="74" t="n">
        <x:v>307</x:v>
      </x:c>
      <x:c r="E5" s="74" t="inlineStr">
        <x:is>
          <x:t xml:space="preserve">OK</x:t>
        </x:is>
      </x:c>
      <x:c r="F5" s="75" t="inlineStr">
        <x:is>
          <x:t xml:space="preserve">N12, N12:N33, N33</x:t>
        </x:is>
      </x:c>
    </x:row>
    <x:row r="6">
      <x:c r="A6" s="75" t="inlineStr">
        <x:is>
          <x:t xml:space="preserve">LOG_Working</x:t>
        </x:is>
      </x:c>
      <x:c r="B6" s="74" t="inlineStr">
        <x:is>
          <x:t xml:space="preserve">B9</x:t>
        </x:is>
      </x:c>
      <x:c r="C6" s="75">
        <x:f>SUM(S12:S33)</x:f>
        <x:v>0</x:v>
      </x:c>
      <x:c r="D6" s="74" t="n">
        <x:v>381600</x:v>
      </x:c>
      <x:c r="E6" s="74" t="inlineStr">
        <x:is>
          <x:t xml:space="preserve">OK</x:t>
        </x:is>
      </x:c>
      <x:c r="F6" s="75" t="inlineStr">
        <x:is>
          <x:t xml:space="preserve">S12, S12:S33, S33</x:t>
        </x:is>
      </x:c>
    </x:row>
    <x:row r="7">
      <x:c r="A7" s="75" t="inlineStr">
        <x:is>
          <x:t xml:space="preserve">LOG_Working</x:t>
        </x:is>
      </x:c>
      <x:c r="B7" s="74" t="inlineStr">
        <x:is>
          <x:t xml:space="preserve">M12</x:t>
        </x:is>
      </x:c>
      <x:c r="C7" s="75">
        <x:f>J12*K12</x:f>
        <x:v>0</x:v>
      </x:c>
      <x:c r="D7" s="74" t="n">
        <x:v>3400000</x:v>
      </x:c>
      <x:c r="E7" s="74" t="inlineStr">
        <x:is>
          <x:t xml:space="preserve">OK</x:t>
        </x:is>
      </x:c>
      <x:c r="F7" s="75" t="inlineStr">
        <x:is>
          <x:t xml:space="preserve">J12, K12</x:t>
        </x:is>
      </x:c>
    </x:row>
    <x:row r="8">
      <x:c r="A8" s="75" t="inlineStr">
        <x:is>
          <x:t xml:space="preserve">LOG_Working</x:t>
        </x:is>
      </x:c>
      <x:c r="B8" s="74" t="inlineStr">
        <x:is>
          <x:t xml:space="preserve">S12</x:t>
        </x:is>
      </x:c>
      <x:c r="C8" s="75">
        <x:f>M12*R12</x:f>
        <x:v>0</x:v>
      </x:c>
      <x:c r="D8" s="74" t="n">
        <x:v>102000</x:v>
      </x:c>
      <x:c r="E8" s="74" t="inlineStr">
        <x:is>
          <x:t xml:space="preserve">OK</x:t>
        </x:is>
      </x:c>
      <x:c r="F8" s="75" t="inlineStr">
        <x:is>
          <x:t xml:space="preserve">M12, R12</x:t>
        </x:is>
      </x:c>
    </x:row>
    <x:row r="9">
      <x:c r="A9" s="75" t="inlineStr">
        <x:is>
          <x:t xml:space="preserve">LOG_Working</x:t>
        </x:is>
      </x:c>
      <x:c r="B9" s="74" t="inlineStr">
        <x:is>
          <x:t xml:space="preserve">M13</x:t>
        </x:is>
      </x:c>
      <x:c r="C9" s="75">
        <x:f>J13*K13</x:f>
        <x:v>0</x:v>
      </x:c>
      <x:c r="D9" s="74" t="n">
        <x:v>2520000</x:v>
      </x:c>
      <x:c r="E9" s="74" t="inlineStr">
        <x:is>
          <x:t xml:space="preserve">OK</x:t>
        </x:is>
      </x:c>
      <x:c r="F9" s="75" t="inlineStr">
        <x:is>
          <x:t xml:space="preserve">J13, K13</x:t>
        </x:is>
      </x:c>
    </x:row>
    <x:row r="10">
      <x:c r="A10" s="75" t="inlineStr">
        <x:is>
          <x:t xml:space="preserve">LOG_Working</x:t>
        </x:is>
      </x:c>
      <x:c r="B10" s="74" t="inlineStr">
        <x:is>
          <x:t xml:space="preserve">S13</x:t>
        </x:is>
      </x:c>
      <x:c r="C10" s="75">
        <x:f>M13*R13</x:f>
        <x:v>0</x:v>
      </x:c>
      <x:c r="D10" s="74" t="n">
        <x:v>75600</x:v>
      </x:c>
      <x:c r="E10" s="74" t="inlineStr">
        <x:is>
          <x:t xml:space="preserve">OK</x:t>
        </x:is>
      </x:c>
      <x:c r="F10" s="75" t="inlineStr">
        <x:is>
          <x:t xml:space="preserve">M13, R13</x:t>
        </x:is>
      </x:c>
    </x:row>
    <x:row r="11">
      <x:c r="A11" s="75" t="inlineStr">
        <x:is>
          <x:t xml:space="preserve">LOG_Working</x:t>
        </x:is>
      </x:c>
      <x:c r="B11" s="74" t="inlineStr">
        <x:is>
          <x:t xml:space="preserve">M14</x:t>
        </x:is>
      </x:c>
      <x:c r="C11" s="75">
        <x:f>J14*K14</x:f>
        <x:v>0</x:v>
      </x:c>
      <x:c r="D11" s="74" t="n">
        <x:v>1280000</x:v>
      </x:c>
      <x:c r="E11" s="74" t="inlineStr">
        <x:is>
          <x:t xml:space="preserve">OK</x:t>
        </x:is>
      </x:c>
      <x:c r="F11" s="75" t="inlineStr">
        <x:is>
          <x:t xml:space="preserve">J14, K14</x:t>
        </x:is>
      </x:c>
    </x:row>
    <x:row r="12">
      <x:c r="A12" s="75" t="inlineStr">
        <x:is>
          <x:t xml:space="preserve">LOG_Working</x:t>
        </x:is>
      </x:c>
      <x:c r="B12" s="74" t="inlineStr">
        <x:is>
          <x:t xml:space="preserve">S14</x:t>
        </x:is>
      </x:c>
      <x:c r="C12" s="75">
        <x:f>M14*R14</x:f>
        <x:v>0</x:v>
      </x:c>
      <x:c r="D12" s="74" t="n">
        <x:v>25600</x:v>
      </x:c>
      <x:c r="E12" s="74" t="inlineStr">
        <x:is>
          <x:t xml:space="preserve">OK</x:t>
        </x:is>
      </x:c>
      <x:c r="F12" s="75" t="inlineStr">
        <x:is>
          <x:t xml:space="preserve">M14, R14</x:t>
        </x:is>
      </x:c>
    </x:row>
    <x:row r="13">
      <x:c r="A13" s="75" t="inlineStr">
        <x:is>
          <x:t xml:space="preserve">LOG_Working</x:t>
        </x:is>
      </x:c>
      <x:c r="B13" s="74" t="inlineStr">
        <x:is>
          <x:t xml:space="preserve">M15</x:t>
        </x:is>
      </x:c>
      <x:c r="C13" s="75">
        <x:f>J15*K15</x:f>
        <x:v>0</x:v>
      </x:c>
      <x:c r="D13" s="74" t="n">
        <x:v>660000</x:v>
      </x:c>
      <x:c r="E13" s="74" t="inlineStr">
        <x:is>
          <x:t xml:space="preserve">OK</x:t>
        </x:is>
      </x:c>
      <x:c r="F13" s="75" t="inlineStr">
        <x:is>
          <x:t xml:space="preserve">J15, K15</x:t>
        </x:is>
      </x:c>
    </x:row>
    <x:row r="14">
      <x:c r="A14" s="75" t="inlineStr">
        <x:is>
          <x:t xml:space="preserve">LOG_Working</x:t>
        </x:is>
      </x:c>
      <x:c r="B14" s="74" t="inlineStr">
        <x:is>
          <x:t xml:space="preserve">S15</x:t>
        </x:is>
      </x:c>
      <x:c r="C14" s="75">
        <x:f>M15*R15</x:f>
        <x:v>0</x:v>
      </x:c>
      <x:c r="D14" s="74" t="n">
        <x:v>13200</x:v>
      </x:c>
      <x:c r="E14" s="74" t="inlineStr">
        <x:is>
          <x:t xml:space="preserve">OK</x:t>
        </x:is>
      </x:c>
      <x:c r="F14" s="75" t="inlineStr">
        <x:is>
          <x:t xml:space="preserve">M15, R15</x:t>
        </x:is>
      </x:c>
    </x:row>
    <x:row r="15">
      <x:c r="A15" s="75" t="inlineStr">
        <x:is>
          <x:t xml:space="preserve">LOG_Working</x:t>
        </x:is>
      </x:c>
      <x:c r="B15" s="74" t="inlineStr">
        <x:is>
          <x:t xml:space="preserve">M16</x:t>
        </x:is>
      </x:c>
      <x:c r="C15" s="75">
        <x:f>J16*K16</x:f>
        <x:v>0</x:v>
      </x:c>
      <x:c r="D15" s="74" t="n">
        <x:v>1680000</x:v>
      </x:c>
      <x:c r="E15" s="74" t="inlineStr">
        <x:is>
          <x:t xml:space="preserve">OK</x:t>
        </x:is>
      </x:c>
      <x:c r="F15" s="75" t="inlineStr">
        <x:is>
          <x:t xml:space="preserve">J16, K16</x:t>
        </x:is>
      </x:c>
    </x:row>
    <x:row r="16">
      <x:c r="A16" s="75" t="inlineStr">
        <x:is>
          <x:t xml:space="preserve">LOG_Working</x:t>
        </x:is>
      </x:c>
      <x:c r="B16" s="74" t="inlineStr">
        <x:is>
          <x:t xml:space="preserve">S16</x:t>
        </x:is>
      </x:c>
      <x:c r="C16" s="75">
        <x:f>M16*R16</x:f>
        <x:v>0</x:v>
      </x:c>
      <x:c r="D16" s="74" t="n">
        <x:v>50400</x:v>
      </x:c>
      <x:c r="E16" s="74" t="inlineStr">
        <x:is>
          <x:t xml:space="preserve">OK</x:t>
        </x:is>
      </x:c>
      <x:c r="F16" s="75" t="inlineStr">
        <x:is>
          <x:t xml:space="preserve">M16, R16</x:t>
        </x:is>
      </x:c>
    </x:row>
    <x:row r="17">
      <x:c r="A17" s="75" t="inlineStr">
        <x:is>
          <x:t xml:space="preserve">LOG_Working</x:t>
        </x:is>
      </x:c>
      <x:c r="B17" s="74" t="inlineStr">
        <x:is>
          <x:t xml:space="preserve">M17</x:t>
        </x:is>
      </x:c>
      <x:c r="C17" s="75">
        <x:f>J17*K17</x:f>
        <x:v>0</x:v>
      </x:c>
      <x:c r="D17" s="74" t="n">
        <x:v>780000</x:v>
      </x:c>
      <x:c r="E17" s="74" t="inlineStr">
        <x:is>
          <x:t xml:space="preserve">OK</x:t>
        </x:is>
      </x:c>
      <x:c r="F17" s="75" t="inlineStr">
        <x:is>
          <x:t xml:space="preserve">J17, K17</x:t>
        </x:is>
      </x:c>
    </x:row>
    <x:row r="18">
      <x:c r="A18" s="75" t="inlineStr">
        <x:is>
          <x:t xml:space="preserve">LOG_Working</x:t>
        </x:is>
      </x:c>
      <x:c r="B18" s="74" t="inlineStr">
        <x:is>
          <x:t xml:space="preserve">S17</x:t>
        </x:is>
      </x:c>
      <x:c r="C18" s="75">
        <x:f>M17*R17</x:f>
        <x:v>0</x:v>
      </x:c>
      <x:c r="D18" s="74" t="n">
        <x:v>23400</x:v>
      </x:c>
      <x:c r="E18" s="74" t="inlineStr">
        <x:is>
          <x:t xml:space="preserve">OK</x:t>
        </x:is>
      </x:c>
      <x:c r="F18" s="75" t="inlineStr">
        <x:is>
          <x:t xml:space="preserve">M17, R17</x:t>
        </x:is>
      </x:c>
    </x:row>
    <x:row r="19">
      <x:c r="A19" s="75" t="inlineStr">
        <x:is>
          <x:t xml:space="preserve">LOG_Working</x:t>
        </x:is>
      </x:c>
      <x:c r="B19" s="74" t="inlineStr">
        <x:is>
          <x:t xml:space="preserve">M18</x:t>
        </x:is>
      </x:c>
      <x:c r="C19" s="75">
        <x:f>J18*K18</x:f>
        <x:v>0</x:v>
      </x:c>
      <x:c r="D19" s="74" t="n">
        <x:v>600000</x:v>
      </x:c>
      <x:c r="E19" s="74" t="inlineStr">
        <x:is>
          <x:t xml:space="preserve">OK</x:t>
        </x:is>
      </x:c>
      <x:c r="F19" s="75" t="inlineStr">
        <x:is>
          <x:t xml:space="preserve">J18, K18</x:t>
        </x:is>
      </x:c>
    </x:row>
    <x:row r="20">
      <x:c r="A20" s="75" t="inlineStr">
        <x:is>
          <x:t xml:space="preserve">LOG_Working</x:t>
        </x:is>
      </x:c>
      <x:c r="B20" s="74" t="inlineStr">
        <x:is>
          <x:t xml:space="preserve">S18</x:t>
        </x:is>
      </x:c>
      <x:c r="C20" s="75">
        <x:f>M18*R18</x:f>
        <x:v>0</x:v>
      </x:c>
      <x:c r="D20" s="74" t="n">
        <x:v>12000</x:v>
      </x:c>
      <x:c r="E20" s="74" t="inlineStr">
        <x:is>
          <x:t xml:space="preserve">OK</x:t>
        </x:is>
      </x:c>
      <x:c r="F20" s="75" t="inlineStr">
        <x:is>
          <x:t xml:space="preserve">M18, R18</x:t>
        </x:is>
      </x:c>
    </x:row>
    <x:row r="21">
      <x:c r="A21" s="75" t="inlineStr">
        <x:is>
          <x:t xml:space="preserve">LOG_Working</x:t>
        </x:is>
      </x:c>
      <x:c r="B21" s="74" t="inlineStr">
        <x:is>
          <x:t xml:space="preserve">M19</x:t>
        </x:is>
      </x:c>
      <x:c r="C21" s="75">
        <x:f>J19*K19</x:f>
        <x:v>0</x:v>
      </x:c>
      <x:c r="D21" s="74" t="n">
        <x:v>240000</x:v>
      </x:c>
      <x:c r="E21" s="74" t="inlineStr">
        <x:is>
          <x:t xml:space="preserve">OK</x:t>
        </x:is>
      </x:c>
      <x:c r="F21" s="75" t="inlineStr">
        <x:is>
          <x:t xml:space="preserve">J19, K19</x:t>
        </x:is>
      </x:c>
    </x:row>
    <x:row r="22">
      <x:c r="A22" s="75" t="inlineStr">
        <x:is>
          <x:t xml:space="preserve">LOG_Working</x:t>
        </x:is>
      </x:c>
      <x:c r="B22" s="74" t="inlineStr">
        <x:is>
          <x:t xml:space="preserve">S19</x:t>
        </x:is>
      </x:c>
      <x:c r="C22" s="75">
        <x:f>M19*R19</x:f>
        <x:v>0</x:v>
      </x:c>
      <x:c r="D22" s="74" t="n">
        <x:v>4800</x:v>
      </x:c>
      <x:c r="E22" s="74" t="inlineStr">
        <x:is>
          <x:t xml:space="preserve">OK</x:t>
        </x:is>
      </x:c>
      <x:c r="F22" s="75" t="inlineStr">
        <x:is>
          <x:t xml:space="preserve">M19, R19</x:t>
        </x:is>
      </x:c>
    </x:row>
    <x:row r="23">
      <x:c r="A23" s="75" t="inlineStr">
        <x:is>
          <x:t xml:space="preserve">LOG_Working</x:t>
        </x:is>
      </x:c>
      <x:c r="B23" s="74" t="inlineStr">
        <x:is>
          <x:t xml:space="preserve">M20</x:t>
        </x:is>
      </x:c>
      <x:c r="C23" s="75">
        <x:f>J20*K20</x:f>
        <x:v>0</x:v>
      </x:c>
      <x:c r="D23" s="74" t="n">
        <x:v>780000</x:v>
      </x:c>
      <x:c r="E23" s="74" t="inlineStr">
        <x:is>
          <x:t xml:space="preserve">OK</x:t>
        </x:is>
      </x:c>
      <x:c r="F23" s="75" t="inlineStr">
        <x:is>
          <x:t xml:space="preserve">J20, K20</x:t>
        </x:is>
      </x:c>
    </x:row>
    <x:row r="24">
      <x:c r="A24" s="75" t="inlineStr">
        <x:is>
          <x:t xml:space="preserve">LOG_Working</x:t>
        </x:is>
      </x:c>
      <x:c r="B24" s="74" t="inlineStr">
        <x:is>
          <x:t xml:space="preserve">S20</x:t>
        </x:is>
      </x:c>
      <x:c r="C24" s="75">
        <x:f>M20*R20</x:f>
        <x:v>0</x:v>
      </x:c>
      <x:c r="D24" s="74" t="n">
        <x:v>23400</x:v>
      </x:c>
      <x:c r="E24" s="74" t="inlineStr">
        <x:is>
          <x:t xml:space="preserve">OK</x:t>
        </x:is>
      </x:c>
      <x:c r="F24" s="75" t="inlineStr">
        <x:is>
          <x:t xml:space="preserve">M20, R20</x:t>
        </x:is>
      </x:c>
    </x:row>
    <x:row r="25">
      <x:c r="A25" s="75" t="inlineStr">
        <x:is>
          <x:t xml:space="preserve">LOG_Working</x:t>
        </x:is>
      </x:c>
      <x:c r="B25" s="74" t="inlineStr">
        <x:is>
          <x:t xml:space="preserve">M21</x:t>
        </x:is>
      </x:c>
      <x:c r="C25" s="75">
        <x:f>J21*K21</x:f>
        <x:v>0</x:v>
      </x:c>
      <x:c r="D25" s="74" t="n">
        <x:v>720000</x:v>
      </x:c>
      <x:c r="E25" s="74" t="inlineStr">
        <x:is>
          <x:t xml:space="preserve">OK</x:t>
        </x:is>
      </x:c>
      <x:c r="F25" s="75" t="inlineStr">
        <x:is>
          <x:t xml:space="preserve">J21, K21</x:t>
        </x:is>
      </x:c>
    </x:row>
    <x:row r="26">
      <x:c r="A26" s="75" t="inlineStr">
        <x:is>
          <x:t xml:space="preserve">LOG_Working</x:t>
        </x:is>
      </x:c>
      <x:c r="B26" s="74" t="inlineStr">
        <x:is>
          <x:t xml:space="preserve">S21</x:t>
        </x:is>
      </x:c>
      <x:c r="C26" s="75">
        <x:f>M21*R21</x:f>
        <x:v>0</x:v>
      </x:c>
      <x:c r="D26" s="74" t="n">
        <x:v>14400</x:v>
      </x:c>
      <x:c r="E26" s="74" t="inlineStr">
        <x:is>
          <x:t xml:space="preserve">OK</x:t>
        </x:is>
      </x:c>
      <x:c r="F26" s="75" t="inlineStr">
        <x:is>
          <x:t xml:space="preserve">M21, R21</x:t>
        </x:is>
      </x:c>
    </x:row>
    <x:row r="27">
      <x:c r="A27" s="75" t="inlineStr">
        <x:is>
          <x:t xml:space="preserve">LOG_Working</x:t>
        </x:is>
      </x:c>
      <x:c r="B27" s="74" t="inlineStr">
        <x:is>
          <x:t xml:space="preserve">M22</x:t>
        </x:is>
      </x:c>
      <x:c r="C27" s="75">
        <x:f>J22*K22</x:f>
        <x:v>0</x:v>
      </x:c>
      <x:c r="D27" s="74" t="n">
        <x:v>720000</x:v>
      </x:c>
      <x:c r="E27" s="74" t="inlineStr">
        <x:is>
          <x:t xml:space="preserve">OK</x:t>
        </x:is>
      </x:c>
      <x:c r="F27" s="75" t="inlineStr">
        <x:is>
          <x:t xml:space="preserve">J22, K22</x:t>
        </x:is>
      </x:c>
    </x:row>
    <x:row r="28">
      <x:c r="A28" s="75" t="inlineStr">
        <x:is>
          <x:t xml:space="preserve">LOG_Working</x:t>
        </x:is>
      </x:c>
      <x:c r="B28" s="74" t="inlineStr">
        <x:is>
          <x:t xml:space="preserve">S22</x:t>
        </x:is>
      </x:c>
      <x:c r="C28" s="75">
        <x:f>M22*R22</x:f>
        <x:v>0</x:v>
      </x:c>
      <x:c r="D28" s="74" t="n">
        <x:v>7200</x:v>
      </x:c>
      <x:c r="E28" s="74" t="inlineStr">
        <x:is>
          <x:t xml:space="preserve">OK</x:t>
        </x:is>
      </x:c>
      <x:c r="F28" s="75" t="inlineStr">
        <x:is>
          <x:t xml:space="preserve">M22, R22</x:t>
        </x:is>
      </x:c>
    </x:row>
    <x:row r="29">
      <x:c r="A29" s="75" t="inlineStr">
        <x:is>
          <x:t xml:space="preserve">LOG_Working</x:t>
        </x:is>
      </x:c>
      <x:c r="B29" s="74" t="inlineStr">
        <x:is>
          <x:t xml:space="preserve">M23</x:t>
        </x:is>
      </x:c>
      <x:c r="C29" s="75">
        <x:f>J23*K23</x:f>
        <x:v>0</x:v>
      </x:c>
      <x:c r="D29" s="74" t="n">
        <x:v>640000</x:v>
      </x:c>
      <x:c r="E29" s="74" t="inlineStr">
        <x:is>
          <x:t xml:space="preserve">OK</x:t>
        </x:is>
      </x:c>
      <x:c r="F29" s="75" t="inlineStr">
        <x:is>
          <x:t xml:space="preserve">J23, K23</x:t>
        </x:is>
      </x:c>
    </x:row>
    <x:row r="30">
      <x:c r="A30" s="75" t="inlineStr">
        <x:is>
          <x:t xml:space="preserve">LOG_Working</x:t>
        </x:is>
      </x:c>
      <x:c r="B30" s="74" t="inlineStr">
        <x:is>
          <x:t xml:space="preserve">S23</x:t>
        </x:is>
      </x:c>
      <x:c r="C30" s="75">
        <x:f>M23*R23</x:f>
        <x:v>0</x:v>
      </x:c>
      <x:c r="D30" s="74" t="n">
        <x:v>6400</x:v>
      </x:c>
      <x:c r="E30" s="74" t="inlineStr">
        <x:is>
          <x:t xml:space="preserve">OK</x:t>
        </x:is>
      </x:c>
      <x:c r="F30" s="75" t="inlineStr">
        <x:is>
          <x:t xml:space="preserve">M23, R23</x:t>
        </x:is>
      </x:c>
    </x:row>
    <x:row r="31">
      <x:c r="A31" s="75" t="inlineStr">
        <x:is>
          <x:t xml:space="preserve">LOG_Working</x:t>
        </x:is>
      </x:c>
      <x:c r="B31" s="74" t="inlineStr">
        <x:is>
          <x:t xml:space="preserve">M24</x:t>
        </x:is>
      </x:c>
      <x:c r="C31" s="75">
        <x:f>J24*K24</x:f>
        <x:v>0</x:v>
      </x:c>
      <x:c r="D31" s="74" t="n">
        <x:v>60000</x:v>
      </x:c>
      <x:c r="E31" s="74" t="inlineStr">
        <x:is>
          <x:t xml:space="preserve">OK</x:t>
        </x:is>
      </x:c>
      <x:c r="F31" s="75" t="inlineStr">
        <x:is>
          <x:t xml:space="preserve">J24, K24</x:t>
        </x:is>
      </x:c>
    </x:row>
    <x:row r="32">
      <x:c r="A32" s="75" t="inlineStr">
        <x:is>
          <x:t xml:space="preserve">LOG_Working</x:t>
        </x:is>
      </x:c>
      <x:c r="B32" s="74" t="inlineStr">
        <x:is>
          <x:t xml:space="preserve">S24</x:t>
        </x:is>
      </x:c>
      <x:c r="C32" s="75">
        <x:f>M24*R24</x:f>
        <x:v>0</x:v>
      </x:c>
      <x:c r="D32" s="74" t="n">
        <x:v>600</x:v>
      </x:c>
      <x:c r="E32" s="74" t="inlineStr">
        <x:is>
          <x:t xml:space="preserve">OK</x:t>
        </x:is>
      </x:c>
      <x:c r="F32" s="75" t="inlineStr">
        <x:is>
          <x:t xml:space="preserve">M24, R24</x:t>
        </x:is>
      </x:c>
    </x:row>
    <x:row r="33">
      <x:c r="A33" s="75" t="inlineStr">
        <x:is>
          <x:t xml:space="preserve">LOG_Working</x:t>
        </x:is>
      </x:c>
      <x:c r="B33" s="74" t="inlineStr">
        <x:is>
          <x:t xml:space="preserve">M25</x:t>
        </x:is>
      </x:c>
      <x:c r="C33" s="75">
        <x:f>J25*K25</x:f>
        <x:v>0</x:v>
      </x:c>
      <x:c r="D33" s="74" t="n">
        <x:v>360000</x:v>
      </x:c>
      <x:c r="E33" s="74" t="inlineStr">
        <x:is>
          <x:t xml:space="preserve">OK</x:t>
        </x:is>
      </x:c>
      <x:c r="F33" s="75" t="inlineStr">
        <x:is>
          <x:t xml:space="preserve">J25, K25</x:t>
        </x:is>
      </x:c>
    </x:row>
    <x:row r="34">
      <x:c r="A34" s="75" t="inlineStr">
        <x:is>
          <x:t xml:space="preserve">LOG_Working</x:t>
        </x:is>
      </x:c>
      <x:c r="B34" s="74" t="inlineStr">
        <x:is>
          <x:t xml:space="preserve">S25</x:t>
        </x:is>
      </x:c>
      <x:c r="C34" s="75">
        <x:f>M25*R25</x:f>
        <x:v>0</x:v>
      </x:c>
      <x:c r="D34" s="74" t="n">
        <x:v>3600</x:v>
      </x:c>
      <x:c r="E34" s="74" t="inlineStr">
        <x:is>
          <x:t xml:space="preserve">OK</x:t>
        </x:is>
      </x:c>
      <x:c r="F34" s="75" t="inlineStr">
        <x:is>
          <x:t xml:space="preserve">M25, R25</x:t>
        </x:is>
      </x:c>
    </x:row>
    <x:row r="35">
      <x:c r="A35" s="75" t="inlineStr">
        <x:is>
          <x:t xml:space="preserve">LOG_Working</x:t>
        </x:is>
      </x:c>
      <x:c r="B35" s="74" t="inlineStr">
        <x:is>
          <x:t xml:space="preserve">M26</x:t>
        </x:is>
      </x:c>
      <x:c r="C35" s="75">
        <x:f>J26*K26</x:f>
        <x:v>0</x:v>
      </x:c>
      <x:c r="D35" s="74" t="n">
        <x:v>80000</x:v>
      </x:c>
      <x:c r="E35" s="74" t="inlineStr">
        <x:is>
          <x:t xml:space="preserve">OK</x:t>
        </x:is>
      </x:c>
      <x:c r="F35" s="75" t="inlineStr">
        <x:is>
          <x:t xml:space="preserve">J26, K26</x:t>
        </x:is>
      </x:c>
    </x:row>
    <x:row r="36">
      <x:c r="A36" s="75" t="inlineStr">
        <x:is>
          <x:t xml:space="preserve">LOG_Working</x:t>
        </x:is>
      </x:c>
      <x:c r="B36" s="74" t="inlineStr">
        <x:is>
          <x:t xml:space="preserve">S26</x:t>
        </x:is>
      </x:c>
      <x:c r="C36" s="75">
        <x:f>M26*R26</x:f>
        <x:v>0</x:v>
      </x:c>
      <x:c r="D36" s="74" t="n">
        <x:v>2400</x:v>
      </x:c>
      <x:c r="E36" s="74" t="inlineStr">
        <x:is>
          <x:t xml:space="preserve">OK</x:t>
        </x:is>
      </x:c>
      <x:c r="F36" s="75" t="inlineStr">
        <x:is>
          <x:t xml:space="preserve">M26, R26</x:t>
        </x:is>
      </x:c>
    </x:row>
    <x:row r="37">
      <x:c r="A37" s="75" t="inlineStr">
        <x:is>
          <x:t xml:space="preserve">LOG_Working</x:t>
        </x:is>
      </x:c>
      <x:c r="B37" s="74" t="inlineStr">
        <x:is>
          <x:t xml:space="preserve">M27</x:t>
        </x:is>
      </x:c>
      <x:c r="C37" s="75">
        <x:f>J27*K27</x:f>
        <x:v>0</x:v>
      </x:c>
      <x:c r="D37" s="74" t="n">
        <x:v>70000</x:v>
      </x:c>
      <x:c r="E37" s="74" t="inlineStr">
        <x:is>
          <x:t xml:space="preserve">OK</x:t>
        </x:is>
      </x:c>
      <x:c r="F37" s="75" t="inlineStr">
        <x:is>
          <x:t xml:space="preserve">J27, K27</x:t>
        </x:is>
      </x:c>
    </x:row>
    <x:row r="38">
      <x:c r="A38" s="75" t="inlineStr">
        <x:is>
          <x:t xml:space="preserve">LOG_Working</x:t>
        </x:is>
      </x:c>
      <x:c r="B38" s="74" t="inlineStr">
        <x:is>
          <x:t xml:space="preserve">S27</x:t>
        </x:is>
      </x:c>
      <x:c r="C38" s="75">
        <x:f>M27*R27</x:f>
        <x:v>0</x:v>
      </x:c>
      <x:c r="D38" s="74" t="n">
        <x:v>1400</x:v>
      </x:c>
      <x:c r="E38" s="74" t="inlineStr">
        <x:is>
          <x:t xml:space="preserve">OK</x:t>
        </x:is>
      </x:c>
      <x:c r="F38" s="75" t="inlineStr">
        <x:is>
          <x:t xml:space="preserve">M27, R27</x:t>
        </x:is>
      </x:c>
    </x:row>
    <x:row r="39">
      <x:c r="A39" s="75" t="inlineStr">
        <x:is>
          <x:t xml:space="preserve">LOG_Working</x:t>
        </x:is>
      </x:c>
      <x:c r="B39" s="74" t="inlineStr">
        <x:is>
          <x:t xml:space="preserve">M28</x:t>
        </x:is>
      </x:c>
      <x:c r="C39" s="75">
        <x:f>J28*K28</x:f>
        <x:v>0</x:v>
      </x:c>
      <x:c r="D39" s="74" t="n">
        <x:v>160000</x:v>
      </x:c>
      <x:c r="E39" s="74" t="inlineStr">
        <x:is>
          <x:t xml:space="preserve">OK</x:t>
        </x:is>
      </x:c>
      <x:c r="F39" s="75" t="inlineStr">
        <x:is>
          <x:t xml:space="preserve">J28, K28</x:t>
        </x:is>
      </x:c>
    </x:row>
    <x:row r="40">
      <x:c r="A40" s="75" t="inlineStr">
        <x:is>
          <x:t xml:space="preserve">LOG_Working</x:t>
        </x:is>
      </x:c>
      <x:c r="B40" s="74" t="inlineStr">
        <x:is>
          <x:t xml:space="preserve">S28</x:t>
        </x:is>
      </x:c>
      <x:c r="C40" s="75">
        <x:f>M28*R28</x:f>
        <x:v>0</x:v>
      </x:c>
      <x:c r="D40" s="74" t="n">
        <x:v>8000</x:v>
      </x:c>
      <x:c r="E40" s="74" t="inlineStr">
        <x:is>
          <x:t xml:space="preserve">OK</x:t>
        </x:is>
      </x:c>
      <x:c r="F40" s="75" t="inlineStr">
        <x:is>
          <x:t xml:space="preserve">M28, R28</x:t>
        </x:is>
      </x:c>
    </x:row>
    <x:row r="41">
      <x:c r="A41" s="75" t="inlineStr">
        <x:is>
          <x:t xml:space="preserve">LOG_Working</x:t>
        </x:is>
      </x:c>
      <x:c r="B41" s="74" t="inlineStr">
        <x:is>
          <x:t xml:space="preserve">M29</x:t>
        </x:is>
      </x:c>
      <x:c r="C41" s="75">
        <x:f>J29*K29</x:f>
        <x:v>0</x:v>
      </x:c>
      <x:c r="D41" s="74" t="n">
        <x:v>40000</x:v>
      </x:c>
      <x:c r="E41" s="74" t="inlineStr">
        <x:is>
          <x:t xml:space="preserve">OK</x:t>
        </x:is>
      </x:c>
      <x:c r="F41" s="75" t="inlineStr">
        <x:is>
          <x:t xml:space="preserve">J29, K29</x:t>
        </x:is>
      </x:c>
    </x:row>
    <x:row r="42">
      <x:c r="A42" s="75" t="inlineStr">
        <x:is>
          <x:t xml:space="preserve">LOG_Working</x:t>
        </x:is>
      </x:c>
      <x:c r="B42" s="74" t="inlineStr">
        <x:is>
          <x:t xml:space="preserve">S29</x:t>
        </x:is>
      </x:c>
      <x:c r="C42" s="75">
        <x:f>M29*R29</x:f>
        <x:v>0</x:v>
      </x:c>
      <x:c r="D42" s="74" t="n">
        <x:v>400</x:v>
      </x:c>
      <x:c r="E42" s="74" t="inlineStr">
        <x:is>
          <x:t xml:space="preserve">OK</x:t>
        </x:is>
      </x:c>
      <x:c r="F42" s="75" t="inlineStr">
        <x:is>
          <x:t xml:space="preserve">M29, R29</x:t>
        </x:is>
      </x:c>
    </x:row>
    <x:row r="43">
      <x:c r="A43" s="75" t="inlineStr">
        <x:is>
          <x:t xml:space="preserve">LOG_Working</x:t>
        </x:is>
      </x:c>
      <x:c r="B43" s="74" t="inlineStr">
        <x:is>
          <x:t xml:space="preserve">M30</x:t>
        </x:is>
      </x:c>
      <x:c r="C43" s="75">
        <x:f>J30*K30</x:f>
        <x:v>0</x:v>
      </x:c>
      <x:c r="D43" s="74" t="n">
        <x:v>420000</x:v>
      </x:c>
      <x:c r="E43" s="74" t="inlineStr">
        <x:is>
          <x:t xml:space="preserve">OK</x:t>
        </x:is>
      </x:c>
      <x:c r="F43" s="75" t="inlineStr">
        <x:is>
          <x:t xml:space="preserve">J30, K30</x:t>
        </x:is>
      </x:c>
    </x:row>
    <x:row r="44">
      <x:c r="A44" s="75" t="inlineStr">
        <x:is>
          <x:t xml:space="preserve">LOG_Working</x:t>
        </x:is>
      </x:c>
      <x:c r="B44" s="74" t="inlineStr">
        <x:is>
          <x:t xml:space="preserve">S30</x:t>
        </x:is>
      </x:c>
      <x:c r="C44" s="75">
        <x:f>M30*R30</x:f>
        <x:v>0</x:v>
      </x:c>
      <x:c r="D44" s="74" t="n">
        <x:v>2100</x:v>
      </x:c>
      <x:c r="E44" s="74" t="inlineStr">
        <x:is>
          <x:t xml:space="preserve">OK</x:t>
        </x:is>
      </x:c>
      <x:c r="F44" s="75" t="inlineStr">
        <x:is>
          <x:t xml:space="preserve">M30, R30</x:t>
        </x:is>
      </x:c>
    </x:row>
    <x:row r="45">
      <x:c r="A45" s="75" t="inlineStr">
        <x:is>
          <x:t xml:space="preserve">LOG_Working</x:t>
        </x:is>
      </x:c>
      <x:c r="B45" s="74" t="inlineStr">
        <x:is>
          <x:t xml:space="preserve">M31</x:t>
        </x:is>
      </x:c>
      <x:c r="C45" s="75">
        <x:f>J31*K31</x:f>
        <x:v>0</x:v>
      </x:c>
      <x:c r="D45" s="74" t="n">
        <x:v>50000</x:v>
      </x:c>
      <x:c r="E45" s="74" t="inlineStr">
        <x:is>
          <x:t xml:space="preserve">OK</x:t>
        </x:is>
      </x:c>
      <x:c r="F45" s="75" t="inlineStr">
        <x:is>
          <x:t xml:space="preserve">J31, K31</x:t>
        </x:is>
      </x:c>
    </x:row>
    <x:row r="46">
      <x:c r="A46" s="75" t="inlineStr">
        <x:is>
          <x:t xml:space="preserve">LOG_Working</x:t>
        </x:is>
      </x:c>
      <x:c r="B46" s="74" t="inlineStr">
        <x:is>
          <x:t xml:space="preserve">S31</x:t>
        </x:is>
      </x:c>
      <x:c r="C46" s="75">
        <x:f>M31*R31</x:f>
        <x:v>0</x:v>
      </x:c>
      <x:c r="D46" s="74" t="n">
        <x:v>1000</x:v>
      </x:c>
      <x:c r="E46" s="74" t="inlineStr">
        <x:is>
          <x:t xml:space="preserve">OK</x:t>
        </x:is>
      </x:c>
      <x:c r="F46" s="75" t="inlineStr">
        <x:is>
          <x:t xml:space="preserve">M31, R31</x:t>
        </x:is>
      </x:c>
    </x:row>
    <x:row r="47">
      <x:c r="A47" s="75" t="inlineStr">
        <x:is>
          <x:t xml:space="preserve">LOG_Working</x:t>
        </x:is>
      </x:c>
      <x:c r="B47" s="74" t="inlineStr">
        <x:is>
          <x:t xml:space="preserve">M32</x:t>
        </x:is>
      </x:c>
      <x:c r="C47" s="75">
        <x:f>J32*K32</x:f>
        <x:v>0</x:v>
      </x:c>
      <x:c r="D47" s="74" t="n">
        <x:v>160000</x:v>
      </x:c>
      <x:c r="E47" s="74" t="inlineStr">
        <x:is>
          <x:t xml:space="preserve">OK</x:t>
        </x:is>
      </x:c>
      <x:c r="F47" s="75" t="inlineStr">
        <x:is>
          <x:t xml:space="preserve">J32, K32</x:t>
        </x:is>
      </x:c>
    </x:row>
    <x:row r="48">
      <x:c r="A48" s="75" t="inlineStr">
        <x:is>
          <x:t xml:space="preserve">LOG_Working</x:t>
        </x:is>
      </x:c>
      <x:c r="B48" s="74" t="inlineStr">
        <x:is>
          <x:t xml:space="preserve">S32</x:t>
        </x:is>
      </x:c>
      <x:c r="C48" s="75">
        <x:f>M32*R32</x:f>
        <x:v>0</x:v>
      </x:c>
      <x:c r="D48" s="74" t="n">
        <x:v>3200</x:v>
      </x:c>
      <x:c r="E48" s="74" t="inlineStr">
        <x:is>
          <x:t xml:space="preserve">OK</x:t>
        </x:is>
      </x:c>
      <x:c r="F48" s="75" t="inlineStr">
        <x:is>
          <x:t xml:space="preserve">M32, R32</x:t>
        </x:is>
      </x:c>
    </x:row>
    <x:row r="49">
      <x:c r="A49" s="75" t="inlineStr">
        <x:is>
          <x:t xml:space="preserve">LOG_Working</x:t>
        </x:is>
      </x:c>
      <x:c r="B49" s="74" t="inlineStr">
        <x:is>
          <x:t xml:space="preserve">M33</x:t>
        </x:is>
      </x:c>
      <x:c r="C49" s="75">
        <x:f>J33*K33</x:f>
        <x:v>0</x:v>
      </x:c>
      <x:c r="D49" s="74" t="n">
        <x:v>25000</x:v>
      </x:c>
      <x:c r="E49" s="74" t="inlineStr">
        <x:is>
          <x:t xml:space="preserve">OK</x:t>
        </x:is>
      </x:c>
      <x:c r="F49" s="75" t="inlineStr">
        <x:is>
          <x:t xml:space="preserve">J33, K33</x:t>
        </x:is>
      </x:c>
    </x:row>
    <x:row r="50">
      <x:c r="A50" s="75" t="inlineStr">
        <x:is>
          <x:t xml:space="preserve">LOG_Working</x:t>
        </x:is>
      </x:c>
      <x:c r="B50" s="74" t="inlineStr">
        <x:is>
          <x:t xml:space="preserve">S33</x:t>
        </x:is>
      </x:c>
      <x:c r="C50" s="75">
        <x:f>M33*R33</x:f>
        <x:v>0</x:v>
      </x:c>
      <x:c r="D50" s="74" t="n">
        <x:v>500</x:v>
      </x:c>
      <x:c r="E50" s="74" t="inlineStr">
        <x:is>
          <x:t xml:space="preserve">OK</x:t>
        </x:is>
      </x:c>
      <x:c r="F50" s="75" t="inlineStr">
        <x:is>
          <x:t xml:space="preserve">M33, R33</x:t>
        </x:is>
      </x:c>
    </x:row>
    <x:row r="51">
      <x:c r="A51" s="75" t="inlineStr">
        <x:is>
          <x:t xml:space="preserve">Zone_Summary</x:t>
        </x:is>
      </x:c>
      <x:c r="B51" s="74" t="inlineStr">
        <x:is>
          <x:t xml:space="preserve">B4</x:t>
        </x:is>
      </x:c>
      <x:c r="C51" s="75">
        <x:f>COUNTIF(LOG_Working!$G$12:$G$33,A4)</x:f>
        <x:v>0</x:v>
      </x:c>
      <x:c r="D51" s="74" t="n">
        <x:v>2</x:v>
      </x:c>
      <x:c r="E51" s="74" t="inlineStr">
        <x:is>
          <x:t xml:space="preserve">OK</x:t>
        </x:is>
      </x:c>
      <x:c r="F51" s="75" t="inlineStr">
        <x:is>
          <x:t xml:space="preserve">$G$33, A4, LOG_Working!$G$12, LOG_Working!$G$12:$G$33</x:t>
        </x:is>
      </x:c>
    </x:row>
    <x:row r="52">
      <x:c r="A52" s="75" t="inlineStr">
        <x:is>
          <x:t xml:space="preserve">Zone_Summary</x:t>
        </x:is>
      </x:c>
      <x:c r="B52" s="74" t="inlineStr">
        <x:is>
          <x:t xml:space="preserve">C4</x:t>
        </x:is>
      </x:c>
      <x:c r="C52" s="75">
        <x:f>SUMIF(LOG_Working!$G$12:$G$33,A4,LOG_Working!$M$12:$M$33)</x:f>
        <x:v>0</x:v>
      </x:c>
      <x:c r="D52" s="74" t="n">
        <x:v>3820000</x:v>
      </x:c>
      <x:c r="E52" s="74" t="inlineStr">
        <x:is>
          <x:t xml:space="preserve">OK</x:t>
        </x:is>
      </x:c>
      <x:c r="F52" s="75" t="inlineStr">
        <x:is>
          <x:t xml:space="preserve">$G$33, $M$33, A4, LOG_Working!$G$12, LOG_Working!$G$12:$G$33, LOG_Working!$M$12, LOG_Working!$M$12:$M$33</x:t>
        </x:is>
      </x:c>
    </x:row>
    <x:row r="53">
      <x:c r="A53" s="75" t="inlineStr">
        <x:is>
          <x:t xml:space="preserve">Zone_Summary</x:t>
        </x:is>
      </x:c>
      <x:c r="B53" s="74" t="inlineStr">
        <x:is>
          <x:t xml:space="preserve">D4</x:t>
        </x:is>
      </x:c>
      <x:c r="C53" s="75">
        <x:f>SUMIF(LOG_Working!$G$12:$G$33,A4,LOG_Working!$N$12:$N$33)</x:f>
        <x:v>0</x:v>
      </x:c>
      <x:c r="D53" s="74" t="n">
        <x:v>60</x:v>
      </x:c>
      <x:c r="E53" s="74" t="inlineStr">
        <x:is>
          <x:t xml:space="preserve">OK</x:t>
        </x:is>
      </x:c>
      <x:c r="F53" s="75" t="inlineStr">
        <x:is>
          <x:t xml:space="preserve">$G$33, $N$33, A4, LOG_Working!$G$12, LOG_Working!$G$12:$G$33, LOG_Working!$N$12, LOG_Working!$N$12:$N$33</x:t>
        </x:is>
      </x:c>
    </x:row>
    <x:row r="54">
      <x:c r="A54" s="75" t="inlineStr">
        <x:is>
          <x:t xml:space="preserve">Zone_Summary</x:t>
        </x:is>
      </x:c>
      <x:c r="B54" s="74" t="inlineStr">
        <x:is>
          <x:t xml:space="preserve">E4</x:t>
        </x:is>
      </x:c>
      <x:c r="C54" s="75">
        <x:f>C4/LOG_Working!$B$7</x:f>
        <x:v>0</x:v>
      </x:c>
      <x:c r="D54" s="74" t="n">
        <x:v>0.2473292327614115</x:v>
      </x:c>
      <x:c r="E54" s="74" t="inlineStr">
        <x:is>
          <x:t xml:space="preserve">OK</x:t>
        </x:is>
      </x:c>
      <x:c r="F54" s="75" t="inlineStr">
        <x:is>
          <x:t xml:space="preserve">C4, LOG_Working!$B$7</x:t>
        </x:is>
      </x:c>
    </x:row>
    <x:row r="55">
      <x:c r="A55" s="75" t="inlineStr">
        <x:is>
          <x:t xml:space="preserve">Zone_Summary</x:t>
        </x:is>
      </x:c>
      <x:c r="B55" s="74" t="inlineStr">
        <x:is>
          <x:t xml:space="preserve">H4</x:t>
        </x:is>
      </x:c>
      <x:c r="C55" s="75">
        <x:f>C4-G4</x:f>
        <x:v>0</x:v>
      </x:c>
      <x:c r="D55" s="74" t="n">
        <x:v>0</x:v>
      </x:c>
      <x:c r="E55" s="74" t="inlineStr">
        <x:is>
          <x:t xml:space="preserve">OK</x:t>
        </x:is>
      </x:c>
      <x:c r="F55" s="75" t="inlineStr">
        <x:is>
          <x:t xml:space="preserve">C4, G4</x:t>
        </x:is>
      </x:c>
    </x:row>
    <x:row r="56">
      <x:c r="A56" s="75" t="inlineStr">
        <x:is>
          <x:t xml:space="preserve">Zone_Summary</x:t>
        </x:is>
      </x:c>
      <x:c r="B56" s="74" t="inlineStr">
        <x:is>
          <x:t xml:space="preserve">I4</x:t>
        </x:is>
      </x:c>
      <x:c r="C56" s="75" t="str">
        <x:f>IF(F4="No","Missing in user summary",IF(ABS(H4)&lt;0.01,"OK","Check delta"))</x:f>
        <x:v>OK</x:v>
      </x:c>
      <x:c r="D56" s="74" t="inlineStr">
        <x:is>
          <x:t xml:space="preserve">OK</x:t>
        </x:is>
      </x:c>
      <x:c r="E56" s="74" t="inlineStr">
        <x:is>
          <x:t xml:space="preserve">OK</x:t>
        </x:is>
      </x:c>
      <x:c r="F56" s="75" t="inlineStr">
        <x:is>
          <x:t xml:space="preserve">F4, H4</x:t>
        </x:is>
      </x:c>
    </x:row>
    <x:row r="57">
      <x:c r="A57" s="75" t="inlineStr">
        <x:is>
          <x:t xml:space="preserve">Zone_Summary</x:t>
        </x:is>
      </x:c>
      <x:c r="B57" s="74" t="inlineStr">
        <x:is>
          <x:t xml:space="preserve">B5</x:t>
        </x:is>
      </x:c>
      <x:c r="C57" s="75">
        <x:f>COUNTIF(LOG_Working!$G$12:$G$33,A5)</x:f>
        <x:v>0</x:v>
      </x:c>
      <x:c r="D57" s="74" t="n">
        <x:v>2</x:v>
      </x:c>
      <x:c r="E57" s="74" t="inlineStr">
        <x:is>
          <x:t xml:space="preserve">OK</x:t>
        </x:is>
      </x:c>
      <x:c r="F57" s="75" t="inlineStr">
        <x:is>
          <x:t xml:space="preserve">$G$33, A5, LOG_Working!$G$12, LOG_Working!$G$12:$G$33</x:t>
        </x:is>
      </x:c>
    </x:row>
    <x:row r="58">
      <x:c r="A58" s="75" t="inlineStr">
        <x:is>
          <x:t xml:space="preserve">Zone_Summary</x:t>
        </x:is>
      </x:c>
      <x:c r="B58" s="74" t="inlineStr">
        <x:is>
          <x:t xml:space="preserve">C5</x:t>
        </x:is>
      </x:c>
      <x:c r="C58" s="75">
        <x:f>SUMIF(LOG_Working!$G$12:$G$33,A5,LOG_Working!$M$12:$M$33)</x:f>
        <x:v>0</x:v>
      </x:c>
      <x:c r="D58" s="74" t="n">
        <x:v>3160000</x:v>
      </x:c>
      <x:c r="E58" s="74" t="inlineStr">
        <x:is>
          <x:t xml:space="preserve">OK</x:t>
        </x:is>
      </x:c>
      <x:c r="F58" s="75" t="inlineStr">
        <x:is>
          <x:t xml:space="preserve">$G$33, $M$33, A5, LOG_Working!$G$12, LOG_Working!$G$12:$G$33, LOG_Working!$M$12, LOG_Working!$M$12:$M$33</x:t>
        </x:is>
      </x:c>
    </x:row>
    <x:row r="59">
      <x:c r="A59" s="75" t="inlineStr">
        <x:is>
          <x:t xml:space="preserve">Zone_Summary</x:t>
        </x:is>
      </x:c>
      <x:c r="B59" s="74" t="inlineStr">
        <x:is>
          <x:t xml:space="preserve">D5</x:t>
        </x:is>
      </x:c>
      <x:c r="C59" s="75">
        <x:f>SUMIF(LOG_Working!$G$12:$G$33,A5,LOG_Working!$N$12:$N$33)</x:f>
        <x:v>0</x:v>
      </x:c>
      <x:c r="D59" s="74" t="n">
        <x:v>42</x:v>
      </x:c>
      <x:c r="E59" s="74" t="inlineStr">
        <x:is>
          <x:t xml:space="preserve">OK</x:t>
        </x:is>
      </x:c>
      <x:c r="F59" s="75" t="inlineStr">
        <x:is>
          <x:t xml:space="preserve">$G$33, $N$33, A5, LOG_Working!$G$12, LOG_Working!$G$12:$G$33, LOG_Working!$N$12, LOG_Working!$N$12:$N$33</x:t>
        </x:is>
      </x:c>
    </x:row>
    <x:row r="60">
      <x:c r="A60" s="75" t="inlineStr">
        <x:is>
          <x:t xml:space="preserve">Zone_Summary</x:t>
        </x:is>
      </x:c>
      <x:c r="B60" s="74" t="inlineStr">
        <x:is>
          <x:t xml:space="preserve">E5</x:t>
        </x:is>
      </x:c>
      <x:c r="C60" s="75">
        <x:f>C5/LOG_Working!$B$7</x:f>
        <x:v>0</x:v>
      </x:c>
      <x:c r="D60" s="74" t="n">
        <x:v>0.2045969569439948</x:v>
      </x:c>
      <x:c r="E60" s="74" t="inlineStr">
        <x:is>
          <x:t xml:space="preserve">OK</x:t>
        </x:is>
      </x:c>
      <x:c r="F60" s="75" t="inlineStr">
        <x:is>
          <x:t xml:space="preserve">C5, LOG_Working!$B$7</x:t>
        </x:is>
      </x:c>
    </x:row>
    <x:row r="61">
      <x:c r="A61" s="75" t="inlineStr">
        <x:is>
          <x:t xml:space="preserve">Zone_Summary</x:t>
        </x:is>
      </x:c>
      <x:c r="B61" s="74" t="inlineStr">
        <x:is>
          <x:t xml:space="preserve">H5</x:t>
        </x:is>
      </x:c>
      <x:c r="C61" s="75">
        <x:f>C5-G5</x:f>
        <x:v>0</x:v>
      </x:c>
      <x:c r="D61" s="74" t="n">
        <x:v>0</x:v>
      </x:c>
      <x:c r="E61" s="74" t="inlineStr">
        <x:is>
          <x:t xml:space="preserve">OK</x:t>
        </x:is>
      </x:c>
      <x:c r="F61" s="75" t="inlineStr">
        <x:is>
          <x:t xml:space="preserve">C5, G5</x:t>
        </x:is>
      </x:c>
    </x:row>
    <x:row r="62">
      <x:c r="A62" s="75" t="inlineStr">
        <x:is>
          <x:t xml:space="preserve">Zone_Summary</x:t>
        </x:is>
      </x:c>
      <x:c r="B62" s="74" t="inlineStr">
        <x:is>
          <x:t xml:space="preserve">I5</x:t>
        </x:is>
      </x:c>
      <x:c r="C62" s="75" t="str">
        <x:f>IF(F5="No","Missing in user summary",IF(ABS(H5)&lt;0.01,"OK","Check delta"))</x:f>
        <x:v>OK</x:v>
      </x:c>
      <x:c r="D62" s="74" t="inlineStr">
        <x:is>
          <x:t xml:space="preserve">OK</x:t>
        </x:is>
      </x:c>
      <x:c r="E62" s="74" t="inlineStr">
        <x:is>
          <x:t xml:space="preserve">OK</x:t>
        </x:is>
      </x:c>
      <x:c r="F62" s="75" t="inlineStr">
        <x:is>
          <x:t xml:space="preserve">F5, H5</x:t>
        </x:is>
      </x:c>
    </x:row>
    <x:row r="63">
      <x:c r="A63" s="75" t="inlineStr">
        <x:is>
          <x:t xml:space="preserve">Zone_Summary</x:t>
        </x:is>
      </x:c>
      <x:c r="B63" s="74" t="inlineStr">
        <x:is>
          <x:t xml:space="preserve">B6</x:t>
        </x:is>
      </x:c>
      <x:c r="C63" s="75">
        <x:f>COUNTIF(LOG_Working!$G$12:$G$33,A6)</x:f>
        <x:v>0</x:v>
      </x:c>
      <x:c r="D63" s="74" t="n">
        <x:v>3</x:v>
      </x:c>
      <x:c r="E63" s="74" t="inlineStr">
        <x:is>
          <x:t xml:space="preserve">OK</x:t>
        </x:is>
      </x:c>
      <x:c r="F63" s="75" t="inlineStr">
        <x:is>
          <x:t xml:space="preserve">$G$33, A6, LOG_Working!$G$12, LOG_Working!$G$12:$G$33</x:t>
        </x:is>
      </x:c>
    </x:row>
    <x:row r="64">
      <x:c r="A64" s="75" t="inlineStr">
        <x:is>
          <x:t xml:space="preserve">Zone_Summary</x:t>
        </x:is>
      </x:c>
      <x:c r="B64" s="74" t="inlineStr">
        <x:is>
          <x:t xml:space="preserve">C6</x:t>
        </x:is>
      </x:c>
      <x:c r="C64" s="75">
        <x:f>SUMIF(LOG_Working!$G$12:$G$33,A6,LOG_Working!$M$12:$M$33)</x:f>
        <x:v>0</x:v>
      </x:c>
      <x:c r="D64" s="74" t="n">
        <x:v>2780000</x:v>
      </x:c>
      <x:c r="E64" s="74" t="inlineStr">
        <x:is>
          <x:t xml:space="preserve">OK</x:t>
        </x:is>
      </x:c>
      <x:c r="F64" s="75" t="inlineStr">
        <x:is>
          <x:t xml:space="preserve">$G$33, $M$33, A6, LOG_Working!$G$12, LOG_Working!$G$12:$G$33, LOG_Working!$M$12, LOG_Working!$M$12:$M$33</x:t>
        </x:is>
      </x:c>
    </x:row>
    <x:row r="65">
      <x:c r="A65" s="75" t="inlineStr">
        <x:is>
          <x:t xml:space="preserve">Zone_Summary</x:t>
        </x:is>
      </x:c>
      <x:c r="B65" s="74" t="inlineStr">
        <x:is>
          <x:t xml:space="preserve">D6</x:t>
        </x:is>
      </x:c>
      <x:c r="C65" s="75">
        <x:f>SUMIF(LOG_Working!$G$12:$G$33,A6,LOG_Working!$N$12:$N$33)</x:f>
        <x:v>0</x:v>
      </x:c>
      <x:c r="D65" s="74" t="n">
        <x:v>44</x:v>
      </x:c>
      <x:c r="E65" s="74" t="inlineStr">
        <x:is>
          <x:t xml:space="preserve">OK</x:t>
        </x:is>
      </x:c>
      <x:c r="F65" s="75" t="inlineStr">
        <x:is>
          <x:t xml:space="preserve">$G$33, $N$33, A6, LOG_Working!$G$12, LOG_Working!$G$12:$G$33, LOG_Working!$N$12, LOG_Working!$N$12:$N$33</x:t>
        </x:is>
      </x:c>
    </x:row>
    <x:row r="66">
      <x:c r="A66" s="75" t="inlineStr">
        <x:is>
          <x:t xml:space="preserve">Zone_Summary</x:t>
        </x:is>
      </x:c>
      <x:c r="B66" s="74" t="inlineStr">
        <x:is>
          <x:t xml:space="preserve">E6</x:t>
        </x:is>
      </x:c>
      <x:c r="C66" s="75">
        <x:f>C6/LOG_Working!$B$7</x:f>
        <x:v>0</x:v>
      </x:c>
      <x:c r="D66" s="74" t="n">
        <x:v>0.1799935254127549</x:v>
      </x:c>
      <x:c r="E66" s="74" t="inlineStr">
        <x:is>
          <x:t xml:space="preserve">OK</x:t>
        </x:is>
      </x:c>
      <x:c r="F66" s="75" t="inlineStr">
        <x:is>
          <x:t xml:space="preserve">C6, LOG_Working!$B$7</x:t>
        </x:is>
      </x:c>
    </x:row>
    <x:row r="67">
      <x:c r="A67" s="75" t="inlineStr">
        <x:is>
          <x:t xml:space="preserve">Zone_Summary</x:t>
        </x:is>
      </x:c>
      <x:c r="B67" s="74" t="inlineStr">
        <x:is>
          <x:t xml:space="preserve">H6</x:t>
        </x:is>
      </x:c>
      <x:c r="C67" s="75">
        <x:f>C6-G6</x:f>
        <x:v>0</x:v>
      </x:c>
      <x:c r="D67" s="74" t="n">
        <x:v>0</x:v>
      </x:c>
      <x:c r="E67" s="74" t="inlineStr">
        <x:is>
          <x:t xml:space="preserve">OK</x:t>
        </x:is>
      </x:c>
      <x:c r="F67" s="75" t="inlineStr">
        <x:is>
          <x:t xml:space="preserve">C6, G6</x:t>
        </x:is>
      </x:c>
    </x:row>
    <x:row r="68">
      <x:c r="A68" s="75" t="inlineStr">
        <x:is>
          <x:t xml:space="preserve">Zone_Summary</x:t>
        </x:is>
      </x:c>
      <x:c r="B68" s="74" t="inlineStr">
        <x:is>
          <x:t xml:space="preserve">I6</x:t>
        </x:is>
      </x:c>
      <x:c r="C68" s="75" t="str">
        <x:f>IF(F6="No","Missing in user summary",IF(ABS(H6)&lt;0.01,"OK","Check delta"))</x:f>
        <x:v>OK</x:v>
      </x:c>
      <x:c r="D68" s="74" t="inlineStr">
        <x:is>
          <x:t xml:space="preserve">OK</x:t>
        </x:is>
      </x:c>
      <x:c r="E68" s="74" t="inlineStr">
        <x:is>
          <x:t xml:space="preserve">OK</x:t>
        </x:is>
      </x:c>
      <x:c r="F68" s="75" t="inlineStr">
        <x:is>
          <x:t xml:space="preserve">F6, H6</x:t>
        </x:is>
      </x:c>
    </x:row>
    <x:row r="69">
      <x:c r="A69" s="75" t="inlineStr">
        <x:is>
          <x:t xml:space="preserve">Zone_Summary</x:t>
        </x:is>
      </x:c>
      <x:c r="B69" s="74" t="inlineStr">
        <x:is>
          <x:t xml:space="preserve">B7</x:t>
        </x:is>
      </x:c>
      <x:c r="C69" s="75">
        <x:f>COUNTIF(LOG_Working!$G$12:$G$33,A7)</x:f>
        <x:v>0</x:v>
      </x:c>
      <x:c r="D69" s="74" t="n">
        <x:v>2</x:v>
      </x:c>
      <x:c r="E69" s="74" t="inlineStr">
        <x:is>
          <x:t xml:space="preserve">OK</x:t>
        </x:is>
      </x:c>
      <x:c r="F69" s="75" t="inlineStr">
        <x:is>
          <x:t xml:space="preserve">$G$33, A7, LOG_Working!$G$12, LOG_Working!$G$12:$G$33</x:t>
        </x:is>
      </x:c>
    </x:row>
    <x:row r="70">
      <x:c r="A70" s="75" t="inlineStr">
        <x:is>
          <x:t xml:space="preserve">Zone_Summary</x:t>
        </x:is>
      </x:c>
      <x:c r="B70" s="74" t="inlineStr">
        <x:is>
          <x:t xml:space="preserve">C7</x:t>
        </x:is>
      </x:c>
      <x:c r="C70" s="75">
        <x:f>SUMIF(LOG_Working!$G$12:$G$33,A7,LOG_Working!$M$12:$M$33)</x:f>
        <x:v>0</x:v>
      </x:c>
      <x:c r="D70" s="74" t="n">
        <x:v>740000</x:v>
      </x:c>
      <x:c r="E70" s="74" t="inlineStr">
        <x:is>
          <x:t xml:space="preserve">OK</x:t>
        </x:is>
      </x:c>
      <x:c r="F70" s="75" t="inlineStr">
        <x:is>
          <x:t xml:space="preserve">$G$33, $M$33, A7, LOG_Working!$G$12, LOG_Working!$G$12:$G$33, LOG_Working!$M$12, LOG_Working!$M$12:$M$33</x:t>
        </x:is>
      </x:c>
    </x:row>
    <x:row r="71">
      <x:c r="A71" s="75" t="inlineStr">
        <x:is>
          <x:t xml:space="preserve">Zone_Summary</x:t>
        </x:is>
      </x:c>
      <x:c r="B71" s="74" t="inlineStr">
        <x:is>
          <x:t xml:space="preserve">D7</x:t>
        </x:is>
      </x:c>
      <x:c r="C71" s="75">
        <x:f>SUMIF(LOG_Working!$G$12:$G$33,A7,LOG_Working!$N$12:$N$33)</x:f>
        <x:v>0</x:v>
      </x:c>
      <x:c r="D71" s="74" t="n">
        <x:v>20</x:v>
      </x:c>
      <x:c r="E71" s="74" t="inlineStr">
        <x:is>
          <x:t xml:space="preserve">OK</x:t>
        </x:is>
      </x:c>
      <x:c r="F71" s="75" t="inlineStr">
        <x:is>
          <x:t xml:space="preserve">$G$33, $N$33, A7, LOG_Working!$G$12, LOG_Working!$G$12:$G$33, LOG_Working!$N$12, LOG_Working!$N$12:$N$33</x:t>
        </x:is>
      </x:c>
    </x:row>
    <x:row r="72">
      <x:c r="A72" s="75" t="inlineStr">
        <x:is>
          <x:t xml:space="preserve">Zone_Summary</x:t>
        </x:is>
      </x:c>
      <x:c r="B72" s="74" t="inlineStr">
        <x:is>
          <x:t xml:space="preserve">E7</x:t>
        </x:is>
      </x:c>
      <x:c r="C72" s="75">
        <x:f>C7/LOG_Working!$B$7</x:f>
        <x:v>0</x:v>
      </x:c>
      <x:c r="D72" s="74" t="n">
        <x:v>0.04791194561346714</x:v>
      </x:c>
      <x:c r="E72" s="74" t="inlineStr">
        <x:is>
          <x:t xml:space="preserve">OK</x:t>
        </x:is>
      </x:c>
      <x:c r="F72" s="75" t="inlineStr">
        <x:is>
          <x:t xml:space="preserve">C7, LOG_Working!$B$7</x:t>
        </x:is>
      </x:c>
    </x:row>
    <x:row r="73">
      <x:c r="A73" s="75" t="inlineStr">
        <x:is>
          <x:t xml:space="preserve">Zone_Summary</x:t>
        </x:is>
      </x:c>
      <x:c r="B73" s="74" t="inlineStr">
        <x:is>
          <x:t xml:space="preserve">H7</x:t>
        </x:is>
      </x:c>
      <x:c r="C73" s="75">
        <x:f>C7-G7</x:f>
        <x:v>0</x:v>
      </x:c>
      <x:c r="D73" s="74" t="n">
        <x:v>0</x:v>
      </x:c>
      <x:c r="E73" s="74" t="inlineStr">
        <x:is>
          <x:t xml:space="preserve">OK</x:t>
        </x:is>
      </x:c>
      <x:c r="F73" s="75" t="inlineStr">
        <x:is>
          <x:t xml:space="preserve">C7, G7</x:t>
        </x:is>
      </x:c>
    </x:row>
    <x:row r="74">
      <x:c r="A74" s="75" t="inlineStr">
        <x:is>
          <x:t xml:space="preserve">Zone_Summary</x:t>
        </x:is>
      </x:c>
      <x:c r="B74" s="74" t="inlineStr">
        <x:is>
          <x:t xml:space="preserve">I7</x:t>
        </x:is>
      </x:c>
      <x:c r="C74" s="75" t="str">
        <x:f>IF(F7="No","Missing in user summary",IF(ABS(H7)&lt;0.01,"OK","Check delta"))</x:f>
        <x:v>OK</x:v>
      </x:c>
      <x:c r="D74" s="74" t="inlineStr">
        <x:is>
          <x:t xml:space="preserve">OK</x:t>
        </x:is>
      </x:c>
      <x:c r="E74" s="74" t="inlineStr">
        <x:is>
          <x:t xml:space="preserve">OK</x:t>
        </x:is>
      </x:c>
      <x:c r="F74" s="75" t="inlineStr">
        <x:is>
          <x:t xml:space="preserve">F7, H7</x:t>
        </x:is>
      </x:c>
    </x:row>
    <x:row r="75">
      <x:c r="A75" s="75" t="inlineStr">
        <x:is>
          <x:t xml:space="preserve">Zone_Summary</x:t>
        </x:is>
      </x:c>
      <x:c r="B75" s="74" t="inlineStr">
        <x:is>
          <x:t xml:space="preserve">B8</x:t>
        </x:is>
      </x:c>
      <x:c r="C75" s="75">
        <x:f>COUNTIF(LOG_Working!$G$12:$G$33,A8)</x:f>
        <x:v>0</x:v>
      </x:c>
      <x:c r="D75" s="74" t="n">
        <x:v>2</x:v>
      </x:c>
      <x:c r="E75" s="74" t="inlineStr">
        <x:is>
          <x:t xml:space="preserve">OK</x:t>
        </x:is>
      </x:c>
      <x:c r="F75" s="75" t="inlineStr">
        <x:is>
          <x:t xml:space="preserve">$G$33, A8, LOG_Working!$G$12, LOG_Working!$G$12:$G$33</x:t>
        </x:is>
      </x:c>
    </x:row>
    <x:row r="76">
      <x:c r="A76" s="75" t="inlineStr">
        <x:is>
          <x:t xml:space="preserve">Zone_Summary</x:t>
        </x:is>
      </x:c>
      <x:c r="B76" s="74" t="inlineStr">
        <x:is>
          <x:t xml:space="preserve">C8</x:t>
        </x:is>
      </x:c>
      <x:c r="C76" s="75">
        <x:f>SUMIF(LOG_Working!$G$12:$G$33,A8,LOG_Working!$M$12:$M$33)</x:f>
        <x:v>0</x:v>
      </x:c>
      <x:c r="D76" s="74" t="n">
        <x:v>1750000</x:v>
      </x:c>
      <x:c r="E76" s="74" t="inlineStr">
        <x:is>
          <x:t xml:space="preserve">OK</x:t>
        </x:is>
      </x:c>
      <x:c r="F76" s="75" t="inlineStr">
        <x:is>
          <x:t xml:space="preserve">$G$33, $M$33, A8, LOG_Working!$G$12, LOG_Working!$G$12:$G$33, LOG_Working!$M$12, LOG_Working!$M$12:$M$33</x:t>
        </x:is>
      </x:c>
    </x:row>
    <x:row r="77">
      <x:c r="A77" s="75" t="inlineStr">
        <x:is>
          <x:t xml:space="preserve">Zone_Summary</x:t>
        </x:is>
      </x:c>
      <x:c r="B77" s="74" t="inlineStr">
        <x:is>
          <x:t xml:space="preserve">D8</x:t>
        </x:is>
      </x:c>
      <x:c r="C77" s="75">
        <x:f>SUMIF(LOG_Working!$G$12:$G$33,A8,LOG_Working!$N$12:$N$33)</x:f>
        <x:v>0</x:v>
      </x:c>
      <x:c r="D77" s="74" t="n">
        <x:v>13</x:v>
      </x:c>
      <x:c r="E77" s="74" t="inlineStr">
        <x:is>
          <x:t xml:space="preserve">OK</x:t>
        </x:is>
      </x:c>
      <x:c r="F77" s="75" t="inlineStr">
        <x:is>
          <x:t xml:space="preserve">$G$33, $N$33, A8, LOG_Working!$G$12, LOG_Working!$G$12:$G$33, LOG_Working!$N$12, LOG_Working!$N$12:$N$33</x:t>
        </x:is>
      </x:c>
    </x:row>
    <x:row r="78">
      <x:c r="A78" s="75" t="inlineStr">
        <x:is>
          <x:t xml:space="preserve">Zone_Summary</x:t>
        </x:is>
      </x:c>
      <x:c r="B78" s="74" t="inlineStr">
        <x:is>
          <x:t xml:space="preserve">E8</x:t>
        </x:is>
      </x:c>
      <x:c r="C78" s="75">
        <x:f>C8/LOG_Working!$B$7</x:f>
        <x:v>0</x:v>
      </x:c>
      <x:c r="D78" s="74" t="n">
        <x:v>0.1133052767886047</x:v>
      </x:c>
      <x:c r="E78" s="74" t="inlineStr">
        <x:is>
          <x:t xml:space="preserve">OK</x:t>
        </x:is>
      </x:c>
      <x:c r="F78" s="75" t="inlineStr">
        <x:is>
          <x:t xml:space="preserve">C8, LOG_Working!$B$7</x:t>
        </x:is>
      </x:c>
    </x:row>
    <x:row r="79">
      <x:c r="A79" s="75" t="inlineStr">
        <x:is>
          <x:t xml:space="preserve">Zone_Summary</x:t>
        </x:is>
      </x:c>
      <x:c r="B79" s="74" t="inlineStr">
        <x:is>
          <x:t xml:space="preserve">H8</x:t>
        </x:is>
      </x:c>
      <x:c r="C79" s="75">
        <x:f>C8-G8</x:f>
        <x:v>0</x:v>
      </x:c>
      <x:c r="D79" s="74" t="n">
        <x:v>0</x:v>
      </x:c>
      <x:c r="E79" s="74" t="inlineStr">
        <x:is>
          <x:t xml:space="preserve">OK</x:t>
        </x:is>
      </x:c>
      <x:c r="F79" s="75" t="inlineStr">
        <x:is>
          <x:t xml:space="preserve">C8, G8</x:t>
        </x:is>
      </x:c>
    </x:row>
    <x:row r="80">
      <x:c r="A80" s="75" t="inlineStr">
        <x:is>
          <x:t xml:space="preserve">Zone_Summary</x:t>
        </x:is>
      </x:c>
      <x:c r="B80" s="74" t="inlineStr">
        <x:is>
          <x:t xml:space="preserve">I8</x:t>
        </x:is>
      </x:c>
      <x:c r="C80" s="75" t="str">
        <x:f>IF(F8="No","Missing in user summary",IF(ABS(H8)&lt;0.01,"OK","Check delta"))</x:f>
        <x:v>OK</x:v>
      </x:c>
      <x:c r="D80" s="74" t="inlineStr">
        <x:is>
          <x:t xml:space="preserve">OK</x:t>
        </x:is>
      </x:c>
      <x:c r="E80" s="74" t="inlineStr">
        <x:is>
          <x:t xml:space="preserve">OK</x:t>
        </x:is>
      </x:c>
      <x:c r="F80" s="75" t="inlineStr">
        <x:is>
          <x:t xml:space="preserve">F8, H8</x:t>
        </x:is>
      </x:c>
    </x:row>
    <x:row r="81">
      <x:c r="A81" s="75" t="inlineStr">
        <x:is>
          <x:t xml:space="preserve">Zone_Summary</x:t>
        </x:is>
      </x:c>
      <x:c r="B81" s="74" t="inlineStr">
        <x:is>
          <x:t xml:space="preserve">B9</x:t>
        </x:is>
      </x:c>
      <x:c r="C81" s="75">
        <x:f>COUNTIF(LOG_Working!$G$12:$G$33,A9)</x:f>
        <x:v>0</x:v>
      </x:c>
      <x:c r="D81" s="74" t="n">
        <x:v>4</x:v>
      </x:c>
      <x:c r="E81" s="74" t="inlineStr">
        <x:is>
          <x:t xml:space="preserve">OK</x:t>
        </x:is>
      </x:c>
      <x:c r="F81" s="75" t="inlineStr">
        <x:is>
          <x:t xml:space="preserve">$G$33, A9, LOG_Working!$G$12, LOG_Working!$G$12:$G$33</x:t>
        </x:is>
      </x:c>
    </x:row>
    <x:row r="82">
      <x:c r="A82" s="75" t="inlineStr">
        <x:is>
          <x:t xml:space="preserve">Zone_Summary</x:t>
        </x:is>
      </x:c>
      <x:c r="B82" s="74" t="inlineStr">
        <x:is>
          <x:t xml:space="preserve">C9</x:t>
        </x:is>
      </x:c>
      <x:c r="C82" s="75">
        <x:f>SUMIF(LOG_Working!$G$12:$G$33,A9,LOG_Working!$M$12:$M$33)</x:f>
        <x:v>0</x:v>
      </x:c>
      <x:c r="D82" s="74" t="n">
        <x:v>1780000</x:v>
      </x:c>
      <x:c r="E82" s="74" t="inlineStr">
        <x:is>
          <x:t xml:space="preserve">OK</x:t>
        </x:is>
      </x:c>
      <x:c r="F82" s="75" t="inlineStr">
        <x:is>
          <x:t xml:space="preserve">$G$33, $M$33, A9, LOG_Working!$G$12, LOG_Working!$G$12:$G$33, LOG_Working!$M$12, LOG_Working!$M$12:$M$33</x:t>
        </x:is>
      </x:c>
    </x:row>
    <x:row r="83">
      <x:c r="A83" s="75" t="inlineStr">
        <x:is>
          <x:t xml:space="preserve">Zone_Summary</x:t>
        </x:is>
      </x:c>
      <x:c r="B83" s="74" t="inlineStr">
        <x:is>
          <x:t xml:space="preserve">D9</x:t>
        </x:is>
      </x:c>
      <x:c r="C83" s="75">
        <x:f>SUMIF(LOG_Working!$G$12:$G$33,A9,LOG_Working!$N$12:$N$33)</x:f>
        <x:v>0</x:v>
      </x:c>
      <x:c r="D83" s="74" t="n">
        <x:v>30</x:v>
      </x:c>
      <x:c r="E83" s="74" t="inlineStr">
        <x:is>
          <x:t xml:space="preserve">OK</x:t>
        </x:is>
      </x:c>
      <x:c r="F83" s="75" t="inlineStr">
        <x:is>
          <x:t xml:space="preserve">$G$33, $N$33, A9, LOG_Working!$G$12, LOG_Working!$G$12:$G$33, LOG_Working!$N$12, LOG_Working!$N$12:$N$33</x:t>
        </x:is>
      </x:c>
    </x:row>
    <x:row r="84">
      <x:c r="A84" s="75" t="inlineStr">
        <x:is>
          <x:t xml:space="preserve">Zone_Summary</x:t>
        </x:is>
      </x:c>
      <x:c r="B84" s="74" t="inlineStr">
        <x:is>
          <x:t xml:space="preserve">E9</x:t>
        </x:is>
      </x:c>
      <x:c r="C84" s="75">
        <x:f>C9/LOG_Working!$B$7</x:f>
        <x:v>0</x:v>
      </x:c>
      <x:c r="D84" s="74" t="n">
        <x:v>0.1152476529621237</x:v>
      </x:c>
      <x:c r="E84" s="74" t="inlineStr">
        <x:is>
          <x:t xml:space="preserve">OK</x:t>
        </x:is>
      </x:c>
      <x:c r="F84" s="75" t="inlineStr">
        <x:is>
          <x:t xml:space="preserve">C9, LOG_Working!$B$7</x:t>
        </x:is>
      </x:c>
    </x:row>
    <x:row r="85">
      <x:c r="A85" s="75" t="inlineStr">
        <x:is>
          <x:t xml:space="preserve">Zone_Summary</x:t>
        </x:is>
      </x:c>
      <x:c r="B85" s="74" t="inlineStr">
        <x:is>
          <x:t xml:space="preserve">H9</x:t>
        </x:is>
      </x:c>
      <x:c r="C85" s="75">
        <x:f>C9-G9</x:f>
        <x:v>0</x:v>
      </x:c>
      <x:c r="D85" s="74" t="n">
        <x:v>0</x:v>
      </x:c>
      <x:c r="E85" s="74" t="inlineStr">
        <x:is>
          <x:t xml:space="preserve">OK</x:t>
        </x:is>
      </x:c>
      <x:c r="F85" s="75" t="inlineStr">
        <x:is>
          <x:t xml:space="preserve">C9, G9</x:t>
        </x:is>
      </x:c>
    </x:row>
    <x:row r="86">
      <x:c r="A86" s="75" t="inlineStr">
        <x:is>
          <x:t xml:space="preserve">Zone_Summary</x:t>
        </x:is>
      </x:c>
      <x:c r="B86" s="74" t="inlineStr">
        <x:is>
          <x:t xml:space="preserve">I9</x:t>
        </x:is>
      </x:c>
      <x:c r="C86" s="75" t="str">
        <x:f>IF(F9="No","Missing in user summary",IF(ABS(H9)&lt;0.01,"OK","Check delta"))</x:f>
        <x:v>OK</x:v>
      </x:c>
      <x:c r="D86" s="74" t="inlineStr">
        <x:is>
          <x:t xml:space="preserve">OK</x:t>
        </x:is>
      </x:c>
      <x:c r="E86" s="74" t="inlineStr">
        <x:is>
          <x:t xml:space="preserve">OK</x:t>
        </x:is>
      </x:c>
      <x:c r="F86" s="75" t="inlineStr">
        <x:is>
          <x:t xml:space="preserve">F9, H9</x:t>
        </x:is>
      </x:c>
    </x:row>
    <x:row r="87">
      <x:c r="A87" s="75" t="inlineStr">
        <x:is>
          <x:t xml:space="preserve">Zone_Summary</x:t>
        </x:is>
      </x:c>
      <x:c r="B87" s="74" t="inlineStr">
        <x:is>
          <x:t xml:space="preserve">B10</x:t>
        </x:is>
      </x:c>
      <x:c r="C87" s="75">
        <x:f>COUNTIF(LOG_Working!$G$12:$G$33,A10)</x:f>
        <x:v>0</x:v>
      </x:c>
      <x:c r="D87" s="74" t="n">
        <x:v>1</x:v>
      </x:c>
      <x:c r="E87" s="74" t="inlineStr">
        <x:is>
          <x:t xml:space="preserve">OK</x:t>
        </x:is>
      </x:c>
      <x:c r="F87" s="75" t="inlineStr">
        <x:is>
          <x:t xml:space="preserve">$G$33, A10, LOG_Working!$G$12, LOG_Working!$G$12:$G$33</x:t>
        </x:is>
      </x:c>
    </x:row>
    <x:row r="88">
      <x:c r="A88" s="75" t="inlineStr">
        <x:is>
          <x:t xml:space="preserve">Zone_Summary</x:t>
        </x:is>
      </x:c>
      <x:c r="B88" s="74" t="inlineStr">
        <x:is>
          <x:t xml:space="preserve">C10</x:t>
        </x:is>
      </x:c>
      <x:c r="C88" s="75">
        <x:f>SUMIF(LOG_Working!$G$12:$G$33,A10,LOG_Working!$M$12:$M$33)</x:f>
        <x:v>0</x:v>
      </x:c>
      <x:c r="D88" s="74" t="n">
        <x:v>720000</x:v>
      </x:c>
      <x:c r="E88" s="74" t="inlineStr">
        <x:is>
          <x:t xml:space="preserve">OK</x:t>
        </x:is>
      </x:c>
      <x:c r="F88" s="75" t="inlineStr">
        <x:is>
          <x:t xml:space="preserve">$G$33, $M$33, A10, LOG_Working!$G$12, LOG_Working!$G$12:$G$33, LOG_Working!$M$12, LOG_Working!$M$12:$M$33</x:t>
        </x:is>
      </x:c>
    </x:row>
    <x:row r="89">
      <x:c r="A89" s="75" t="inlineStr">
        <x:is>
          <x:t xml:space="preserve">Zone_Summary</x:t>
        </x:is>
      </x:c>
      <x:c r="B89" s="74" t="inlineStr">
        <x:is>
          <x:t xml:space="preserve">D10</x:t>
        </x:is>
      </x:c>
      <x:c r="C89" s="75">
        <x:f>SUMIF(LOG_Working!$G$12:$G$33,A10,LOG_Working!$N$12:$N$33)</x:f>
        <x:v>0</x:v>
      </x:c>
      <x:c r="D89" s="74" t="n">
        <x:v>2</x:v>
      </x:c>
      <x:c r="E89" s="74" t="inlineStr">
        <x:is>
          <x:t xml:space="preserve">OK</x:t>
        </x:is>
      </x:c>
      <x:c r="F89" s="75" t="inlineStr">
        <x:is>
          <x:t xml:space="preserve">$G$33, $N$33, A10, LOG_Working!$G$12, LOG_Working!$G$12:$G$33, LOG_Working!$N$12, LOG_Working!$N$12:$N$33</x:t>
        </x:is>
      </x:c>
    </x:row>
    <x:row r="90">
      <x:c r="A90" s="75" t="inlineStr">
        <x:is>
          <x:t xml:space="preserve">Zone_Summary</x:t>
        </x:is>
      </x:c>
      <x:c r="B90" s="74" t="inlineStr">
        <x:is>
          <x:t xml:space="preserve">E10</x:t>
        </x:is>
      </x:c>
      <x:c r="C90" s="75">
        <x:f>C10/LOG_Working!$B$7</x:f>
        <x:v>0</x:v>
      </x:c>
      <x:c r="D90" s="74" t="n">
        <x:v>0.04661702816445452</x:v>
      </x:c>
      <x:c r="E90" s="74" t="inlineStr">
        <x:is>
          <x:t xml:space="preserve">OK</x:t>
        </x:is>
      </x:c>
      <x:c r="F90" s="75" t="inlineStr">
        <x:is>
          <x:t xml:space="preserve">C10, LOG_Working!$B$7</x:t>
        </x:is>
      </x:c>
    </x:row>
    <x:row r="91">
      <x:c r="A91" s="75" t="inlineStr">
        <x:is>
          <x:t xml:space="preserve">Zone_Summary</x:t>
        </x:is>
      </x:c>
      <x:c r="B91" s="74" t="inlineStr">
        <x:is>
          <x:t xml:space="preserve">H10</x:t>
        </x:is>
      </x:c>
      <x:c r="C91" s="75">
        <x:f>C10-G10</x:f>
        <x:v>0</x:v>
      </x:c>
      <x:c r="D91" s="74" t="n">
        <x:v>720000</x:v>
      </x:c>
      <x:c r="E91" s="74" t="inlineStr">
        <x:is>
          <x:t xml:space="preserve">OK</x:t>
        </x:is>
      </x:c>
      <x:c r="F91" s="75" t="inlineStr">
        <x:is>
          <x:t xml:space="preserve">C10, G10</x:t>
        </x:is>
      </x:c>
    </x:row>
    <x:row r="92">
      <x:c r="A92" s="75" t="inlineStr">
        <x:is>
          <x:t xml:space="preserve">Zone_Summary</x:t>
        </x:is>
      </x:c>
      <x:c r="B92" s="74" t="inlineStr">
        <x:is>
          <x:t xml:space="preserve">I10</x:t>
        </x:is>
      </x:c>
      <x:c r="C92" s="75" t="str">
        <x:f>IF(F10="No","Missing in user summary",IF(ABS(H10)&lt;0.01,"OK","Check delta"))</x:f>
        <x:v>OK</x:v>
      </x:c>
      <x:c r="D92" s="74" t="inlineStr">
        <x:is>
          <x:t xml:space="preserve">Missing in user summary</x:t>
        </x:is>
      </x:c>
      <x:c r="E92" s="74" t="inlineStr">
        <x:is>
          <x:t xml:space="preserve">OK</x:t>
        </x:is>
      </x:c>
      <x:c r="F92" s="75" t="inlineStr">
        <x:is>
          <x:t xml:space="preserve">F10, H10</x:t>
        </x:is>
      </x:c>
    </x:row>
    <x:row r="93">
      <x:c r="A93" s="75" t="inlineStr">
        <x:is>
          <x:t xml:space="preserve">Zone_Summary</x:t>
        </x:is>
      </x:c>
      <x:c r="B93" s="74" t="inlineStr">
        <x:is>
          <x:t xml:space="preserve">B11</x:t>
        </x:is>
      </x:c>
      <x:c r="C93" s="75">
        <x:f>COUNTIF(LOG_Working!$G$12:$G$33,A11)</x:f>
        <x:v>0</x:v>
      </x:c>
      <x:c r="D93" s="74" t="n">
        <x:v>3</x:v>
      </x:c>
      <x:c r="E93" s="74" t="inlineStr">
        <x:is>
          <x:t xml:space="preserve">OK</x:t>
        </x:is>
      </x:c>
      <x:c r="F93" s="75" t="inlineStr">
        <x:is>
          <x:t xml:space="preserve">$G$33, A11, LOG_Working!$G$12, LOG_Working!$G$12:$G$33</x:t>
        </x:is>
      </x:c>
    </x:row>
    <x:row r="94">
      <x:c r="A94" s="75" t="inlineStr">
        <x:is>
          <x:t xml:space="preserve">Zone_Summary</x:t>
        </x:is>
      </x:c>
      <x:c r="B94" s="74" t="inlineStr">
        <x:is>
          <x:t xml:space="preserve">C11</x:t>
        </x:is>
      </x:c>
      <x:c r="C94" s="75">
        <x:f>SUMIF(LOG_Working!$G$12:$G$33,A11,LOG_Working!$M$12:$M$33)</x:f>
        <x:v>0</x:v>
      </x:c>
      <x:c r="D94" s="74" t="n">
        <x:v>150000</x:v>
      </x:c>
      <x:c r="E94" s="74" t="inlineStr">
        <x:is>
          <x:t xml:space="preserve">OK</x:t>
        </x:is>
      </x:c>
      <x:c r="F94" s="75" t="inlineStr">
        <x:is>
          <x:t xml:space="preserve">$G$33, $M$33, A11, LOG_Working!$G$12, LOG_Working!$G$12:$G$33, LOG_Working!$M$12, LOG_Working!$M$12:$M$33</x:t>
        </x:is>
      </x:c>
    </x:row>
    <x:row r="95">
      <x:c r="A95" s="75" t="inlineStr">
        <x:is>
          <x:t xml:space="preserve">Zone_Summary</x:t>
        </x:is>
      </x:c>
      <x:c r="B95" s="74" t="inlineStr">
        <x:is>
          <x:t xml:space="preserve">D11</x:t>
        </x:is>
      </x:c>
      <x:c r="C95" s="75">
        <x:f>SUMIF(LOG_Working!$G$12:$G$33,A11,LOG_Working!$N$12:$N$33)</x:f>
        <x:v>0</x:v>
      </x:c>
      <x:c r="D95" s="74" t="n">
        <x:v>44</x:v>
      </x:c>
      <x:c r="E95" s="74" t="inlineStr">
        <x:is>
          <x:t xml:space="preserve">OK</x:t>
        </x:is>
      </x:c>
      <x:c r="F95" s="75" t="inlineStr">
        <x:is>
          <x:t xml:space="preserve">$G$33, $N$33, A11, LOG_Working!$G$12, LOG_Working!$G$12:$G$33, LOG_Working!$N$12, LOG_Working!$N$12:$N$33</x:t>
        </x:is>
      </x:c>
    </x:row>
    <x:row r="96">
      <x:c r="A96" s="75" t="inlineStr">
        <x:is>
          <x:t xml:space="preserve">Zone_Summary</x:t>
        </x:is>
      </x:c>
      <x:c r="B96" s="74" t="inlineStr">
        <x:is>
          <x:t xml:space="preserve">E11</x:t>
        </x:is>
      </x:c>
      <x:c r="C96" s="75">
        <x:f>C11/LOG_Working!$B$7</x:f>
        <x:v>0</x:v>
      </x:c>
      <x:c r="D96" s="74" t="n">
        <x:v>0.009711880867594691</x:v>
      </x:c>
      <x:c r="E96" s="74" t="inlineStr">
        <x:is>
          <x:t xml:space="preserve">OK</x:t>
        </x:is>
      </x:c>
      <x:c r="F96" s="75" t="inlineStr">
        <x:is>
          <x:t xml:space="preserve">C11, LOG_Working!$B$7</x:t>
        </x:is>
      </x:c>
    </x:row>
    <x:row r="97">
      <x:c r="A97" s="75" t="inlineStr">
        <x:is>
          <x:t xml:space="preserve">Zone_Summary</x:t>
        </x:is>
      </x:c>
      <x:c r="B97" s="74" t="inlineStr">
        <x:is>
          <x:t xml:space="preserve">H11</x:t>
        </x:is>
      </x:c>
      <x:c r="C97" s="75">
        <x:f>C11-G11</x:f>
        <x:v>0</x:v>
      </x:c>
      <x:c r="D97" s="74" t="n">
        <x:v>150000</x:v>
      </x:c>
      <x:c r="E97" s="74" t="inlineStr">
        <x:is>
          <x:t xml:space="preserve">OK</x:t>
        </x:is>
      </x:c>
      <x:c r="F97" s="75" t="inlineStr">
        <x:is>
          <x:t xml:space="preserve">C11, G11</x:t>
        </x:is>
      </x:c>
    </x:row>
    <x:row r="98">
      <x:c r="A98" s="75" t="inlineStr">
        <x:is>
          <x:t xml:space="preserve">Zone_Summary</x:t>
        </x:is>
      </x:c>
      <x:c r="B98" s="74" t="inlineStr">
        <x:is>
          <x:t xml:space="preserve">I11</x:t>
        </x:is>
      </x:c>
      <x:c r="C98" s="75" t="str">
        <x:f>IF(F11="No","Missing in user summary",IF(ABS(H11)&lt;0.01,"OK","Check delta"))</x:f>
        <x:v>OK</x:v>
      </x:c>
      <x:c r="D98" s="74" t="inlineStr">
        <x:is>
          <x:t xml:space="preserve">Missing in user summary</x:t>
        </x:is>
      </x:c>
      <x:c r="E98" s="74" t="inlineStr">
        <x:is>
          <x:t xml:space="preserve">OK</x:t>
        </x:is>
      </x:c>
      <x:c r="F98" s="75" t="inlineStr">
        <x:is>
          <x:t xml:space="preserve">F11, H11</x:t>
        </x:is>
      </x:c>
    </x:row>
    <x:row r="99">
      <x:c r="A99" s="75" t="inlineStr">
        <x:is>
          <x:t xml:space="preserve">Zone_Summary</x:t>
        </x:is>
      </x:c>
      <x:c r="B99" s="74" t="inlineStr">
        <x:is>
          <x:t xml:space="preserve">B12</x:t>
        </x:is>
      </x:c>
      <x:c r="C99" s="75">
        <x:f>COUNTIF(LOG_Working!$G$12:$G$33,A12)</x:f>
        <x:v>0</x:v>
      </x:c>
      <x:c r="D99" s="74" t="n">
        <x:v>1</x:v>
      </x:c>
      <x:c r="E99" s="74" t="inlineStr">
        <x:is>
          <x:t xml:space="preserve">OK</x:t>
        </x:is>
      </x:c>
      <x:c r="F99" s="75" t="inlineStr">
        <x:is>
          <x:t xml:space="preserve">$G$33, A12, LOG_Working!$G$12, LOG_Working!$G$12:$G$33</x:t>
        </x:is>
      </x:c>
    </x:row>
    <x:row r="100">
      <x:c r="A100" s="75" t="inlineStr">
        <x:is>
          <x:t xml:space="preserve">Zone_Summary</x:t>
        </x:is>
      </x:c>
      <x:c r="B100" s="74" t="inlineStr">
        <x:is>
          <x:t xml:space="preserve">C12</x:t>
        </x:is>
      </x:c>
      <x:c r="C100" s="75">
        <x:f>SUMIF(LOG_Working!$G$12:$G$33,A12,LOG_Working!$M$12:$M$33)</x:f>
        <x:v>0</x:v>
      </x:c>
      <x:c r="D100" s="74" t="n">
        <x:v>360000</x:v>
      </x:c>
      <x:c r="E100" s="74" t="inlineStr">
        <x:is>
          <x:t xml:space="preserve">OK</x:t>
        </x:is>
      </x:c>
      <x:c r="F100" s="75" t="inlineStr">
        <x:is>
          <x:t xml:space="preserve">$G$33, $M$33, A12, LOG_Working!$G$12, LOG_Working!$G$12:$G$33, LOG_Working!$M$12, LOG_Working!$M$12:$M$33</x:t>
        </x:is>
      </x:c>
    </x:row>
    <x:row r="101">
      <x:c r="A101" s="75" t="inlineStr">
        <x:is>
          <x:t xml:space="preserve">Zone_Summary</x:t>
        </x:is>
      </x:c>
      <x:c r="B101" s="74" t="inlineStr">
        <x:is>
          <x:t xml:space="preserve">D12</x:t>
        </x:is>
      </x:c>
      <x:c r="C101" s="75">
        <x:f>SUMIF(LOG_Working!$G$12:$G$33,A12,LOG_Working!$N$12:$N$33)</x:f>
        <x:v>0</x:v>
      </x:c>
      <x:c r="D101" s="74" t="n">
        <x:v>0</x:v>
      </x:c>
      <x:c r="E101" s="74" t="inlineStr">
        <x:is>
          <x:t xml:space="preserve">OK</x:t>
        </x:is>
      </x:c>
      <x:c r="F101" s="75" t="inlineStr">
        <x:is>
          <x:t xml:space="preserve">$G$33, $N$33, A12, LOG_Working!$G$12, LOG_Working!$G$12:$G$33, LOG_Working!$N$12, LOG_Working!$N$12:$N$33</x:t>
        </x:is>
      </x:c>
    </x:row>
    <x:row r="102">
      <x:c r="A102" s="75" t="inlineStr">
        <x:is>
          <x:t xml:space="preserve">Zone_Summary</x:t>
        </x:is>
      </x:c>
      <x:c r="B102" s="74" t="inlineStr">
        <x:is>
          <x:t xml:space="preserve">E12</x:t>
        </x:is>
      </x:c>
      <x:c r="C102" s="75">
        <x:f>C12/LOG_Working!$B$7</x:f>
        <x:v>0</x:v>
      </x:c>
      <x:c r="D102" s="74" t="n">
        <x:v>0.02330851408222726</x:v>
      </x:c>
      <x:c r="E102" s="74" t="inlineStr">
        <x:is>
          <x:t xml:space="preserve">OK</x:t>
        </x:is>
      </x:c>
      <x:c r="F102" s="75" t="inlineStr">
        <x:is>
          <x:t xml:space="preserve">C12, LOG_Working!$B$7</x:t>
        </x:is>
      </x:c>
    </x:row>
    <x:row r="103">
      <x:c r="A103" s="75" t="inlineStr">
        <x:is>
          <x:t xml:space="preserve">Zone_Summary</x:t>
        </x:is>
      </x:c>
      <x:c r="B103" s="74" t="inlineStr">
        <x:is>
          <x:t xml:space="preserve">H12</x:t>
        </x:is>
      </x:c>
      <x:c r="C103" s="75">
        <x:f>C12-G12</x:f>
        <x:v>0</x:v>
      </x:c>
      <x:c r="D103" s="74" t="n">
        <x:v>360000</x:v>
      </x:c>
      <x:c r="E103" s="74" t="inlineStr">
        <x:is>
          <x:t xml:space="preserve">OK</x:t>
        </x:is>
      </x:c>
      <x:c r="F103" s="75" t="inlineStr">
        <x:is>
          <x:t xml:space="preserve">C12, G12</x:t>
        </x:is>
      </x:c>
    </x:row>
    <x:row r="104">
      <x:c r="A104" s="75" t="inlineStr">
        <x:is>
          <x:t xml:space="preserve">Zone_Summary</x:t>
        </x:is>
      </x:c>
      <x:c r="B104" s="74" t="inlineStr">
        <x:is>
          <x:t xml:space="preserve">I12</x:t>
        </x:is>
      </x:c>
      <x:c r="C104" s="75" t="str">
        <x:f>IF(F12="No","Missing in user summary",IF(ABS(H12)&lt;0.01,"OK","Check delta"))</x:f>
        <x:v>OK</x:v>
      </x:c>
      <x:c r="D104" s="74" t="inlineStr">
        <x:is>
          <x:t xml:space="preserve">Missing in user summary</x:t>
        </x:is>
      </x:c>
      <x:c r="E104" s="74" t="inlineStr">
        <x:is>
          <x:t xml:space="preserve">OK</x:t>
        </x:is>
      </x:c>
      <x:c r="F104" s="75" t="inlineStr">
        <x:is>
          <x:t xml:space="preserve">F12, H12</x:t>
        </x:is>
      </x:c>
    </x:row>
    <x:row r="105">
      <x:c r="A105" s="75" t="inlineStr">
        <x:is>
          <x:t xml:space="preserve">Zone_Summary</x:t>
        </x:is>
      </x:c>
      <x:c r="B105" s="74" t="inlineStr">
        <x:is>
          <x:t xml:space="preserve">B13</x:t>
        </x:is>
      </x:c>
      <x:c r="C105" s="75">
        <x:f>COUNTIF(LOG_Working!$G$12:$G$33,A13)</x:f>
        <x:v>0</x:v>
      </x:c>
      <x:c r="D105" s="74" t="n">
        <x:v>1</x:v>
      </x:c>
      <x:c r="E105" s="74" t="inlineStr">
        <x:is>
          <x:t xml:space="preserve">OK</x:t>
        </x:is>
      </x:c>
      <x:c r="F105" s="75" t="inlineStr">
        <x:is>
          <x:t xml:space="preserve">$G$33, A13, LOG_Working!$G$12, LOG_Working!$G$12:$G$33</x:t>
        </x:is>
      </x:c>
    </x:row>
    <x:row r="106">
      <x:c r="A106" s="75" t="inlineStr">
        <x:is>
          <x:t xml:space="preserve">Zone_Summary</x:t>
        </x:is>
      </x:c>
      <x:c r="B106" s="74" t="inlineStr">
        <x:is>
          <x:t xml:space="preserve">C13</x:t>
        </x:is>
      </x:c>
      <x:c r="C106" s="75">
        <x:f>SUMIF(LOG_Working!$G$12:$G$33,A13,LOG_Working!$M$12:$M$33)</x:f>
        <x:v>0</x:v>
      </x:c>
      <x:c r="D106" s="74" t="n">
        <x:v>160000</x:v>
      </x:c>
      <x:c r="E106" s="74" t="inlineStr">
        <x:is>
          <x:t xml:space="preserve">OK</x:t>
        </x:is>
      </x:c>
      <x:c r="F106" s="75" t="inlineStr">
        <x:is>
          <x:t xml:space="preserve">$G$33, $M$33, A13, LOG_Working!$G$12, LOG_Working!$G$12:$G$33, LOG_Working!$M$12, LOG_Working!$M$12:$M$33</x:t>
        </x:is>
      </x:c>
    </x:row>
    <x:row r="107">
      <x:c r="A107" s="75" t="inlineStr">
        <x:is>
          <x:t xml:space="preserve">Zone_Summary</x:t>
        </x:is>
      </x:c>
      <x:c r="B107" s="74" t="inlineStr">
        <x:is>
          <x:t xml:space="preserve">D13</x:t>
        </x:is>
      </x:c>
      <x:c r="C107" s="75">
        <x:f>SUMIF(LOG_Working!$G$12:$G$33,A13,LOG_Working!$N$12:$N$33)</x:f>
        <x:v>0</x:v>
      </x:c>
      <x:c r="D107" s="74" t="n">
        <x:v>50</x:v>
      </x:c>
      <x:c r="E107" s="74" t="inlineStr">
        <x:is>
          <x:t xml:space="preserve">OK</x:t>
        </x:is>
      </x:c>
      <x:c r="F107" s="75" t="inlineStr">
        <x:is>
          <x:t xml:space="preserve">$G$33, $N$33, A13, LOG_Working!$G$12, LOG_Working!$G$12:$G$33, LOG_Working!$N$12, LOG_Working!$N$12:$N$33</x:t>
        </x:is>
      </x:c>
    </x:row>
    <x:row r="108">
      <x:c r="A108" s="75" t="inlineStr">
        <x:is>
          <x:t xml:space="preserve">Zone_Summary</x:t>
        </x:is>
      </x:c>
      <x:c r="B108" s="74" t="inlineStr">
        <x:is>
          <x:t xml:space="preserve">E13</x:t>
        </x:is>
      </x:c>
      <x:c r="C108" s="75">
        <x:f>C13/LOG_Working!$B$7</x:f>
        <x:v>0</x:v>
      </x:c>
      <x:c r="D108" s="74" t="n">
        <x:v>0.010359339592101</x:v>
      </x:c>
      <x:c r="E108" s="74" t="inlineStr">
        <x:is>
          <x:t xml:space="preserve">OK</x:t>
        </x:is>
      </x:c>
      <x:c r="F108" s="75" t="inlineStr">
        <x:is>
          <x:t xml:space="preserve">C13, LOG_Working!$B$7</x:t>
        </x:is>
      </x:c>
    </x:row>
    <x:row r="109">
      <x:c r="A109" s="75" t="inlineStr">
        <x:is>
          <x:t xml:space="preserve">Zone_Summary</x:t>
        </x:is>
      </x:c>
      <x:c r="B109" s="74" t="inlineStr">
        <x:is>
          <x:t xml:space="preserve">H13</x:t>
        </x:is>
      </x:c>
      <x:c r="C109" s="75">
        <x:f>C13-G13</x:f>
        <x:v>0</x:v>
      </x:c>
      <x:c r="D109" s="74" t="n">
        <x:v>160000</x:v>
      </x:c>
      <x:c r="E109" s="74" t="inlineStr">
        <x:is>
          <x:t xml:space="preserve">OK</x:t>
        </x:is>
      </x:c>
      <x:c r="F109" s="75" t="inlineStr">
        <x:is>
          <x:t xml:space="preserve">C13, G13</x:t>
        </x:is>
      </x:c>
    </x:row>
    <x:row r="110">
      <x:c r="A110" s="75" t="inlineStr">
        <x:is>
          <x:t xml:space="preserve">Zone_Summary</x:t>
        </x:is>
      </x:c>
      <x:c r="B110" s="74" t="inlineStr">
        <x:is>
          <x:t xml:space="preserve">I13</x:t>
        </x:is>
      </x:c>
      <x:c r="C110" s="75" t="str">
        <x:f>IF(F13="No","Missing in user summary",IF(ABS(H13)&lt;0.01,"OK","Check delta"))</x:f>
        <x:v>OK</x:v>
      </x:c>
      <x:c r="D110" s="74" t="inlineStr">
        <x:is>
          <x:t xml:space="preserve">Missing in user summary</x:t>
        </x:is>
      </x:c>
      <x:c r="E110" s="74" t="inlineStr">
        <x:is>
          <x:t xml:space="preserve">OK</x:t>
        </x:is>
      </x:c>
      <x:c r="F110" s="75" t="inlineStr">
        <x:is>
          <x:t xml:space="preserve">F13, H13</x:t>
        </x:is>
      </x:c>
    </x:row>
    <x:row r="111">
      <x:c r="A111" s="75" t="inlineStr">
        <x:is>
          <x:t xml:space="preserve">Zone_Summary</x:t>
        </x:is>
      </x:c>
      <x:c r="B111" s="74" t="inlineStr">
        <x:is>
          <x:t xml:space="preserve">B14</x:t>
        </x:is>
      </x:c>
      <x:c r="C111" s="75">
        <x:f>COUNTIF(LOG_Working!$G$12:$G$33,A14)</x:f>
        <x:v>0</x:v>
      </x:c>
      <x:c r="D111" s="74" t="n">
        <x:v>1</x:v>
      </x:c>
      <x:c r="E111" s="74" t="inlineStr">
        <x:is>
          <x:t xml:space="preserve">OK</x:t>
        </x:is>
      </x:c>
      <x:c r="F111" s="75" t="inlineStr">
        <x:is>
          <x:t xml:space="preserve">$G$33, A14, LOG_Working!$G$12, LOG_Working!$G$12:$G$33</x:t>
        </x:is>
      </x:c>
    </x:row>
    <x:row r="112">
      <x:c r="A112" s="75" t="inlineStr">
        <x:is>
          <x:t xml:space="preserve">Zone_Summary</x:t>
        </x:is>
      </x:c>
      <x:c r="B112" s="74" t="inlineStr">
        <x:is>
          <x:t xml:space="preserve">C14</x:t>
        </x:is>
      </x:c>
      <x:c r="C112" s="75">
        <x:f>SUMIF(LOG_Working!$G$12:$G$33,A14,LOG_Working!$M$12:$M$33)</x:f>
        <x:v>0</x:v>
      </x:c>
      <x:c r="D112" s="74" t="n">
        <x:v>25000</x:v>
      </x:c>
      <x:c r="E112" s="74" t="inlineStr">
        <x:is>
          <x:t xml:space="preserve">OK</x:t>
        </x:is>
      </x:c>
      <x:c r="F112" s="75" t="inlineStr">
        <x:is>
          <x:t xml:space="preserve">$G$33, $M$33, A14, LOG_Working!$G$12, LOG_Working!$G$12:$G$33, LOG_Working!$M$12, LOG_Working!$M$12:$M$33</x:t>
        </x:is>
      </x:c>
    </x:row>
    <x:row r="113">
      <x:c r="A113" s="75" t="inlineStr">
        <x:is>
          <x:t xml:space="preserve">Zone_Summary</x:t>
        </x:is>
      </x:c>
      <x:c r="B113" s="74" t="inlineStr">
        <x:is>
          <x:t xml:space="preserve">D14</x:t>
        </x:is>
      </x:c>
      <x:c r="C113" s="75">
        <x:f>SUMIF(LOG_Working!$G$12:$G$33,A14,LOG_Working!$N$12:$N$33)</x:f>
        <x:v>0</x:v>
      </x:c>
      <x:c r="D113" s="74" t="n">
        <x:v>2</x:v>
      </x:c>
      <x:c r="E113" s="74" t="inlineStr">
        <x:is>
          <x:t xml:space="preserve">OK</x:t>
        </x:is>
      </x:c>
      <x:c r="F113" s="75" t="inlineStr">
        <x:is>
          <x:t xml:space="preserve">$G$33, $N$33, A14, LOG_Working!$G$12, LOG_Working!$G$12:$G$33, LOG_Working!$N$12, LOG_Working!$N$12:$N$33</x:t>
        </x:is>
      </x:c>
    </x:row>
    <x:row r="114">
      <x:c r="A114" s="75" t="inlineStr">
        <x:is>
          <x:t xml:space="preserve">Zone_Summary</x:t>
        </x:is>
      </x:c>
      <x:c r="B114" s="74" t="inlineStr">
        <x:is>
          <x:t xml:space="preserve">E14</x:t>
        </x:is>
      </x:c>
      <x:c r="C114" s="75">
        <x:f>C14/LOG_Working!$B$7</x:f>
        <x:v>0</x:v>
      </x:c>
      <x:c r="D114" s="74" t="n">
        <x:v>0.001618646811265782</x:v>
      </x:c>
      <x:c r="E114" s="74" t="inlineStr">
        <x:is>
          <x:t xml:space="preserve">OK</x:t>
        </x:is>
      </x:c>
      <x:c r="F114" s="75" t="inlineStr">
        <x:is>
          <x:t xml:space="preserve">C14, LOG_Working!$B$7</x:t>
        </x:is>
      </x:c>
    </x:row>
    <x:row r="115">
      <x:c r="A115" s="75" t="inlineStr">
        <x:is>
          <x:t xml:space="preserve">Zone_Summary</x:t>
        </x:is>
      </x:c>
      <x:c r="B115" s="74" t="inlineStr">
        <x:is>
          <x:t xml:space="preserve">H14</x:t>
        </x:is>
      </x:c>
      <x:c r="C115" s="75">
        <x:f>C14-G14</x:f>
        <x:v>0</x:v>
      </x:c>
      <x:c r="D115" s="74" t="n">
        <x:v>25000</x:v>
      </x:c>
      <x:c r="E115" s="74" t="inlineStr">
        <x:is>
          <x:t xml:space="preserve">OK</x:t>
        </x:is>
      </x:c>
      <x:c r="F115" s="75" t="inlineStr">
        <x:is>
          <x:t xml:space="preserve">C14, G14</x:t>
        </x:is>
      </x:c>
    </x:row>
    <x:row r="116">
      <x:c r="A116" s="75" t="inlineStr">
        <x:is>
          <x:t xml:space="preserve">Zone_Summary</x:t>
        </x:is>
      </x:c>
      <x:c r="B116" s="74" t="inlineStr">
        <x:is>
          <x:t xml:space="preserve">I14</x:t>
        </x:is>
      </x:c>
      <x:c r="C116" s="75" t="str">
        <x:f>IF(F14="No","Missing in user summary",IF(ABS(H14)&lt;0.01,"OK","Check delta"))</x:f>
        <x:v>OK</x:v>
      </x:c>
      <x:c r="D116" s="74" t="inlineStr">
        <x:is>
          <x:t xml:space="preserve">Missing in user summary</x:t>
        </x:is>
      </x:c>
      <x:c r="E116" s="74" t="inlineStr">
        <x:is>
          <x:t xml:space="preserve">OK</x:t>
        </x:is>
      </x:c>
      <x:c r="F116" s="75" t="inlineStr">
        <x:is>
          <x:t xml:space="preserve">F14, H14</x:t>
        </x:is>
      </x:c>
    </x:row>
    <x:row r="117">
      <x:c r="A117" s="75" t="inlineStr">
        <x:is>
          <x:t xml:space="preserve">Zone_Summary</x:t>
        </x:is>
      </x:c>
      <x:c r="B117" s="74" t="inlineStr">
        <x:is>
          <x:t xml:space="preserve">C15</x:t>
        </x:is>
      </x:c>
      <x:c r="C117" s="75">
        <x:f>SUM(C4:C14)</x:f>
        <x:v>0</x:v>
      </x:c>
      <x:c r="D117" s="74" t="n">
        <x:v>15445000</x:v>
      </x:c>
      <x:c r="E117" s="74" t="inlineStr">
        <x:is>
          <x:t xml:space="preserve">OK</x:t>
        </x:is>
      </x:c>
      <x:c r="F117" s="75" t="inlineStr">
        <x:is>
          <x:t xml:space="preserve">C14, C4, C4:C14</x:t>
        </x:is>
      </x:c>
    </x:row>
    <x:row r="118">
      <x:c r="A118" s="75" t="inlineStr">
        <x:is>
          <x:t xml:space="preserve">Zone_Summary</x:t>
        </x:is>
      </x:c>
      <x:c r="B118" s="74" t="inlineStr">
        <x:is>
          <x:t xml:space="preserve">D15</x:t>
        </x:is>
      </x:c>
      <x:c r="C118" s="75">
        <x:f>SUM(D4:D14)</x:f>
        <x:v>23903307</x:v>
      </x:c>
      <x:c r="D118" s="74" t="n">
        <x:v>307</x:v>
      </x:c>
      <x:c r="E118" s="74" t="inlineStr">
        <x:is>
          <x:t xml:space="preserve">OK</x:t>
        </x:is>
      </x:c>
      <x:c r="F118" s="75" t="inlineStr">
        <x:is>
          <x:t xml:space="preserve">D14, D4, D4:D14</x:t>
        </x:is>
      </x:c>
    </x:row>
    <x:row r="119">
      <x:c r="A119" s="75" t="inlineStr">
        <x:is>
          <x:t xml:space="preserve">Zone_Summary</x:t>
        </x:is>
      </x:c>
      <x:c r="B119" s="74" t="inlineStr">
        <x:is>
          <x:t xml:space="preserve">E15</x:t>
        </x:is>
      </x:c>
      <x:c r="C119" s="75">
        <x:f>C15/LOG_Working!$B$7</x:f>
        <x:v>0</x:v>
      </x:c>
      <x:c r="D119" s="74" t="n">
        <x:v>1</x:v>
      </x:c>
      <x:c r="E119" s="74" t="inlineStr">
        <x:is>
          <x:t xml:space="preserve">OK</x:t>
        </x:is>
      </x:c>
      <x:c r="F119" s="75" t="inlineStr">
        <x:is>
          <x:t xml:space="preserve">C15, LOG_Working!$B$7</x:t>
        </x:is>
      </x:c>
    </x:row>
    <x:row r="120">
      <x:c r="A120" s="75" t="inlineStr">
        <x:is>
          <x:t xml:space="preserve">Checks</x:t>
        </x:is>
      </x:c>
      <x:c r="B120" s="74" t="inlineStr">
        <x:is>
          <x:t xml:space="preserve">B4</x:t>
        </x:is>
      </x:c>
      <x:c r="C120" s="75">
        <x:f>SUM(LOG_Working!M12:M33)</x:f>
        <x:v>15445000</x:v>
      </x:c>
      <x:c r="D120" s="74" t="n">
        <x:v>15445000</x:v>
      </x:c>
      <x:c r="E120" s="74" t="inlineStr">
        <x:is>
          <x:t xml:space="preserve">OK</x:t>
        </x:is>
      </x:c>
      <x:c r="F120" s="75" t="inlineStr">
        <x:is>
          <x:t xml:space="preserve">LOG_Working!M12, LOG_Working!M12:M33, M33</x:t>
        </x:is>
      </x:c>
    </x:row>
    <x:row r="121">
      <x:c r="A121" s="75" t="inlineStr">
        <x:is>
          <x:t xml:space="preserve">Checks</x:t>
        </x:is>
      </x:c>
      <x:c r="B121" s="74" t="inlineStr">
        <x:is>
          <x:t xml:space="preserve">D4</x:t>
        </x:is>
      </x:c>
      <x:c r="C121" s="75" t="e">
        <x:f>B4-C4</x:f>
      </x:c>
      <x:c r="D121" s="74" t="n">
        <x:v>0</x:v>
      </x:c>
      <x:c r="E121" s="74" t="inlineStr">
        <x:is>
          <x:t xml:space="preserve">OK</x:t>
        </x:is>
      </x:c>
      <x:c r="F121" s="75" t="inlineStr">
        <x:is>
          <x:t xml:space="preserve">B4, C4</x:t>
        </x:is>
      </x:c>
    </x:row>
    <x:row r="122">
      <x:c r="A122" s="75" t="inlineStr">
        <x:is>
          <x:t xml:space="preserve">Checks</x:t>
        </x:is>
      </x:c>
      <x:c r="B122" s="74" t="inlineStr">
        <x:is>
          <x:t xml:space="preserve">B5</x:t>
        </x:is>
      </x:c>
      <x:c r="C122" s="75">
        <x:f>SUM(LOG_Working!S12:S33)</x:f>
        <x:v>381600</x:v>
      </x:c>
      <x:c r="D122" s="74" t="n">
        <x:v>381600</x:v>
      </x:c>
      <x:c r="E122" s="74" t="inlineStr">
        <x:is>
          <x:t xml:space="preserve">OK</x:t>
        </x:is>
      </x:c>
      <x:c r="F122" s="75" t="inlineStr">
        <x:is>
          <x:t xml:space="preserve">LOG_Working!S12, LOG_Working!S12:S33, S33</x:t>
        </x:is>
      </x:c>
    </x:row>
    <x:row r="123">
      <x:c r="A123" s="75" t="inlineStr">
        <x:is>
          <x:t xml:space="preserve">Checks</x:t>
        </x:is>
      </x:c>
      <x:c r="B123" s="74" t="inlineStr">
        <x:is>
          <x:t xml:space="preserve">B6</x:t>
        </x:is>
      </x:c>
      <x:c r="C123" s="75" t="e">
        <x:f>B4/'UNI-MAK_Protocol'!B18</x:f>
      </x:c>
      <x:c r="D123" s="74" t="n">
        <x:v>0.220014245014245</x:v>
      </x:c>
      <x:c r="E123" s="74" t="inlineStr">
        <x:is>
          <x:t xml:space="preserve">OK</x:t>
        </x:is>
      </x:c>
      <x:c r="F123" s="75" t="inlineStr">
        <x:is>
          <x:t xml:space="preserve">'UNI-MAK_Protocol'!B18, B4</x:t>
        </x:is>
      </x:c>
    </x:row>
    <x:row r="124">
      <x:c r="A124" s="75" t="inlineStr">
        <x:is>
          <x:t xml:space="preserve">Checks</x:t>
        </x:is>
      </x:c>
      <x:c r="B124" s="74" t="inlineStr">
        <x:is>
          <x:t xml:space="preserve">D6</x:t>
        </x:is>
      </x:c>
      <x:c r="C124" s="75" t="e">
        <x:f>B6-C6</x:f>
      </x:c>
      <x:c r="D124" s="74" t="n">
        <x:v>1.424502182878484e-11</x:v>
      </x:c>
      <x:c r="E124" s="74" t="inlineStr">
        <x:is>
          <x:t xml:space="preserve">OK</x:t>
        </x:is>
      </x:c>
      <x:c r="F124" s="75" t="inlineStr">
        <x:is>
          <x:t xml:space="preserve">B6, C6</x:t>
        </x:is>
      </x:c>
    </x:row>
    <x:row r="125">
      <x:c r="A125" s="75" t="inlineStr">
        <x:is>
          <x:t xml:space="preserve">Checks</x:t>
        </x:is>
      </x:c>
      <x:c r="B125" s="74" t="inlineStr">
        <x:is>
          <x:t xml:space="preserve">B7</x:t>
        </x:is>
      </x:c>
      <x:c r="C125" s="75" t="e">
        <x:f>B4/'UNI-MAK_Protocol'!B20</x:f>
      </x:c>
      <x:c r="D125" s="74" t="n">
        <x:v>0.2650364650364651</x:v>
      </x:c>
      <x:c r="E125" s="74" t="inlineStr">
        <x:is>
          <x:t xml:space="preserve">OK</x:t>
        </x:is>
      </x:c>
      <x:c r="F125" s="75" t="inlineStr">
        <x:is>
          <x:t xml:space="preserve">'UNI-MAK_Protocol'!B20, B4</x:t>
        </x:is>
      </x:c>
    </x:row>
    <x:row r="126">
      <x:c r="A126" s="75" t="inlineStr">
        <x:is>
          <x:t xml:space="preserve">Checks</x:t>
        </x:is>
      </x:c>
      <x:c r="B126" s="74" t="inlineStr">
        <x:is>
          <x:t xml:space="preserve">D7</x:t>
        </x:is>
      </x:c>
      <x:c r="C126" s="75" t="e">
        <x:f>B7-C7</x:f>
      </x:c>
      <x:c r="D126" s="74" t="n">
        <x:v>1.046503646506824e-05</x:v>
      </x:c>
      <x:c r="E126" s="74" t="inlineStr">
        <x:is>
          <x:t xml:space="preserve">OK</x:t>
        </x:is>
      </x:c>
      <x:c r="F126" s="75" t="inlineStr">
        <x:is>
          <x:t xml:space="preserve">B7, C7</x:t>
        </x:is>
      </x:c>
    </x:row>
    <x:row r="127">
      <x:c r="A127" s="75" t="inlineStr">
        <x:is>
          <x:t xml:space="preserve">Checks</x:t>
        </x:is>
      </x:c>
      <x:c r="B127" s="74" t="inlineStr">
        <x:is>
          <x:t xml:space="preserve">D8</x:t>
        </x:is>
      </x:c>
      <x:c r="C127" s="75" t="e">
        <x:f>B8-B4</x:f>
      </x:c>
      <x:c r="D127" s="74" t="n">
        <x:v>-1415000</x:v>
      </x:c>
      <x:c r="E127" s="74" t="inlineStr">
        <x:is>
          <x:t xml:space="preserve">OK</x:t>
        </x:is>
      </x:c>
      <x:c r="F127" s="75" t="inlineStr">
        <x:is>
          <x:t xml:space="preserve">B4, B8</x:t>
        </x:is>
      </x:c>
    </x:row>
    <x:row r="128">
      <x:c r="A128" s="75" t="inlineStr">
        <x:is>
          <x:t xml:space="preserve">Checks</x:t>
        </x:is>
      </x:c>
      <x:c r="B128" s="74" t="inlineStr">
        <x:is>
          <x:t xml:space="preserve">B9</x:t>
        </x:is>
      </x:c>
      <x:c r="C128" s="75">
        <x:f>SUM(Zone_Summary!C10:C14)</x:f>
        <x:v>1415000</x:v>
      </x:c>
      <x:c r="D128" s="74" t="n">
        <x:v>1415000</x:v>
      </x:c>
      <x:c r="E128" s="74" t="inlineStr">
        <x:is>
          <x:t xml:space="preserve">OK</x:t>
        </x:is>
      </x:c>
      <x:c r="F128" s="75" t="inlineStr">
        <x:is>
          <x:t xml:space="preserve">C14, Zone_Summary!C10, Zone_Summary!C10:C14</x:t>
        </x:is>
      </x:c>
    </x:row>
    <x:row r="129">
      <x:c r="A129" s="75" t="inlineStr">
        <x:is>
          <x:t xml:space="preserve">Checks</x:t>
        </x:is>
      </x:c>
      <x:c r="B129" s="74" t="inlineStr">
        <x:is>
          <x:t xml:space="preserve">D9</x:t>
        </x:is>
      </x:c>
      <x:c r="C129" s="75" t="e">
        <x:f>B9-C9</x:f>
      </x:c>
      <x:c r="D129" s="74" t="n">
        <x:v>0</x:v>
      </x:c>
      <x:c r="E129" s="74" t="inlineStr">
        <x:is>
          <x:t xml:space="preserve">OK</x:t>
        </x:is>
      </x:c>
      <x:c r="F129" s="75" t="inlineStr">
        <x:is>
          <x:t xml:space="preserve">B9, C9</x:t>
        </x:is>
      </x:c>
    </x:row>
  </x:sheetData>
  <x:pageMargins left="0.7" right="0.7" top="0.75" bottom="0.75" header="0.3" footer="0.3"/>
</x:worksheet>
</file>