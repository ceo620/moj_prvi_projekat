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roduction_Margin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DSCR_Snapshot" sheetId="6" state="visible" r:id="rId6"/>
    <sheet xmlns:r="http://schemas.openxmlformats.org/officeDocument/2006/relationships" name="Covenant_Dashboard" sheetId="7" state="visible" r:id="rId7"/>
    <sheet xmlns:r="http://schemas.openxmlformats.org/officeDocument/2006/relationships" name="IC_Voting" sheetId="8" state="visible" r:id="rId8"/>
    <sheet xmlns:r="http://schemas.openxmlformats.org/officeDocument/2006/relationships" name="Document_Control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€#,##0_);[Red](€#,##0)"/>
    <numFmt numFmtId="167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000000"/>
      <sz val="10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top style="medium">
        <color rgb="00002060"/>
      </top>
      <bottom style="medium">
        <color rgb="00002060"/>
      </bottom>
    </border>
    <border>
      <top style="thin">
        <color rgb="00D9D9D9"/>
      </top>
      <bottom style="thin">
        <color rgb="00D9D9D9"/>
      </bottom>
    </border>
    <border>
      <bottom style="thin">
        <color rgb="00E6E6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3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0" fillId="0" borderId="1" pivotButton="0" quotePrefix="0" xfId="0"/>
    <xf numFmtId="0" fontId="2" fillId="0" borderId="3" applyAlignment="1" pivotButton="0" quotePrefix="0" xfId="0">
      <alignment vertical="center"/>
    </xf>
    <xf numFmtId="0" fontId="5" fillId="2" borderId="3" applyAlignment="1" pivotButton="0" quotePrefix="0" xfId="0">
      <alignment horizontal="center"/>
    </xf>
    <xf numFmtId="0" fontId="5" fillId="2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1" fontId="6" fillId="4" borderId="3" applyAlignment="1" pivotButton="0" quotePrefix="0" xfId="0">
      <alignment vertical="center"/>
    </xf>
    <xf numFmtId="164" fontId="6" fillId="4" borderId="3" applyAlignment="1" pivotButton="0" quotePrefix="0" xfId="0">
      <alignment vertical="center"/>
    </xf>
    <xf numFmtId="165" fontId="6" fillId="4" borderId="3" applyAlignment="1" pivotButton="0" quotePrefix="0" xfId="0">
      <alignment vertical="center"/>
    </xf>
    <xf numFmtId="38" fontId="6" fillId="4" borderId="3" applyAlignment="1" pivotButton="0" quotePrefix="0" xfId="0">
      <alignment vertical="center"/>
    </xf>
    <xf numFmtId="166" fontId="6" fillId="4" borderId="3" applyAlignment="1" pivotButton="0" quotePrefix="0" xfId="0">
      <alignment vertical="center"/>
    </xf>
    <xf numFmtId="0" fontId="4" fillId="2" borderId="3" applyAlignment="1" pivotButton="0" quotePrefix="0" xfId="0">
      <alignment horizontal="left"/>
    </xf>
    <xf numFmtId="0" fontId="3" fillId="0" borderId="3" pivotButton="0" quotePrefix="0" xfId="0"/>
    <xf numFmtId="164" fontId="7" fillId="0" borderId="3" applyAlignment="1" pivotButton="0" quotePrefix="0" xfId="0">
      <alignment vertical="center"/>
    </xf>
    <xf numFmtId="38" fontId="8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6" fontId="8" fillId="0" borderId="3" applyAlignment="1" pivotButton="0" quotePrefix="0" xfId="0">
      <alignment vertical="center"/>
    </xf>
    <xf numFmtId="0" fontId="2" fillId="0" borderId="3" pivotButton="0" quotePrefix="0" xfId="0"/>
    <xf numFmtId="164" fontId="8" fillId="0" borderId="3" applyAlignment="1" pivotButton="0" quotePrefix="0" xfId="0">
      <alignment vertical="center"/>
    </xf>
    <xf numFmtId="165" fontId="8" fillId="0" borderId="3" applyAlignment="1" pivotButton="0" quotePrefix="0" xfId="0">
      <alignment vertical="center"/>
    </xf>
    <xf numFmtId="167" fontId="8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B7" authorId="0" shapeId="0">
      <text>
        <t>Source: user request and active project memory.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3" authorId="0" shapeId="0">
      <text>
        <t>Source: user project assumptions / active memory</t>
      </text>
    </comment>
    <comment ref="C4" authorId="0" shapeId="0">
      <text>
        <t>Source: user project timeline / active memory</t>
      </text>
    </comment>
    <comment ref="C5" authorId="0" shapeId="0">
      <text>
        <t>Source: project draft assumption; confirm against final tax memo</t>
      </text>
    </comment>
    <comment ref="C6" authorId="0" shapeId="0">
      <text>
        <t>Source: internal lender case placeholder pending final WACC</t>
      </text>
    </comment>
    <comment ref="C7" authorId="0" shapeId="0">
      <text>
        <t>Source: user requirement / active memory</t>
      </text>
    </comment>
    <comment ref="C8" authorId="0" shapeId="0">
      <text>
        <t>Source: internal lender case threshold</t>
      </text>
    </comment>
    <comment ref="C9" authorId="0" shapeId="0">
      <text>
        <t>Source: internal lender case threshold</t>
      </text>
    </comment>
    <comment ref="C12" authorId="0" shapeId="0">
      <text>
        <t>Source: model placeholder aligned to industrial draft</t>
      </text>
    </comment>
    <comment ref="C13" authorId="0" shapeId="0">
      <text>
        <t>Source: internal ramp-up placeholder</t>
      </text>
    </comment>
    <comment ref="C14" authorId="0" shapeId="0">
      <text>
        <t>Source: internal ramp-up placeholder</t>
      </text>
    </comment>
    <comment ref="C15" authorId="0" shapeId="0">
      <text>
        <t>Source: internal ramp-up placeholder</t>
      </text>
    </comment>
    <comment ref="C16" authorId="0" shapeId="0">
      <text>
        <t>Source: internal ramp-up placeholder</t>
      </text>
    </comment>
    <comment ref="C17" authorId="0" shapeId="0">
      <text>
        <t>Source: internal ramp-up placeholder</t>
      </text>
    </comment>
    <comment ref="C18" authorId="0" shapeId="0">
      <text>
        <t>Source: internal commercial placeholder pending market lock</t>
      </text>
    </comment>
    <comment ref="C19" authorId="0" shapeId="0">
      <text>
        <t>Source: margin memo assumption</t>
      </text>
    </comment>
    <comment ref="C20" authorId="0" shapeId="0">
      <text>
        <t>Source: margin memo assumption</t>
      </text>
    </comment>
    <comment ref="C21" authorId="0" shapeId="0">
      <text>
        <t>Source: internal OPEX placeholder</t>
      </text>
    </comment>
    <comment ref="C22" authorId="0" shapeId="0">
      <text>
        <t>Source: placeholder escalation</t>
      </text>
    </comment>
    <comment ref="C23" authorId="0" shapeId="0">
      <text>
        <t>Source: internal lender placeholder</t>
      </text>
    </comment>
    <comment ref="C27" authorId="0" shapeId="0">
      <text>
        <t>Source: harmonized project draft / active memory</t>
      </text>
    </comment>
    <comment ref="C28" authorId="0" shapeId="0">
      <text>
        <t>Source: active memory target funding mix</t>
      </text>
    </comment>
    <comment ref="C29" authorId="0" shapeId="0">
      <text>
        <t>Source: active memory target funding mix</t>
      </text>
    </comment>
    <comment ref="C30" authorId="0" shapeId="0">
      <text>
        <t>Source: active memory target funding mix</t>
      </text>
    </comment>
    <comment ref="C31" authorId="0" shapeId="0">
      <text>
        <t>Source: lender placeholder</t>
      </text>
    </comment>
    <comment ref="C32" authorId="0" shapeId="0">
      <text>
        <t>Source: lender placeholder</t>
      </text>
    </comment>
    <comment ref="C33" authorId="0" shapeId="0">
      <text>
        <t>Source: lender placeholder</t>
      </text>
    </comment>
    <comment ref="C34" authorId="0" shapeId="0">
      <text>
        <t>Source: active memory target structure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28" customHeight="1">
      <c r="B2" s="1" t="inlineStr">
        <is>
          <t>TITAN GRID / ARS METAL INDUSTRIES
LIVE LENDER LINKAGE PACK v6.2</t>
        </is>
      </c>
    </row>
    <row r="3"/>
    <row r="4"/>
    <row r="5"/>
    <row r="6"/>
    <row r="7">
      <c r="B7" s="2" t="inlineStr">
        <is>
          <t>Document Type</t>
        </is>
      </c>
      <c r="C7" s="3" t="inlineStr">
        <is>
          <t>Integrated lender model workbook</t>
        </is>
      </c>
    </row>
    <row r="8">
      <c r="B8" s="2" t="inlineStr">
        <is>
          <t>Purpose</t>
        </is>
      </c>
      <c r="C8" s="3" t="inlineStr">
        <is>
          <t>Credit committee / lender linkage pack</t>
        </is>
      </c>
    </row>
    <row r="9">
      <c r="B9" s="2" t="inlineStr">
        <is>
          <t>Version</t>
        </is>
      </c>
      <c r="C9" s="3" t="inlineStr">
        <is>
          <t>v6.2</t>
        </is>
      </c>
    </row>
    <row r="10">
      <c r="B10" s="2" t="inlineStr">
        <is>
          <t>Date</t>
        </is>
      </c>
      <c r="C10" s="3" t="inlineStr">
        <is>
          <t>20 Mar 2026</t>
        </is>
      </c>
    </row>
    <row r="11">
      <c r="B11" s="2" t="inlineStr">
        <is>
          <t>Status</t>
        </is>
      </c>
      <c r="C11" s="3" t="inlineStr">
        <is>
          <t>Internal draft – export ready</t>
        </is>
      </c>
    </row>
    <row r="12"/>
    <row r="13"/>
    <row r="14">
      <c r="B14" s="4" t="inlineStr">
        <is>
          <t>Workbook Map</t>
        </is>
      </c>
      <c r="C14" s="5" t="n"/>
      <c r="D14" s="5" t="n"/>
      <c r="E14" s="5" t="n"/>
      <c r="F14" s="5" t="n"/>
    </row>
    <row r="15">
      <c r="B15" s="6" t="inlineStr">
        <is>
          <t>Assumptions</t>
        </is>
      </c>
      <c r="C15" s="3" t="inlineStr">
        <is>
          <t>Editable core drivers</t>
        </is>
      </c>
    </row>
    <row r="16">
      <c r="B16" s="6" t="inlineStr">
        <is>
          <t>Production_Margin</t>
        </is>
      </c>
      <c r="C16" s="3" t="inlineStr">
        <is>
          <t>Unit economics and EBITDA bridge</t>
        </is>
      </c>
    </row>
    <row r="17">
      <c r="B17" s="6" t="inlineStr">
        <is>
          <t>Debt_Schedule</t>
        </is>
      </c>
      <c r="C17" s="3" t="inlineStr">
        <is>
          <t>Debt draw and repayment simplification</t>
        </is>
      </c>
    </row>
    <row r="18">
      <c r="B18" s="6" t="inlineStr">
        <is>
          <t>Covenant_Dashboard</t>
        </is>
      </c>
      <c r="C18" s="3" t="inlineStr">
        <is>
          <t>DSCR / LLCR / PLCR / flags</t>
        </is>
      </c>
    </row>
    <row r="19">
      <c r="B19" s="6" t="inlineStr">
        <is>
          <t>DSCR_Snapshot</t>
        </is>
      </c>
      <c r="C19" s="3" t="inlineStr">
        <is>
          <t>Annual CFADS and DSCR</t>
        </is>
      </c>
    </row>
    <row r="20">
      <c r="B20" s="6" t="inlineStr">
        <is>
          <t>IC_Voting</t>
        </is>
      </c>
      <c r="C20" s="3" t="inlineStr">
        <is>
          <t>Credit committee action page</t>
        </is>
      </c>
    </row>
    <row r="21">
      <c r="B21" s="6" t="inlineStr">
        <is>
          <t>Document_Control</t>
        </is>
      </c>
      <c r="C21" s="3" t="inlineStr">
        <is>
          <t>Issue control and revision log</t>
        </is>
      </c>
    </row>
  </sheetData>
  <mergeCells count="7">
    <mergeCell ref="C11:E11"/>
    <mergeCell ref="C8:E8"/>
    <mergeCell ref="C9:E9"/>
    <mergeCell ref="B14:F14"/>
    <mergeCell ref="B2:H4"/>
    <mergeCell ref="C7:E7"/>
    <mergeCell ref="C10:E1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18" customWidth="1" min="4" max="4"/>
    <col width="18" customWidth="1" min="5" max="5"/>
  </cols>
  <sheetData>
    <row r="1"/>
    <row r="2">
      <c r="B2" s="4" t="inlineStr">
        <is>
          <t>Navigation Index</t>
        </is>
      </c>
      <c r="C2" s="5" t="n"/>
      <c r="D2" s="5" t="n"/>
      <c r="E2" s="5" t="n"/>
    </row>
    <row r="3">
      <c r="A3" s="7" t="inlineStr"/>
      <c r="B3" s="8" t="inlineStr">
        <is>
          <t>Sheet</t>
        </is>
      </c>
      <c r="C3" s="8" t="inlineStr">
        <is>
          <t>Description</t>
        </is>
      </c>
      <c r="D3" s="8" t="inlineStr">
        <is>
          <t>Owner</t>
        </is>
      </c>
      <c r="E3" s="8" t="inlineStr">
        <is>
          <t>Status</t>
        </is>
      </c>
    </row>
    <row r="4">
      <c r="B4" s="6" t="inlineStr">
        <is>
          <t>Assumptions</t>
        </is>
      </c>
      <c r="C4" s="3" t="inlineStr">
        <is>
          <t>Core drivers for price, cost, CAPEX, debt, tax and covenant thresholds</t>
        </is>
      </c>
      <c r="D4" s="3" t="inlineStr">
        <is>
          <t>Finance</t>
        </is>
      </c>
      <c r="E4" s="3" t="inlineStr">
        <is>
          <t>Active</t>
        </is>
      </c>
    </row>
    <row r="5">
      <c r="B5" s="6" t="inlineStr">
        <is>
          <t>Production_Margin</t>
        </is>
      </c>
      <c r="C5" s="3" t="inlineStr">
        <is>
          <t>Unit margin build, EBITDA and yearly throughput</t>
        </is>
      </c>
      <c r="D5" s="3" t="inlineStr">
        <is>
          <t>Finance</t>
        </is>
      </c>
      <c r="E5" s="3" t="inlineStr">
        <is>
          <t>Active</t>
        </is>
      </c>
    </row>
    <row r="6">
      <c r="B6" s="6" t="inlineStr">
        <is>
          <t>Debt_Schedule</t>
        </is>
      </c>
      <c r="C6" s="3" t="inlineStr">
        <is>
          <t>Debt funding, grace, repayment and interest</t>
        </is>
      </c>
      <c r="D6" s="3" t="inlineStr">
        <is>
          <t>Finance</t>
        </is>
      </c>
      <c r="E6" s="3" t="inlineStr">
        <is>
          <t>Active</t>
        </is>
      </c>
    </row>
    <row r="7">
      <c r="B7" s="6" t="inlineStr">
        <is>
          <t>DSCR_Snapshot</t>
        </is>
      </c>
      <c r="C7" s="3" t="inlineStr">
        <is>
          <t>CFADS and DSCR by year</t>
        </is>
      </c>
      <c r="D7" s="3" t="inlineStr">
        <is>
          <t>Finance</t>
        </is>
      </c>
      <c r="E7" s="3" t="inlineStr">
        <is>
          <t>Active</t>
        </is>
      </c>
    </row>
    <row r="8">
      <c r="B8" s="6" t="inlineStr">
        <is>
          <t>Covenant_Dashboard</t>
        </is>
      </c>
      <c r="C8" s="3" t="inlineStr">
        <is>
          <t>Lender ratios and flags</t>
        </is>
      </c>
      <c r="D8" s="3" t="inlineStr">
        <is>
          <t>Finance</t>
        </is>
      </c>
      <c r="E8" s="3" t="inlineStr">
        <is>
          <t>Active</t>
        </is>
      </c>
    </row>
    <row r="9">
      <c r="B9" s="6" t="inlineStr">
        <is>
          <t>IC_Voting</t>
        </is>
      </c>
      <c r="C9" s="3" t="inlineStr">
        <is>
          <t>Approval grid and action items</t>
        </is>
      </c>
      <c r="D9" s="3" t="inlineStr">
        <is>
          <t>IC Secretariat</t>
        </is>
      </c>
      <c r="E9" s="3" t="inlineStr">
        <is>
          <t>Draft</t>
        </is>
      </c>
    </row>
    <row r="10">
      <c r="B10" s="6" t="inlineStr">
        <is>
          <t>Document_Control</t>
        </is>
      </c>
      <c r="C10" s="3" t="inlineStr">
        <is>
          <t>Revision history and notes</t>
        </is>
      </c>
      <c r="D10" s="3" t="inlineStr">
        <is>
          <t>PMO</t>
        </is>
      </c>
      <c r="E10" s="3" t="inlineStr">
        <is>
          <t>Active</t>
        </is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/>
    <row r="2">
      <c r="B2" s="4" t="inlineStr">
        <is>
          <t>Model Control</t>
        </is>
      </c>
      <c r="C2" s="5" t="n"/>
      <c r="D2" s="5" t="n"/>
      <c r="E2" s="5" t="n"/>
      <c r="F2" s="5" t="n"/>
    </row>
    <row r="3">
      <c r="B3" s="6" t="inlineStr">
        <is>
          <t>Model Currency</t>
        </is>
      </c>
      <c r="C3" s="9" t="inlineStr">
        <is>
          <t>EUR</t>
        </is>
      </c>
    </row>
    <row r="4">
      <c r="B4" s="6" t="inlineStr">
        <is>
          <t>Base Year</t>
        </is>
      </c>
      <c r="C4" s="10" t="n">
        <v>2029</v>
      </c>
    </row>
    <row r="5">
      <c r="B5" s="6" t="inlineStr">
        <is>
          <t>Tax Rate</t>
        </is>
      </c>
      <c r="C5" s="11" t="n">
        <v>0.09</v>
      </c>
    </row>
    <row r="6">
      <c r="B6" s="6" t="inlineStr">
        <is>
          <t>Discount Rate</t>
        </is>
      </c>
      <c r="C6" s="11" t="n">
        <v>0.12</v>
      </c>
    </row>
    <row r="7">
      <c r="B7" s="6" t="inlineStr">
        <is>
          <t>Target Minimum DSCR</t>
        </is>
      </c>
      <c r="C7" s="12" t="n">
        <v>1.25</v>
      </c>
    </row>
    <row r="8">
      <c r="B8" s="6" t="inlineStr">
        <is>
          <t>Target Minimum LLCR</t>
        </is>
      </c>
      <c r="C8" s="12" t="n">
        <v>1.4</v>
      </c>
    </row>
    <row r="9">
      <c r="B9" s="6" t="inlineStr">
        <is>
          <t>Target Minimum PLCR</t>
        </is>
      </c>
      <c r="C9" s="12" t="n">
        <v>1.5</v>
      </c>
    </row>
    <row r="10"/>
    <row r="11">
      <c r="B11" s="4" t="inlineStr">
        <is>
          <t>Operating Drivers</t>
        </is>
      </c>
      <c r="C11" s="5" t="n"/>
      <c r="D11" s="5" t="n"/>
      <c r="E11" s="5" t="n"/>
      <c r="F11" s="5" t="n"/>
    </row>
    <row r="12">
      <c r="B12" s="6" t="inlineStr">
        <is>
          <t>Nameplate Throughput (t)</t>
        </is>
      </c>
      <c r="C12" s="13" t="n">
        <v>12000</v>
      </c>
    </row>
    <row r="13">
      <c r="B13" s="6" t="inlineStr">
        <is>
          <t>Ramp-Up 2029</t>
        </is>
      </c>
      <c r="C13" s="11" t="n">
        <v>0.6</v>
      </c>
    </row>
    <row r="14">
      <c r="B14" s="6" t="inlineStr">
        <is>
          <t>Ramp-Up 2030</t>
        </is>
      </c>
      <c r="C14" s="11" t="n">
        <v>0.75</v>
      </c>
    </row>
    <row r="15">
      <c r="B15" s="6" t="inlineStr">
        <is>
          <t>Ramp-Up 2031</t>
        </is>
      </c>
      <c r="C15" s="11" t="n">
        <v>0.85</v>
      </c>
    </row>
    <row r="16">
      <c r="B16" s="6" t="inlineStr">
        <is>
          <t>Ramp-Up 2032</t>
        </is>
      </c>
      <c r="C16" s="11" t="n">
        <v>0.9</v>
      </c>
    </row>
    <row r="17">
      <c r="B17" s="6" t="inlineStr">
        <is>
          <t>Ramp-Up 2033</t>
        </is>
      </c>
      <c r="C17" s="11" t="n">
        <v>0.92</v>
      </c>
    </row>
    <row r="18">
      <c r="B18" s="6" t="inlineStr">
        <is>
          <t>Average Revenue per Ton</t>
        </is>
      </c>
      <c r="C18" s="14" t="n">
        <v>2400</v>
      </c>
    </row>
    <row r="19">
      <c r="B19" s="6" t="inlineStr">
        <is>
          <t>Steel Cost % of Revenue</t>
        </is>
      </c>
      <c r="C19" s="11" t="n">
        <v>0.55</v>
      </c>
    </row>
    <row r="20">
      <c r="B20" s="6" t="inlineStr">
        <is>
          <t>Variable Ops % of Revenue</t>
        </is>
      </c>
      <c r="C20" s="11" t="n">
        <v>0.125</v>
      </c>
    </row>
    <row r="21">
      <c r="B21" s="6" t="inlineStr">
        <is>
          <t>Fixed Opex 2029</t>
        </is>
      </c>
      <c r="C21" s="14" t="n">
        <v>1200000</v>
      </c>
    </row>
    <row r="22">
      <c r="B22" s="6" t="inlineStr">
        <is>
          <t>Fixed Opex Growth</t>
        </is>
      </c>
      <c r="C22" s="11" t="n">
        <v>0.03</v>
      </c>
    </row>
    <row r="23">
      <c r="B23" s="6" t="inlineStr">
        <is>
          <t>Maintenance Capex % Revenue</t>
        </is>
      </c>
      <c r="C23" s="11" t="n">
        <v>0.015</v>
      </c>
    </row>
    <row r="24"/>
    <row r="25"/>
    <row r="26">
      <c r="B26" s="4" t="inlineStr">
        <is>
          <t>Funding &amp; Debt Drivers</t>
        </is>
      </c>
      <c r="C26" s="5" t="n"/>
      <c r="D26" s="5" t="n"/>
      <c r="E26" s="5" t="n"/>
      <c r="F26" s="5" t="n"/>
    </row>
    <row r="27">
      <c r="B27" s="6" t="inlineStr">
        <is>
          <t>Total CAPEX</t>
        </is>
      </c>
      <c r="C27" s="14" t="n">
        <v>16000000</v>
      </c>
    </row>
    <row r="28">
      <c r="B28" s="6" t="inlineStr">
        <is>
          <t>Debt Share</t>
        </is>
      </c>
      <c r="C28" s="11" t="n">
        <v>0.6</v>
      </c>
    </row>
    <row r="29">
      <c r="B29" s="6" t="inlineStr">
        <is>
          <t>Equity Share</t>
        </is>
      </c>
      <c r="C29" s="11" t="n">
        <v>0.25</v>
      </c>
    </row>
    <row r="30">
      <c r="B30" s="6" t="inlineStr">
        <is>
          <t>Grant Share</t>
        </is>
      </c>
      <c r="C30" s="11" t="n">
        <v>0.15</v>
      </c>
    </row>
    <row r="31">
      <c r="B31" s="6" t="inlineStr">
        <is>
          <t>Debt Interest Rate</t>
        </is>
      </c>
      <c r="C31" s="11" t="n">
        <v>0.065</v>
      </c>
    </row>
    <row r="32">
      <c r="B32" s="6" t="inlineStr">
        <is>
          <t>Debt Tenor (years)</t>
        </is>
      </c>
      <c r="C32" s="10" t="n">
        <v>8</v>
      </c>
    </row>
    <row r="33">
      <c r="B33" s="6" t="inlineStr">
        <is>
          <t>Grace Period (years)</t>
        </is>
      </c>
      <c r="C33" s="10" t="n">
        <v>2</v>
      </c>
    </row>
    <row r="34">
      <c r="B34" s="6" t="inlineStr">
        <is>
          <t>DSRA Months</t>
        </is>
      </c>
      <c r="C34" s="10" t="n">
        <v>6</v>
      </c>
    </row>
  </sheetData>
  <mergeCells count="3">
    <mergeCell ref="B2:F2"/>
    <mergeCell ref="B26:F26"/>
    <mergeCell ref="B11:F1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s="15" t="inlineStr">
        <is>
          <t>Production &amp; Margin Build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/>
    <row r="4">
      <c r="B4" s="8" t="n">
        <v>2029</v>
      </c>
      <c r="C4" s="8" t="n">
        <v>2030</v>
      </c>
      <c r="D4" s="8" t="n">
        <v>2031</v>
      </c>
      <c r="E4" s="8" t="n">
        <v>2032</v>
      </c>
      <c r="F4" s="8" t="n">
        <v>2033</v>
      </c>
    </row>
    <row r="5">
      <c r="A5" s="16" t="inlineStr">
        <is>
          <t>Ramp-Up</t>
        </is>
      </c>
      <c r="B5" s="17">
        <f>Assumptions!$C$13</f>
        <v/>
      </c>
      <c r="C5" s="17">
        <f>Assumptions!$C$14</f>
        <v/>
      </c>
      <c r="D5" s="17">
        <f>Assumptions!$C$15</f>
        <v/>
      </c>
      <c r="E5" s="17">
        <f>Assumptions!$C$16</f>
        <v/>
      </c>
      <c r="F5" s="17">
        <f>Assumptions!$C$17</f>
        <v/>
      </c>
    </row>
    <row r="6">
      <c r="A6" s="16" t="inlineStr">
        <is>
          <t>Production (t)</t>
        </is>
      </c>
      <c r="B6" s="18">
        <f>Assumptions!$C$12*B5</f>
        <v/>
      </c>
      <c r="C6" s="18">
        <f>Assumptions!$C$12*C5</f>
        <v/>
      </c>
      <c r="D6" s="18">
        <f>Assumptions!$C$12*D5</f>
        <v/>
      </c>
      <c r="E6" s="18">
        <f>Assumptions!$C$12*E5</f>
        <v/>
      </c>
      <c r="F6" s="18">
        <f>Assumptions!$C$12*F5</f>
        <v/>
      </c>
    </row>
    <row r="7">
      <c r="A7" s="16" t="inlineStr">
        <is>
          <t>Revenue / t</t>
        </is>
      </c>
      <c r="B7" s="19">
        <f>Assumptions!$C$18</f>
        <v/>
      </c>
      <c r="C7" s="19">
        <f>Assumptions!$C$18</f>
        <v/>
      </c>
      <c r="D7" s="19">
        <f>Assumptions!$C$18</f>
        <v/>
      </c>
      <c r="E7" s="19">
        <f>Assumptions!$C$18</f>
        <v/>
      </c>
      <c r="F7" s="19">
        <f>Assumptions!$C$18</f>
        <v/>
      </c>
    </row>
    <row r="8">
      <c r="A8" s="16" t="inlineStr">
        <is>
          <t>Revenue (€)</t>
        </is>
      </c>
      <c r="B8" s="20">
        <f>B6*B7</f>
        <v/>
      </c>
      <c r="C8" s="20">
        <f>C6*C7</f>
        <v/>
      </c>
      <c r="D8" s="20">
        <f>D6*D7</f>
        <v/>
      </c>
      <c r="E8" s="20">
        <f>E6*E7</f>
        <v/>
      </c>
      <c r="F8" s="20">
        <f>F6*F7</f>
        <v/>
      </c>
    </row>
    <row r="9">
      <c r="A9" s="16" t="inlineStr">
        <is>
          <t>Steel Cost (€)</t>
        </is>
      </c>
      <c r="B9" s="20">
        <f>B8*Assumptions!$C$19</f>
        <v/>
      </c>
      <c r="C9" s="20">
        <f>C8*Assumptions!$C$19</f>
        <v/>
      </c>
      <c r="D9" s="20">
        <f>D8*Assumptions!$C$19</f>
        <v/>
      </c>
      <c r="E9" s="20">
        <f>E8*Assumptions!$C$19</f>
        <v/>
      </c>
      <c r="F9" s="20">
        <f>F8*Assumptions!$C$19</f>
        <v/>
      </c>
    </row>
    <row r="10">
      <c r="A10" s="16" t="inlineStr">
        <is>
          <t>Variable Ops (€)</t>
        </is>
      </c>
      <c r="B10" s="20">
        <f>B8*Assumptions!$C$20</f>
        <v/>
      </c>
      <c r="C10" s="20">
        <f>C8*Assumptions!$C$20</f>
        <v/>
      </c>
      <c r="D10" s="20">
        <f>D8*Assumptions!$C$20</f>
        <v/>
      </c>
      <c r="E10" s="20">
        <f>E8*Assumptions!$C$20</f>
        <v/>
      </c>
      <c r="F10" s="20">
        <f>F8*Assumptions!$C$20</f>
        <v/>
      </c>
    </row>
    <row r="11">
      <c r="A11" s="21" t="inlineStr">
        <is>
          <t>Contribution Margin (€)</t>
        </is>
      </c>
      <c r="B11" s="20">
        <f>B8-B9-B10</f>
        <v/>
      </c>
      <c r="C11" s="20">
        <f>C8-C9-C10</f>
        <v/>
      </c>
      <c r="D11" s="20">
        <f>D8-D9-D10</f>
        <v/>
      </c>
      <c r="E11" s="20">
        <f>E8-E9-E10</f>
        <v/>
      </c>
      <c r="F11" s="20">
        <f>F8-F9-F10</f>
        <v/>
      </c>
    </row>
    <row r="12">
      <c r="A12" s="16" t="inlineStr">
        <is>
          <t>Fixed Opex (€)</t>
        </is>
      </c>
      <c r="B12" s="19">
        <f>Assumptions!$C$21</f>
        <v/>
      </c>
      <c r="C12" s="20">
        <f>B12*(1+Assumptions!$C$22)</f>
        <v/>
      </c>
      <c r="D12" s="20">
        <f>C12*(1+Assumptions!$C$22)</f>
        <v/>
      </c>
      <c r="E12" s="20">
        <f>D12*(1+Assumptions!$C$22)</f>
        <v/>
      </c>
      <c r="F12" s="20">
        <f>E12*(1+Assumptions!$C$22)</f>
        <v/>
      </c>
    </row>
    <row r="13">
      <c r="A13" s="21" t="inlineStr">
        <is>
          <t>EBITDA (€)</t>
        </is>
      </c>
      <c r="B13" s="20">
        <f>B11-B12</f>
        <v/>
      </c>
      <c r="C13" s="20">
        <f>C11-C12</f>
        <v/>
      </c>
      <c r="D13" s="20">
        <f>D11-D12</f>
        <v/>
      </c>
      <c r="E13" s="20">
        <f>E11-E12</f>
        <v/>
      </c>
      <c r="F13" s="20">
        <f>F11-F12</f>
        <v/>
      </c>
    </row>
    <row r="14">
      <c r="A14" s="21" t="inlineStr">
        <is>
          <t>EBITDA Margin</t>
        </is>
      </c>
      <c r="B14" s="22">
        <f>IFERROR(B13/B8,0)</f>
        <v/>
      </c>
      <c r="C14" s="22">
        <f>IFERROR(C13/C8,0)</f>
        <v/>
      </c>
      <c r="D14" s="22">
        <f>IFERROR(D13/D8,0)</f>
        <v/>
      </c>
      <c r="E14" s="22">
        <f>IFERROR(E13/E8,0)</f>
        <v/>
      </c>
      <c r="F14" s="22">
        <f>IFERROR(F13/F8,0)</f>
        <v/>
      </c>
    </row>
    <row r="15">
      <c r="A15" s="16" t="inlineStr">
        <is>
          <t>Maintenance Capex (€)</t>
        </is>
      </c>
      <c r="B15" s="20">
        <f>B8*Assumptions!$C$23</f>
        <v/>
      </c>
      <c r="C15" s="20">
        <f>C8*Assumptions!$C$23</f>
        <v/>
      </c>
      <c r="D15" s="20">
        <f>D8*Assumptions!$C$23</f>
        <v/>
      </c>
      <c r="E15" s="20">
        <f>E8*Assumptions!$C$23</f>
        <v/>
      </c>
      <c r="F15" s="20">
        <f>F8*Assumptions!$C$23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A2" s="15" t="inlineStr">
        <is>
          <t>Debt Schedule</t>
        </is>
      </c>
      <c r="B2" s="5" t="n"/>
      <c r="C2" s="5" t="n"/>
      <c r="D2" s="5" t="n"/>
      <c r="E2" s="5" t="n"/>
      <c r="F2" s="5" t="n"/>
      <c r="G2" s="5" t="n"/>
    </row>
    <row r="3"/>
    <row r="4">
      <c r="B4" s="8" t="n">
        <v>2029</v>
      </c>
      <c r="C4" s="8" t="n">
        <v>2030</v>
      </c>
      <c r="D4" s="8" t="n">
        <v>2031</v>
      </c>
      <c r="E4" s="8" t="n">
        <v>2032</v>
      </c>
      <c r="F4" s="8" t="n">
        <v>2033</v>
      </c>
    </row>
    <row r="5">
      <c r="A5" s="21" t="inlineStr">
        <is>
          <t>Opening Debt</t>
        </is>
      </c>
      <c r="B5" s="20">
        <f>0</f>
        <v/>
      </c>
      <c r="C5" s="20">
        <f>B9</f>
        <v/>
      </c>
      <c r="D5" s="20">
        <f>C9</f>
        <v/>
      </c>
      <c r="E5" s="20">
        <f>D9</f>
        <v/>
      </c>
      <c r="F5" s="20">
        <f>E9</f>
        <v/>
      </c>
    </row>
    <row r="6">
      <c r="A6" s="21" t="inlineStr">
        <is>
          <t>Drawdown</t>
        </is>
      </c>
      <c r="B6" s="20">
        <f>Assumptions!$C$27*Assumptions!$C$28</f>
        <v/>
      </c>
      <c r="C6" s="20">
        <f>0</f>
        <v/>
      </c>
      <c r="D6" s="20">
        <f>0</f>
        <v/>
      </c>
      <c r="E6" s="20">
        <f>0</f>
        <v/>
      </c>
      <c r="F6" s="20">
        <f>0</f>
        <v/>
      </c>
    </row>
    <row r="7">
      <c r="A7" s="21" t="inlineStr">
        <is>
          <t>Principal Repayment</t>
        </is>
      </c>
      <c r="B7" s="20">
        <f>0</f>
        <v/>
      </c>
      <c r="C7" s="20">
        <f>0</f>
        <v/>
      </c>
      <c r="D7" s="20">
        <f>0</f>
        <v/>
      </c>
      <c r="E7" s="20">
        <f>IF(E$4&lt;=2031,0,$B$9/MAX(Assumptions!$C$32-Assumptions!$C$33,1))</f>
        <v/>
      </c>
      <c r="F7" s="20">
        <f>IF(F$4&lt;=2031,0,$B$9/MAX(Assumptions!$C$32-Assumptions!$C$33,1))</f>
        <v/>
      </c>
    </row>
    <row r="8">
      <c r="A8" s="21" t="inlineStr">
        <is>
          <t>Interest Expense</t>
        </is>
      </c>
      <c r="B8" s="20">
        <f>((B5+B6)-B7)*Assumptions!$C$31</f>
        <v/>
      </c>
      <c r="C8" s="20">
        <f>(((C5+C6)-C7)+C5)/2*Assumptions!$C$31</f>
        <v/>
      </c>
      <c r="D8" s="20">
        <f>(((D5+D6)-D7)+D5)/2*Assumptions!$C$31</f>
        <v/>
      </c>
      <c r="E8" s="20">
        <f>(((E5+E6)-E7)+E5)/2*Assumptions!$C$31</f>
        <v/>
      </c>
      <c r="F8" s="20">
        <f>(((F5+F6)-F7)+F5)/2*Assumptions!$C$31</f>
        <v/>
      </c>
    </row>
    <row r="9">
      <c r="A9" s="21" t="inlineStr">
        <is>
          <t>Closing Debt</t>
        </is>
      </c>
      <c r="B9" s="20">
        <f>B5+B6-B7</f>
        <v/>
      </c>
      <c r="C9" s="20">
        <f>C5+C6-C7</f>
        <v/>
      </c>
      <c r="D9" s="20">
        <f>D5+D6-D7</f>
        <v/>
      </c>
      <c r="E9" s="20">
        <f>E5+E6-E7</f>
        <v/>
      </c>
      <c r="F9" s="20">
        <f>F5+F6-F7</f>
        <v/>
      </c>
    </row>
    <row r="10">
      <c r="A10" s="21" t="inlineStr">
        <is>
          <t>Debt Service</t>
        </is>
      </c>
      <c r="B10" s="20">
        <f>B7+B8</f>
        <v/>
      </c>
      <c r="C10" s="20">
        <f>C7+C8</f>
        <v/>
      </c>
      <c r="D10" s="20">
        <f>D7+D8</f>
        <v/>
      </c>
      <c r="E10" s="20">
        <f>E7+E8</f>
        <v/>
      </c>
      <c r="F10" s="20">
        <f>F7+F8</f>
        <v/>
      </c>
    </row>
    <row r="11">
      <c r="A11" s="21" t="inlineStr">
        <is>
          <t>DSRA Target</t>
        </is>
      </c>
      <c r="B11" s="20">
        <f>B10*Assumptions!$C$33/12</f>
        <v/>
      </c>
      <c r="C11" s="20">
        <f>C10*Assumptions!$C$33/12</f>
        <v/>
      </c>
      <c r="D11" s="20">
        <f>D10*Assumptions!$C$33/12</f>
        <v/>
      </c>
      <c r="E11" s="20">
        <f>E10*Assumptions!$C$33/12</f>
        <v/>
      </c>
      <c r="F11" s="20">
        <f>F10*Assumptions!$C$33/12</f>
        <v/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A2" s="15" t="inlineStr">
        <is>
          <t>CFADS / DSCR Snapshot</t>
        </is>
      </c>
      <c r="B2" s="5" t="n"/>
      <c r="C2" s="5" t="n"/>
      <c r="D2" s="5" t="n"/>
      <c r="E2" s="5" t="n"/>
      <c r="F2" s="5" t="n"/>
      <c r="G2" s="5" t="n"/>
      <c r="H2" s="5" t="n"/>
    </row>
    <row r="3"/>
    <row r="4">
      <c r="B4" s="8" t="n">
        <v>2029</v>
      </c>
      <c r="C4" s="8" t="n">
        <v>2030</v>
      </c>
      <c r="D4" s="8" t="n">
        <v>2031</v>
      </c>
      <c r="E4" s="8" t="n">
        <v>2032</v>
      </c>
      <c r="F4" s="8" t="n">
        <v>2033</v>
      </c>
    </row>
    <row r="5">
      <c r="A5" s="21" t="inlineStr">
        <is>
          <t>EBITDA (€)</t>
        </is>
      </c>
      <c r="B5" s="19">
        <f>Production_Margin!B13</f>
        <v/>
      </c>
      <c r="C5" s="19">
        <f>Production_Margin!C13</f>
        <v/>
      </c>
      <c r="D5" s="19">
        <f>Production_Margin!D13</f>
        <v/>
      </c>
      <c r="E5" s="19">
        <f>Production_Margin!E13</f>
        <v/>
      </c>
      <c r="F5" s="19">
        <f>Production_Margin!F13</f>
        <v/>
      </c>
    </row>
    <row r="6">
      <c r="A6" s="21" t="inlineStr">
        <is>
          <t>Less: Taxes (€)</t>
        </is>
      </c>
      <c r="B6" s="20">
        <f>MAX((B5-Debt_Schedule!B8),0)*Assumptions!$C$4</f>
        <v/>
      </c>
      <c r="C6" s="20">
        <f>MAX((C5-Debt_Schedule!C8),0)*Assumptions!$C$4</f>
        <v/>
      </c>
      <c r="D6" s="20">
        <f>MAX((D5-Debt_Schedule!D8),0)*Assumptions!$C$4</f>
        <v/>
      </c>
      <c r="E6" s="20">
        <f>MAX((E5-Debt_Schedule!E8),0)*Assumptions!$C$4</f>
        <v/>
      </c>
      <c r="F6" s="20">
        <f>MAX((F5-Debt_Schedule!F8),0)*Assumptions!$C$4</f>
        <v/>
      </c>
    </row>
    <row r="7">
      <c r="A7" s="21" t="inlineStr">
        <is>
          <t>Less: Maintenance Capex (€)</t>
        </is>
      </c>
      <c r="B7" s="19">
        <f>Production_Margin!B15</f>
        <v/>
      </c>
      <c r="C7" s="19">
        <f>Production_Margin!C15</f>
        <v/>
      </c>
      <c r="D7" s="19">
        <f>Production_Margin!D15</f>
        <v/>
      </c>
      <c r="E7" s="19">
        <f>Production_Margin!E15</f>
        <v/>
      </c>
      <c r="F7" s="19">
        <f>Production_Margin!F15</f>
        <v/>
      </c>
    </row>
    <row r="8">
      <c r="A8" s="21" t="inlineStr">
        <is>
          <t>CFADS (€)</t>
        </is>
      </c>
      <c r="B8" s="20">
        <f>B5-B6-B7</f>
        <v/>
      </c>
      <c r="C8" s="20">
        <f>C5-C6-C7</f>
        <v/>
      </c>
      <c r="D8" s="20">
        <f>D5-D6-D7</f>
        <v/>
      </c>
      <c r="E8" s="20">
        <f>E5-E6-E7</f>
        <v/>
      </c>
      <c r="F8" s="20">
        <f>F5-F6-F7</f>
        <v/>
      </c>
    </row>
    <row r="9">
      <c r="A9" s="21" t="inlineStr">
        <is>
          <t>Debt Service (€)</t>
        </is>
      </c>
      <c r="B9" s="19">
        <f>Debt_Schedule!B10</f>
        <v/>
      </c>
      <c r="C9" s="19">
        <f>Debt_Schedule!C10</f>
        <v/>
      </c>
      <c r="D9" s="19">
        <f>Debt_Schedule!D10</f>
        <v/>
      </c>
      <c r="E9" s="19">
        <f>Debt_Schedule!E10</f>
        <v/>
      </c>
      <c r="F9" s="19">
        <f>Debt_Schedule!F10</f>
        <v/>
      </c>
    </row>
    <row r="10">
      <c r="A10" s="21" t="inlineStr">
        <is>
          <t>DSCR</t>
        </is>
      </c>
      <c r="B10" s="23">
        <f>IFERROR(B8/B9,0)</f>
        <v/>
      </c>
      <c r="C10" s="23">
        <f>IFERROR(C8/C9,0)</f>
        <v/>
      </c>
      <c r="D10" s="23">
        <f>IFERROR(D8/D9,0)</f>
        <v/>
      </c>
      <c r="E10" s="23">
        <f>IFERROR(E8/E9,0)</f>
        <v/>
      </c>
      <c r="F10" s="23">
        <f>IFERROR(F8/F9,0)</f>
        <v/>
      </c>
    </row>
    <row r="11"/>
    <row r="12">
      <c r="A12" s="21" t="inlineStr">
        <is>
          <t>Discount Factor</t>
        </is>
      </c>
      <c r="B12" s="24">
        <f>1/(1+Assumptions!$C$5)^1</f>
        <v/>
      </c>
      <c r="C12" s="24">
        <f>1/(1+Assumptions!$C$5)^2</f>
        <v/>
      </c>
      <c r="D12" s="24">
        <f>1/(1+Assumptions!$C$5)^3</f>
        <v/>
      </c>
      <c r="E12" s="24">
        <f>1/(1+Assumptions!$C$5)^4</f>
        <v/>
      </c>
      <c r="F12" s="24">
        <f>1/(1+Assumptions!$C$5)^5</f>
        <v/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/>
    <row r="2">
      <c r="A2" s="15" t="inlineStr">
        <is>
          <t>Lender Covenant Dashboard</t>
        </is>
      </c>
      <c r="B2" s="5" t="n"/>
      <c r="C2" s="5" t="n"/>
      <c r="D2" s="5" t="n"/>
      <c r="E2" s="5" t="n"/>
      <c r="F2" s="5" t="n"/>
    </row>
    <row r="3"/>
    <row r="4">
      <c r="A4" s="7" t="inlineStr">
        <is>
          <t>Metric</t>
        </is>
      </c>
      <c r="B4" s="8" t="inlineStr">
        <is>
          <t>Threshold</t>
        </is>
      </c>
      <c r="C4" s="8" t="inlineStr">
        <is>
          <t>Actual</t>
        </is>
      </c>
      <c r="D4" s="8" t="inlineStr">
        <is>
          <t>Status</t>
        </is>
      </c>
      <c r="E4" s="8" t="inlineStr">
        <is>
          <t>Comment</t>
        </is>
      </c>
      <c r="F4" s="8" t="inlineStr">
        <is>
          <t>Source</t>
        </is>
      </c>
    </row>
    <row r="5">
      <c r="A5" s="21" t="inlineStr">
        <is>
          <t>Minimum DSCR</t>
        </is>
      </c>
      <c r="B5" s="25">
        <f>Assumptions!$C$5</f>
        <v/>
      </c>
      <c r="C5" s="23">
        <f>MIN(DSCR_Snapshot!B10:F10)</f>
        <v/>
      </c>
      <c r="D5" s="26">
        <f>IF(C5&gt;=B5,"PASS","FAIL")</f>
        <v/>
      </c>
      <c r="E5" s="3" t="inlineStr">
        <is>
          <t>Annual minimum</t>
        </is>
      </c>
      <c r="F5" s="3" t="inlineStr">
        <is>
          <t>Linked</t>
        </is>
      </c>
    </row>
    <row r="6">
      <c r="A6" s="21" t="inlineStr">
        <is>
          <t>Average DSCR</t>
        </is>
      </c>
      <c r="B6" s="3" t="inlineStr">
        <is>
          <t>n/a</t>
        </is>
      </c>
      <c r="C6" s="23">
        <f>AVERAGE(DSCR_Snapshot!B10:F10)</f>
        <v/>
      </c>
      <c r="D6" s="26">
        <f>IF(C6&gt;=1.30,"PASS","WATCH")</f>
        <v/>
      </c>
      <c r="E6" s="3" t="inlineStr">
        <is>
          <t>Mean annual</t>
        </is>
      </c>
      <c r="F6" s="3" t="inlineStr">
        <is>
          <t>Linked</t>
        </is>
      </c>
    </row>
    <row r="7">
      <c r="A7" s="21" t="inlineStr">
        <is>
          <t>LLCR</t>
        </is>
      </c>
      <c r="B7" s="25">
        <f>Assumptions!$C$6</f>
        <v/>
      </c>
      <c r="C7" s="23">
        <f>SUMPRODUCT(DSCR_Snapshot!B8:F8,DSCR_Snapshot!B12:F12)/Debt_Schedule!B9</f>
        <v/>
      </c>
      <c r="D7" s="26">
        <f>IF(C7&gt;=B7,"PASS","FAIL")</f>
        <v/>
      </c>
      <c r="E7" s="3" t="inlineStr">
        <is>
          <t>PV CFADS / opening debt</t>
        </is>
      </c>
      <c r="F7" s="3" t="inlineStr">
        <is>
          <t>Model</t>
        </is>
      </c>
    </row>
    <row r="8">
      <c r="A8" s="21" t="inlineStr">
        <is>
          <t>PLCR</t>
        </is>
      </c>
      <c r="B8" s="25">
        <f>Assumptions!$C$7</f>
        <v/>
      </c>
      <c r="C8" s="23">
        <f>(SUMPRODUCT(DSCR_Snapshot!B8:F8,DSCR_Snapshot!B12:F12)+MAX(0,Production_Margin!F13*4)*DSCR_Snapshot!F12)/Debt_Schedule!B9</f>
        <v/>
      </c>
      <c r="D8" s="26">
        <f>IF(C8&gt;=B8,"PASS","FAIL")</f>
        <v/>
      </c>
      <c r="E8" s="3" t="inlineStr">
        <is>
          <t>Project life cover incl. tail value</t>
        </is>
      </c>
      <c r="F8" s="3" t="inlineStr">
        <is>
          <t>Model</t>
        </is>
      </c>
    </row>
    <row r="9">
      <c r="A9" s="21" t="inlineStr">
        <is>
          <t>DSRA Requirement</t>
        </is>
      </c>
      <c r="B9" s="3" t="inlineStr">
        <is>
          <t>n/a</t>
        </is>
      </c>
      <c r="C9" s="20">
        <f>MAX(Debt_Schedule!B11:F11)</f>
        <v/>
      </c>
      <c r="D9" s="26">
        <f>IF(C9&gt;0,"SET","CHECK")</f>
        <v/>
      </c>
      <c r="E9" s="3" t="inlineStr">
        <is>
          <t>6-month debt service reserve</t>
        </is>
      </c>
      <c r="F9" s="3" t="inlineStr">
        <is>
          <t>Linked</t>
        </is>
      </c>
    </row>
  </sheetData>
  <mergeCells count="1">
    <mergeCell ref="A2:F2"/>
  </mergeCells>
  <conditionalFormatting sqref="D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"WATCH"</formula>
    </cfRule>
    <cfRule type="cellIs" priority="4" operator="equal" dxfId="0">
      <formula>"SET"</formula>
    </cfRule>
    <cfRule type="cellIs" priority="5" operator="equal" dxfId="2">
      <formula>"CHECK"</formula>
    </cfRule>
  </conditionalFormatting>
  <conditionalFormatting sqref="D6">
    <cfRule type="cellIs" priority="6" operator="equal" dxfId="0">
      <formula>"PASS"</formula>
    </cfRule>
    <cfRule type="cellIs" priority="7" operator="equal" dxfId="1">
      <formula>"FAIL"</formula>
    </cfRule>
    <cfRule type="cellIs" priority="8" operator="equal" dxfId="2">
      <formula>"WATCH"</formula>
    </cfRule>
    <cfRule type="cellIs" priority="9" operator="equal" dxfId="0">
      <formula>"SET"</formula>
    </cfRule>
    <cfRule type="cellIs" priority="10" operator="equal" dxfId="2">
      <formula>"CHECK"</formula>
    </cfRule>
  </conditionalFormatting>
  <conditionalFormatting sqref="D7">
    <cfRule type="cellIs" priority="11" operator="equal" dxfId="0">
      <formula>"PASS"</formula>
    </cfRule>
    <cfRule type="cellIs" priority="12" operator="equal" dxfId="1">
      <formula>"FAIL"</formula>
    </cfRule>
    <cfRule type="cellIs" priority="13" operator="equal" dxfId="2">
      <formula>"WATCH"</formula>
    </cfRule>
    <cfRule type="cellIs" priority="14" operator="equal" dxfId="0">
      <formula>"SET"</formula>
    </cfRule>
    <cfRule type="cellIs" priority="15" operator="equal" dxfId="2">
      <formula>"CHECK"</formula>
    </cfRule>
  </conditionalFormatting>
  <conditionalFormatting sqref="D8">
    <cfRule type="cellIs" priority="16" operator="equal" dxfId="0">
      <formula>"PASS"</formula>
    </cfRule>
    <cfRule type="cellIs" priority="17" operator="equal" dxfId="1">
      <formula>"FAIL"</formula>
    </cfRule>
    <cfRule type="cellIs" priority="18" operator="equal" dxfId="2">
      <formula>"WATCH"</formula>
    </cfRule>
    <cfRule type="cellIs" priority="19" operator="equal" dxfId="0">
      <formula>"SET"</formula>
    </cfRule>
    <cfRule type="cellIs" priority="20" operator="equal" dxfId="2">
      <formula>"CHECK"</formula>
    </cfRule>
  </conditionalFormatting>
  <conditionalFormatting sqref="D9">
    <cfRule type="cellIs" priority="21" operator="equal" dxfId="0">
      <formula>"PASS"</formula>
    </cfRule>
    <cfRule type="cellIs" priority="22" operator="equal" dxfId="1">
      <formula>"FAIL"</formula>
    </cfRule>
    <cfRule type="cellIs" priority="23" operator="equal" dxfId="2">
      <formula>"WATCH"</formula>
    </cfRule>
    <cfRule type="cellIs" priority="24" operator="equal" dxfId="0">
      <formula>"SET"</formula>
    </cfRule>
    <cfRule type="cellIs" priority="25" operator="equal" dxfId="2">
      <formula>"CHECK"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8" customWidth="1" min="8" max="8"/>
  </cols>
  <sheetData>
    <row r="1"/>
    <row r="2">
      <c r="B2" s="4" t="inlineStr">
        <is>
          <t>Credit Committee Decision Pack</t>
        </is>
      </c>
      <c r="C2" s="5" t="n"/>
      <c r="D2" s="5" t="n"/>
      <c r="E2" s="5" t="n"/>
      <c r="F2" s="5" t="n"/>
      <c r="G2" s="5" t="n"/>
    </row>
    <row r="3"/>
    <row r="4">
      <c r="A4" s="7" t="inlineStr"/>
      <c r="B4" s="8" t="inlineStr">
        <is>
          <t>Item</t>
        </is>
      </c>
      <c r="C4" s="8" t="inlineStr">
        <is>
          <t>Value</t>
        </is>
      </c>
      <c r="D4" s="8" t="inlineStr">
        <is>
          <t>Decision Gate</t>
        </is>
      </c>
      <c r="E4" s="8" t="inlineStr">
        <is>
          <t>Owner</t>
        </is>
      </c>
      <c r="F4" s="8" t="inlineStr">
        <is>
          <t>Due</t>
        </is>
      </c>
      <c r="G4" s="8" t="inlineStr">
        <is>
          <t>Comments</t>
        </is>
      </c>
    </row>
    <row r="5">
      <c r="B5" s="6" t="inlineStr">
        <is>
          <t>Project</t>
        </is>
      </c>
      <c r="C5" s="3" t="inlineStr">
        <is>
          <t>TITAN GRID / ARS</t>
        </is>
      </c>
      <c r="D5" s="3" t="inlineStr"/>
      <c r="E5" s="3" t="inlineStr"/>
      <c r="F5" s="3" t="inlineStr"/>
      <c r="G5" s="3" t="inlineStr"/>
    </row>
    <row r="6">
      <c r="B6" s="6" t="inlineStr">
        <is>
          <t>Base EBITDA Margin</t>
        </is>
      </c>
      <c r="C6" s="22">
        <f>Production_Margin!F14</f>
        <v/>
      </c>
      <c r="D6" s="3" t="inlineStr">
        <is>
          <t>Approve if &gt;=20%</t>
        </is>
      </c>
      <c r="E6" s="3" t="inlineStr">
        <is>
          <t>Finance</t>
        </is>
      </c>
      <c r="F6" s="3" t="inlineStr"/>
      <c r="G6" s="3" t="inlineStr"/>
    </row>
    <row r="7">
      <c r="B7" s="6" t="inlineStr">
        <is>
          <t>Minimum DSCR</t>
        </is>
      </c>
      <c r="C7" s="23">
        <f>Covenant_Dashboard!C5</f>
        <v/>
      </c>
      <c r="D7" s="3" t="inlineStr">
        <is>
          <t>Approve if &gt;=1.25x</t>
        </is>
      </c>
      <c r="E7" s="3" t="inlineStr">
        <is>
          <t>Finance</t>
        </is>
      </c>
      <c r="F7" s="3" t="inlineStr"/>
      <c r="G7" s="3" t="inlineStr"/>
    </row>
    <row r="8">
      <c r="B8" s="6" t="inlineStr">
        <is>
          <t>LLCR</t>
        </is>
      </c>
      <c r="C8" s="23">
        <f>Covenant_Dashboard!C7</f>
        <v/>
      </c>
      <c r="D8" s="3" t="inlineStr">
        <is>
          <t>Approve if &gt;=1.40x</t>
        </is>
      </c>
      <c r="E8" s="3" t="inlineStr">
        <is>
          <t>Finance</t>
        </is>
      </c>
      <c r="F8" s="3" t="inlineStr"/>
      <c r="G8" s="3" t="inlineStr"/>
    </row>
    <row r="9">
      <c r="B9" s="6" t="inlineStr">
        <is>
          <t>PLCR</t>
        </is>
      </c>
      <c r="C9" s="23">
        <f>Covenant_Dashboard!C8</f>
        <v/>
      </c>
      <c r="D9" s="3" t="inlineStr">
        <is>
          <t>Approve if &gt;=1.50x</t>
        </is>
      </c>
      <c r="E9" s="3" t="inlineStr">
        <is>
          <t>Finance</t>
        </is>
      </c>
      <c r="F9" s="3" t="inlineStr"/>
      <c r="G9" s="3" t="inlineStr"/>
    </row>
    <row r="10">
      <c r="B10" s="6" t="inlineStr">
        <is>
          <t>Overall Recommendation</t>
        </is>
      </c>
      <c r="C10" s="26">
        <f>IF(AND(Covenant_Dashboard!D5="PASS",Covenant_Dashboard!D7="PASS",Covenant_Dashboard!D8="PASS"),"APPROVE SUBJECT TO DD","CONDITIONAL / HOLD")</f>
        <v/>
      </c>
      <c r="D10" s="3" t="inlineStr">
        <is>
          <t>IC Chair</t>
        </is>
      </c>
      <c r="E10" s="3" t="inlineStr">
        <is>
          <t>IC</t>
        </is>
      </c>
      <c r="F10" s="3" t="inlineStr"/>
      <c r="G10" s="3" t="inlineStr">
        <is>
          <t>Final</t>
        </is>
      </c>
    </row>
    <row r="11"/>
    <row r="12"/>
    <row r="13">
      <c r="B13" s="4" t="inlineStr">
        <is>
          <t>IC Voting Grid</t>
        </is>
      </c>
      <c r="C13" s="5" t="n"/>
      <c r="D13" s="5" t="n"/>
      <c r="E13" s="5" t="n"/>
      <c r="F13" s="5" t="n"/>
      <c r="G13" s="5" t="n"/>
    </row>
    <row r="14">
      <c r="A14" s="7" t="inlineStr"/>
      <c r="B14" s="8" t="inlineStr">
        <is>
          <t>Member</t>
        </is>
      </c>
      <c r="C14" s="8" t="inlineStr">
        <is>
          <t>Vote</t>
        </is>
      </c>
      <c r="D14" s="8" t="inlineStr">
        <is>
          <t>Condition / Reservation</t>
        </is>
      </c>
      <c r="E14" s="8" t="inlineStr">
        <is>
          <t>Sign-off</t>
        </is>
      </c>
      <c r="F14" s="8" t="inlineStr">
        <is>
          <t>Date</t>
        </is>
      </c>
      <c r="G14" s="8" t="inlineStr">
        <is>
          <t>Notes</t>
        </is>
      </c>
    </row>
    <row r="15">
      <c r="B15" s="6" t="inlineStr">
        <is>
          <t>Chair</t>
        </is>
      </c>
      <c r="C15" s="27" t="inlineStr"/>
      <c r="D15" s="27" t="inlineStr"/>
      <c r="E15" s="27" t="inlineStr"/>
      <c r="F15" s="27" t="inlineStr"/>
      <c r="G15" s="27" t="inlineStr"/>
    </row>
    <row r="16">
      <c r="B16" s="6" t="inlineStr">
        <is>
          <t>Risk</t>
        </is>
      </c>
      <c r="C16" s="27" t="inlineStr"/>
      <c r="D16" s="27" t="inlineStr"/>
      <c r="E16" s="27" t="inlineStr"/>
      <c r="F16" s="27" t="inlineStr"/>
      <c r="G16" s="27" t="inlineStr"/>
    </row>
    <row r="17">
      <c r="B17" s="6" t="inlineStr">
        <is>
          <t>Finance</t>
        </is>
      </c>
      <c r="C17" s="27" t="inlineStr"/>
      <c r="D17" s="27" t="inlineStr"/>
      <c r="E17" s="27" t="inlineStr"/>
      <c r="F17" s="27" t="inlineStr"/>
      <c r="G17" s="27" t="inlineStr"/>
    </row>
    <row r="18">
      <c r="B18" s="6" t="inlineStr">
        <is>
          <t>Technical</t>
        </is>
      </c>
      <c r="C18" s="27" t="inlineStr"/>
      <c r="D18" s="27" t="inlineStr"/>
      <c r="E18" s="27" t="inlineStr"/>
      <c r="F18" s="27" t="inlineStr"/>
      <c r="G18" s="27" t="inlineStr"/>
    </row>
    <row r="19">
      <c r="B19" s="6" t="inlineStr">
        <is>
          <t>Legal</t>
        </is>
      </c>
      <c r="C19" s="27" t="inlineStr"/>
      <c r="D19" s="27" t="inlineStr"/>
      <c r="E19" s="27" t="inlineStr"/>
      <c r="F19" s="27" t="inlineStr"/>
      <c r="G19" s="27" t="inlineStr"/>
    </row>
    <row r="20"/>
    <row r="21"/>
    <row r="22">
      <c r="B22" s="6" t="inlineStr">
        <is>
          <t>Decision Summary</t>
        </is>
      </c>
      <c r="C22" s="26">
        <f>COUNTIF(C15:C19,"APPROVE")</f>
        <v/>
      </c>
      <c r="D22" s="3" t="inlineStr">
        <is>
          <t>approvals</t>
        </is>
      </c>
    </row>
  </sheetData>
  <mergeCells count="2">
    <mergeCell ref="B2:G2"/>
    <mergeCell ref="B13:G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44" customWidth="1" min="5" max="5"/>
    <col width="16" customWidth="1" min="6" max="6"/>
    <col width="16" customWidth="1" min="7" max="7"/>
  </cols>
  <sheetData>
    <row r="1"/>
    <row r="2">
      <c r="B2" s="4" t="inlineStr">
        <is>
          <t>Document Control</t>
        </is>
      </c>
      <c r="C2" s="5" t="n"/>
      <c r="D2" s="5" t="n"/>
      <c r="E2" s="5" t="n"/>
      <c r="F2" s="5" t="n"/>
    </row>
    <row r="3"/>
    <row r="4">
      <c r="A4" s="7" t="inlineStr"/>
      <c r="B4" s="8" t="inlineStr">
        <is>
          <t>Rev</t>
        </is>
      </c>
      <c r="C4" s="8" t="inlineStr">
        <is>
          <t>Date</t>
        </is>
      </c>
      <c r="D4" s="8" t="inlineStr">
        <is>
          <t>Owner</t>
        </is>
      </c>
      <c r="E4" s="8" t="inlineStr">
        <is>
          <t>Summary</t>
        </is>
      </c>
      <c r="F4" s="8" t="inlineStr">
        <is>
          <t>Status</t>
        </is>
      </c>
    </row>
    <row r="5">
      <c r="B5" s="6" t="inlineStr">
        <is>
          <t>v6.0</t>
        </is>
      </c>
      <c r="C5" s="3" t="inlineStr">
        <is>
          <t>20 Mar 2026</t>
        </is>
      </c>
      <c r="D5" s="3" t="inlineStr">
        <is>
          <t>Finance</t>
        </is>
      </c>
      <c r="E5" s="3" t="inlineStr">
        <is>
          <t>Base credit committee pack created</t>
        </is>
      </c>
      <c r="F5" s="3" t="inlineStr">
        <is>
          <t>Superseded</t>
        </is>
      </c>
    </row>
    <row r="6">
      <c r="B6" s="6" t="inlineStr">
        <is>
          <t>v6.1</t>
        </is>
      </c>
      <c r="C6" s="3" t="inlineStr">
        <is>
          <t>20 Mar 2026</t>
        </is>
      </c>
      <c r="D6" s="3" t="inlineStr">
        <is>
          <t>Finance</t>
        </is>
      </c>
      <c r="E6" s="3" t="inlineStr">
        <is>
          <t>Model-integrated committee pack memo</t>
        </is>
      </c>
      <c r="F6" s="3" t="inlineStr">
        <is>
          <t>Superseded</t>
        </is>
      </c>
    </row>
    <row r="7">
      <c r="B7" s="6" t="inlineStr">
        <is>
          <t>v6.2</t>
        </is>
      </c>
      <c r="C7" s="3" t="inlineStr">
        <is>
          <t>20 Mar 2026</t>
        </is>
      </c>
      <c r="D7" s="3" t="inlineStr">
        <is>
          <t>Finance</t>
        </is>
      </c>
      <c r="E7" s="3" t="inlineStr">
        <is>
          <t>Live lender linkage workbook export (.xlsx)</t>
        </is>
      </c>
      <c r="F7" s="3" t="inlineStr">
        <is>
          <t>Current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2026-03-20T19:47:07Z</dcterms:created>
  <dcterms:modified xmlns:dcterms="http://purl.org/dc/terms/" xmlns:xsi="http://www.w3.org/2001/XMLSchema-instance" xsi:type="dcterms:W3CDTF">2026-03-20T19:48:22Z</dcterms:modified>
</cp:coreProperties>
</file>