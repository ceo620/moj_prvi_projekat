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Navigation" sheetId="1" state="visible" r:id="rId1"/>
    <sheet xmlns:r="http://schemas.openxmlformats.org/officeDocument/2006/relationships" name="00_Control" sheetId="2" state="visible" r:id="rId2"/>
    <sheet xmlns:r="http://schemas.openxmlformats.org/officeDocument/2006/relationships" name="00_MAREL_Memory" sheetId="3" state="visible" r:id="rId3"/>
    <sheet xmlns:r="http://schemas.openxmlformats.org/officeDocument/2006/relationships" name="01_Assumptions" sheetId="4" state="visible" r:id="rId4"/>
    <sheet xmlns:r="http://schemas.openxmlformats.org/officeDocument/2006/relationships" name="02_Permit_Master" sheetId="5" state="visible" r:id="rId5"/>
    <sheet xmlns:r="http://schemas.openxmlformats.org/officeDocument/2006/relationships" name="03_Protocol_Tracker" sheetId="6" state="visible" r:id="rId6"/>
    <sheet xmlns:r="http://schemas.openxmlformats.org/officeDocument/2006/relationships" name="04_Timeline_Model" sheetId="7" state="visible" r:id="rId7"/>
    <sheet xmlns:r="http://schemas.openxmlformats.org/officeDocument/2006/relationships" name="05_Cost_Model" sheetId="8" state="visible" r:id="rId8"/>
    <sheet xmlns:r="http://schemas.openxmlformats.org/officeDocument/2006/relationships" name="13_CAPEX_Integration" sheetId="9" state="visible" r:id="rId9"/>
    <sheet xmlns:r="http://schemas.openxmlformats.org/officeDocument/2006/relationships" name="14_Commissioning_Readiness" sheetId="10" state="visible" r:id="rId10"/>
    <sheet xmlns:r="http://schemas.openxmlformats.org/officeDocument/2006/relationships" name="06_Risk_Register" sheetId="11" state="visible" r:id="rId11"/>
    <sheet xmlns:r="http://schemas.openxmlformats.org/officeDocument/2006/relationships" name="07_Project_Dashboard" sheetId="12" state="visible" r:id="rId12"/>
    <sheet xmlns:r="http://schemas.openxmlformats.org/officeDocument/2006/relationships" name="08_Error_Check" sheetId="13" state="visible" r:id="rId13"/>
    <sheet xmlns:r="http://schemas.openxmlformats.org/officeDocument/2006/relationships" name="09_Data_Validation" sheetId="14" state="visible" r:id="rId14"/>
    <sheet xmlns:r="http://schemas.openxmlformats.org/officeDocument/2006/relationships" name="10_Version_Log" sheetId="15" state="visible" r:id="rId15"/>
    <sheet xmlns:r="http://schemas.openxmlformats.org/officeDocument/2006/relationships" name="11_Document_Control" sheetId="16" state="visible" r:id="rId16"/>
    <sheet xmlns:r="http://schemas.openxmlformats.org/officeDocument/2006/relationships" name="12_Update_Control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_);[Red](#,##0);-"/>
    <numFmt numFmtId="166" formatCode="dd-mmm-yyyy"/>
    <numFmt numFmtId="167" formatCode="0.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name val="Calibri"/>
      <family val="2"/>
      <color theme="10"/>
      <sz val="12"/>
      <scheme val="minor"/>
    </font>
    <font>
      <color rgb="000000FF"/>
    </font>
    <font>
      <b val="1"/>
    </font>
  </fonts>
  <fills count="6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</patternFill>
    </fill>
    <fill>
      <patternFill patternType="solid">
        <fgColor rgb="0000206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3" fillId="0" borderId="0" pivotButton="0" quotePrefix="0" xfId="1"/>
    <xf numFmtId="0" fontId="1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164" fontId="4" fillId="5" borderId="0" pivotButton="0" quotePrefix="0" xfId="0"/>
    <xf numFmtId="165" fontId="4" fillId="5" borderId="0" pivotButton="0" quotePrefix="0" xfId="0"/>
    <xf numFmtId="3" fontId="4" fillId="5" borderId="0" pivotButton="0" quotePrefix="0" xfId="0"/>
    <xf numFmtId="165" fontId="0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0" fontId="1" fillId="4" borderId="0" pivotButton="0" quotePrefix="0" xfId="0"/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00_Control!A1" TargetMode="External" Id="rId1"/><Relationship Type="http://schemas.openxmlformats.org/officeDocument/2006/relationships/hyperlink" Target="#00_MAREL_Memory!A1" TargetMode="External" Id="rId2"/><Relationship Type="http://schemas.openxmlformats.org/officeDocument/2006/relationships/hyperlink" Target="#01_Assumptions!A1" TargetMode="External" Id="rId3"/><Relationship Type="http://schemas.openxmlformats.org/officeDocument/2006/relationships/hyperlink" Target="#02_Permit_Master!A1" TargetMode="External" Id="rId4"/><Relationship Type="http://schemas.openxmlformats.org/officeDocument/2006/relationships/hyperlink" Target="#03_Protocol_Tracker!A1" TargetMode="External" Id="rId5"/><Relationship Type="http://schemas.openxmlformats.org/officeDocument/2006/relationships/hyperlink" Target="#04_Timeline_Model!A1" TargetMode="External" Id="rId6"/><Relationship Type="http://schemas.openxmlformats.org/officeDocument/2006/relationships/hyperlink" Target="#05_Cost_Model!A1" TargetMode="External" Id="rId7"/><Relationship Type="http://schemas.openxmlformats.org/officeDocument/2006/relationships/hyperlink" Target="#13_CAPEX_Integration!A1" TargetMode="External" Id="rId8"/><Relationship Type="http://schemas.openxmlformats.org/officeDocument/2006/relationships/hyperlink" Target="#14_Commissioning_Readiness!A1" TargetMode="External" Id="rId9"/><Relationship Type="http://schemas.openxmlformats.org/officeDocument/2006/relationships/hyperlink" Target="#06_Risk_Register!A1" TargetMode="External" Id="rId10"/><Relationship Type="http://schemas.openxmlformats.org/officeDocument/2006/relationships/hyperlink" Target="#07_Project_Dashboard!A1" TargetMode="External" Id="rId11"/><Relationship Type="http://schemas.openxmlformats.org/officeDocument/2006/relationships/hyperlink" Target="#08_Error_Check!A1" TargetMode="External" Id="rId12"/><Relationship Type="http://schemas.openxmlformats.org/officeDocument/2006/relationships/hyperlink" Target="#09_Data_Validation!A1" TargetMode="External" Id="rId13"/><Relationship Type="http://schemas.openxmlformats.org/officeDocument/2006/relationships/hyperlink" Target="#10_Version_Log!A1" TargetMode="External" Id="rId14"/><Relationship Type="http://schemas.openxmlformats.org/officeDocument/2006/relationships/hyperlink" Target="#11_Document_Control!A1" TargetMode="External" Id="rId15"/><Relationship Type="http://schemas.openxmlformats.org/officeDocument/2006/relationships/hyperlink" Target="#12_Update_Control!A1" TargetMode="External" Id="rId16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55" customWidth="1" min="2" max="2"/>
  </cols>
  <sheetData>
    <row r="1">
      <c r="A1" s="2" t="inlineStr">
        <is>
          <t>MAREL ECOSYSTEM – CONTROL TOWER NAVIGATION</t>
        </is>
      </c>
    </row>
    <row r="2"/>
    <row r="3"/>
    <row r="4"/>
    <row r="5">
      <c r="A5" s="3" t="inlineStr">
        <is>
          <t>Navigation Index</t>
        </is>
      </c>
    </row>
    <row r="6">
      <c r="A6" s="4" t="inlineStr">
        <is>
          <t>Sheet</t>
        </is>
      </c>
      <c r="B6" s="4" t="inlineStr">
        <is>
          <t>Purpose</t>
        </is>
      </c>
    </row>
    <row r="7">
      <c r="A7" s="5" t="inlineStr">
        <is>
          <t>00_Control</t>
        </is>
      </c>
      <c r="B7" t="inlineStr">
        <is>
          <t>Governance, version, scope, canonical control owner</t>
        </is>
      </c>
    </row>
    <row r="8">
      <c r="A8" s="5" t="inlineStr">
        <is>
          <t>00_MAREL_Memory</t>
        </is>
      </c>
      <c r="B8" t="inlineStr">
        <is>
          <t>Canonical memory map, module hierarchy, update status</t>
        </is>
      </c>
    </row>
    <row r="9">
      <c r="A9" s="5" t="inlineStr">
        <is>
          <t>01_Assumptions</t>
        </is>
      </c>
      <c r="B9" t="inlineStr">
        <is>
          <t>Core assumptions and update frequencies</t>
        </is>
      </c>
    </row>
    <row r="10">
      <c r="A10" s="5" t="inlineStr">
        <is>
          <t>02_Permit_Master</t>
        </is>
      </c>
      <c r="B10" t="inlineStr">
        <is>
          <t>Master register of permits and canonical IDs</t>
        </is>
      </c>
    </row>
    <row r="11">
      <c r="A11" s="5" t="inlineStr">
        <is>
          <t>03_Protocol_Tracker</t>
        </is>
      </c>
      <c r="B11" t="inlineStr">
        <is>
          <t>Execution tracker, owners, next actions, escalations</t>
        </is>
      </c>
    </row>
    <row r="12">
      <c r="A12" s="5" t="inlineStr">
        <is>
          <t>04_Timeline_Model</t>
        </is>
      </c>
      <c r="B12" t="inlineStr">
        <is>
          <t>Start/end dates, dependencies, control milestones</t>
        </is>
      </c>
    </row>
    <row r="13">
      <c r="A13" s="5" t="inlineStr">
        <is>
          <t>05_Cost_Model</t>
        </is>
      </c>
      <c r="B13" t="inlineStr">
        <is>
          <t>Permit CAPEX structure and totals</t>
        </is>
      </c>
    </row>
    <row r="14">
      <c r="A14" s="5" t="inlineStr">
        <is>
          <t>13_CAPEX_Integration</t>
        </is>
      </c>
      <c r="B14" t="inlineStr">
        <is>
          <t>Permit CAPEX phasing and controlled totals</t>
        </is>
      </c>
    </row>
    <row r="15">
      <c r="A15" s="5" t="inlineStr">
        <is>
          <t>14_Commissioning_Readiness</t>
        </is>
      </c>
      <c r="B15" t="inlineStr">
        <is>
          <t>Gate-based readiness scoring for COD</t>
        </is>
      </c>
    </row>
    <row r="16">
      <c r="A16" s="5" t="inlineStr">
        <is>
          <t>06_Risk_Register</t>
        </is>
      </c>
      <c r="B16" t="inlineStr">
        <is>
          <t>Risk scoring, mitigations, control owners</t>
        </is>
      </c>
    </row>
    <row r="17">
      <c r="A17" s="5" t="inlineStr">
        <is>
          <t>07_Project_Dashboard</t>
        </is>
      </c>
      <c r="B17" t="inlineStr">
        <is>
          <t>Executive KPI dashboard</t>
        </is>
      </c>
    </row>
    <row r="18">
      <c r="A18" s="5" t="inlineStr">
        <is>
          <t>08_Error_Check</t>
        </is>
      </c>
      <c r="B18" t="inlineStr">
        <is>
          <t>Integrity checks and traffic-light flags</t>
        </is>
      </c>
    </row>
    <row r="19">
      <c r="A19" s="5" t="inlineStr">
        <is>
          <t>09_Data_Validation</t>
        </is>
      </c>
      <c r="B19" t="inlineStr">
        <is>
          <t>Controlled lists and lookup tables</t>
        </is>
      </c>
    </row>
    <row r="20">
      <c r="A20" s="5" t="inlineStr">
        <is>
          <t>10_Version_Log</t>
        </is>
      </c>
      <c r="B20" t="inlineStr">
        <is>
          <t>Workbook revision history</t>
        </is>
      </c>
    </row>
    <row r="21">
      <c r="A21" s="5" t="inlineStr">
        <is>
          <t>11_Document_Control</t>
        </is>
      </c>
      <c r="B21" t="inlineStr">
        <is>
          <t>Supporting documents and evidence pack</t>
        </is>
      </c>
    </row>
    <row r="22">
      <c r="A22" s="5" t="inlineStr">
        <is>
          <t>12_Update_Control</t>
        </is>
      </c>
      <c r="B22" t="inlineStr">
        <is>
          <t>MAREL memory update protocol and review calendar</t>
        </is>
      </c>
    </row>
  </sheetData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6" r:id="rId10"/>
    <hyperlink xmlns:r="http://schemas.openxmlformats.org/officeDocument/2006/relationships" ref="A17" r:id="rId11"/>
    <hyperlink xmlns:r="http://schemas.openxmlformats.org/officeDocument/2006/relationships" ref="A18" r:id="rId12"/>
    <hyperlink xmlns:r="http://schemas.openxmlformats.org/officeDocument/2006/relationships" ref="A19" r:id="rId13"/>
    <hyperlink xmlns:r="http://schemas.openxmlformats.org/officeDocument/2006/relationships" ref="A20" r:id="rId14"/>
    <hyperlink xmlns:r="http://schemas.openxmlformats.org/officeDocument/2006/relationships" ref="A21" r:id="rId15"/>
    <hyperlink xmlns:r="http://schemas.openxmlformats.org/officeDocument/2006/relationships" ref="A22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59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Model_Name</t>
        </is>
      </c>
      <c r="B2" t="inlineStr">
        <is>
          <t>ARS Industrial Permit Control Tower</t>
        </is>
      </c>
    </row>
    <row r="3">
      <c r="A3" t="inlineStr">
        <is>
          <t>Version</t>
        </is>
      </c>
      <c r="B3" t="inlineStr">
        <is>
          <t>v5.0</t>
        </is>
      </c>
    </row>
    <row r="4">
      <c r="A4" t="inlineStr">
        <is>
          <t>Prepared_By</t>
        </is>
      </c>
      <c r="B4" t="inlineStr"/>
    </row>
    <row r="5">
      <c r="A5" t="inlineStr">
        <is>
          <t>Reviewed_By</t>
        </is>
      </c>
      <c r="B5" t="inlineStr"/>
    </row>
    <row r="6">
      <c r="A6" t="inlineStr">
        <is>
          <t>Date</t>
        </is>
      </c>
      <c r="B6" t="inlineStr"/>
    </row>
    <row r="7">
      <c r="A7" t="inlineStr">
        <is>
          <t>Model_Type</t>
        </is>
      </c>
      <c r="B7" t="inlineStr">
        <is>
          <t>MAREL-integrated project control workbook</t>
        </is>
      </c>
    </row>
    <row r="8">
      <c r="A8" t="inlineStr">
        <is>
          <t>Institutional_Standard</t>
        </is>
      </c>
      <c r="B8" t="inlineStr">
        <is>
          <t>EBRD / Big4 / MAREL Canonical Control / CAPEX Integration</t>
        </is>
      </c>
    </row>
    <row r="9">
      <c r="A9" t="inlineStr">
        <is>
          <t>Confidentiality</t>
        </is>
      </c>
      <c r="B9" t="inlineStr">
        <is>
          <t>Confidential</t>
        </is>
      </c>
    </row>
    <row r="10">
      <c r="A10" t="inlineStr">
        <is>
          <t>Canonical_Owner</t>
        </is>
      </c>
      <c r="B10" t="inlineStr">
        <is>
          <t>ARS CFO / PMO Control Tower</t>
        </is>
      </c>
    </row>
    <row r="11">
      <c r="A11" t="inlineStr">
        <is>
          <t>Primary_Module</t>
        </is>
      </c>
      <c r="B11" t="inlineStr">
        <is>
          <t>Permits / Regulatory / Commissioning Readiness</t>
        </is>
      </c>
    </row>
    <row r="12">
      <c r="A12" t="inlineStr">
        <is>
          <t>Update_Frequency</t>
        </is>
      </c>
      <c r="B12" t="inlineStr">
        <is>
          <t>Weekly</t>
        </is>
      </c>
    </row>
    <row r="13">
      <c r="A13" t="inlineStr">
        <is>
          <t>Change_Control_Required</t>
        </is>
      </c>
      <c r="B13" t="inlineStr">
        <is>
          <t>Yes</t>
        </is>
      </c>
    </row>
    <row r="14"/>
    <row r="15">
      <c r="A15" s="6" t="inlineStr">
        <is>
          <t>Control Notes</t>
        </is>
      </c>
    </row>
    <row r="16">
      <c r="A16" s="7" t="inlineStr">
        <is>
          <t>This workbook is aligned to MAREL central memory logic: one source of truth, controlled updates, explicit owners, version logging, and check-driven governance.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26" customWidth="1" min="3" max="3"/>
    <col width="21" customWidth="1" min="4" max="4"/>
    <col width="21" customWidth="1" min="5" max="5"/>
    <col width="19" customWidth="1" min="6" max="6"/>
    <col width="15" customWidth="1" min="7" max="7"/>
    <col width="15" customWidth="1" min="8" max="8"/>
    <col width="13" customWidth="1" min="9" max="9"/>
    <col width="18" customWidth="1" min="10" max="10"/>
    <col width="30" customWidth="1" min="11" max="11"/>
  </cols>
  <sheetData>
    <row r="1">
      <c r="A1" s="4" t="inlineStr">
        <is>
          <t>Memory_Tag</t>
        </is>
      </c>
      <c r="B1" s="4" t="inlineStr">
        <is>
          <t>Module</t>
        </is>
      </c>
      <c r="C1" s="4" t="inlineStr">
        <is>
          <t>Submodule</t>
        </is>
      </c>
      <c r="D1" s="4" t="inlineStr">
        <is>
          <t>Canonical_Record_ID</t>
        </is>
      </c>
      <c r="E1" s="4" t="inlineStr">
        <is>
          <t>Source_Sheet</t>
        </is>
      </c>
      <c r="F1" s="4" t="inlineStr">
        <is>
          <t>Owner</t>
        </is>
      </c>
      <c r="G1" s="4" t="inlineStr">
        <is>
          <t>Update_Status</t>
        </is>
      </c>
      <c r="H1" s="4" t="inlineStr">
        <is>
          <t>Last_Reviewed</t>
        </is>
      </c>
      <c r="I1" s="4" t="inlineStr">
        <is>
          <t>Next_Review</t>
        </is>
      </c>
      <c r="J1" s="4" t="inlineStr">
        <is>
          <t>Control_Priority</t>
        </is>
      </c>
      <c r="K1" s="4" t="inlineStr">
        <is>
          <t>Comment</t>
        </is>
      </c>
    </row>
    <row r="2">
      <c r="A2" t="inlineStr">
        <is>
          <t>MAREL.PERMITS.001</t>
        </is>
      </c>
      <c r="B2" t="inlineStr">
        <is>
          <t>Permits</t>
        </is>
      </c>
      <c r="C2" t="inlineStr">
        <is>
          <t>Urban / Regulatory</t>
        </is>
      </c>
      <c r="D2" t="inlineStr">
        <is>
          <t>CAN-PER-001</t>
        </is>
      </c>
      <c r="E2" t="inlineStr">
        <is>
          <t>02_Permit_Master</t>
        </is>
      </c>
      <c r="F2" t="inlineStr">
        <is>
          <t>PMO / Legal</t>
        </is>
      </c>
      <c r="G2" t="inlineStr">
        <is>
          <t>Active</t>
        </is>
      </c>
      <c r="H2" t="inlineStr"/>
      <c r="I2" t="inlineStr"/>
      <c r="J2" t="inlineStr">
        <is>
          <t>High</t>
        </is>
      </c>
      <c r="K2" t="inlineStr">
        <is>
          <t>Master permit universe</t>
        </is>
      </c>
    </row>
    <row r="3">
      <c r="A3" t="inlineStr">
        <is>
          <t>MAREL.PERMITS.002</t>
        </is>
      </c>
      <c r="B3" t="inlineStr">
        <is>
          <t>Permits</t>
        </is>
      </c>
      <c r="C3" t="inlineStr">
        <is>
          <t>Protocol / Actions</t>
        </is>
      </c>
      <c r="D3" t="inlineStr">
        <is>
          <t>CAN-PRO-001</t>
        </is>
      </c>
      <c r="E3" t="inlineStr">
        <is>
          <t>03_Protocol_Tracker</t>
        </is>
      </c>
      <c r="F3" t="inlineStr">
        <is>
          <t>PMO</t>
        </is>
      </c>
      <c r="G3" t="inlineStr">
        <is>
          <t>Active</t>
        </is>
      </c>
      <c r="H3" t="inlineStr"/>
      <c r="I3" t="inlineStr"/>
      <c r="J3" t="inlineStr">
        <is>
          <t>High</t>
        </is>
      </c>
      <c r="K3" t="inlineStr">
        <is>
          <t>Execution follow-up layer</t>
        </is>
      </c>
    </row>
    <row r="4">
      <c r="A4" t="inlineStr">
        <is>
          <t>MAREL.PERMITS.003</t>
        </is>
      </c>
      <c r="B4" t="inlineStr">
        <is>
          <t>Permits</t>
        </is>
      </c>
      <c r="C4" t="inlineStr">
        <is>
          <t>Timeline / Critical Path</t>
        </is>
      </c>
      <c r="D4" t="inlineStr">
        <is>
          <t>CAN-TIM-001</t>
        </is>
      </c>
      <c r="E4" t="inlineStr">
        <is>
          <t>04_Timeline_Model</t>
        </is>
      </c>
      <c r="F4" t="inlineStr">
        <is>
          <t>PMO / Engineering</t>
        </is>
      </c>
      <c r="G4" t="inlineStr">
        <is>
          <t>Active</t>
        </is>
      </c>
      <c r="H4" t="inlineStr"/>
      <c r="I4" t="inlineStr"/>
      <c r="J4" t="inlineStr">
        <is>
          <t>High</t>
        </is>
      </c>
      <c r="K4" t="inlineStr">
        <is>
          <t>Critical path alignment</t>
        </is>
      </c>
    </row>
    <row r="5">
      <c r="A5" t="inlineStr">
        <is>
          <t>MAREL.PERMITS.004</t>
        </is>
      </c>
      <c r="B5" t="inlineStr">
        <is>
          <t>Permits</t>
        </is>
      </c>
      <c r="C5" t="inlineStr">
        <is>
          <t>Cost / CAPEX</t>
        </is>
      </c>
      <c r="D5" t="inlineStr">
        <is>
          <t>CAN-CST-001</t>
        </is>
      </c>
      <c r="E5" t="inlineStr">
        <is>
          <t>05_Cost_Model</t>
        </is>
      </c>
      <c r="F5" t="inlineStr">
        <is>
          <t>Finance</t>
        </is>
      </c>
      <c r="G5" t="inlineStr">
        <is>
          <t>Active</t>
        </is>
      </c>
      <c r="H5" t="inlineStr"/>
      <c r="I5" t="inlineStr"/>
      <c r="J5" t="inlineStr">
        <is>
          <t>High</t>
        </is>
      </c>
      <c r="K5" t="inlineStr">
        <is>
          <t>Permit CAPEX control</t>
        </is>
      </c>
    </row>
    <row r="6">
      <c r="A6" t="inlineStr">
        <is>
          <t>MAREL.PERMITS.005</t>
        </is>
      </c>
      <c r="B6" t="inlineStr">
        <is>
          <t>Permits</t>
        </is>
      </c>
      <c r="C6" t="inlineStr">
        <is>
          <t>Risk</t>
        </is>
      </c>
      <c r="D6" t="inlineStr">
        <is>
          <t>CAN-RSK-001</t>
        </is>
      </c>
      <c r="E6" t="inlineStr">
        <is>
          <t>06_Risk_Register</t>
        </is>
      </c>
      <c r="F6" t="inlineStr">
        <is>
          <t>Risk Manager</t>
        </is>
      </c>
      <c r="G6" t="inlineStr">
        <is>
          <t>Active</t>
        </is>
      </c>
      <c r="H6" t="inlineStr"/>
      <c r="I6" t="inlineStr"/>
      <c r="J6" t="inlineStr">
        <is>
          <t>Medium</t>
        </is>
      </c>
      <c r="K6" t="inlineStr">
        <is>
          <t>Delay and compliance risk</t>
        </is>
      </c>
    </row>
    <row r="7">
      <c r="A7" t="inlineStr">
        <is>
          <t>MAREL.PERMITS.006</t>
        </is>
      </c>
      <c r="B7" t="inlineStr">
        <is>
          <t>Permits</t>
        </is>
      </c>
      <c r="C7" t="inlineStr">
        <is>
          <t>Checks</t>
        </is>
      </c>
      <c r="D7" t="inlineStr">
        <is>
          <t>CAN-CHK-001</t>
        </is>
      </c>
      <c r="E7" t="inlineStr">
        <is>
          <t>08_Error_Check</t>
        </is>
      </c>
      <c r="F7" t="inlineStr">
        <is>
          <t>QC / Audit</t>
        </is>
      </c>
      <c r="G7" t="inlineStr">
        <is>
          <t>Active</t>
        </is>
      </c>
      <c r="H7" t="inlineStr"/>
      <c r="I7" t="inlineStr"/>
      <c r="J7" t="inlineStr">
        <is>
          <t>High</t>
        </is>
      </c>
      <c r="K7" t="inlineStr">
        <is>
          <t>Workbook integrity checks</t>
        </is>
      </c>
    </row>
    <row r="8">
      <c r="A8" t="inlineStr">
        <is>
          <t>MAREL.PERMITS.007</t>
        </is>
      </c>
      <c r="B8" t="inlineStr">
        <is>
          <t>Permits</t>
        </is>
      </c>
      <c r="C8" t="inlineStr">
        <is>
          <t>Documents</t>
        </is>
      </c>
      <c r="D8" t="inlineStr">
        <is>
          <t>CAN-DOC-001</t>
        </is>
      </c>
      <c r="E8" t="inlineStr">
        <is>
          <t>11_Document_Control</t>
        </is>
      </c>
      <c r="F8" t="inlineStr">
        <is>
          <t>Document Control</t>
        </is>
      </c>
      <c r="G8" t="inlineStr">
        <is>
          <t>Active</t>
        </is>
      </c>
      <c r="H8" t="inlineStr"/>
      <c r="I8" t="inlineStr"/>
      <c r="J8" t="inlineStr">
        <is>
          <t>Medium</t>
        </is>
      </c>
      <c r="K8" t="inlineStr">
        <is>
          <t>Evidence pack register</t>
        </is>
      </c>
    </row>
    <row r="9">
      <c r="A9" t="inlineStr">
        <is>
          <t>MAREL.PERMITS.008</t>
        </is>
      </c>
      <c r="B9" t="inlineStr">
        <is>
          <t>Permits</t>
        </is>
      </c>
      <c r="C9" t="inlineStr">
        <is>
          <t>Update Protocol</t>
        </is>
      </c>
      <c r="D9" t="inlineStr">
        <is>
          <t>CAN-UPD-001</t>
        </is>
      </c>
      <c r="E9" t="inlineStr">
        <is>
          <t>12_Update_Control</t>
        </is>
      </c>
      <c r="F9" t="inlineStr">
        <is>
          <t>PMO / Finance</t>
        </is>
      </c>
      <c r="G9" t="inlineStr">
        <is>
          <t>Active</t>
        </is>
      </c>
      <c r="H9" t="inlineStr"/>
      <c r="I9" t="inlineStr"/>
      <c r="J9" t="inlineStr">
        <is>
          <t>High</t>
        </is>
      </c>
      <c r="K9" t="inlineStr">
        <is>
          <t>Central memory refresh logic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4C7E7"/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5" customWidth="1" min="3" max="3"/>
    <col width="8" customWidth="1" min="4" max="4"/>
    <col width="7" customWidth="1" min="5" max="5"/>
    <col width="22" customWidth="1" min="6" max="6"/>
    <col width="13" customWidth="1" min="7" max="7"/>
    <col width="18" customWidth="1" min="8" max="8"/>
    <col width="9" customWidth="1" min="9" max="9"/>
  </cols>
  <sheetData>
    <row r="1">
      <c r="A1" s="4" t="inlineStr">
        <is>
          <t>Assumption_ID</t>
        </is>
      </c>
      <c r="B1" s="4" t="inlineStr">
        <is>
          <t>Category</t>
        </is>
      </c>
      <c r="C1" s="4" t="inlineStr">
        <is>
          <t>Description</t>
        </is>
      </c>
      <c r="D1" s="4" t="inlineStr">
        <is>
          <t>Value</t>
        </is>
      </c>
      <c r="E1" s="4" t="inlineStr">
        <is>
          <t>Unit</t>
        </is>
      </c>
      <c r="F1" s="4" t="inlineStr">
        <is>
          <t>Source</t>
        </is>
      </c>
      <c r="G1" s="4" t="inlineStr">
        <is>
          <t>Last_Update</t>
        </is>
      </c>
      <c r="H1" s="4" t="inlineStr">
        <is>
          <t>Update_Frequency</t>
        </is>
      </c>
      <c r="I1" s="4" t="inlineStr">
        <is>
          <t>Owner</t>
        </is>
      </c>
    </row>
    <row r="2">
      <c r="A2" t="inlineStr">
        <is>
          <t>ASM_001</t>
        </is>
      </c>
      <c r="B2" t="inlineStr">
        <is>
          <t>Timing</t>
        </is>
      </c>
      <c r="C2" t="inlineStr">
        <is>
          <t>Permit contingency buffer</t>
        </is>
      </c>
      <c r="D2" s="8" t="n">
        <v>0.2</v>
      </c>
      <c r="E2" t="inlineStr">
        <is>
          <t>%</t>
        </is>
      </c>
      <c r="F2" t="inlineStr">
        <is>
          <t>Internal governance</t>
        </is>
      </c>
      <c r="G2" t="inlineStr"/>
      <c r="H2" t="inlineStr">
        <is>
          <t>Quarterly</t>
        </is>
      </c>
      <c r="I2" t="inlineStr">
        <is>
          <t>PMO</t>
        </is>
      </c>
    </row>
    <row r="3">
      <c r="A3" t="inlineStr">
        <is>
          <t>ASM_002</t>
        </is>
      </c>
      <c r="B3" t="inlineStr">
        <is>
          <t>Cost</t>
        </is>
      </c>
      <c r="C3" t="inlineStr">
        <is>
          <t>Regulatory advisory contingency</t>
        </is>
      </c>
      <c r="D3" s="8" t="n">
        <v>0.15</v>
      </c>
      <c r="E3" t="inlineStr">
        <is>
          <t>%</t>
        </is>
      </c>
      <c r="F3" t="inlineStr">
        <is>
          <t>Internal governance</t>
        </is>
      </c>
      <c r="G3" t="inlineStr"/>
      <c r="H3" t="inlineStr">
        <is>
          <t>Quarterly</t>
        </is>
      </c>
      <c r="I3" t="inlineStr">
        <is>
          <t>Finance</t>
        </is>
      </c>
    </row>
    <row r="4">
      <c r="A4" t="inlineStr">
        <is>
          <t>ASM_003</t>
        </is>
      </c>
      <c r="B4" t="inlineStr">
        <is>
          <t>Cost</t>
        </is>
      </c>
      <c r="C4" t="inlineStr">
        <is>
          <t>Base grid connection placeholder</t>
        </is>
      </c>
      <c r="D4" s="9" t="n">
        <v>100000</v>
      </c>
      <c r="E4" t="inlineStr">
        <is>
          <t>EUR</t>
        </is>
      </c>
      <c r="F4" t="inlineStr">
        <is>
          <t>Internal placeholder</t>
        </is>
      </c>
      <c r="G4" t="inlineStr"/>
      <c r="H4" t="inlineStr">
        <is>
          <t>Monthly</t>
        </is>
      </c>
      <c r="I4" t="inlineStr">
        <is>
          <t>Finance</t>
        </is>
      </c>
    </row>
    <row r="5">
      <c r="A5" t="inlineStr">
        <is>
          <t>ASM_004</t>
        </is>
      </c>
      <c r="B5" t="inlineStr">
        <is>
          <t>Timing</t>
        </is>
      </c>
      <c r="C5" t="inlineStr">
        <is>
          <t>Default review cycle</t>
        </is>
      </c>
      <c r="D5" s="10" t="n">
        <v>7</v>
      </c>
      <c r="E5" t="inlineStr">
        <is>
          <t>days</t>
        </is>
      </c>
      <c r="F5" t="inlineStr">
        <is>
          <t>Control policy</t>
        </is>
      </c>
      <c r="G5" t="inlineStr"/>
      <c r="H5" t="inlineStr">
        <is>
          <t>Weekly</t>
        </is>
      </c>
      <c r="I5" t="inlineStr">
        <is>
          <t>PMO</t>
        </is>
      </c>
    </row>
    <row r="6">
      <c r="A6" t="inlineStr">
        <is>
          <t>ASM_005</t>
        </is>
      </c>
      <c r="B6" t="inlineStr">
        <is>
          <t>Risk</t>
        </is>
      </c>
      <c r="C6" t="inlineStr">
        <is>
          <t>High risk threshold</t>
        </is>
      </c>
      <c r="D6" s="10" t="n">
        <v>12</v>
      </c>
      <c r="E6" t="inlineStr">
        <is>
          <t>score</t>
        </is>
      </c>
      <c r="F6" t="inlineStr">
        <is>
          <t>Risk policy</t>
        </is>
      </c>
      <c r="G6" t="inlineStr"/>
      <c r="H6" t="inlineStr">
        <is>
          <t>Quarterly</t>
        </is>
      </c>
      <c r="I6" t="inlineStr">
        <is>
          <t>Risk</t>
        </is>
      </c>
    </row>
    <row r="7">
      <c r="A7" t="inlineStr">
        <is>
          <t>ASM_006</t>
        </is>
      </c>
      <c r="B7" t="inlineStr">
        <is>
          <t>Cost</t>
        </is>
      </c>
      <c r="C7" t="inlineStr">
        <is>
          <t>Base permit CAPEX contingency</t>
        </is>
      </c>
      <c r="D7" s="8" t="n">
        <v>0.2</v>
      </c>
      <c r="E7" t="inlineStr">
        <is>
          <t>%</t>
        </is>
      </c>
      <c r="F7" t="inlineStr">
        <is>
          <t>Finance policy</t>
        </is>
      </c>
      <c r="G7" t="inlineStr"/>
      <c r="H7" t="inlineStr">
        <is>
          <t>Quarterly</t>
        </is>
      </c>
      <c r="I7" t="inlineStr">
        <is>
          <t>Finance</t>
        </is>
      </c>
    </row>
    <row r="8">
      <c r="A8" t="inlineStr">
        <is>
          <t>ASM_007</t>
        </is>
      </c>
      <c r="B8" t="inlineStr">
        <is>
          <t>Timing</t>
        </is>
      </c>
      <c r="C8" t="inlineStr">
        <is>
          <t>Critical path warning threshold</t>
        </is>
      </c>
      <c r="D8" s="10" t="n">
        <v>14</v>
      </c>
      <c r="E8" t="inlineStr">
        <is>
          <t>days</t>
        </is>
      </c>
      <c r="F8" t="inlineStr">
        <is>
          <t>PMO rule</t>
        </is>
      </c>
      <c r="G8" t="inlineStr"/>
      <c r="H8" t="inlineStr">
        <is>
          <t>Weekly</t>
        </is>
      </c>
      <c r="I8" t="inlineStr">
        <is>
          <t>PMO</t>
        </is>
      </c>
    </row>
    <row r="9">
      <c r="A9" t="inlineStr">
        <is>
          <t>ASM_008</t>
        </is>
      </c>
      <c r="B9" t="inlineStr">
        <is>
          <t>Readiness</t>
        </is>
      </c>
      <c r="C9" t="inlineStr">
        <is>
          <t>Commissioning gate pass threshold</t>
        </is>
      </c>
      <c r="D9" s="8" t="n">
        <v>0.85</v>
      </c>
      <c r="E9" t="inlineStr">
        <is>
          <t>%</t>
        </is>
      </c>
      <c r="F9" t="inlineStr">
        <is>
          <t>Control policy</t>
        </is>
      </c>
      <c r="G9" t="inlineStr"/>
      <c r="H9" t="inlineStr">
        <is>
          <t>Monthly</t>
        </is>
      </c>
      <c r="I9" t="inlineStr">
        <is>
          <t>PMO</t>
        </is>
      </c>
    </row>
    <row r="10">
      <c r="A10" t="inlineStr">
        <is>
          <t>ASM_009</t>
        </is>
      </c>
      <c r="B10" t="inlineStr">
        <is>
          <t>Cost</t>
        </is>
      </c>
      <c r="C10" t="inlineStr">
        <is>
          <t>Budget overrun warning threshold</t>
        </is>
      </c>
      <c r="D10" s="8" t="n">
        <v>0.1</v>
      </c>
      <c r="E10" t="inlineStr">
        <is>
          <t>%</t>
        </is>
      </c>
      <c r="F10" t="inlineStr">
        <is>
          <t>Finance rule</t>
        </is>
      </c>
      <c r="G10" t="inlineStr"/>
      <c r="H10" t="inlineStr">
        <is>
          <t>Monthly</t>
        </is>
      </c>
      <c r="I10" t="inlineStr">
        <is>
          <t>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EAF7"/>
    <outlinePr summaryBelow="1" summaryRight="1"/>
    <pageSetUpPr/>
  </sheetPr>
  <dimension ref="A1:R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30" customWidth="1" min="3" max="3"/>
    <col width="36" customWidth="1" min="4" max="4"/>
    <col width="15" customWidth="1" min="5" max="5"/>
    <col width="15" customWidth="1" min="6" max="6"/>
    <col width="16" customWidth="1" min="7" max="7"/>
    <col width="25" customWidth="1" min="8" max="8"/>
    <col width="24" customWidth="1" min="9" max="9"/>
    <col width="16" customWidth="1" min="10" max="10"/>
    <col width="16" customWidth="1" min="11" max="11"/>
    <col width="12" customWidth="1" min="12" max="12"/>
    <col width="26" customWidth="1" min="13" max="13"/>
    <col width="19" customWidth="1" min="14" max="14"/>
    <col width="15" customWidth="1" min="15" max="15"/>
    <col width="15" customWidth="1" min="16" max="16"/>
    <col width="19" customWidth="1" min="17" max="17"/>
    <col width="34" customWidth="1" min="18" max="18"/>
  </cols>
  <sheetData>
    <row r="1">
      <c r="A1" s="4" t="inlineStr">
        <is>
          <t>Permit_ID</t>
        </is>
      </c>
      <c r="B1" s="4" t="inlineStr">
        <is>
          <t>Canonical_Record_ID</t>
        </is>
      </c>
      <c r="C1" s="4" t="inlineStr">
        <is>
          <t>Permit_Name</t>
        </is>
      </c>
      <c r="D1" s="4" t="inlineStr">
        <is>
          <t>Authority</t>
        </is>
      </c>
      <c r="E1" s="4" t="inlineStr">
        <is>
          <t>Phase</t>
        </is>
      </c>
      <c r="F1" s="4" t="inlineStr">
        <is>
          <t>Duration_Days</t>
        </is>
      </c>
      <c r="G1" s="4" t="inlineStr">
        <is>
          <t>Admin_Fees_EUR</t>
        </is>
      </c>
      <c r="H1" s="4" t="inlineStr">
        <is>
          <t>Studies_Consultants_EUR</t>
        </is>
      </c>
      <c r="I1" s="4" t="inlineStr">
        <is>
          <t>Utility_Connection_EUR</t>
        </is>
      </c>
      <c r="J1" s="4" t="inlineStr">
        <is>
          <t>Total_Cost_EUR</t>
        </is>
      </c>
      <c r="K1" s="4" t="inlineStr">
        <is>
          <t>Predecessor_ID</t>
        </is>
      </c>
      <c r="L1" s="4" t="inlineStr">
        <is>
          <t>Risk_Level</t>
        </is>
      </c>
      <c r="M1" s="4" t="inlineStr">
        <is>
          <t>Owner</t>
        </is>
      </c>
      <c r="N1" s="4" t="inlineStr">
        <is>
          <t>Memory_Tag</t>
        </is>
      </c>
      <c r="O1" s="4" t="inlineStr">
        <is>
          <t>Update_Status</t>
        </is>
      </c>
      <c r="P1" s="4" t="inlineStr">
        <is>
          <t>Last_Reviewed</t>
        </is>
      </c>
      <c r="Q1" s="4" t="inlineStr">
        <is>
          <t>Source_Confidence</t>
        </is>
      </c>
      <c r="R1" s="4" t="inlineStr">
        <is>
          <t>Notes</t>
        </is>
      </c>
    </row>
    <row r="2">
      <c r="A2" t="inlineStr">
        <is>
          <t>PER_001</t>
        </is>
      </c>
      <c r="B2" t="inlineStr">
        <is>
          <t>CAN-PER-UTU-001</t>
        </is>
      </c>
      <c r="C2" t="inlineStr">
        <is>
          <t>Urban-technical conditions</t>
        </is>
      </c>
      <c r="D2" t="inlineStr">
        <is>
          <t>Municipality Tuzi – Urbanism</t>
        </is>
      </c>
      <c r="E2" t="inlineStr">
        <is>
          <t>Development</t>
        </is>
      </c>
      <c r="F2" s="10" t="n">
        <v>45</v>
      </c>
      <c r="G2" s="9" t="n">
        <v>200</v>
      </c>
      <c r="H2" s="9" t="n">
        <v>2000</v>
      </c>
      <c r="I2" s="9" t="n">
        <v>0</v>
      </c>
      <c r="J2" s="11">
        <f>SUM(G2:I2)</f>
        <v/>
      </c>
      <c r="K2" t="inlineStr"/>
      <c r="L2" t="inlineStr">
        <is>
          <t>Medium</t>
        </is>
      </c>
      <c r="M2" t="inlineStr">
        <is>
          <t>Legal / Urban Planner</t>
        </is>
      </c>
      <c r="N2" t="inlineStr">
        <is>
          <t>MAREL.PERMITS.001</t>
        </is>
      </c>
      <c r="O2" t="inlineStr">
        <is>
          <t>Open</t>
        </is>
      </c>
      <c r="P2" t="inlineStr"/>
      <c r="Q2" t="inlineStr">
        <is>
          <t>High</t>
        </is>
      </c>
      <c r="R2" t="inlineStr">
        <is>
          <t>Initial gating permit</t>
        </is>
      </c>
    </row>
    <row r="3">
      <c r="A3" t="inlineStr">
        <is>
          <t>PER_002</t>
        </is>
      </c>
      <c r="B3" t="inlineStr">
        <is>
          <t>CAN-PER-EIA-002</t>
        </is>
      </c>
      <c r="C3" t="inlineStr">
        <is>
          <t>Environmental approval (EIA)</t>
        </is>
      </c>
      <c r="D3" t="inlineStr">
        <is>
          <t>Environmental authority</t>
        </is>
      </c>
      <c r="E3" t="inlineStr">
        <is>
          <t>Development</t>
        </is>
      </c>
      <c r="F3" s="10" t="n">
        <v>90</v>
      </c>
      <c r="G3" s="9" t="n">
        <v>1000</v>
      </c>
      <c r="H3" s="9" t="n">
        <v>8000</v>
      </c>
      <c r="I3" s="9" t="n">
        <v>0</v>
      </c>
      <c r="J3" s="11">
        <f>SUM(G3:I3)</f>
        <v/>
      </c>
      <c r="K3" t="inlineStr">
        <is>
          <t>PER_001</t>
        </is>
      </c>
      <c r="L3" t="inlineStr">
        <is>
          <t>High</t>
        </is>
      </c>
      <c r="M3" t="inlineStr">
        <is>
          <t>Environmental Consultant</t>
        </is>
      </c>
      <c r="N3" t="inlineStr">
        <is>
          <t>MAREL.PERMITS.001</t>
        </is>
      </c>
      <c r="O3" t="inlineStr">
        <is>
          <t>Open</t>
        </is>
      </c>
      <c r="P3" t="inlineStr"/>
      <c r="Q3" t="inlineStr">
        <is>
          <t>High</t>
        </is>
      </c>
      <c r="R3" t="inlineStr">
        <is>
          <t>Public consultation possible</t>
        </is>
      </c>
    </row>
    <row r="4">
      <c r="A4" t="inlineStr">
        <is>
          <t>PER_003</t>
        </is>
      </c>
      <c r="B4" t="inlineStr">
        <is>
          <t>CAN-PER-CON-003</t>
        </is>
      </c>
      <c r="C4" t="inlineStr">
        <is>
          <t>Construction permit</t>
        </is>
      </c>
      <c r="D4" t="inlineStr">
        <is>
          <t>Ministry / Municipality</t>
        </is>
      </c>
      <c r="E4" t="inlineStr">
        <is>
          <t>Engineering</t>
        </is>
      </c>
      <c r="F4" s="10" t="n">
        <v>75</v>
      </c>
      <c r="G4" s="9" t="n">
        <v>5000</v>
      </c>
      <c r="H4" s="9" t="n">
        <v>15000</v>
      </c>
      <c r="I4" s="9" t="n">
        <v>0</v>
      </c>
      <c r="J4" s="11">
        <f>SUM(G4:I4)</f>
        <v/>
      </c>
      <c r="K4" t="inlineStr">
        <is>
          <t>PER_002</t>
        </is>
      </c>
      <c r="L4" t="inlineStr">
        <is>
          <t>High</t>
        </is>
      </c>
      <c r="M4" t="inlineStr">
        <is>
          <t>Project Architect</t>
        </is>
      </c>
      <c r="N4" t="inlineStr">
        <is>
          <t>MAREL.PERMITS.001</t>
        </is>
      </c>
      <c r="O4" t="inlineStr">
        <is>
          <t>Open</t>
        </is>
      </c>
      <c r="P4" t="inlineStr"/>
      <c r="Q4" t="inlineStr">
        <is>
          <t>Medium</t>
        </is>
      </c>
      <c r="R4" t="inlineStr">
        <is>
          <t>Requires complete main project</t>
        </is>
      </c>
    </row>
    <row r="5">
      <c r="A5" t="inlineStr">
        <is>
          <t>PER_004</t>
        </is>
      </c>
      <c r="B5" t="inlineStr">
        <is>
          <t>CAN-PER-GRD-004</t>
        </is>
      </c>
      <c r="C5" t="inlineStr">
        <is>
          <t>Grid connection approval</t>
        </is>
      </c>
      <c r="D5" t="inlineStr">
        <is>
          <t>CEDIS / DSO</t>
        </is>
      </c>
      <c r="E5" t="inlineStr">
        <is>
          <t>Engineering</t>
        </is>
      </c>
      <c r="F5" s="10" t="n">
        <v>120</v>
      </c>
      <c r="G5" s="9" t="n">
        <v>1500</v>
      </c>
      <c r="H5" s="9" t="n">
        <v>5000</v>
      </c>
      <c r="I5" s="9" t="n">
        <v>100000</v>
      </c>
      <c r="J5" s="11">
        <f>SUM(G5:I5)</f>
        <v/>
      </c>
      <c r="K5" t="inlineStr">
        <is>
          <t>PER_003</t>
        </is>
      </c>
      <c r="L5" t="inlineStr">
        <is>
          <t>High</t>
        </is>
      </c>
      <c r="M5" t="inlineStr">
        <is>
          <t>Electrical Engineer</t>
        </is>
      </c>
      <c r="N5" t="inlineStr">
        <is>
          <t>MAREL.PERMITS.001</t>
        </is>
      </c>
      <c r="O5" t="inlineStr">
        <is>
          <t>Open</t>
        </is>
      </c>
      <c r="P5" t="inlineStr"/>
      <c r="Q5" t="inlineStr">
        <is>
          <t>High</t>
        </is>
      </c>
      <c r="R5" t="inlineStr">
        <is>
          <t>Connection works may be required</t>
        </is>
      </c>
    </row>
    <row r="6">
      <c r="A6" t="inlineStr">
        <is>
          <t>PER_005</t>
        </is>
      </c>
      <c r="B6" t="inlineStr">
        <is>
          <t>CAN-PER-FIR-005</t>
        </is>
      </c>
      <c r="C6" t="inlineStr">
        <is>
          <t>Fire safety approval</t>
        </is>
      </c>
      <c r="D6" t="inlineStr">
        <is>
          <t>Ministry of Interior / Fire Safety</t>
        </is>
      </c>
      <c r="E6" t="inlineStr">
        <is>
          <t>Engineering</t>
        </is>
      </c>
      <c r="F6" s="10" t="n">
        <v>45</v>
      </c>
      <c r="G6" s="9" t="n">
        <v>1000</v>
      </c>
      <c r="H6" s="9" t="n">
        <v>3000</v>
      </c>
      <c r="I6" s="9" t="n">
        <v>0</v>
      </c>
      <c r="J6" s="11">
        <f>SUM(G6:I6)</f>
        <v/>
      </c>
      <c r="K6" t="inlineStr">
        <is>
          <t>PER_003</t>
        </is>
      </c>
      <c r="L6" t="inlineStr">
        <is>
          <t>Medium</t>
        </is>
      </c>
      <c r="M6" t="inlineStr">
        <is>
          <t>Fire Engineer</t>
        </is>
      </c>
      <c r="N6" t="inlineStr">
        <is>
          <t>MAREL.PERMITS.001</t>
        </is>
      </c>
      <c r="O6" t="inlineStr">
        <is>
          <t>Open</t>
        </is>
      </c>
      <c r="P6" t="inlineStr"/>
      <c r="Q6" t="inlineStr">
        <is>
          <t>High</t>
        </is>
      </c>
      <c r="R6" t="inlineStr">
        <is>
          <t>Fire study required</t>
        </is>
      </c>
    </row>
    <row r="7">
      <c r="A7" t="inlineStr">
        <is>
          <t>PER_006</t>
        </is>
      </c>
      <c r="B7" t="inlineStr">
        <is>
          <t>CAN-PER-INS-006</t>
        </is>
      </c>
      <c r="C7" t="inlineStr">
        <is>
          <t>Technical inspection</t>
        </is>
      </c>
      <c r="D7" t="inlineStr">
        <is>
          <t>Inspection commission</t>
        </is>
      </c>
      <c r="E7" t="inlineStr">
        <is>
          <t>Commissioning</t>
        </is>
      </c>
      <c r="F7" s="10" t="n">
        <v>30</v>
      </c>
      <c r="G7" s="9" t="n">
        <v>2000</v>
      </c>
      <c r="H7" s="9" t="n">
        <v>4000</v>
      </c>
      <c r="I7" s="9" t="n">
        <v>0</v>
      </c>
      <c r="J7" s="11">
        <f>SUM(G7:I7)</f>
        <v/>
      </c>
      <c r="K7" t="inlineStr">
        <is>
          <t>PER_004</t>
        </is>
      </c>
      <c r="L7" t="inlineStr">
        <is>
          <t>High</t>
        </is>
      </c>
      <c r="M7" t="inlineStr">
        <is>
          <t>PMO / Technical</t>
        </is>
      </c>
      <c r="N7" t="inlineStr">
        <is>
          <t>MAREL.PERMITS.001</t>
        </is>
      </c>
      <c r="O7" t="inlineStr">
        <is>
          <t>Open</t>
        </is>
      </c>
      <c r="P7" t="inlineStr"/>
      <c r="Q7" t="inlineStr">
        <is>
          <t>Medium</t>
        </is>
      </c>
      <c r="R7" t="inlineStr">
        <is>
          <t>Required before use permit</t>
        </is>
      </c>
    </row>
    <row r="8">
      <c r="A8" t="inlineStr">
        <is>
          <t>PER_007</t>
        </is>
      </c>
      <c r="B8" t="inlineStr">
        <is>
          <t>CAN-PER-USE-007</t>
        </is>
      </c>
      <c r="C8" t="inlineStr">
        <is>
          <t>Use permit / occupancy</t>
        </is>
      </c>
      <c r="D8" t="inlineStr">
        <is>
          <t>Ministry / Municipality</t>
        </is>
      </c>
      <c r="E8" t="inlineStr">
        <is>
          <t>Commissioning</t>
        </is>
      </c>
      <c r="F8" s="10" t="n">
        <v>20</v>
      </c>
      <c r="G8" s="9" t="n">
        <v>1500</v>
      </c>
      <c r="H8" s="9" t="n">
        <v>2000</v>
      </c>
      <c r="I8" s="9" t="n">
        <v>0</v>
      </c>
      <c r="J8" s="11">
        <f>SUM(G8:I8)</f>
        <v/>
      </c>
      <c r="K8" t="inlineStr">
        <is>
          <t>PER_006</t>
        </is>
      </c>
      <c r="L8" t="inlineStr">
        <is>
          <t>High</t>
        </is>
      </c>
      <c r="M8" t="inlineStr">
        <is>
          <t>Project Owner</t>
        </is>
      </c>
      <c r="N8" t="inlineStr">
        <is>
          <t>MAREL.PERMITS.001</t>
        </is>
      </c>
      <c r="O8" t="inlineStr">
        <is>
          <t>Open</t>
        </is>
      </c>
      <c r="P8" t="inlineStr"/>
      <c r="Q8" t="inlineStr">
        <is>
          <t>Medium</t>
        </is>
      </c>
      <c r="R8" t="inlineStr">
        <is>
          <t>Final operating approval</t>
        </is>
      </c>
    </row>
    <row r="9"/>
    <row r="10">
      <c r="B10" s="12" t="inlineStr">
        <is>
          <t>Grand Total</t>
        </is>
      </c>
      <c r="G10" s="13">
        <f>SUM(G2:G8)</f>
        <v/>
      </c>
      <c r="H10" s="13">
        <f>SUM(H2:H8)</f>
        <v/>
      </c>
      <c r="I10" s="13">
        <f>SUM(I2:I8)</f>
        <v/>
      </c>
      <c r="J10" s="13">
        <f>SUM(J2:J8)</f>
        <v/>
      </c>
    </row>
  </sheetData>
  <dataValidations count="1">
    <dataValidation sqref="O2:O200" showErrorMessage="1" showInputMessage="1" allowBlank="1" type="list">
      <formula1>=09_Data_Validation!$C$2:$C$5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EAF7"/>
    <outlinePr summaryBelow="1" summaryRight="1"/>
    <pageSetUpPr/>
  </sheetPr>
  <dimension ref="A1:P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6" customWidth="1" min="3" max="3"/>
    <col width="13" customWidth="1" min="4" max="4"/>
    <col width="17" customWidth="1" min="5" max="5"/>
    <col width="24" customWidth="1" min="6" max="6"/>
    <col width="22" customWidth="1" min="7" max="7"/>
    <col width="26" customWidth="1" min="8" max="8"/>
    <col width="20" customWidth="1" min="9" max="9"/>
    <col width="18" customWidth="1" min="10" max="10"/>
    <col width="9" customWidth="1" min="11" max="11"/>
    <col width="24" customWidth="1" min="12" max="12"/>
    <col width="19" customWidth="1" min="13" max="13"/>
    <col width="15" customWidth="1" min="14" max="14"/>
    <col width="40" customWidth="1" min="15" max="15"/>
    <col width="18" customWidth="1" min="16" max="16"/>
  </cols>
  <sheetData>
    <row r="1">
      <c r="A1" s="4" t="inlineStr">
        <is>
          <t>Protocol_ID</t>
        </is>
      </c>
      <c r="B1" s="4" t="inlineStr">
        <is>
          <t>Linked_Permit_ID</t>
        </is>
      </c>
      <c r="C1" s="4" t="inlineStr">
        <is>
          <t>Responsible_Role</t>
        </is>
      </c>
      <c r="D1" s="4" t="inlineStr">
        <is>
          <t>Status</t>
        </is>
      </c>
      <c r="E1" s="4" t="inlineStr">
        <is>
          <t>Submission_Date</t>
        </is>
      </c>
      <c r="F1" s="4" t="inlineStr">
        <is>
          <t>Expected_Approval_Date</t>
        </is>
      </c>
      <c r="G1" s="4" t="inlineStr">
        <is>
          <t>Actual_Approval_Date</t>
        </is>
      </c>
      <c r="H1" s="4" t="inlineStr">
        <is>
          <t>Days_Open</t>
        </is>
      </c>
      <c r="I1" s="4" t="inlineStr">
        <is>
          <t>Next_Action_Date</t>
        </is>
      </c>
      <c r="J1" s="4" t="inlineStr">
        <is>
          <t>Escalation_Level</t>
        </is>
      </c>
      <c r="K1" s="4" t="inlineStr">
        <is>
          <t>Blocker</t>
        </is>
      </c>
      <c r="L1" s="4" t="inlineStr">
        <is>
          <t>Comments</t>
        </is>
      </c>
      <c r="M1" s="4" t="inlineStr">
        <is>
          <t>Memory_Tag</t>
        </is>
      </c>
      <c r="N1" s="4" t="inlineStr">
        <is>
          <t>Update_Status</t>
        </is>
      </c>
      <c r="O1" s="4" t="inlineStr">
        <is>
          <t>Overdue_Flag</t>
        </is>
      </c>
      <c r="P1" s="4" t="inlineStr">
        <is>
          <t>Readiness_Weight</t>
        </is>
      </c>
    </row>
    <row r="2">
      <c r="A2" t="inlineStr">
        <is>
          <t>PROTO_001</t>
        </is>
      </c>
      <c r="B2" t="inlineStr">
        <is>
          <t>PER_001</t>
        </is>
      </c>
      <c r="C2" t="inlineStr">
        <is>
          <t>Legal / Urban planner</t>
        </is>
      </c>
      <c r="D2" t="inlineStr">
        <is>
          <t>Not Started</t>
        </is>
      </c>
      <c r="E2" s="14" t="inlineStr"/>
      <c r="F2" s="14" t="inlineStr"/>
      <c r="G2" s="14" t="inlineStr"/>
      <c r="H2" s="15">
        <f>IF(E2="","",TODAY()-E2)</f>
        <v/>
      </c>
      <c r="I2" s="14">
        <f>IF(F2="","",F2-7)</f>
        <v/>
      </c>
      <c r="J2" t="inlineStr">
        <is>
          <t>Level 1</t>
        </is>
      </c>
      <c r="K2" t="inlineStr"/>
      <c r="L2" t="inlineStr">
        <is>
          <t>Submit request package</t>
        </is>
      </c>
      <c r="M2" t="inlineStr">
        <is>
          <t>MAREL.PERMITS.002</t>
        </is>
      </c>
      <c r="N2" t="inlineStr">
        <is>
          <t>Pending</t>
        </is>
      </c>
      <c r="O2">
        <f>IF(AND(I2&lt;TODAY(),D2&lt;&gt;"Approved",I2&lt;&gt;""),"YES","NO")</f>
        <v/>
      </c>
      <c r="P2" s="15" t="n">
        <v>1</v>
      </c>
    </row>
    <row r="3">
      <c r="A3" t="inlineStr">
        <is>
          <t>PROTO_002</t>
        </is>
      </c>
      <c r="B3" t="inlineStr">
        <is>
          <t>PER_002</t>
        </is>
      </c>
      <c r="C3" t="inlineStr">
        <is>
          <t>Environmental consultant</t>
        </is>
      </c>
      <c r="D3" t="inlineStr">
        <is>
          <t>Not Started</t>
        </is>
      </c>
      <c r="E3" s="14" t="inlineStr"/>
      <c r="F3" s="14" t="inlineStr"/>
      <c r="G3" s="14" t="inlineStr"/>
      <c r="H3" s="15">
        <f>IF(E3="","",TODAY()-E3)</f>
        <v/>
      </c>
      <c r="I3" s="14">
        <f>IF(F3="","",F3-7)</f>
        <v/>
      </c>
      <c r="J3" t="inlineStr">
        <is>
          <t>Level 1</t>
        </is>
      </c>
      <c r="K3" t="inlineStr"/>
      <c r="L3" t="inlineStr">
        <is>
          <t>Prepare EIA study</t>
        </is>
      </c>
      <c r="M3" t="inlineStr">
        <is>
          <t>MAREL.PERMITS.002</t>
        </is>
      </c>
      <c r="N3" t="inlineStr">
        <is>
          <t>Pending</t>
        </is>
      </c>
      <c r="O3">
        <f>IF(AND(I3&lt;TODAY(),D3&lt;&gt;"Approved",I3&lt;&gt;""),"YES","NO")</f>
        <v/>
      </c>
      <c r="P3" s="15" t="n">
        <v>1</v>
      </c>
    </row>
    <row r="4">
      <c r="A4" t="inlineStr">
        <is>
          <t>PROTO_003</t>
        </is>
      </c>
      <c r="B4" t="inlineStr">
        <is>
          <t>PER_003</t>
        </is>
      </c>
      <c r="C4" t="inlineStr">
        <is>
          <t>Project architect</t>
        </is>
      </c>
      <c r="D4" t="inlineStr">
        <is>
          <t>Not Started</t>
        </is>
      </c>
      <c r="E4" s="14" t="inlineStr"/>
      <c r="F4" s="14" t="inlineStr"/>
      <c r="G4" s="14" t="inlineStr"/>
      <c r="H4" s="15">
        <f>IF(E4="","",TODAY()-E4)</f>
        <v/>
      </c>
      <c r="I4" s="14">
        <f>IF(F4="","",F4-7)</f>
        <v/>
      </c>
      <c r="J4" t="inlineStr">
        <is>
          <t>Level 2</t>
        </is>
      </c>
      <c r="K4" t="inlineStr"/>
      <c r="L4" t="inlineStr">
        <is>
          <t>Compile main project</t>
        </is>
      </c>
      <c r="M4" t="inlineStr">
        <is>
          <t>MAREL.PERMITS.002</t>
        </is>
      </c>
      <c r="N4" t="inlineStr">
        <is>
          <t>Pending</t>
        </is>
      </c>
      <c r="O4">
        <f>IF(AND(I4&lt;TODAY(),D4&lt;&gt;"Approved",I4&lt;&gt;""),"YES","NO")</f>
        <v/>
      </c>
      <c r="P4" s="15" t="n">
        <v>1</v>
      </c>
    </row>
    <row r="5">
      <c r="A5" t="inlineStr">
        <is>
          <t>PROTO_004</t>
        </is>
      </c>
      <c r="B5" t="inlineStr">
        <is>
          <t>PER_004</t>
        </is>
      </c>
      <c r="C5" t="inlineStr">
        <is>
          <t>Electrical engineer</t>
        </is>
      </c>
      <c r="D5" t="inlineStr">
        <is>
          <t>Not Started</t>
        </is>
      </c>
      <c r="E5" s="14" t="inlineStr"/>
      <c r="F5" s="14" t="inlineStr"/>
      <c r="G5" s="14" t="inlineStr"/>
      <c r="H5" s="15">
        <f>IF(E5="","",TODAY()-E5)</f>
        <v/>
      </c>
      <c r="I5" s="14">
        <f>IF(F5="","",F5-7)</f>
        <v/>
      </c>
      <c r="J5" t="inlineStr">
        <is>
          <t>Level 2</t>
        </is>
      </c>
      <c r="K5" t="inlineStr"/>
      <c r="L5" t="inlineStr">
        <is>
          <t>Apply grid connection</t>
        </is>
      </c>
      <c r="M5" t="inlineStr">
        <is>
          <t>MAREL.PERMITS.002</t>
        </is>
      </c>
      <c r="N5" t="inlineStr">
        <is>
          <t>Pending</t>
        </is>
      </c>
      <c r="O5">
        <f>IF(AND(I5&lt;TODAY(),D5&lt;&gt;"Approved",I5&lt;&gt;""),"YES","NO")</f>
        <v/>
      </c>
      <c r="P5" s="15" t="n">
        <v>1</v>
      </c>
    </row>
    <row r="6">
      <c r="A6" t="inlineStr">
        <is>
          <t>PROTO_005</t>
        </is>
      </c>
      <c r="B6" t="inlineStr">
        <is>
          <t>PER_005</t>
        </is>
      </c>
      <c r="C6" t="inlineStr">
        <is>
          <t>Fire engineer</t>
        </is>
      </c>
      <c r="D6" t="inlineStr">
        <is>
          <t>Not Started</t>
        </is>
      </c>
      <c r="E6" s="14" t="inlineStr"/>
      <c r="F6" s="14" t="inlineStr"/>
      <c r="G6" s="14" t="inlineStr"/>
      <c r="H6" s="15">
        <f>IF(E6="","",TODAY()-E6)</f>
        <v/>
      </c>
      <c r="I6" s="14">
        <f>IF(F6="","",F6-7)</f>
        <v/>
      </c>
      <c r="J6" t="inlineStr">
        <is>
          <t>Level 1</t>
        </is>
      </c>
      <c r="K6" t="inlineStr"/>
      <c r="L6" t="inlineStr">
        <is>
          <t>Submit fire study</t>
        </is>
      </c>
      <c r="M6" t="inlineStr">
        <is>
          <t>MAREL.PERMITS.002</t>
        </is>
      </c>
      <c r="N6" t="inlineStr">
        <is>
          <t>Pending</t>
        </is>
      </c>
      <c r="O6">
        <f>IF(AND(I6&lt;TODAY(),D6&lt;&gt;"Approved",I6&lt;&gt;""),"YES","NO")</f>
        <v/>
      </c>
      <c r="P6" s="15" t="n">
        <v>1</v>
      </c>
    </row>
    <row r="7">
      <c r="A7" t="inlineStr">
        <is>
          <t>PROTO_006</t>
        </is>
      </c>
      <c r="B7" t="inlineStr">
        <is>
          <t>PER_006</t>
        </is>
      </c>
      <c r="C7" t="inlineStr">
        <is>
          <t>Inspection commission</t>
        </is>
      </c>
      <c r="D7" t="inlineStr">
        <is>
          <t>Not Started</t>
        </is>
      </c>
      <c r="E7" s="14" t="inlineStr"/>
      <c r="F7" s="14" t="inlineStr"/>
      <c r="G7" s="14" t="inlineStr"/>
      <c r="H7" s="15">
        <f>IF(E7="","",TODAY()-E7)</f>
        <v/>
      </c>
      <c r="I7" s="14">
        <f>IF(F7="","",F7-7)</f>
        <v/>
      </c>
      <c r="J7" t="inlineStr">
        <is>
          <t>Level 2</t>
        </is>
      </c>
      <c r="K7" t="inlineStr"/>
      <c r="L7" t="inlineStr">
        <is>
          <t>Plan inspection</t>
        </is>
      </c>
      <c r="M7" t="inlineStr">
        <is>
          <t>MAREL.PERMITS.002</t>
        </is>
      </c>
      <c r="N7" t="inlineStr">
        <is>
          <t>Pending</t>
        </is>
      </c>
      <c r="O7">
        <f>IF(AND(I7&lt;TODAY(),D7&lt;&gt;"Approved",I7&lt;&gt;""),"YES","NO")</f>
        <v/>
      </c>
      <c r="P7" s="15" t="n">
        <v>1</v>
      </c>
    </row>
    <row r="8">
      <c r="A8" t="inlineStr">
        <is>
          <t>PROTO_007</t>
        </is>
      </c>
      <c r="B8" t="inlineStr">
        <is>
          <t>PER_007</t>
        </is>
      </c>
      <c r="C8" t="inlineStr">
        <is>
          <t>Project owner</t>
        </is>
      </c>
      <c r="D8" t="inlineStr">
        <is>
          <t>Not Started</t>
        </is>
      </c>
      <c r="E8" s="14" t="inlineStr"/>
      <c r="F8" s="14" t="inlineStr"/>
      <c r="G8" s="14" t="inlineStr"/>
      <c r="H8" s="15">
        <f>IF(E8="","",TODAY()-E8)</f>
        <v/>
      </c>
      <c r="I8" s="14">
        <f>IF(F8="","",F8-7)</f>
        <v/>
      </c>
      <c r="J8" t="inlineStr">
        <is>
          <t>Level 3</t>
        </is>
      </c>
      <c r="K8" t="inlineStr"/>
      <c r="L8" t="inlineStr">
        <is>
          <t>Request use permit</t>
        </is>
      </c>
      <c r="M8" t="inlineStr">
        <is>
          <t>MAREL.PERMITS.002</t>
        </is>
      </c>
      <c r="N8" t="inlineStr">
        <is>
          <t>Pending</t>
        </is>
      </c>
      <c r="O8">
        <f>IF(AND(I8&lt;TODAY(),D8&lt;&gt;"Approved",I8&lt;&gt;""),"YES","NO")</f>
        <v/>
      </c>
      <c r="P8" s="15" t="n">
        <v>1</v>
      </c>
    </row>
  </sheetData>
  <dataValidations count="1">
    <dataValidation sqref="D2:D200" showErrorMessage="1" showInputMessage="1" allowBlank="1" type="list">
      <formula1>=09_Data_Validation!$A$2:$A$8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9EAF7"/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  <col width="22" customWidth="1" min="5" max="5"/>
    <col width="28" customWidth="1" min="6" max="6"/>
    <col width="19" customWidth="1" min="7" max="7"/>
  </cols>
  <sheetData>
    <row r="1">
      <c r="A1" s="4" t="inlineStr">
        <is>
          <t>Permit_ID</t>
        </is>
      </c>
      <c r="B1" s="4" t="inlineStr">
        <is>
          <t>Start_Date</t>
        </is>
      </c>
      <c r="C1" s="4" t="inlineStr">
        <is>
          <t>Duration_Days</t>
        </is>
      </c>
      <c r="D1" s="4" t="inlineStr">
        <is>
          <t>End_Date</t>
        </is>
      </c>
      <c r="E1" s="4" t="inlineStr">
        <is>
          <t>Dependency</t>
        </is>
      </c>
      <c r="F1" s="4" t="inlineStr">
        <is>
          <t>Critical_Path</t>
        </is>
      </c>
      <c r="G1" s="4" t="inlineStr">
        <is>
          <t>Memory_Tag</t>
        </is>
      </c>
    </row>
    <row r="2">
      <c r="A2">
        <f>02_Permit_Master!A2</f>
        <v/>
      </c>
      <c r="B2" s="14" t="inlineStr"/>
      <c r="C2" s="15">
        <f>02_Permit_Master!F2</f>
        <v/>
      </c>
      <c r="D2" s="14">
        <f>IF(OR(B2="",C2=""),"",B2+C2)</f>
        <v/>
      </c>
      <c r="E2">
        <f>02_Permit_Master!K2</f>
        <v/>
      </c>
      <c r="F2">
        <f>IF(A2="","",IF(COUNTIF($E$2:$E$8,A2)&gt;0,"Yes","No"))</f>
        <v/>
      </c>
      <c r="G2" t="inlineStr">
        <is>
          <t>MAREL.PERMITS.003</t>
        </is>
      </c>
    </row>
    <row r="3">
      <c r="A3">
        <f>02_Permit_Master!A3</f>
        <v/>
      </c>
      <c r="B3" s="14">
        <f>IF(E3="","",XLOOKUP(E3,$A$2:$A$8,$D$2:$D$8,"")+1)</f>
        <v/>
      </c>
      <c r="C3" s="15">
        <f>02_Permit_Master!F3</f>
        <v/>
      </c>
      <c r="D3" s="14">
        <f>IF(OR(B3="",C3=""),"",B3+C3)</f>
        <v/>
      </c>
      <c r="E3">
        <f>02_Permit_Master!K3</f>
        <v/>
      </c>
      <c r="F3">
        <f>IF(A3="","",IF(COUNTIF($E$2:$E$8,A3)&gt;0,"Yes","No"))</f>
        <v/>
      </c>
      <c r="G3" t="inlineStr">
        <is>
          <t>MAREL.PERMITS.003</t>
        </is>
      </c>
    </row>
    <row r="4">
      <c r="A4">
        <f>02_Permit_Master!A4</f>
        <v/>
      </c>
      <c r="B4" s="14">
        <f>IF(E4="","",XLOOKUP(E4,$A$2:$A$8,$D$2:$D$8,"")+1)</f>
        <v/>
      </c>
      <c r="C4" s="15">
        <f>02_Permit_Master!F4</f>
        <v/>
      </c>
      <c r="D4" s="14">
        <f>IF(OR(B4="",C4=""),"",B4+C4)</f>
        <v/>
      </c>
      <c r="E4">
        <f>02_Permit_Master!K4</f>
        <v/>
      </c>
      <c r="F4">
        <f>IF(A4="","",IF(COUNTIF($E$2:$E$8,A4)&gt;0,"Yes","No"))</f>
        <v/>
      </c>
      <c r="G4" t="inlineStr">
        <is>
          <t>MAREL.PERMITS.003</t>
        </is>
      </c>
    </row>
    <row r="5">
      <c r="A5">
        <f>02_Permit_Master!A5</f>
        <v/>
      </c>
      <c r="B5" s="14">
        <f>IF(E5="","",XLOOKUP(E5,$A$2:$A$8,$D$2:$D$8,"")+1)</f>
        <v/>
      </c>
      <c r="C5" s="15">
        <f>02_Permit_Master!F5</f>
        <v/>
      </c>
      <c r="D5" s="14">
        <f>IF(OR(B5="",C5=""),"",B5+C5)</f>
        <v/>
      </c>
      <c r="E5">
        <f>02_Permit_Master!K5</f>
        <v/>
      </c>
      <c r="F5">
        <f>IF(A5="","",IF(COUNTIF($E$2:$E$8,A5)&gt;0,"Yes","No"))</f>
        <v/>
      </c>
      <c r="G5" t="inlineStr">
        <is>
          <t>MAREL.PERMITS.003</t>
        </is>
      </c>
    </row>
    <row r="6">
      <c r="A6">
        <f>02_Permit_Master!A6</f>
        <v/>
      </c>
      <c r="B6" s="14">
        <f>IF(E6="","",XLOOKUP(E6,$A$2:$A$8,$D$2:$D$8,"")+1)</f>
        <v/>
      </c>
      <c r="C6" s="15">
        <f>02_Permit_Master!F6</f>
        <v/>
      </c>
      <c r="D6" s="14">
        <f>IF(OR(B6="",C6=""),"",B6+C6)</f>
        <v/>
      </c>
      <c r="E6">
        <f>02_Permit_Master!K6</f>
        <v/>
      </c>
      <c r="F6">
        <f>IF(A6="","",IF(COUNTIF($E$2:$E$8,A6)&gt;0,"Yes","No"))</f>
        <v/>
      </c>
      <c r="G6" t="inlineStr">
        <is>
          <t>MAREL.PERMITS.003</t>
        </is>
      </c>
    </row>
    <row r="7">
      <c r="A7">
        <f>02_Permit_Master!A7</f>
        <v/>
      </c>
      <c r="B7" s="14">
        <f>IF(E7="","",XLOOKUP(E7,$A$2:$A$8,$D$2:$D$8,"")+1)</f>
        <v/>
      </c>
      <c r="C7" s="15">
        <f>02_Permit_Master!F7</f>
        <v/>
      </c>
      <c r="D7" s="14">
        <f>IF(OR(B7="",C7=""),"",B7+C7)</f>
        <v/>
      </c>
      <c r="E7">
        <f>02_Permit_Master!K7</f>
        <v/>
      </c>
      <c r="F7">
        <f>IF(A7="","",IF(COUNTIF($E$2:$E$8,A7)&gt;0,"Yes","No"))</f>
        <v/>
      </c>
      <c r="G7" t="inlineStr">
        <is>
          <t>MAREL.PERMITS.003</t>
        </is>
      </c>
    </row>
    <row r="8">
      <c r="A8">
        <f>02_Permit_Master!A8</f>
        <v/>
      </c>
      <c r="B8" s="14">
        <f>IF(E8="","",XLOOKUP(E8,$A$2:$A$8,$D$2:$D$8,"")+1)</f>
        <v/>
      </c>
      <c r="C8" s="15">
        <f>02_Permit_Master!F8</f>
        <v/>
      </c>
      <c r="D8" s="14">
        <f>IF(OR(B8="",C8=""),"",B8+C8)</f>
        <v/>
      </c>
      <c r="E8">
        <f>02_Permit_Master!K8</f>
        <v/>
      </c>
      <c r="F8">
        <f>IF(A8="","",IF(COUNTIF($E$2:$E$8,A8)&gt;0,"Yes","No"))</f>
        <v/>
      </c>
      <c r="G8" t="inlineStr">
        <is>
          <t>MAREL.PERMITS.003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9EAF7"/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5" customWidth="1" min="4" max="4"/>
    <col width="24" customWidth="1" min="5" max="5"/>
    <col width="16" customWidth="1" min="6" max="6"/>
    <col width="20" customWidth="1" min="7" max="7"/>
    <col width="17" customWidth="1" min="8" max="8"/>
    <col width="22" customWidth="1" min="9" max="9"/>
    <col width="19" customWidth="1" min="10" max="10"/>
  </cols>
  <sheetData>
    <row r="1">
      <c r="A1" s="4" t="inlineStr">
        <is>
          <t>Permit_ID</t>
        </is>
      </c>
      <c r="B1" s="4" t="inlineStr">
        <is>
          <t>Phase</t>
        </is>
      </c>
      <c r="C1" s="4" t="inlineStr">
        <is>
          <t>Admin_Fees_EUR</t>
        </is>
      </c>
      <c r="D1" s="4" t="inlineStr">
        <is>
          <t>Studies_Consultants_EUR</t>
        </is>
      </c>
      <c r="E1" s="4" t="inlineStr">
        <is>
          <t>Utility_Connection_EUR</t>
        </is>
      </c>
      <c r="F1" s="4" t="inlineStr">
        <is>
          <t>Base_Total_EUR</t>
        </is>
      </c>
      <c r="G1" s="4" t="inlineStr">
        <is>
          <t>Contingency_%</t>
        </is>
      </c>
      <c r="H1" s="4" t="inlineStr">
        <is>
          <t>Contingency_EUR</t>
        </is>
      </c>
      <c r="I1" s="4" t="inlineStr">
        <is>
          <t>Controlled_Total_EUR</t>
        </is>
      </c>
      <c r="J1" s="4" t="inlineStr">
        <is>
          <t>Memory_Tag</t>
        </is>
      </c>
    </row>
    <row r="2">
      <c r="A2">
        <f>02_Permit_Master!A2</f>
        <v/>
      </c>
      <c r="B2">
        <f>02_Permit_Master!E2</f>
        <v/>
      </c>
      <c r="C2" s="11">
        <f>02_Permit_Master!G2</f>
        <v/>
      </c>
      <c r="D2" s="11">
        <f>02_Permit_Master!H2</f>
        <v/>
      </c>
      <c r="E2" s="11">
        <f>02_Permit_Master!I2</f>
        <v/>
      </c>
      <c r="F2" s="11">
        <f>SUM(C2:E2)</f>
        <v/>
      </c>
      <c r="G2" s="16">
        <f>01_Assumptions!D6</f>
        <v/>
      </c>
      <c r="H2" s="11">
        <f>F2*G2</f>
        <v/>
      </c>
      <c r="I2" s="11">
        <f>F2+H2</f>
        <v/>
      </c>
      <c r="J2" t="inlineStr">
        <is>
          <t>MAREL.PERMITS.004</t>
        </is>
      </c>
    </row>
    <row r="3">
      <c r="A3">
        <f>02_Permit_Master!A3</f>
        <v/>
      </c>
      <c r="B3">
        <f>02_Permit_Master!E3</f>
        <v/>
      </c>
      <c r="C3" s="11">
        <f>02_Permit_Master!G3</f>
        <v/>
      </c>
      <c r="D3" s="11">
        <f>02_Permit_Master!H3</f>
        <v/>
      </c>
      <c r="E3" s="11">
        <f>02_Permit_Master!I3</f>
        <v/>
      </c>
      <c r="F3" s="11">
        <f>SUM(C3:E3)</f>
        <v/>
      </c>
      <c r="G3" s="16">
        <f>01_Assumptions!D6</f>
        <v/>
      </c>
      <c r="H3" s="11">
        <f>F3*G3</f>
        <v/>
      </c>
      <c r="I3" s="11">
        <f>F3+H3</f>
        <v/>
      </c>
      <c r="J3" t="inlineStr">
        <is>
          <t>MAREL.PERMITS.004</t>
        </is>
      </c>
    </row>
    <row r="4">
      <c r="A4">
        <f>02_Permit_Master!A4</f>
        <v/>
      </c>
      <c r="B4">
        <f>02_Permit_Master!E4</f>
        <v/>
      </c>
      <c r="C4" s="11">
        <f>02_Permit_Master!G4</f>
        <v/>
      </c>
      <c r="D4" s="11">
        <f>02_Permit_Master!H4</f>
        <v/>
      </c>
      <c r="E4" s="11">
        <f>02_Permit_Master!I4</f>
        <v/>
      </c>
      <c r="F4" s="11">
        <f>SUM(C4:E4)</f>
        <v/>
      </c>
      <c r="G4" s="16">
        <f>01_Assumptions!D6</f>
        <v/>
      </c>
      <c r="H4" s="11">
        <f>F4*G4</f>
        <v/>
      </c>
      <c r="I4" s="11">
        <f>F4+H4</f>
        <v/>
      </c>
      <c r="J4" t="inlineStr">
        <is>
          <t>MAREL.PERMITS.004</t>
        </is>
      </c>
    </row>
    <row r="5">
      <c r="A5">
        <f>02_Permit_Master!A5</f>
        <v/>
      </c>
      <c r="B5">
        <f>02_Permit_Master!E5</f>
        <v/>
      </c>
      <c r="C5" s="11">
        <f>02_Permit_Master!G5</f>
        <v/>
      </c>
      <c r="D5" s="11">
        <f>02_Permit_Master!H5</f>
        <v/>
      </c>
      <c r="E5" s="11">
        <f>02_Permit_Master!I5</f>
        <v/>
      </c>
      <c r="F5" s="11">
        <f>SUM(C5:E5)</f>
        <v/>
      </c>
      <c r="G5" s="16">
        <f>01_Assumptions!D6</f>
        <v/>
      </c>
      <c r="H5" s="11">
        <f>F5*G5</f>
        <v/>
      </c>
      <c r="I5" s="11">
        <f>F5+H5</f>
        <v/>
      </c>
      <c r="J5" t="inlineStr">
        <is>
          <t>MAREL.PERMITS.004</t>
        </is>
      </c>
    </row>
    <row r="6">
      <c r="A6">
        <f>02_Permit_Master!A6</f>
        <v/>
      </c>
      <c r="B6">
        <f>02_Permit_Master!E6</f>
        <v/>
      </c>
      <c r="C6" s="11">
        <f>02_Permit_Master!G6</f>
        <v/>
      </c>
      <c r="D6" s="11">
        <f>02_Permit_Master!H6</f>
        <v/>
      </c>
      <c r="E6" s="11">
        <f>02_Permit_Master!I6</f>
        <v/>
      </c>
      <c r="F6" s="11">
        <f>SUM(C6:E6)</f>
        <v/>
      </c>
      <c r="G6" s="16">
        <f>01_Assumptions!D6</f>
        <v/>
      </c>
      <c r="H6" s="11">
        <f>F6*G6</f>
        <v/>
      </c>
      <c r="I6" s="11">
        <f>F6+H6</f>
        <v/>
      </c>
      <c r="J6" t="inlineStr">
        <is>
          <t>MAREL.PERMITS.004</t>
        </is>
      </c>
    </row>
    <row r="7">
      <c r="A7">
        <f>02_Permit_Master!A7</f>
        <v/>
      </c>
      <c r="B7">
        <f>02_Permit_Master!E7</f>
        <v/>
      </c>
      <c r="C7" s="11">
        <f>02_Permit_Master!G7</f>
        <v/>
      </c>
      <c r="D7" s="11">
        <f>02_Permit_Master!H7</f>
        <v/>
      </c>
      <c r="E7" s="11">
        <f>02_Permit_Master!I7</f>
        <v/>
      </c>
      <c r="F7" s="11">
        <f>SUM(C7:E7)</f>
        <v/>
      </c>
      <c r="G7" s="16">
        <f>01_Assumptions!D6</f>
        <v/>
      </c>
      <c r="H7" s="11">
        <f>F7*G7</f>
        <v/>
      </c>
      <c r="I7" s="11">
        <f>F7+H7</f>
        <v/>
      </c>
      <c r="J7" t="inlineStr">
        <is>
          <t>MAREL.PERMITS.004</t>
        </is>
      </c>
    </row>
    <row r="8">
      <c r="A8">
        <f>02_Permit_Master!A8</f>
        <v/>
      </c>
      <c r="B8">
        <f>02_Permit_Master!E8</f>
        <v/>
      </c>
      <c r="C8" s="11">
        <f>02_Permit_Master!G8</f>
        <v/>
      </c>
      <c r="D8" s="11">
        <f>02_Permit_Master!H8</f>
        <v/>
      </c>
      <c r="E8" s="11">
        <f>02_Permit_Master!I8</f>
        <v/>
      </c>
      <c r="F8" s="11">
        <f>SUM(C8:E8)</f>
        <v/>
      </c>
      <c r="G8" s="16">
        <f>01_Assumptions!D6</f>
        <v/>
      </c>
      <c r="H8" s="11">
        <f>F8*G8</f>
        <v/>
      </c>
      <c r="I8" s="11">
        <f>F8+H8</f>
        <v/>
      </c>
      <c r="J8" t="inlineStr">
        <is>
          <t>MAREL.PERMITS.004</t>
        </is>
      </c>
    </row>
    <row r="9"/>
    <row r="10">
      <c r="A10" s="12" t="inlineStr">
        <is>
          <t>Grand Total</t>
        </is>
      </c>
      <c r="C10" s="13">
        <f>SUM(C2:C8)</f>
        <v/>
      </c>
      <c r="D10" s="13">
        <f>SUM(D2:D8)</f>
        <v/>
      </c>
      <c r="E10" s="13">
        <f>SUM(E2:E8)</f>
        <v/>
      </c>
      <c r="F10" s="13">
        <f>SUM(F2:F8)</f>
        <v/>
      </c>
      <c r="H10" s="13">
        <f>SUM(H2:H8)</f>
        <v/>
      </c>
      <c r="I10" s="13">
        <f>SUM(I2:I8)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4C7E7"/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40" customWidth="1" min="4" max="4"/>
    <col width="40" customWidth="1" min="5" max="5"/>
    <col width="40" customWidth="1" min="6" max="6"/>
    <col width="13" customWidth="1" min="7" max="7"/>
    <col width="37" customWidth="1" min="8" max="8"/>
  </cols>
  <sheetData>
    <row r="1">
      <c r="A1" s="4" t="inlineStr">
        <is>
          <t>Module</t>
        </is>
      </c>
      <c r="B1" s="4" t="inlineStr">
        <is>
          <t>Source</t>
        </is>
      </c>
      <c r="C1" s="4" t="inlineStr">
        <is>
          <t>2026_EUR</t>
        </is>
      </c>
      <c r="D1" s="4" t="inlineStr">
        <is>
          <t>2027_EUR</t>
        </is>
      </c>
      <c r="E1" s="4" t="inlineStr">
        <is>
          <t>2028_EUR</t>
        </is>
      </c>
      <c r="F1" s="4" t="inlineStr">
        <is>
          <t>2029_EUR</t>
        </is>
      </c>
      <c r="G1" s="4" t="inlineStr">
        <is>
          <t>Total_EUR</t>
        </is>
      </c>
      <c r="H1" s="4" t="inlineStr">
        <is>
          <t>Control_Note</t>
        </is>
      </c>
    </row>
    <row r="2">
      <c r="A2" t="inlineStr">
        <is>
          <t>Permit Admin Fees</t>
        </is>
      </c>
      <c r="B2" t="inlineStr">
        <is>
          <t>05_Cost_Model</t>
        </is>
      </c>
      <c r="C2" s="11">
        <f>SUMIFS(02_Permit_Master!$G$2:$G$200,02_Permit_Master!$E$2:$E$200,"Development")</f>
        <v/>
      </c>
      <c r="D2" s="11">
        <f>SUMIFS(02_Permit_Master!$G$2:$G$200,02_Permit_Master!$E$2:$E$200,"Engineering")*0.5</f>
        <v/>
      </c>
      <c r="E2" s="11">
        <f>SUMIFS(02_Permit_Master!$G$2:$G$200,02_Permit_Master!$E$2:$E$200,"Engineering")*0.5</f>
        <v/>
      </c>
      <c r="F2" s="11">
        <f>SUMIFS(02_Permit_Master!$G$2:$G$200,02_Permit_Master!$E$2:$E$200,"Commissioning")</f>
        <v/>
      </c>
      <c r="G2" s="11">
        <f>SUM(C2:F2)</f>
        <v/>
      </c>
      <c r="H2" t="inlineStr">
        <is>
          <t>Linked from permit cost model</t>
        </is>
      </c>
    </row>
    <row r="3">
      <c r="A3" t="inlineStr">
        <is>
          <t>Studies &amp; Consultants</t>
        </is>
      </c>
      <c r="B3" t="inlineStr">
        <is>
          <t>05_Cost_Model</t>
        </is>
      </c>
      <c r="C3" s="11">
        <f>SUMIFS(02_Permit_Master!$H$2:$H$200,02_Permit_Master!$E$2:$E$200,"Development")</f>
        <v/>
      </c>
      <c r="D3" s="11">
        <f>SUMIFS(02_Permit_Master!$H$2:$H$200,02_Permit_Master!$E$2:$E$200,"Engineering")*0.5</f>
        <v/>
      </c>
      <c r="E3" s="11">
        <f>SUMIFS(02_Permit_Master!$H$2:$H$200,02_Permit_Master!$E$2:$E$200,"Engineering")*0.5</f>
        <v/>
      </c>
      <c r="F3" s="11">
        <f>SUMIFS(02_Permit_Master!$H$2:$H$200,02_Permit_Master!$E$2:$E$200,"Commissioning")</f>
        <v/>
      </c>
      <c r="G3" s="11">
        <f>SUM(C3:F3)</f>
        <v/>
      </c>
      <c r="H3" t="inlineStr">
        <is>
          <t>Linked from permit cost model</t>
        </is>
      </c>
    </row>
    <row r="4">
      <c r="A4" t="inlineStr">
        <is>
          <t>Utility Connection</t>
        </is>
      </c>
      <c r="B4" t="inlineStr">
        <is>
          <t>05_Cost_Model</t>
        </is>
      </c>
      <c r="C4" s="11" t="n">
        <v>0</v>
      </c>
      <c r="D4" s="11">
        <f>SUMIFS(02_Permit_Master!$I$2:$I$200,02_Permit_Master!$E$2:$E$200,"Engineering")*0.6</f>
        <v/>
      </c>
      <c r="E4" s="11">
        <f>SUMIFS(02_Permit_Master!$I$2:$I$200,02_Permit_Master!$E$2:$E$200,"Engineering")*0.4</f>
        <v/>
      </c>
      <c r="F4" s="11">
        <f>SUMIFS(02_Permit_Master!$I$2:$I$200,02_Permit_Master!$E$2:$E$200,"Commissioning")</f>
        <v/>
      </c>
      <c r="G4" s="11">
        <f>SUM(C4:F4)</f>
        <v/>
      </c>
      <c r="H4" t="inlineStr">
        <is>
          <t>Linked from permit cost model</t>
        </is>
      </c>
    </row>
    <row r="5">
      <c r="A5" t="inlineStr">
        <is>
          <t>Contingency</t>
        </is>
      </c>
      <c r="B5" t="inlineStr">
        <is>
          <t>05_Cost_Model</t>
        </is>
      </c>
      <c r="C5" s="11">
        <f>SUM(C2:C4)*01_Assumptions!D6</f>
        <v/>
      </c>
      <c r="D5" s="11">
        <f>SUM(D2:D4)*01_Assumptions!D6</f>
        <v/>
      </c>
      <c r="E5" s="11">
        <f>SUM(E2:E4)*01_Assumptions!D6</f>
        <v/>
      </c>
      <c r="F5" s="11">
        <f>SUM(F2:F4)*01_Assumptions!D6</f>
        <v/>
      </c>
      <c r="G5" s="11">
        <f>SUM(C5:F5)</f>
        <v/>
      </c>
      <c r="H5" t="inlineStr">
        <is>
          <t>Linked from permit cost model</t>
        </is>
      </c>
    </row>
    <row r="6">
      <c r="A6" t="inlineStr">
        <is>
          <t>Controlled Permit Total</t>
        </is>
      </c>
      <c r="B6" t="inlineStr">
        <is>
          <t>05_Cost_Model</t>
        </is>
      </c>
      <c r="C6" s="11">
        <f>SUM(C2:C5)</f>
        <v/>
      </c>
      <c r="D6" s="11">
        <f>SUM(D2:D5)</f>
        <v/>
      </c>
      <c r="E6" s="11">
        <f>SUM(E2:E5)</f>
        <v/>
      </c>
      <c r="F6" s="11">
        <f>SUM(F2:F5)</f>
        <v/>
      </c>
      <c r="G6" s="11">
        <f>SUM(C6:F6)</f>
        <v/>
      </c>
      <c r="H6" t="inlineStr">
        <is>
          <t>Total permit CAPEX under governance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9D18E"/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8" customWidth="1" min="3" max="3"/>
    <col width="13" customWidth="1" min="4" max="4"/>
    <col width="17" customWidth="1" min="5" max="5"/>
    <col width="29" customWidth="1" min="6" max="6"/>
    <col width="31" customWidth="1" min="7" max="7"/>
  </cols>
  <sheetData>
    <row r="1">
      <c r="A1" s="4" t="inlineStr">
        <is>
          <t>Gate_ID</t>
        </is>
      </c>
      <c r="B1" s="4" t="inlineStr">
        <is>
          <t>Requirement</t>
        </is>
      </c>
      <c r="C1" s="4" t="inlineStr">
        <is>
          <t>Linked_Permit_ID</t>
        </is>
      </c>
      <c r="D1" s="4" t="inlineStr">
        <is>
          <t>Status</t>
        </is>
      </c>
      <c r="E1" s="4" t="inlineStr">
        <is>
          <t>Weight</t>
        </is>
      </c>
      <c r="F1" s="4" t="inlineStr">
        <is>
          <t>Score</t>
        </is>
      </c>
      <c r="G1" s="4" t="inlineStr">
        <is>
          <t>Comment</t>
        </is>
      </c>
    </row>
    <row r="2">
      <c r="A2" t="inlineStr">
        <is>
          <t>GATE_001</t>
        </is>
      </c>
      <c r="B2" t="inlineStr">
        <is>
          <t>Urban-technical conditions approved</t>
        </is>
      </c>
      <c r="C2" t="inlineStr">
        <is>
          <t>PER_001</t>
        </is>
      </c>
      <c r="D2" t="inlineStr">
        <is>
          <t>Not Started</t>
        </is>
      </c>
      <c r="E2" s="16" t="n">
        <v>0.1</v>
      </c>
      <c r="F2" s="16">
        <f>IF(D2="Approved",E2,0)</f>
        <v/>
      </c>
      <c r="G2" t="inlineStr">
        <is>
          <t>Foundational permit</t>
        </is>
      </c>
    </row>
    <row r="3">
      <c r="A3" t="inlineStr">
        <is>
          <t>GATE_002</t>
        </is>
      </c>
      <c r="B3" t="inlineStr">
        <is>
          <t>Environmental approval obtained</t>
        </is>
      </c>
      <c r="C3" t="inlineStr">
        <is>
          <t>PER_002</t>
        </is>
      </c>
      <c r="D3" t="inlineStr">
        <is>
          <t>Not Started</t>
        </is>
      </c>
      <c r="E3" s="16" t="n">
        <v>0.15</v>
      </c>
      <c r="F3" s="16">
        <f>IF(D3="Approved",E3,0)</f>
        <v/>
      </c>
      <c r="G3" t="inlineStr">
        <is>
          <t>EIA / environmental clearance</t>
        </is>
      </c>
    </row>
    <row r="4">
      <c r="A4" t="inlineStr">
        <is>
          <t>GATE_003</t>
        </is>
      </c>
      <c r="B4" t="inlineStr">
        <is>
          <t>Construction permit obtained</t>
        </is>
      </c>
      <c r="C4" t="inlineStr">
        <is>
          <t>PER_003</t>
        </is>
      </c>
      <c r="D4" t="inlineStr">
        <is>
          <t>Not Started</t>
        </is>
      </c>
      <c r="E4" s="16" t="n">
        <v>0.2</v>
      </c>
      <c r="F4" s="16">
        <f>IF(D4="Approved",E4,0)</f>
        <v/>
      </c>
      <c r="G4" t="inlineStr">
        <is>
          <t>Construction go-live</t>
        </is>
      </c>
    </row>
    <row r="5">
      <c r="A5" t="inlineStr">
        <is>
          <t>GATE_004</t>
        </is>
      </c>
      <c r="B5" t="inlineStr">
        <is>
          <t>Grid connection secured</t>
        </is>
      </c>
      <c r="C5" t="inlineStr">
        <is>
          <t>PER_004</t>
        </is>
      </c>
      <c r="D5" t="inlineStr">
        <is>
          <t>Not Started</t>
        </is>
      </c>
      <c r="E5" s="16" t="n">
        <v>0.2</v>
      </c>
      <c r="F5" s="16">
        <f>IF(D5="Approved",E5,0)</f>
        <v/>
      </c>
      <c r="G5" t="inlineStr">
        <is>
          <t>Power availability</t>
        </is>
      </c>
    </row>
    <row r="6">
      <c r="A6" t="inlineStr">
        <is>
          <t>GATE_005</t>
        </is>
      </c>
      <c r="B6" t="inlineStr">
        <is>
          <t>Fire approval secured</t>
        </is>
      </c>
      <c r="C6" t="inlineStr">
        <is>
          <t>PER_005</t>
        </is>
      </c>
      <c r="D6" t="inlineStr">
        <is>
          <t>Not Started</t>
        </is>
      </c>
      <c r="E6" s="16" t="n">
        <v>0.1</v>
      </c>
      <c r="F6" s="16">
        <f>IF(D6="Approved",E6,0)</f>
        <v/>
      </c>
      <c r="G6" t="inlineStr">
        <is>
          <t>Safety gate</t>
        </is>
      </c>
    </row>
    <row r="7">
      <c r="A7" t="inlineStr">
        <is>
          <t>GATE_006</t>
        </is>
      </c>
      <c r="B7" t="inlineStr">
        <is>
          <t>Technical inspection passed</t>
        </is>
      </c>
      <c r="C7" t="inlineStr">
        <is>
          <t>PER_006</t>
        </is>
      </c>
      <c r="D7" t="inlineStr">
        <is>
          <t>Not Started</t>
        </is>
      </c>
      <c r="E7" s="16" t="n">
        <v>0.15</v>
      </c>
      <c r="F7" s="16">
        <f>IF(D7="Approved",E7,0)</f>
        <v/>
      </c>
      <c r="G7" t="inlineStr">
        <is>
          <t>Pre-use inspection</t>
        </is>
      </c>
    </row>
    <row r="8">
      <c r="A8" t="inlineStr">
        <is>
          <t>GATE_007</t>
        </is>
      </c>
      <c r="B8" t="inlineStr">
        <is>
          <t>Use permit obtained</t>
        </is>
      </c>
      <c r="C8" t="inlineStr">
        <is>
          <t>PER_007</t>
        </is>
      </c>
      <c r="D8" t="inlineStr">
        <is>
          <t>Not Started</t>
        </is>
      </c>
      <c r="E8" s="16" t="n">
        <v>0.1</v>
      </c>
      <c r="F8" s="16">
        <f>IF(D8="Approved",E8,0)</f>
        <v/>
      </c>
      <c r="G8" t="inlineStr">
        <is>
          <t>Commercial operation gate</t>
        </is>
      </c>
    </row>
    <row r="9"/>
    <row r="10">
      <c r="E10" s="12" t="inlineStr">
        <is>
          <t>Readiness Index</t>
        </is>
      </c>
      <c r="F10" s="16">
        <f>SUM(F2:F8)</f>
        <v/>
      </c>
    </row>
    <row r="11">
      <c r="E11" s="12" t="inlineStr">
        <is>
          <t>Threshold</t>
        </is>
      </c>
      <c r="F11" s="16">
        <f>01_Assumptions!D8</f>
        <v/>
      </c>
    </row>
    <row r="12">
      <c r="E12" s="12" t="inlineStr">
        <is>
          <t>Pass / Fail</t>
        </is>
      </c>
      <c r="F12">
        <f>IF(F10&gt;=F11,"PASS","FAIL")</f>
        <v/>
      </c>
    </row>
  </sheetData>
  <conditionalFormatting sqref="F12">
    <cfRule type="expression" priority="1" dxfId="0">
      <formula>F12="PASS"</formula>
    </cfRule>
    <cfRule type="expression" priority="2" dxfId="1">
      <formula>F12="FAIL"</formula>
    </cfRule>
  </conditionalFormatting>
  <dataValidations count="1">
    <dataValidation sqref="D2:D8" showErrorMessage="1" showInputMessage="1" allowBlank="1" type="list">
      <formula1>=09_Data_Validation!$D$2:$D$6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CE4D6"/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8" customWidth="1" min="3" max="3"/>
    <col width="13" customWidth="1" min="4" max="4"/>
    <col width="8" customWidth="1" min="5" max="5"/>
    <col width="12" customWidth="1" min="6" max="6"/>
    <col width="29" customWidth="1" min="7" max="7"/>
    <col width="15" customWidth="1" min="8" max="8"/>
    <col width="8" customWidth="1" min="9" max="9"/>
    <col width="18" customWidth="1" min="10" max="10"/>
    <col width="19" customWidth="1" min="11" max="11"/>
    <col width="34" customWidth="1" min="12" max="12"/>
  </cols>
  <sheetData>
    <row r="1">
      <c r="A1" s="4" t="inlineStr">
        <is>
          <t>Risk_ID</t>
        </is>
      </c>
      <c r="B1" s="4" t="inlineStr">
        <is>
          <t>Category</t>
        </is>
      </c>
      <c r="C1" s="4" t="inlineStr">
        <is>
          <t>Description</t>
        </is>
      </c>
      <c r="D1" s="4" t="inlineStr">
        <is>
          <t>Probability</t>
        </is>
      </c>
      <c r="E1" s="4" t="inlineStr">
        <is>
          <t>Impact</t>
        </is>
      </c>
      <c r="F1" s="4" t="inlineStr">
        <is>
          <t>Risk_Score</t>
        </is>
      </c>
      <c r="G1" s="4" t="inlineStr">
        <is>
          <t>Mitigation_Action</t>
        </is>
      </c>
      <c r="H1" s="4" t="inlineStr">
        <is>
          <t>Owner</t>
        </is>
      </c>
      <c r="I1" s="4" t="inlineStr">
        <is>
          <t>Status</t>
        </is>
      </c>
      <c r="J1" s="4" t="inlineStr">
        <is>
          <t>Linked_Permit_ID</t>
        </is>
      </c>
      <c r="K1" s="4" t="inlineStr">
        <is>
          <t>Memory_Tag</t>
        </is>
      </c>
      <c r="L1" s="4" t="inlineStr">
        <is>
          <t>Risk_Band</t>
        </is>
      </c>
    </row>
    <row r="2">
      <c r="A2" t="inlineStr">
        <is>
          <t>RSK_001</t>
        </is>
      </c>
      <c r="B2" t="inlineStr">
        <is>
          <t>Schedule</t>
        </is>
      </c>
      <c r="C2" t="inlineStr">
        <is>
          <t>UTU or planning delay</t>
        </is>
      </c>
      <c r="D2" s="16" t="n">
        <v>0.4</v>
      </c>
      <c r="E2" t="n">
        <v>3</v>
      </c>
      <c r="F2" s="17">
        <f>D2*E2</f>
        <v/>
      </c>
      <c r="G2" t="inlineStr">
        <is>
          <t>Front-load application pack</t>
        </is>
      </c>
      <c r="H2" t="inlineStr">
        <is>
          <t>PMO</t>
        </is>
      </c>
      <c r="I2" t="inlineStr">
        <is>
          <t>Open</t>
        </is>
      </c>
      <c r="J2" t="inlineStr">
        <is>
          <t>PER_001</t>
        </is>
      </c>
      <c r="K2" t="inlineStr">
        <is>
          <t>MAREL.PERMITS.005</t>
        </is>
      </c>
      <c r="L2">
        <f>IF(F2&gt;=12,"High",IF(F2&gt;=6,"Medium","Low"))</f>
        <v/>
      </c>
    </row>
    <row r="3">
      <c r="A3" t="inlineStr">
        <is>
          <t>RSK_002</t>
        </is>
      </c>
      <c r="B3" t="inlineStr">
        <is>
          <t>Environmental</t>
        </is>
      </c>
      <c r="C3" t="inlineStr">
        <is>
          <t>EIA review extension</t>
        </is>
      </c>
      <c r="D3" s="16" t="n">
        <v>0.5</v>
      </c>
      <c r="E3" t="n">
        <v>4</v>
      </c>
      <c r="F3" s="17">
        <f>D3*E3</f>
        <v/>
      </c>
      <c r="G3" t="inlineStr">
        <is>
          <t>Early consultant engagement</t>
        </is>
      </c>
      <c r="H3" t="inlineStr">
        <is>
          <t>Environmental</t>
        </is>
      </c>
      <c r="I3" t="inlineStr">
        <is>
          <t>Open</t>
        </is>
      </c>
      <c r="J3" t="inlineStr">
        <is>
          <t>PER_002</t>
        </is>
      </c>
      <c r="K3" t="inlineStr">
        <is>
          <t>MAREL.PERMITS.005</t>
        </is>
      </c>
      <c r="L3">
        <f>IF(F3&gt;=12,"High",IF(F3&gt;=6,"Medium","Low"))</f>
        <v/>
      </c>
    </row>
    <row r="4">
      <c r="A4" t="inlineStr">
        <is>
          <t>RSK_003</t>
        </is>
      </c>
      <c r="B4" t="inlineStr">
        <is>
          <t>Regulatory</t>
        </is>
      </c>
      <c r="C4" t="inlineStr">
        <is>
          <t>Construction permit rework</t>
        </is>
      </c>
      <c r="D4" s="16" t="n">
        <v>0.3</v>
      </c>
      <c r="E4" t="n">
        <v>4</v>
      </c>
      <c r="F4" s="17">
        <f>D4*E4</f>
        <v/>
      </c>
      <c r="G4" t="inlineStr">
        <is>
          <t>Revise design package</t>
        </is>
      </c>
      <c r="H4" t="inlineStr">
        <is>
          <t>Architect</t>
        </is>
      </c>
      <c r="I4" t="inlineStr">
        <is>
          <t>Open</t>
        </is>
      </c>
      <c r="J4" t="inlineStr">
        <is>
          <t>PER_003</t>
        </is>
      </c>
      <c r="K4" t="inlineStr">
        <is>
          <t>MAREL.PERMITS.005</t>
        </is>
      </c>
      <c r="L4">
        <f>IF(F4&gt;=12,"High",IF(F4&gt;=6,"Medium","Low"))</f>
        <v/>
      </c>
    </row>
    <row r="5">
      <c r="A5" t="inlineStr">
        <is>
          <t>RSK_004</t>
        </is>
      </c>
      <c r="B5" t="inlineStr">
        <is>
          <t>Infrastructure</t>
        </is>
      </c>
      <c r="C5" t="inlineStr">
        <is>
          <t>Grid reinforcement delay</t>
        </is>
      </c>
      <c r="D5" s="16" t="n">
        <v>0.6</v>
      </c>
      <c r="E5" t="n">
        <v>5</v>
      </c>
      <c r="F5" s="17">
        <f>D5*E5</f>
        <v/>
      </c>
      <c r="G5" t="inlineStr">
        <is>
          <t>Coordinate with DSO early</t>
        </is>
      </c>
      <c r="H5" t="inlineStr">
        <is>
          <t>Electrical</t>
        </is>
      </c>
      <c r="I5" t="inlineStr">
        <is>
          <t>Open</t>
        </is>
      </c>
      <c r="J5" t="inlineStr">
        <is>
          <t>PER_004</t>
        </is>
      </c>
      <c r="K5" t="inlineStr">
        <is>
          <t>MAREL.PERMITS.005</t>
        </is>
      </c>
      <c r="L5">
        <f>IF(F5&gt;=12,"High",IF(F5&gt;=6,"Medium","Low"))</f>
        <v/>
      </c>
    </row>
  </sheetData>
  <dataValidations count="1">
    <dataValidation sqref="I2:I200" showErrorMessage="1" showInputMessage="1" allowBlank="1" type="list">
      <formula1>=09_Data_Validation!$B$2:$B$5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D18E"/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" customWidth="1" min="3" max="3"/>
    <col width="19" customWidth="1" min="4" max="4"/>
    <col width="28" customWidth="1" min="5" max="5"/>
    <col width="2" customWidth="1" min="6" max="6"/>
    <col width="21" customWidth="1" min="7" max="7"/>
    <col width="28" customWidth="1" min="8" max="8"/>
  </cols>
  <sheetData>
    <row r="1">
      <c r="A1" s="2" t="inlineStr">
        <is>
          <t>PROJECT CONTROL DASHBOARD – MAREL HARMONIZED</t>
        </is>
      </c>
    </row>
    <row r="2"/>
    <row r="3">
      <c r="A3" s="3" t="inlineStr">
        <is>
          <t>Permit Progress</t>
        </is>
      </c>
      <c r="D3" s="3" t="inlineStr">
        <is>
          <t>Permit CAPEX</t>
        </is>
      </c>
      <c r="G3" s="3" t="inlineStr">
        <is>
          <t>Readiness &amp; Control</t>
        </is>
      </c>
    </row>
    <row r="4"/>
    <row r="5">
      <c r="A5" t="inlineStr">
        <is>
          <t>Total Permits</t>
        </is>
      </c>
      <c r="B5" s="15">
        <f>COUNTA(02_Permit_Master!A2:A8)</f>
        <v/>
      </c>
      <c r="D5" t="inlineStr">
        <is>
          <t>Base Permit CAPEX</t>
        </is>
      </c>
      <c r="E5" s="11">
        <f>05_Cost_Model!F10</f>
        <v/>
      </c>
      <c r="G5" t="inlineStr">
        <is>
          <t>Readiness Index</t>
        </is>
      </c>
      <c r="H5" s="16">
        <f>14_Commissioning_Readiness!F10</f>
        <v/>
      </c>
    </row>
    <row r="6">
      <c r="A6" t="inlineStr">
        <is>
          <t>Open / Pending</t>
        </is>
      </c>
      <c r="B6" s="15">
        <f>COUNTIF(03_Protocol_Tracker!D2:D8,"&lt;&gt;Approved")</f>
        <v/>
      </c>
      <c r="D6" t="inlineStr">
        <is>
          <t>Contingency</t>
        </is>
      </c>
      <c r="E6" s="11">
        <f>05_Cost_Model!H10</f>
        <v/>
      </c>
      <c r="G6" t="inlineStr">
        <is>
          <t>Threshold</t>
        </is>
      </c>
      <c r="H6" s="16">
        <f>14_Commissioning_Readiness!F11</f>
        <v/>
      </c>
    </row>
    <row r="7">
      <c r="A7" t="inlineStr">
        <is>
          <t>Approved</t>
        </is>
      </c>
      <c r="B7" s="15">
        <f>COUNTIF(03_Protocol_Tracker!D2:D8,"Approved")</f>
        <v/>
      </c>
      <c r="D7" t="inlineStr">
        <is>
          <t>Controlled Total</t>
        </is>
      </c>
      <c r="E7" s="11">
        <f>05_Cost_Model!I10</f>
        <v/>
      </c>
      <c r="G7" t="inlineStr">
        <is>
          <t>Pass / Fail</t>
        </is>
      </c>
      <c r="H7">
        <f>14_Commissioning_Readiness!F12</f>
        <v/>
      </c>
    </row>
    <row r="8">
      <c r="A8" t="inlineStr">
        <is>
          <t>High Risk Items</t>
        </is>
      </c>
      <c r="B8" s="15">
        <f>COUNTIF(06_Risk_Register!F2:F100,"&gt;=12")</f>
        <v/>
      </c>
      <c r="D8" t="inlineStr">
        <is>
          <t>Missing Checks</t>
        </is>
      </c>
      <c r="E8" s="15">
        <f>COUNTIF(08_Error_Check!D2:D100,"RED")</f>
        <v/>
      </c>
      <c r="G8" t="inlineStr">
        <is>
          <t>Overdue Actions</t>
        </is>
      </c>
      <c r="H8" s="15">
        <f>COUNTIF(03_Protocol_Tracker!O2:O200,"YES")</f>
        <v/>
      </c>
    </row>
    <row r="9">
      <c r="G9" t="inlineStr">
        <is>
          <t>Missing Documents</t>
        </is>
      </c>
      <c r="H9" s="15">
        <f>COUNTIF(11_Document_Control!F2:F200,"Missing")</f>
        <v/>
      </c>
    </row>
  </sheetData>
  <conditionalFormatting sqref="H7">
    <cfRule type="expression" priority="1" dxfId="0">
      <formula>H7="PASS"</formula>
    </cfRule>
    <cfRule type="expression" priority="2" dxfId="1">
      <formula>H7="FAIL"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D966"/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2" customWidth="1" min="3" max="3"/>
    <col width="29" customWidth="1" min="4" max="4"/>
    <col width="10" customWidth="1" min="5" max="5"/>
    <col width="19" customWidth="1" min="6" max="6"/>
  </cols>
  <sheetData>
    <row r="1">
      <c r="A1" s="4" t="inlineStr">
        <is>
          <t>Check_ID</t>
        </is>
      </c>
      <c r="B1" s="4" t="inlineStr">
        <is>
          <t>Description</t>
        </is>
      </c>
      <c r="C1" s="4" t="inlineStr">
        <is>
          <t>Result</t>
        </is>
      </c>
      <c r="D1" s="4" t="inlineStr">
        <is>
          <t>Flag</t>
        </is>
      </c>
      <c r="E1" s="4" t="inlineStr">
        <is>
          <t>Severity</t>
        </is>
      </c>
      <c r="F1" s="4" t="inlineStr">
        <is>
          <t>Memory_Tag</t>
        </is>
      </c>
    </row>
    <row r="2">
      <c r="A2" t="inlineStr">
        <is>
          <t>CHK_001</t>
        </is>
      </c>
      <c r="B2" t="inlineStr">
        <is>
          <t>Duplicate Permit IDs</t>
        </is>
      </c>
      <c r="C2">
        <f>IF(COUNTA(02_Permit_Master!A2:A100)=COUNTA(UNIQUE(02_Permit_Master!A2:A100)),"OK","ISSUE")</f>
        <v/>
      </c>
      <c r="D2">
        <f>IF(C2="OK","GREEN","RED")</f>
        <v/>
      </c>
      <c r="E2" t="inlineStr">
        <is>
          <t>Critical</t>
        </is>
      </c>
      <c r="F2" t="inlineStr">
        <is>
          <t>MAREL.PERMITS.006</t>
        </is>
      </c>
    </row>
    <row r="3">
      <c r="A3" t="inlineStr">
        <is>
          <t>CHK_002</t>
        </is>
      </c>
      <c r="B3" t="inlineStr">
        <is>
          <t>Protocol without Permit</t>
        </is>
      </c>
      <c r="C3">
        <f>IF(COUNTIF(02_Permit_Master!A:A,03_Protocol_Tracker!B2)=0,"ISSUE","OK")</f>
        <v/>
      </c>
      <c r="D3">
        <f>IF(C3="OK","GREEN","RED")</f>
        <v/>
      </c>
      <c r="E3" t="inlineStr">
        <is>
          <t>Critical</t>
        </is>
      </c>
      <c r="F3" t="inlineStr">
        <is>
          <t>MAREL.PERMITS.006</t>
        </is>
      </c>
    </row>
    <row r="4">
      <c r="A4" t="inlineStr">
        <is>
          <t>CHK_003</t>
        </is>
      </c>
      <c r="B4" t="inlineStr">
        <is>
          <t>Missing Authority</t>
        </is>
      </c>
      <c r="C4">
        <f>IF(COUNTBLANK(02_Permit_Master!D2:D100)&gt;0,"ISSUE","OK")</f>
        <v/>
      </c>
      <c r="D4">
        <f>IF(C4="OK","GREEN","RED")</f>
        <v/>
      </c>
      <c r="E4" t="inlineStr">
        <is>
          <t>Medium</t>
        </is>
      </c>
      <c r="F4" t="inlineStr">
        <is>
          <t>MAREL.PERMITS.006</t>
        </is>
      </c>
    </row>
    <row r="5">
      <c r="A5" t="inlineStr">
        <is>
          <t>CHK_004</t>
        </is>
      </c>
      <c r="B5" t="inlineStr">
        <is>
          <t>Negative Cost Inputs</t>
        </is>
      </c>
      <c r="C5">
        <f>IF(COUNTIF(02_Permit_Master!G2:J100,"&lt;0")&gt;0,"ISSUE","OK")</f>
        <v/>
      </c>
      <c r="D5">
        <f>IF(C5="OK","GREEN","RED")</f>
        <v/>
      </c>
      <c r="E5" t="inlineStr">
        <is>
          <t>Critical</t>
        </is>
      </c>
      <c r="F5" t="inlineStr">
        <is>
          <t>MAREL.PERMITS.006</t>
        </is>
      </c>
    </row>
    <row r="6">
      <c r="A6" t="inlineStr">
        <is>
          <t>CHK_005</t>
        </is>
      </c>
      <c r="B6" t="inlineStr">
        <is>
          <t>Missing Duration</t>
        </is>
      </c>
      <c r="C6">
        <f>IF(COUNTBLANK(02_Permit_Master!F2:F100)&gt;0,"ISSUE","OK")</f>
        <v/>
      </c>
      <c r="D6">
        <f>IF(C6="OK","GREEN","RED")</f>
        <v/>
      </c>
      <c r="E6" t="inlineStr">
        <is>
          <t>Medium</t>
        </is>
      </c>
      <c r="F6" t="inlineStr">
        <is>
          <t>MAREL.PERMITS.006</t>
        </is>
      </c>
    </row>
    <row r="7">
      <c r="A7" t="inlineStr">
        <is>
          <t>CHK_006</t>
        </is>
      </c>
      <c r="B7" t="inlineStr">
        <is>
          <t>Protocol IDs Missing</t>
        </is>
      </c>
      <c r="C7">
        <f>IF(COUNTBLANK(03_Protocol_Tracker!A2:A100)&gt;0,"ISSUE","OK")</f>
        <v/>
      </c>
      <c r="D7">
        <f>IF(C7="OK","GREEN","RED")</f>
        <v/>
      </c>
      <c r="E7" t="inlineStr">
        <is>
          <t>Low</t>
        </is>
      </c>
      <c r="F7" t="inlineStr">
        <is>
          <t>MAREL.PERMITS.006</t>
        </is>
      </c>
    </row>
    <row r="8">
      <c r="A8" t="inlineStr">
        <is>
          <t>CHK_007</t>
        </is>
      </c>
      <c r="B8" t="inlineStr">
        <is>
          <t>Permit Without Owner</t>
        </is>
      </c>
      <c r="C8">
        <f>IF(COUNTBLANK(02_Permit_Master!M2:M100)&gt;0,"ISSUE","OK")</f>
        <v/>
      </c>
      <c r="D8">
        <f>IF(C8="OK","GREEN","RED")</f>
        <v/>
      </c>
      <c r="E8" t="inlineStr">
        <is>
          <t>Medium</t>
        </is>
      </c>
      <c r="F8" t="inlineStr">
        <is>
          <t>MAREL.PERMITS.006</t>
        </is>
      </c>
    </row>
    <row r="9">
      <c r="A9" t="inlineStr">
        <is>
          <t>CHK_008</t>
        </is>
      </c>
      <c r="B9" t="inlineStr">
        <is>
          <t>Overdue protocol actions</t>
        </is>
      </c>
      <c r="C9">
        <f>IF(COUNTIF(03_Protocol_Tracker!O2:O200,"YES")&gt;0,"ISSUE","OK")</f>
        <v/>
      </c>
      <c r="D9">
        <f>IF(C9="OK","GREEN","RED")</f>
        <v/>
      </c>
      <c r="E9" t="inlineStr">
        <is>
          <t>Critical</t>
        </is>
      </c>
      <c r="F9" t="inlineStr">
        <is>
          <t>MAREL.PERMITS.006</t>
        </is>
      </c>
    </row>
    <row r="10">
      <c r="A10" t="inlineStr">
        <is>
          <t>CHK_009</t>
        </is>
      </c>
      <c r="B10" t="inlineStr">
        <is>
          <t>Missing supporting documents</t>
        </is>
      </c>
      <c r="C10">
        <f>IF(COUNTIF(11_Document_Control!F2:F200,"Missing")&gt;0,"ISSUE","OK")</f>
        <v/>
      </c>
      <c r="D10">
        <f>IF(C10="OK","GREEN","RED")</f>
        <v/>
      </c>
      <c r="E10" t="inlineStr">
        <is>
          <t>Medium</t>
        </is>
      </c>
      <c r="F10" t="inlineStr">
        <is>
          <t>MAREL.PERMITS.006</t>
        </is>
      </c>
    </row>
    <row r="11">
      <c r="A11" t="inlineStr">
        <is>
          <t>CHK_010</t>
        </is>
      </c>
      <c r="B11" t="inlineStr">
        <is>
          <t>High risks open</t>
        </is>
      </c>
      <c r="C11">
        <f>IF(COUNTIFS(06_Risk_Register!L2:L200,"High",06_Risk_Register!I2:I200,"&lt;&gt;Closed")&gt;0,"ISSUE","OK")</f>
        <v/>
      </c>
      <c r="D11">
        <f>IF(C11="OK","GREEN","RED")</f>
        <v/>
      </c>
      <c r="E11" t="inlineStr">
        <is>
          <t>Medium</t>
        </is>
      </c>
      <c r="F11" t="inlineStr">
        <is>
          <t>MAREL.PERMITS.006</t>
        </is>
      </c>
    </row>
    <row r="12">
      <c r="A12" t="inlineStr">
        <is>
          <t>CHK_011</t>
        </is>
      </c>
      <c r="B12" t="inlineStr">
        <is>
          <t>Readiness below threshold</t>
        </is>
      </c>
      <c r="C12">
        <f>IF(14_Commissioning_Readiness!F10&lt;01_Assumptions!D8,"ISSUE","OK")</f>
        <v/>
      </c>
      <c r="D12">
        <f>IF(C12="OK","GREEN","RED")</f>
        <v/>
      </c>
      <c r="E12" t="inlineStr">
        <is>
          <t>Critical</t>
        </is>
      </c>
      <c r="F12" t="inlineStr">
        <is>
          <t>MAREL.PERMITS.006</t>
        </is>
      </c>
    </row>
  </sheetData>
  <conditionalFormatting sqref="D2:D100">
    <cfRule type="expression" priority="1" dxfId="0">
      <formula>D2="GREEN"</formula>
    </cfRule>
    <cfRule type="expression" priority="2" dxfId="1">
      <formula>D2="RED"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7E6E6"/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>
      <c r="A1" s="18" t="inlineStr">
        <is>
          <t>Status_List</t>
        </is>
      </c>
      <c r="B1" s="18" t="inlineStr">
        <is>
          <t>Risk_Status_List</t>
        </is>
      </c>
      <c r="C1" s="18" t="inlineStr">
        <is>
          <t>Update_Status_List</t>
        </is>
      </c>
      <c r="D1" s="18" t="inlineStr">
        <is>
          <t>Gate_Status_List</t>
        </is>
      </c>
    </row>
    <row r="2">
      <c r="A2" t="inlineStr">
        <is>
          <t>Not Started</t>
        </is>
      </c>
      <c r="B2" t="inlineStr">
        <is>
          <t>Open</t>
        </is>
      </c>
      <c r="C2" t="inlineStr">
        <is>
          <t>Pending</t>
        </is>
      </c>
      <c r="D2" t="inlineStr">
        <is>
          <t>Not Started</t>
        </is>
      </c>
    </row>
    <row r="3">
      <c r="A3" t="inlineStr">
        <is>
          <t>In Preparation</t>
        </is>
      </c>
      <c r="B3" t="inlineStr">
        <is>
          <t>Monitoring</t>
        </is>
      </c>
      <c r="C3" t="inlineStr">
        <is>
          <t>Updated</t>
        </is>
      </c>
      <c r="D3" t="inlineStr">
        <is>
          <t>In Progress</t>
        </is>
      </c>
    </row>
    <row r="4">
      <c r="A4" t="inlineStr">
        <is>
          <t>Submitted</t>
        </is>
      </c>
      <c r="B4" t="inlineStr">
        <is>
          <t>Mitigated</t>
        </is>
      </c>
      <c r="C4" t="inlineStr">
        <is>
          <t>Validated</t>
        </is>
      </c>
      <c r="D4" t="inlineStr">
        <is>
          <t>Approved</t>
        </is>
      </c>
    </row>
    <row r="5">
      <c r="A5" t="inlineStr">
        <is>
          <t>Under Review</t>
        </is>
      </c>
      <c r="B5" t="inlineStr">
        <is>
          <t>Closed</t>
        </is>
      </c>
      <c r="C5" t="inlineStr">
        <is>
          <t>Archived</t>
        </is>
      </c>
      <c r="D5" t="inlineStr">
        <is>
          <t>Failed</t>
        </is>
      </c>
    </row>
    <row r="6">
      <c r="A6" t="inlineStr">
        <is>
          <t>Approved</t>
        </is>
      </c>
      <c r="D6" t="inlineStr">
        <is>
          <t>Waived</t>
        </is>
      </c>
    </row>
    <row r="7">
      <c r="A7" t="inlineStr">
        <is>
          <t>Rejected</t>
        </is>
      </c>
    </row>
    <row r="8">
      <c r="A8" t="inlineStr">
        <is>
          <t>Delayed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E6E6"/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56" customWidth="1" min="3" max="3"/>
    <col width="13" customWidth="1" min="4" max="4"/>
    <col width="13" customWidth="1" min="5" max="5"/>
    <col width="17" customWidth="1" min="6" max="6"/>
  </cols>
  <sheetData>
    <row r="1">
      <c r="A1" s="4" t="inlineStr">
        <is>
          <t>Version</t>
        </is>
      </c>
      <c r="B1" s="4" t="inlineStr">
        <is>
          <t>Date</t>
        </is>
      </c>
      <c r="C1" s="4" t="inlineStr">
        <is>
          <t>Change_Summary</t>
        </is>
      </c>
      <c r="D1" s="4" t="inlineStr">
        <is>
          <t>Prepared_By</t>
        </is>
      </c>
      <c r="E1" s="4" t="inlineStr">
        <is>
          <t>Reviewed_By</t>
        </is>
      </c>
      <c r="F1" s="4" t="inlineStr">
        <is>
          <t>Approval_Status</t>
        </is>
      </c>
    </row>
    <row r="2">
      <c r="A2" t="inlineStr">
        <is>
          <t>v3.0</t>
        </is>
      </c>
      <c r="B2" t="inlineStr"/>
      <c r="C2" t="inlineStr">
        <is>
          <t>Base control tower workbook</t>
        </is>
      </c>
      <c r="D2" t="inlineStr"/>
      <c r="E2" t="inlineStr"/>
      <c r="F2" t="inlineStr">
        <is>
          <t>Superseded</t>
        </is>
      </c>
    </row>
    <row r="3">
      <c r="A3" t="inlineStr">
        <is>
          <t>v5.0</t>
        </is>
      </c>
      <c r="B3" t="inlineStr"/>
      <c r="C3" t="inlineStr">
        <is>
          <t>MAREL memory harmonization, CAPEX integration, commissioning readiness, expanded controls</t>
        </is>
      </c>
      <c r="D3" t="inlineStr"/>
      <c r="E3" t="inlineStr"/>
      <c r="F3" t="inlineStr">
        <is>
          <t>Draft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E6E6"/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15" customWidth="1" min="4" max="4"/>
    <col width="10" customWidth="1" min="5" max="5"/>
    <col width="9" customWidth="1" min="6" max="6"/>
    <col width="13" customWidth="1" min="7" max="7"/>
    <col width="15" customWidth="1" min="8" max="8"/>
    <col width="14" customWidth="1" min="9" max="9"/>
    <col width="19" customWidth="1" min="10" max="10"/>
  </cols>
  <sheetData>
    <row r="1">
      <c r="A1" s="4" t="inlineStr">
        <is>
          <t>Doc_ID</t>
        </is>
      </c>
      <c r="B1" s="4" t="inlineStr">
        <is>
          <t>Linked_Permit_ID</t>
        </is>
      </c>
      <c r="C1" s="4" t="inlineStr">
        <is>
          <t>Document_Name</t>
        </is>
      </c>
      <c r="D1" s="4" t="inlineStr">
        <is>
          <t>Owner</t>
        </is>
      </c>
      <c r="E1" s="4" t="inlineStr">
        <is>
          <t>Revision</t>
        </is>
      </c>
      <c r="F1" s="4" t="inlineStr">
        <is>
          <t>Status</t>
        </is>
      </c>
      <c r="G1" s="4" t="inlineStr">
        <is>
          <t>Folder_Path</t>
        </is>
      </c>
      <c r="H1" s="4" t="inlineStr">
        <is>
          <t>Evidence_Type</t>
        </is>
      </c>
      <c r="I1" s="4" t="inlineStr">
        <is>
          <t>Last_Updated</t>
        </is>
      </c>
      <c r="J1" s="4" t="inlineStr">
        <is>
          <t>Memory_Tag</t>
        </is>
      </c>
    </row>
    <row r="2">
      <c r="A2" t="inlineStr">
        <is>
          <t>DOC_001</t>
        </is>
      </c>
      <c r="B2" t="inlineStr">
        <is>
          <t>PER_001</t>
        </is>
      </c>
      <c r="C2" t="inlineStr">
        <is>
          <t>Land ownership package</t>
        </is>
      </c>
      <c r="D2" t="inlineStr">
        <is>
          <t>Legal</t>
        </is>
      </c>
      <c r="E2" t="inlineStr">
        <is>
          <t>A</t>
        </is>
      </c>
      <c r="F2" t="inlineStr">
        <is>
          <t>Missing</t>
        </is>
      </c>
      <c r="G2" t="inlineStr"/>
      <c r="H2" t="inlineStr">
        <is>
          <t>Legal</t>
        </is>
      </c>
      <c r="I2" t="inlineStr"/>
      <c r="J2" t="inlineStr">
        <is>
          <t>MAREL.PERMITS.007</t>
        </is>
      </c>
    </row>
    <row r="3">
      <c r="A3" t="inlineStr">
        <is>
          <t>DOC_002</t>
        </is>
      </c>
      <c r="B3" t="inlineStr">
        <is>
          <t>PER_002</t>
        </is>
      </c>
      <c r="C3" t="inlineStr">
        <is>
          <t>Environmental baseline / EIA study</t>
        </is>
      </c>
      <c r="D3" t="inlineStr">
        <is>
          <t>Environmental</t>
        </is>
      </c>
      <c r="E3" t="inlineStr">
        <is>
          <t>A</t>
        </is>
      </c>
      <c r="F3" t="inlineStr">
        <is>
          <t>Pending</t>
        </is>
      </c>
      <c r="G3" t="inlineStr"/>
      <c r="H3" t="inlineStr">
        <is>
          <t>Technical</t>
        </is>
      </c>
      <c r="I3" t="inlineStr"/>
      <c r="J3" t="inlineStr">
        <is>
          <t>MAREL.PERMITS.007</t>
        </is>
      </c>
    </row>
    <row r="4">
      <c r="A4" t="inlineStr">
        <is>
          <t>DOC_003</t>
        </is>
      </c>
      <c r="B4" t="inlineStr">
        <is>
          <t>PER_003</t>
        </is>
      </c>
      <c r="C4" t="inlineStr">
        <is>
          <t>Main project and revisions</t>
        </is>
      </c>
      <c r="D4" t="inlineStr">
        <is>
          <t>Architect</t>
        </is>
      </c>
      <c r="E4" t="inlineStr">
        <is>
          <t>A</t>
        </is>
      </c>
      <c r="F4" t="inlineStr">
        <is>
          <t>Pending</t>
        </is>
      </c>
      <c r="G4" t="inlineStr"/>
      <c r="H4" t="inlineStr">
        <is>
          <t>Technical</t>
        </is>
      </c>
      <c r="I4" t="inlineStr"/>
      <c r="J4" t="inlineStr">
        <is>
          <t>MAREL.PERMITS.007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7E6E6"/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1" customWidth="1" min="3" max="3"/>
    <col width="19" customWidth="1" min="4" max="4"/>
    <col width="18" customWidth="1" min="5" max="5"/>
    <col width="13" customWidth="1" min="6" max="6"/>
    <col width="13" customWidth="1" min="7" max="7"/>
    <col width="18" customWidth="1" min="8" max="8"/>
    <col width="35" customWidth="1" min="9" max="9"/>
    <col width="8" customWidth="1" min="10" max="10"/>
    <col width="26" customWidth="1" min="11" max="11"/>
  </cols>
  <sheetData>
    <row r="1">
      <c r="A1" s="4" t="inlineStr">
        <is>
          <t>Update_ID</t>
        </is>
      </c>
      <c r="B1" s="4" t="inlineStr">
        <is>
          <t>Module</t>
        </is>
      </c>
      <c r="C1" s="4" t="inlineStr">
        <is>
          <t>Source_Sheet</t>
        </is>
      </c>
      <c r="D1" s="4" t="inlineStr">
        <is>
          <t>Control_Owner</t>
        </is>
      </c>
      <c r="E1" s="4" t="inlineStr">
        <is>
          <t>Update_Frequency</t>
        </is>
      </c>
      <c r="F1" s="4" t="inlineStr">
        <is>
          <t>Last_Update</t>
        </is>
      </c>
      <c r="G1" s="4" t="inlineStr">
        <is>
          <t>Next_Update</t>
        </is>
      </c>
      <c r="H1" s="4" t="inlineStr">
        <is>
          <t>Validation_Check</t>
        </is>
      </c>
      <c r="I1" s="4" t="inlineStr">
        <is>
          <t>Escalation_Rule</t>
        </is>
      </c>
      <c r="J1" s="4" t="inlineStr">
        <is>
          <t>Status</t>
        </is>
      </c>
      <c r="K1" s="4" t="inlineStr">
        <is>
          <t>Comment</t>
        </is>
      </c>
    </row>
    <row r="2">
      <c r="A2" t="inlineStr">
        <is>
          <t>UPD_001</t>
        </is>
      </c>
      <c r="B2" t="inlineStr">
        <is>
          <t>Permit Master</t>
        </is>
      </c>
      <c r="C2" t="inlineStr">
        <is>
          <t>02_Permit_Master</t>
        </is>
      </c>
      <c r="D2" t="inlineStr">
        <is>
          <t>PMO / Legal</t>
        </is>
      </c>
      <c r="E2" t="inlineStr">
        <is>
          <t>Weekly</t>
        </is>
      </c>
      <c r="F2" t="inlineStr"/>
      <c r="G2" t="inlineStr"/>
      <c r="H2" t="inlineStr">
        <is>
          <t>08_Error_Check</t>
        </is>
      </c>
      <c r="I2" t="inlineStr">
        <is>
          <t>Escalate after 7 days overdue</t>
        </is>
      </c>
      <c r="J2" t="inlineStr">
        <is>
          <t>Active</t>
        </is>
      </c>
      <c r="K2" t="inlineStr">
        <is>
          <t>Canonical source refresh</t>
        </is>
      </c>
    </row>
    <row r="3">
      <c r="A3" t="inlineStr">
        <is>
          <t>UPD_002</t>
        </is>
      </c>
      <c r="B3" t="inlineStr">
        <is>
          <t>Protocol Tracker</t>
        </is>
      </c>
      <c r="C3" t="inlineStr">
        <is>
          <t>03_Protocol_Tracker</t>
        </is>
      </c>
      <c r="D3" t="inlineStr">
        <is>
          <t>PMO</t>
        </is>
      </c>
      <c r="E3" t="inlineStr">
        <is>
          <t>Weekly</t>
        </is>
      </c>
      <c r="F3" t="inlineStr"/>
      <c r="G3" t="inlineStr"/>
      <c r="H3" t="inlineStr">
        <is>
          <t>08_Error_Check</t>
        </is>
      </c>
      <c r="I3" t="inlineStr">
        <is>
          <t>Escalate after missed action date</t>
        </is>
      </c>
      <c r="J3" t="inlineStr">
        <is>
          <t>Active</t>
        </is>
      </c>
      <c r="K3" t="inlineStr">
        <is>
          <t>Execution meeting update</t>
        </is>
      </c>
    </row>
    <row r="4">
      <c r="A4" t="inlineStr">
        <is>
          <t>UPD_003</t>
        </is>
      </c>
      <c r="B4" t="inlineStr">
        <is>
          <t>Timeline</t>
        </is>
      </c>
      <c r="C4" t="inlineStr">
        <is>
          <t>04_Timeline_Model</t>
        </is>
      </c>
      <c r="D4" t="inlineStr">
        <is>
          <t>PMO / Engineering</t>
        </is>
      </c>
      <c r="E4" t="inlineStr">
        <is>
          <t>Weekly</t>
        </is>
      </c>
      <c r="F4" t="inlineStr"/>
      <c r="G4" t="inlineStr"/>
      <c r="H4" t="inlineStr">
        <is>
          <t>08_Error_Check</t>
        </is>
      </c>
      <c r="I4" t="inlineStr">
        <is>
          <t>Escalate if critical path slips</t>
        </is>
      </c>
      <c r="J4" t="inlineStr">
        <is>
          <t>Active</t>
        </is>
      </c>
      <c r="K4" t="inlineStr">
        <is>
          <t>Schedule refresh</t>
        </is>
      </c>
    </row>
    <row r="5">
      <c r="A5" t="inlineStr">
        <is>
          <t>UPD_004</t>
        </is>
      </c>
      <c r="B5" t="inlineStr">
        <is>
          <t>Cost Model</t>
        </is>
      </c>
      <c r="C5" t="inlineStr">
        <is>
          <t>05_Cost_Model</t>
        </is>
      </c>
      <c r="D5" t="inlineStr">
        <is>
          <t>Finance</t>
        </is>
      </c>
      <c r="E5" t="inlineStr">
        <is>
          <t>Monthly</t>
        </is>
      </c>
      <c r="F5" t="inlineStr"/>
      <c r="G5" t="inlineStr"/>
      <c r="H5" t="inlineStr">
        <is>
          <t>08_Error_Check</t>
        </is>
      </c>
      <c r="I5" t="inlineStr">
        <is>
          <t>Escalate on budget overrun</t>
        </is>
      </c>
      <c r="J5" t="inlineStr">
        <is>
          <t>Active</t>
        </is>
      </c>
      <c r="K5" t="inlineStr">
        <is>
          <t>Budget refresh</t>
        </is>
      </c>
    </row>
    <row r="6">
      <c r="A6" t="inlineStr">
        <is>
          <t>UPD_005</t>
        </is>
      </c>
      <c r="B6" t="inlineStr">
        <is>
          <t>Document Control</t>
        </is>
      </c>
      <c r="C6" t="inlineStr">
        <is>
          <t>11_Document_Control</t>
        </is>
      </c>
      <c r="D6" t="inlineStr">
        <is>
          <t>Document Control</t>
        </is>
      </c>
      <c r="E6" t="inlineStr">
        <is>
          <t>Weekly</t>
        </is>
      </c>
      <c r="F6" t="inlineStr"/>
      <c r="G6" t="inlineStr"/>
      <c r="H6" t="inlineStr">
        <is>
          <t>08_Error_Check</t>
        </is>
      </c>
      <c r="I6" t="inlineStr">
        <is>
          <t>Escalate missing evidence</t>
        </is>
      </c>
      <c r="J6" t="inlineStr">
        <is>
          <t>Active</t>
        </is>
      </c>
      <c r="K6" t="inlineStr">
        <is>
          <t>Evidence pack refresh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2026-03-13T10:31:30Z</dcterms:created>
  <dcterms:modified xmlns:dcterms="http://purl.org/dc/terms/" xmlns:xsi="http://www.w3.org/2001/XMLSchema-instance" xsi:type="dcterms:W3CDTF">2026-03-13T10:31:30Z</dcterms:modified>
</cp:coreProperties>
</file>