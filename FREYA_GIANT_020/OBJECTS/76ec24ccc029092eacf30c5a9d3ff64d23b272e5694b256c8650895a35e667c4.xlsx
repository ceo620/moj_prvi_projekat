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showInkAnnotation="0"/>
  <xr:revisionPtr revIDLastSave="0" documentId="8_{96A7871A-B9E5-DD4A-99BA-ED622E4AF3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umptions" sheetId="1" r:id="rId1"/>
    <sheet name="Scenario_Manager" sheetId="2" r:id="rId2"/>
    <sheet name="Production_Drivers" sheetId="3" r:id="rId3"/>
    <sheet name="Sales_Drivers" sheetId="4" r:id="rId4"/>
    <sheet name="Cost_Drivers" sheetId="5" r:id="rId5"/>
    <sheet name="CAPEX_Drivers" sheetId="6" r:id="rId6"/>
    <sheet name="Funding_Drivers" sheetId="7" r:id="rId7"/>
    <sheet name="Automation_Hub" sheetId="8" r:id="rId8"/>
    <sheet name="Dashboard_2.0" sheetId="9" r:id="rId9"/>
    <sheet name="CAPEX_Scurve" sheetId="10" r:id="rId10"/>
    <sheet name="Funding_Draw" sheetId="11" r:id="rId11"/>
    <sheet name="IDC" sheetId="12" r:id="rId12"/>
    <sheet name="Debt_Sculpt" sheetId="13" r:id="rId13"/>
    <sheet name="Financials" sheetId="14" r:id="rId14"/>
    <sheet name="DSCR" sheetId="15" r:id="rId15"/>
    <sheet name="NPV_IRR" sheetId="16" r:id="rId16"/>
    <sheet name="Sensitivity" sheetId="17" r:id="rId17"/>
    <sheet name="Dashboard" sheetId="18" r:id="rId18"/>
    <sheet name="Sources_Uses" sheetId="19" r:id="rId19"/>
    <sheet name="DSRA" sheetId="20" r:id="rId20"/>
    <sheet name="Covenants" sheetId="21" r:id="rId21"/>
    <sheet name="Monte_Carlo" sheetId="22" r:id="rId22"/>
    <sheet name="Sensitivity_Tornado" sheetId="23" r:id="rId23"/>
    <sheet name="Bank_Pack" sheetId="24" r:id="rId24"/>
    <sheet name="CFADS_Module" sheetId="25" r:id="rId25"/>
    <sheet name="Debt_Sculpt_DSCR" sheetId="26" r:id="rId26"/>
    <sheet name="S_Curve_Drawdown" sheetId="27" r:id="rId27"/>
    <sheet name="LLCR_PLCR" sheetId="28" r:id="rId28"/>
    <sheet name="Equity_Waterfall" sheetId="29" r:id="rId29"/>
    <sheet name="Credit_Committee_Pack" sheetId="30" r:id="rId30"/>
    <sheet name="CAPEX_Master" sheetId="31" r:id="rId31"/>
  </sheets>
  <definedNames>
    <definedName name="_xlnm._FilterDatabase" localSheetId="30" hidden="1">CAPEX_Master!$A$1:$M$127</definedName>
  </definedNames>
  <calcPr calcId="0" fullCalcOnLoad="1" calcCompleted="0"/>
</workbook>
</file>

<file path=xl/calcChain.xml><?xml version="1.0" encoding="utf-8"?>
<calcChain xmlns="http://schemas.openxmlformats.org/spreadsheetml/2006/main">
  <c r="D215" i="22" l="1"/>
  <c r="C215" i="22"/>
  <c r="B215" i="22"/>
  <c r="D214" i="22"/>
  <c r="C214" i="22"/>
  <c r="B214" i="22"/>
  <c r="H209" i="22"/>
  <c r="G209" i="22"/>
  <c r="F209" i="22"/>
  <c r="E209" i="22"/>
  <c r="D209" i="22"/>
  <c r="C209" i="22"/>
  <c r="B209" i="22"/>
  <c r="H208" i="22"/>
  <c r="G208" i="22"/>
  <c r="F208" i="22"/>
  <c r="E208" i="22"/>
  <c r="D208" i="22"/>
  <c r="C208" i="22"/>
  <c r="B208" i="22"/>
  <c r="H207" i="22"/>
  <c r="G207" i="22"/>
  <c r="F207" i="22"/>
  <c r="E207" i="22"/>
  <c r="D207" i="22"/>
  <c r="C207" i="22"/>
  <c r="B207" i="22"/>
  <c r="H206" i="22"/>
  <c r="G206" i="22"/>
  <c r="F206" i="22"/>
  <c r="E206" i="22"/>
  <c r="D206" i="22"/>
  <c r="C206" i="22"/>
  <c r="B206" i="22"/>
  <c r="H205" i="22"/>
  <c r="G205" i="22"/>
  <c r="F205" i="22"/>
  <c r="E205" i="22"/>
  <c r="D205" i="22"/>
  <c r="C205" i="22"/>
  <c r="B205" i="22"/>
  <c r="H204" i="22"/>
  <c r="G204" i="22"/>
  <c r="F204" i="22"/>
  <c r="E204" i="22"/>
  <c r="D204" i="22"/>
  <c r="C204" i="22"/>
  <c r="B204" i="22"/>
  <c r="H203" i="22"/>
  <c r="G203" i="22"/>
  <c r="F203" i="22"/>
  <c r="E203" i="22"/>
  <c r="D203" i="22"/>
  <c r="C203" i="22"/>
  <c r="B203" i="22"/>
  <c r="H202" i="22"/>
  <c r="G202" i="22"/>
  <c r="F202" i="22"/>
  <c r="E202" i="22"/>
  <c r="D202" i="22"/>
  <c r="C202" i="22"/>
  <c r="B202" i="22"/>
  <c r="H201" i="22"/>
  <c r="G201" i="22"/>
  <c r="F201" i="22"/>
  <c r="E201" i="22"/>
  <c r="D201" i="22"/>
  <c r="C201" i="22"/>
  <c r="B201" i="22"/>
  <c r="H200" i="22"/>
  <c r="G200" i="22"/>
  <c r="F200" i="22"/>
  <c r="E200" i="22"/>
  <c r="D200" i="22"/>
  <c r="C200" i="22"/>
  <c r="B200" i="22"/>
  <c r="H199" i="22"/>
  <c r="G199" i="22"/>
  <c r="F199" i="22"/>
  <c r="E199" i="22"/>
  <c r="D199" i="22"/>
  <c r="C199" i="22"/>
  <c r="B199" i="22"/>
  <c r="H198" i="22"/>
  <c r="G198" i="22"/>
  <c r="F198" i="22"/>
  <c r="E198" i="22"/>
  <c r="D198" i="22"/>
  <c r="C198" i="22"/>
  <c r="B198" i="22"/>
  <c r="H197" i="22"/>
  <c r="G197" i="22"/>
  <c r="F197" i="22"/>
  <c r="E197" i="22"/>
  <c r="D197" i="22"/>
  <c r="C197" i="22"/>
  <c r="B197" i="22"/>
  <c r="H196" i="22"/>
  <c r="G196" i="22"/>
  <c r="F196" i="22"/>
  <c r="E196" i="22"/>
  <c r="D196" i="22"/>
  <c r="C196" i="22"/>
  <c r="B196" i="22"/>
  <c r="H195" i="22"/>
  <c r="G195" i="22"/>
  <c r="F195" i="22"/>
  <c r="E195" i="22"/>
  <c r="D195" i="22"/>
  <c r="C195" i="22"/>
  <c r="B195" i="22"/>
  <c r="H194" i="22"/>
  <c r="G194" i="22"/>
  <c r="F194" i="22"/>
  <c r="E194" i="22"/>
  <c r="D194" i="22"/>
  <c r="C194" i="22"/>
  <c r="B194" i="22"/>
  <c r="H193" i="22"/>
  <c r="G193" i="22"/>
  <c r="F193" i="22"/>
  <c r="E193" i="22"/>
  <c r="D193" i="22"/>
  <c r="C193" i="22"/>
  <c r="B193" i="22"/>
  <c r="H192" i="22"/>
  <c r="G192" i="22"/>
  <c r="F192" i="22"/>
  <c r="E192" i="22"/>
  <c r="D192" i="22"/>
  <c r="C192" i="22"/>
  <c r="B192" i="22"/>
  <c r="H191" i="22"/>
  <c r="G191" i="22"/>
  <c r="F191" i="22"/>
  <c r="E191" i="22"/>
  <c r="D191" i="22"/>
  <c r="C191" i="22"/>
  <c r="B191" i="22"/>
  <c r="H190" i="22"/>
  <c r="G190" i="22"/>
  <c r="F190" i="22"/>
  <c r="E190" i="22"/>
  <c r="D190" i="22"/>
  <c r="C190" i="22"/>
  <c r="B190" i="22"/>
  <c r="H189" i="22"/>
  <c r="G189" i="22"/>
  <c r="F189" i="22"/>
  <c r="E189" i="22"/>
  <c r="D189" i="22"/>
  <c r="C189" i="22"/>
  <c r="B189" i="22"/>
  <c r="H188" i="22"/>
  <c r="G188" i="22"/>
  <c r="F188" i="22"/>
  <c r="E188" i="22"/>
  <c r="D188" i="22"/>
  <c r="C188" i="22"/>
  <c r="B188" i="22"/>
  <c r="H187" i="22"/>
  <c r="G187" i="22"/>
  <c r="F187" i="22"/>
  <c r="E187" i="22"/>
  <c r="D187" i="22"/>
  <c r="C187" i="22"/>
  <c r="B187" i="22"/>
  <c r="H186" i="22"/>
  <c r="G186" i="22"/>
  <c r="F186" i="22"/>
  <c r="E186" i="22"/>
  <c r="D186" i="22"/>
  <c r="C186" i="22"/>
  <c r="B186" i="22"/>
  <c r="H185" i="22"/>
  <c r="G185" i="22"/>
  <c r="F185" i="22"/>
  <c r="E185" i="22"/>
  <c r="D185" i="22"/>
  <c r="C185" i="22"/>
  <c r="B185" i="22"/>
  <c r="H184" i="22"/>
  <c r="G184" i="22"/>
  <c r="F184" i="22"/>
  <c r="E184" i="22"/>
  <c r="D184" i="22"/>
  <c r="C184" i="22"/>
  <c r="B184" i="22"/>
  <c r="H183" i="22"/>
  <c r="G183" i="22"/>
  <c r="F183" i="22"/>
  <c r="E183" i="22"/>
  <c r="D183" i="22"/>
  <c r="C183" i="22"/>
  <c r="B183" i="22"/>
  <c r="H182" i="22"/>
  <c r="G182" i="22"/>
  <c r="F182" i="22"/>
  <c r="E182" i="22"/>
  <c r="D182" i="22"/>
  <c r="C182" i="22"/>
  <c r="B182" i="22"/>
  <c r="H181" i="22"/>
  <c r="G181" i="22"/>
  <c r="F181" i="22"/>
  <c r="E181" i="22"/>
  <c r="D181" i="22"/>
  <c r="C181" i="22"/>
  <c r="B181" i="22"/>
  <c r="H180" i="22"/>
  <c r="G180" i="22"/>
  <c r="F180" i="22"/>
  <c r="E180" i="22"/>
  <c r="D180" i="22"/>
  <c r="C180" i="22"/>
  <c r="B180" i="22"/>
  <c r="H179" i="22"/>
  <c r="G179" i="22"/>
  <c r="F179" i="22"/>
  <c r="E179" i="22"/>
  <c r="D179" i="22"/>
  <c r="C179" i="22"/>
  <c r="B179" i="22"/>
  <c r="H178" i="22"/>
  <c r="G178" i="22"/>
  <c r="F178" i="22"/>
  <c r="E178" i="22"/>
  <c r="D178" i="22"/>
  <c r="C178" i="22"/>
  <c r="B178" i="22"/>
  <c r="H177" i="22"/>
  <c r="G177" i="22"/>
  <c r="F177" i="22"/>
  <c r="E177" i="22"/>
  <c r="D177" i="22"/>
  <c r="C177" i="22"/>
  <c r="B177" i="22"/>
  <c r="H176" i="22"/>
  <c r="G176" i="22"/>
  <c r="F176" i="22"/>
  <c r="E176" i="22"/>
  <c r="D176" i="22"/>
  <c r="C176" i="22"/>
  <c r="B176" i="22"/>
  <c r="H175" i="22"/>
  <c r="G175" i="22"/>
  <c r="F175" i="22"/>
  <c r="E175" i="22"/>
  <c r="D175" i="22"/>
  <c r="C175" i="22"/>
  <c r="B175" i="22"/>
  <c r="H174" i="22"/>
  <c r="G174" i="22"/>
  <c r="F174" i="22"/>
  <c r="E174" i="22"/>
  <c r="D174" i="22"/>
  <c r="C174" i="22"/>
  <c r="B174" i="22"/>
  <c r="H173" i="22"/>
  <c r="G173" i="22"/>
  <c r="F173" i="22"/>
  <c r="E173" i="22"/>
  <c r="D173" i="22"/>
  <c r="C173" i="22"/>
  <c r="B173" i="22"/>
  <c r="H172" i="22"/>
  <c r="G172" i="22"/>
  <c r="F172" i="22"/>
  <c r="E172" i="22"/>
  <c r="D172" i="22"/>
  <c r="C172" i="22"/>
  <c r="B172" i="22"/>
  <c r="H171" i="22"/>
  <c r="G171" i="22"/>
  <c r="F171" i="22"/>
  <c r="E171" i="22"/>
  <c r="D171" i="22"/>
  <c r="C171" i="22"/>
  <c r="B171" i="22"/>
  <c r="H170" i="22"/>
  <c r="G170" i="22"/>
  <c r="F170" i="22"/>
  <c r="E170" i="22"/>
  <c r="D170" i="22"/>
  <c r="C170" i="22"/>
  <c r="B170" i="22"/>
  <c r="H169" i="22"/>
  <c r="G169" i="22"/>
  <c r="F169" i="22"/>
  <c r="E169" i="22"/>
  <c r="D169" i="22"/>
  <c r="C169" i="22"/>
  <c r="B169" i="22"/>
  <c r="H168" i="22"/>
  <c r="G168" i="22"/>
  <c r="F168" i="22"/>
  <c r="E168" i="22"/>
  <c r="D168" i="22"/>
  <c r="C168" i="22"/>
  <c r="B168" i="22"/>
  <c r="H167" i="22"/>
  <c r="G167" i="22"/>
  <c r="F167" i="22"/>
  <c r="E167" i="22"/>
  <c r="D167" i="22"/>
  <c r="C167" i="22"/>
  <c r="B167" i="22"/>
  <c r="H166" i="22"/>
  <c r="G166" i="22"/>
  <c r="F166" i="22"/>
  <c r="E166" i="22"/>
  <c r="D166" i="22"/>
  <c r="C166" i="22"/>
  <c r="B166" i="22"/>
  <c r="H165" i="22"/>
  <c r="G165" i="22"/>
  <c r="F165" i="22"/>
  <c r="E165" i="22"/>
  <c r="D165" i="22"/>
  <c r="C165" i="22"/>
  <c r="B165" i="22"/>
  <c r="H164" i="22"/>
  <c r="G164" i="22"/>
  <c r="F164" i="22"/>
  <c r="E164" i="22"/>
  <c r="D164" i="22"/>
  <c r="C164" i="22"/>
  <c r="B164" i="22"/>
  <c r="H163" i="22"/>
  <c r="G163" i="22"/>
  <c r="F163" i="22"/>
  <c r="E163" i="22"/>
  <c r="D163" i="22"/>
  <c r="C163" i="22"/>
  <c r="B163" i="22"/>
  <c r="H162" i="22"/>
  <c r="G162" i="22"/>
  <c r="F162" i="22"/>
  <c r="E162" i="22"/>
  <c r="D162" i="22"/>
  <c r="C162" i="22"/>
  <c r="B162" i="22"/>
  <c r="H161" i="22"/>
  <c r="G161" i="22"/>
  <c r="F161" i="22"/>
  <c r="E161" i="22"/>
  <c r="D161" i="22"/>
  <c r="C161" i="22"/>
  <c r="B161" i="22"/>
  <c r="H160" i="22"/>
  <c r="G160" i="22"/>
  <c r="F160" i="22"/>
  <c r="E160" i="22"/>
  <c r="D160" i="22"/>
  <c r="C160" i="22"/>
  <c r="B160" i="22"/>
  <c r="H159" i="22"/>
  <c r="G159" i="22"/>
  <c r="F159" i="22"/>
  <c r="E159" i="22"/>
  <c r="D159" i="22"/>
  <c r="C159" i="22"/>
  <c r="B159" i="22"/>
  <c r="H158" i="22"/>
  <c r="G158" i="22"/>
  <c r="F158" i="22"/>
  <c r="E158" i="22"/>
  <c r="D158" i="22"/>
  <c r="C158" i="22"/>
  <c r="B158" i="22"/>
  <c r="H157" i="22"/>
  <c r="G157" i="22"/>
  <c r="F157" i="22"/>
  <c r="E157" i="22"/>
  <c r="D157" i="22"/>
  <c r="C157" i="22"/>
  <c r="B157" i="22"/>
  <c r="H156" i="22"/>
  <c r="G156" i="22"/>
  <c r="F156" i="22"/>
  <c r="E156" i="22"/>
  <c r="D156" i="22"/>
  <c r="C156" i="22"/>
  <c r="B156" i="22"/>
  <c r="H155" i="22"/>
  <c r="G155" i="22"/>
  <c r="F155" i="22"/>
  <c r="E155" i="22"/>
  <c r="D155" i="22"/>
  <c r="C155" i="22"/>
  <c r="B155" i="22"/>
  <c r="H154" i="22"/>
  <c r="G154" i="22"/>
  <c r="F154" i="22"/>
  <c r="E154" i="22"/>
  <c r="D154" i="22"/>
  <c r="C154" i="22"/>
  <c r="B154" i="22"/>
  <c r="H153" i="22"/>
  <c r="G153" i="22"/>
  <c r="F153" i="22"/>
  <c r="E153" i="22"/>
  <c r="D153" i="22"/>
  <c r="C153" i="22"/>
  <c r="B153" i="22"/>
  <c r="H152" i="22"/>
  <c r="G152" i="22"/>
  <c r="F152" i="22"/>
  <c r="E152" i="22"/>
  <c r="D152" i="22"/>
  <c r="C152" i="22"/>
  <c r="B152" i="22"/>
  <c r="H151" i="22"/>
  <c r="G151" i="22"/>
  <c r="F151" i="22"/>
  <c r="E151" i="22"/>
  <c r="D151" i="22"/>
  <c r="C151" i="22"/>
  <c r="B151" i="22"/>
  <c r="H150" i="22"/>
  <c r="G150" i="22"/>
  <c r="F150" i="22"/>
  <c r="E150" i="22"/>
  <c r="D150" i="22"/>
  <c r="C150" i="22"/>
  <c r="B150" i="22"/>
  <c r="H149" i="22"/>
  <c r="G149" i="22"/>
  <c r="F149" i="22"/>
  <c r="E149" i="22"/>
  <c r="D149" i="22"/>
  <c r="C149" i="22"/>
  <c r="B149" i="22"/>
  <c r="H148" i="22"/>
  <c r="G148" i="22"/>
  <c r="F148" i="22"/>
  <c r="E148" i="22"/>
  <c r="D148" i="22"/>
  <c r="C148" i="22"/>
  <c r="B148" i="22"/>
  <c r="H147" i="22"/>
  <c r="G147" i="22"/>
  <c r="F147" i="22"/>
  <c r="E147" i="22"/>
  <c r="D147" i="22"/>
  <c r="C147" i="22"/>
  <c r="B147" i="22"/>
  <c r="H146" i="22"/>
  <c r="G146" i="22"/>
  <c r="F146" i="22"/>
  <c r="E146" i="22"/>
  <c r="D146" i="22"/>
  <c r="C146" i="22"/>
  <c r="B146" i="22"/>
  <c r="H145" i="22"/>
  <c r="G145" i="22"/>
  <c r="F145" i="22"/>
  <c r="E145" i="22"/>
  <c r="D145" i="22"/>
  <c r="C145" i="22"/>
  <c r="B145" i="22"/>
  <c r="H144" i="22"/>
  <c r="G144" i="22"/>
  <c r="F144" i="22"/>
  <c r="E144" i="22"/>
  <c r="D144" i="22"/>
  <c r="C144" i="22"/>
  <c r="B144" i="22"/>
  <c r="H143" i="22"/>
  <c r="G143" i="22"/>
  <c r="F143" i="22"/>
  <c r="E143" i="22"/>
  <c r="D143" i="22"/>
  <c r="C143" i="22"/>
  <c r="B143" i="22"/>
  <c r="H142" i="22"/>
  <c r="G142" i="22"/>
  <c r="F142" i="22"/>
  <c r="E142" i="22"/>
  <c r="D142" i="22"/>
  <c r="C142" i="22"/>
  <c r="B142" i="22"/>
  <c r="H141" i="22"/>
  <c r="G141" i="22"/>
  <c r="F141" i="22"/>
  <c r="E141" i="22"/>
  <c r="D141" i="22"/>
  <c r="C141" i="22"/>
  <c r="B141" i="22"/>
  <c r="H140" i="22"/>
  <c r="G140" i="22"/>
  <c r="F140" i="22"/>
  <c r="E140" i="22"/>
  <c r="D140" i="22"/>
  <c r="C140" i="22"/>
  <c r="B140" i="22"/>
  <c r="H139" i="22"/>
  <c r="G139" i="22"/>
  <c r="F139" i="22"/>
  <c r="E139" i="22"/>
  <c r="D139" i="22"/>
  <c r="C139" i="22"/>
  <c r="B139" i="22"/>
  <c r="H138" i="22"/>
  <c r="G138" i="22"/>
  <c r="F138" i="22"/>
  <c r="E138" i="22"/>
  <c r="D138" i="22"/>
  <c r="C138" i="22"/>
  <c r="B138" i="22"/>
  <c r="H137" i="22"/>
  <c r="G137" i="22"/>
  <c r="F137" i="22"/>
  <c r="E137" i="22"/>
  <c r="D137" i="22"/>
  <c r="C137" i="22"/>
  <c r="B137" i="22"/>
  <c r="H136" i="22"/>
  <c r="G136" i="22"/>
  <c r="F136" i="22"/>
  <c r="E136" i="22"/>
  <c r="D136" i="22"/>
  <c r="C136" i="22"/>
  <c r="B136" i="22"/>
  <c r="H135" i="22"/>
  <c r="G135" i="22"/>
  <c r="F135" i="22"/>
  <c r="E135" i="22"/>
  <c r="D135" i="22"/>
  <c r="C135" i="22"/>
  <c r="B135" i="22"/>
  <c r="H134" i="22"/>
  <c r="G134" i="22"/>
  <c r="F134" i="22"/>
  <c r="E134" i="22"/>
  <c r="D134" i="22"/>
  <c r="C134" i="22"/>
  <c r="B134" i="22"/>
  <c r="H133" i="22"/>
  <c r="G133" i="22"/>
  <c r="F133" i="22"/>
  <c r="E133" i="22"/>
  <c r="D133" i="22"/>
  <c r="C133" i="22"/>
  <c r="B133" i="22"/>
  <c r="H132" i="22"/>
  <c r="G132" i="22"/>
  <c r="F132" i="22"/>
  <c r="E132" i="22"/>
  <c r="D132" i="22"/>
  <c r="C132" i="22"/>
  <c r="B132" i="22"/>
  <c r="H131" i="22"/>
  <c r="G131" i="22"/>
  <c r="F131" i="22"/>
  <c r="E131" i="22"/>
  <c r="D131" i="22"/>
  <c r="C131" i="22"/>
  <c r="B131" i="22"/>
  <c r="H130" i="22"/>
  <c r="G130" i="22"/>
  <c r="F130" i="22"/>
  <c r="E130" i="22"/>
  <c r="D130" i="22"/>
  <c r="C130" i="22"/>
  <c r="B130" i="22"/>
  <c r="H129" i="22"/>
  <c r="G129" i="22"/>
  <c r="F129" i="22"/>
  <c r="E129" i="22"/>
  <c r="D129" i="22"/>
  <c r="C129" i="22"/>
  <c r="B129" i="22"/>
  <c r="H128" i="22"/>
  <c r="G128" i="22"/>
  <c r="F128" i="22"/>
  <c r="E128" i="22"/>
  <c r="D128" i="22"/>
  <c r="C128" i="22"/>
  <c r="B128" i="22"/>
  <c r="H127" i="22"/>
  <c r="G127" i="22"/>
  <c r="F127" i="22"/>
  <c r="E127" i="22"/>
  <c r="D127" i="22"/>
  <c r="C127" i="22"/>
  <c r="B127" i="22"/>
  <c r="H126" i="22"/>
  <c r="G126" i="22"/>
  <c r="F126" i="22"/>
  <c r="E126" i="22"/>
  <c r="D126" i="22"/>
  <c r="C126" i="22"/>
  <c r="B126" i="22"/>
  <c r="H125" i="22"/>
  <c r="G125" i="22"/>
  <c r="F125" i="22"/>
  <c r="E125" i="22"/>
  <c r="D125" i="22"/>
  <c r="C125" i="22"/>
  <c r="B125" i="22"/>
  <c r="H124" i="22"/>
  <c r="G124" i="22"/>
  <c r="F124" i="22"/>
  <c r="E124" i="22"/>
  <c r="D124" i="22"/>
  <c r="C124" i="22"/>
  <c r="B124" i="22"/>
  <c r="H123" i="22"/>
  <c r="G123" i="22"/>
  <c r="F123" i="22"/>
  <c r="E123" i="22"/>
  <c r="D123" i="22"/>
  <c r="C123" i="22"/>
  <c r="B123" i="22"/>
  <c r="H122" i="22"/>
  <c r="G122" i="22"/>
  <c r="F122" i="22"/>
  <c r="E122" i="22"/>
  <c r="D122" i="22"/>
  <c r="C122" i="22"/>
  <c r="B122" i="22"/>
  <c r="H121" i="22"/>
  <c r="G121" i="22"/>
  <c r="F121" i="22"/>
  <c r="E121" i="22"/>
  <c r="D121" i="22"/>
  <c r="C121" i="22"/>
  <c r="B121" i="22"/>
  <c r="H120" i="22"/>
  <c r="G120" i="22"/>
  <c r="F120" i="22"/>
  <c r="E120" i="22"/>
  <c r="D120" i="22"/>
  <c r="C120" i="22"/>
  <c r="B120" i="22"/>
  <c r="H119" i="22"/>
  <c r="G119" i="22"/>
  <c r="F119" i="22"/>
  <c r="E119" i="22"/>
  <c r="D119" i="22"/>
  <c r="C119" i="22"/>
  <c r="B119" i="22"/>
  <c r="H118" i="22"/>
  <c r="G118" i="22"/>
  <c r="F118" i="22"/>
  <c r="E118" i="22"/>
  <c r="D118" i="22"/>
  <c r="C118" i="22"/>
  <c r="B118" i="22"/>
  <c r="H117" i="22"/>
  <c r="G117" i="22"/>
  <c r="F117" i="22"/>
  <c r="E117" i="22"/>
  <c r="D117" i="22"/>
  <c r="C117" i="22"/>
  <c r="B117" i="22"/>
  <c r="H116" i="22"/>
  <c r="G116" i="22"/>
  <c r="F116" i="22"/>
  <c r="E116" i="22"/>
  <c r="D116" i="22"/>
  <c r="C116" i="22"/>
  <c r="B116" i="22"/>
  <c r="H115" i="22"/>
  <c r="G115" i="22"/>
  <c r="F115" i="22"/>
  <c r="E115" i="22"/>
  <c r="D115" i="22"/>
  <c r="C115" i="22"/>
  <c r="B115" i="22"/>
  <c r="H114" i="22"/>
  <c r="G114" i="22"/>
  <c r="F114" i="22"/>
  <c r="E114" i="22"/>
  <c r="D114" i="22"/>
  <c r="C114" i="22"/>
  <c r="B114" i="22"/>
  <c r="H113" i="22"/>
  <c r="G113" i="22"/>
  <c r="F113" i="22"/>
  <c r="E113" i="22"/>
  <c r="D113" i="22"/>
  <c r="C113" i="22"/>
  <c r="B113" i="22"/>
  <c r="H112" i="22"/>
  <c r="G112" i="22"/>
  <c r="F112" i="22"/>
  <c r="E112" i="22"/>
  <c r="D112" i="22"/>
  <c r="C112" i="22"/>
  <c r="B112" i="22"/>
  <c r="H111" i="22"/>
  <c r="G111" i="22"/>
  <c r="F111" i="22"/>
  <c r="E111" i="22"/>
  <c r="D111" i="22"/>
  <c r="C111" i="22"/>
  <c r="B111" i="22"/>
  <c r="H110" i="22"/>
  <c r="G110" i="22"/>
  <c r="F110" i="22"/>
  <c r="E110" i="22"/>
  <c r="D110" i="22"/>
  <c r="C110" i="22"/>
  <c r="B110" i="22"/>
  <c r="H109" i="22"/>
  <c r="G109" i="22"/>
  <c r="F109" i="22"/>
  <c r="E109" i="22"/>
  <c r="D109" i="22"/>
  <c r="C109" i="22"/>
  <c r="B109" i="22"/>
  <c r="H108" i="22"/>
  <c r="G108" i="22"/>
  <c r="F108" i="22"/>
  <c r="E108" i="22"/>
  <c r="D108" i="22"/>
  <c r="C108" i="22"/>
  <c r="B108" i="22"/>
  <c r="H107" i="22"/>
  <c r="G107" i="22"/>
  <c r="F107" i="22"/>
  <c r="E107" i="22"/>
  <c r="D107" i="22"/>
  <c r="C107" i="22"/>
  <c r="B107" i="22"/>
  <c r="H106" i="22"/>
  <c r="G106" i="22"/>
  <c r="F106" i="22"/>
  <c r="E106" i="22"/>
  <c r="D106" i="22"/>
  <c r="C106" i="22"/>
  <c r="B106" i="22"/>
  <c r="H105" i="22"/>
  <c r="G105" i="22"/>
  <c r="F105" i="22"/>
  <c r="E105" i="22"/>
  <c r="D105" i="22"/>
  <c r="C105" i="22"/>
  <c r="B105" i="22"/>
  <c r="H104" i="22"/>
  <c r="G104" i="22"/>
  <c r="F104" i="22"/>
  <c r="E104" i="22"/>
  <c r="D104" i="22"/>
  <c r="C104" i="22"/>
  <c r="B104" i="22"/>
  <c r="H103" i="22"/>
  <c r="G103" i="22"/>
  <c r="F103" i="22"/>
  <c r="E103" i="22"/>
  <c r="D103" i="22"/>
  <c r="C103" i="22"/>
  <c r="B103" i="22"/>
  <c r="H102" i="22"/>
  <c r="G102" i="22"/>
  <c r="F102" i="22"/>
  <c r="E102" i="22"/>
  <c r="D102" i="22"/>
  <c r="C102" i="22"/>
  <c r="B102" i="22"/>
  <c r="H101" i="22"/>
  <c r="G101" i="22"/>
  <c r="F101" i="22"/>
  <c r="E101" i="22"/>
  <c r="D101" i="22"/>
  <c r="C101" i="22"/>
  <c r="B101" i="22"/>
  <c r="H100" i="22"/>
  <c r="G100" i="22"/>
  <c r="F100" i="22"/>
  <c r="E100" i="22"/>
  <c r="D100" i="22"/>
  <c r="C100" i="22"/>
  <c r="B100" i="22"/>
  <c r="H99" i="22"/>
  <c r="G99" i="22"/>
  <c r="F99" i="22"/>
  <c r="E99" i="22"/>
  <c r="D99" i="22"/>
  <c r="C99" i="22"/>
  <c r="B99" i="22"/>
  <c r="H98" i="22"/>
  <c r="G98" i="22"/>
  <c r="F98" i="22"/>
  <c r="E98" i="22"/>
  <c r="D98" i="22"/>
  <c r="C98" i="22"/>
  <c r="B98" i="22"/>
  <c r="H97" i="22"/>
  <c r="G97" i="22"/>
  <c r="F97" i="22"/>
  <c r="E97" i="22"/>
  <c r="D97" i="22"/>
  <c r="C97" i="22"/>
  <c r="B97" i="22"/>
  <c r="H96" i="22"/>
  <c r="G96" i="22"/>
  <c r="F96" i="22"/>
  <c r="E96" i="22"/>
  <c r="D96" i="22"/>
  <c r="C96" i="22"/>
  <c r="B96" i="22"/>
  <c r="H95" i="22"/>
  <c r="G95" i="22"/>
  <c r="F95" i="22"/>
  <c r="E95" i="22"/>
  <c r="D95" i="22"/>
  <c r="C95" i="22"/>
  <c r="B95" i="22"/>
  <c r="H94" i="22"/>
  <c r="G94" i="22"/>
  <c r="F94" i="22"/>
  <c r="E94" i="22"/>
  <c r="D94" i="22"/>
  <c r="C94" i="22"/>
  <c r="B94" i="22"/>
  <c r="H93" i="22"/>
  <c r="G93" i="22"/>
  <c r="F93" i="22"/>
  <c r="E93" i="22"/>
  <c r="D93" i="22"/>
  <c r="C93" i="22"/>
  <c r="B93" i="22"/>
  <c r="H92" i="22"/>
  <c r="G92" i="22"/>
  <c r="F92" i="22"/>
  <c r="E92" i="22"/>
  <c r="D92" i="22"/>
  <c r="C92" i="22"/>
  <c r="B92" i="22"/>
  <c r="H91" i="22"/>
  <c r="G91" i="22"/>
  <c r="F91" i="22"/>
  <c r="E91" i="22"/>
  <c r="D91" i="22"/>
  <c r="C91" i="22"/>
  <c r="B91" i="22"/>
  <c r="H90" i="22"/>
  <c r="G90" i="22"/>
  <c r="F90" i="22"/>
  <c r="E90" i="22"/>
  <c r="D90" i="22"/>
  <c r="C90" i="22"/>
  <c r="B90" i="22"/>
  <c r="H89" i="22"/>
  <c r="G89" i="22"/>
  <c r="F89" i="22"/>
  <c r="E89" i="22"/>
  <c r="D89" i="22"/>
  <c r="C89" i="22"/>
  <c r="B89" i="22"/>
  <c r="H88" i="22"/>
  <c r="G88" i="22"/>
  <c r="F88" i="22"/>
  <c r="E88" i="22"/>
  <c r="D88" i="22"/>
  <c r="C88" i="22"/>
  <c r="B88" i="22"/>
  <c r="H87" i="22"/>
  <c r="G87" i="22"/>
  <c r="F87" i="22"/>
  <c r="E87" i="22"/>
  <c r="D87" i="22"/>
  <c r="C87" i="22"/>
  <c r="B87" i="22"/>
  <c r="H86" i="22"/>
  <c r="G86" i="22"/>
  <c r="F86" i="22"/>
  <c r="E86" i="22"/>
  <c r="D86" i="22"/>
  <c r="C86" i="22"/>
  <c r="B86" i="22"/>
  <c r="H85" i="22"/>
  <c r="G85" i="22"/>
  <c r="F85" i="22"/>
  <c r="E85" i="22"/>
  <c r="D85" i="22"/>
  <c r="C85" i="22"/>
  <c r="B85" i="22"/>
  <c r="H84" i="22"/>
  <c r="G84" i="22"/>
  <c r="F84" i="22"/>
  <c r="E84" i="22"/>
  <c r="D84" i="22"/>
  <c r="C84" i="22"/>
  <c r="B84" i="22"/>
  <c r="H83" i="22"/>
  <c r="G83" i="22"/>
  <c r="F83" i="22"/>
  <c r="E83" i="22"/>
  <c r="D83" i="22"/>
  <c r="C83" i="22"/>
  <c r="B83" i="22"/>
  <c r="H82" i="22"/>
  <c r="G82" i="22"/>
  <c r="F82" i="22"/>
  <c r="E82" i="22"/>
  <c r="D82" i="22"/>
  <c r="C82" i="22"/>
  <c r="B82" i="22"/>
  <c r="H81" i="22"/>
  <c r="G81" i="22"/>
  <c r="F81" i="22"/>
  <c r="E81" i="22"/>
  <c r="D81" i="22"/>
  <c r="C81" i="22"/>
  <c r="B81" i="22"/>
  <c r="H80" i="22"/>
  <c r="G80" i="22"/>
  <c r="F80" i="22"/>
  <c r="E80" i="22"/>
  <c r="D80" i="22"/>
  <c r="C80" i="22"/>
  <c r="B80" i="22"/>
  <c r="H79" i="22"/>
  <c r="G79" i="22"/>
  <c r="F79" i="22"/>
  <c r="E79" i="22"/>
  <c r="D79" i="22"/>
  <c r="C79" i="22"/>
  <c r="B79" i="22"/>
  <c r="H78" i="22"/>
  <c r="G78" i="22"/>
  <c r="F78" i="22"/>
  <c r="E78" i="22"/>
  <c r="D78" i="22"/>
  <c r="C78" i="22"/>
  <c r="B78" i="22"/>
  <c r="H77" i="22"/>
  <c r="G77" i="22"/>
  <c r="F77" i="22"/>
  <c r="E77" i="22"/>
  <c r="D77" i="22"/>
  <c r="C77" i="22"/>
  <c r="B77" i="22"/>
  <c r="H76" i="22"/>
  <c r="G76" i="22"/>
  <c r="F76" i="22"/>
  <c r="E76" i="22"/>
  <c r="D76" i="22"/>
  <c r="C76" i="22"/>
  <c r="B76" i="22"/>
  <c r="H75" i="22"/>
  <c r="G75" i="22"/>
  <c r="F75" i="22"/>
  <c r="E75" i="22"/>
  <c r="D75" i="22"/>
  <c r="C75" i="22"/>
  <c r="B75" i="22"/>
  <c r="H74" i="22"/>
  <c r="G74" i="22"/>
  <c r="F74" i="22"/>
  <c r="E74" i="22"/>
  <c r="D74" i="22"/>
  <c r="C74" i="22"/>
  <c r="B74" i="22"/>
  <c r="H73" i="22"/>
  <c r="G73" i="22"/>
  <c r="F73" i="22"/>
  <c r="E73" i="22"/>
  <c r="D73" i="22"/>
  <c r="C73" i="22"/>
  <c r="B73" i="22"/>
  <c r="H72" i="22"/>
  <c r="G72" i="22"/>
  <c r="F72" i="22"/>
  <c r="E72" i="22"/>
  <c r="D72" i="22"/>
  <c r="C72" i="22"/>
  <c r="B72" i="22"/>
  <c r="H71" i="22"/>
  <c r="G71" i="22"/>
  <c r="F71" i="22"/>
  <c r="E71" i="22"/>
  <c r="D71" i="22"/>
  <c r="C71" i="22"/>
  <c r="B71" i="22"/>
  <c r="H70" i="22"/>
  <c r="G70" i="22"/>
  <c r="F70" i="22"/>
  <c r="E70" i="22"/>
  <c r="D70" i="22"/>
  <c r="C70" i="22"/>
  <c r="B70" i="22"/>
  <c r="H69" i="22"/>
  <c r="G69" i="22"/>
  <c r="F69" i="22"/>
  <c r="E69" i="22"/>
  <c r="D69" i="22"/>
  <c r="C69" i="22"/>
  <c r="B69" i="22"/>
  <c r="H68" i="22"/>
  <c r="G68" i="22"/>
  <c r="F68" i="22"/>
  <c r="E68" i="22"/>
  <c r="D68" i="22"/>
  <c r="C68" i="22"/>
  <c r="B68" i="22"/>
  <c r="H67" i="22"/>
  <c r="G67" i="22"/>
  <c r="F67" i="22"/>
  <c r="E67" i="22"/>
  <c r="D67" i="22"/>
  <c r="C67" i="22"/>
  <c r="B67" i="22"/>
  <c r="H66" i="22"/>
  <c r="G66" i="22"/>
  <c r="F66" i="22"/>
  <c r="E66" i="22"/>
  <c r="D66" i="22"/>
  <c r="C66" i="22"/>
  <c r="B66" i="22"/>
  <c r="H65" i="22"/>
  <c r="G65" i="22"/>
  <c r="F65" i="22"/>
  <c r="E65" i="22"/>
  <c r="D65" i="22"/>
  <c r="C65" i="22"/>
  <c r="B65" i="22"/>
  <c r="H64" i="22"/>
  <c r="G64" i="22"/>
  <c r="F64" i="22"/>
  <c r="E64" i="22"/>
  <c r="D64" i="22"/>
  <c r="C64" i="22"/>
  <c r="B64" i="22"/>
  <c r="H63" i="22"/>
  <c r="G63" i="22"/>
  <c r="F63" i="22"/>
  <c r="E63" i="22"/>
  <c r="D63" i="22"/>
  <c r="C63" i="22"/>
  <c r="B63" i="22"/>
  <c r="H62" i="22"/>
  <c r="G62" i="22"/>
  <c r="F62" i="22"/>
  <c r="E62" i="22"/>
  <c r="D62" i="22"/>
  <c r="C62" i="22"/>
  <c r="B62" i="22"/>
  <c r="H61" i="22"/>
  <c r="G61" i="22"/>
  <c r="F61" i="22"/>
  <c r="E61" i="22"/>
  <c r="D61" i="22"/>
  <c r="C61" i="22"/>
  <c r="B61" i="22"/>
  <c r="H60" i="22"/>
  <c r="G60" i="22"/>
  <c r="F60" i="22"/>
  <c r="E60" i="22"/>
  <c r="D60" i="22"/>
  <c r="C60" i="22"/>
  <c r="B60" i="22"/>
  <c r="H59" i="22"/>
  <c r="G59" i="22"/>
  <c r="F59" i="22"/>
  <c r="E59" i="22"/>
  <c r="D59" i="22"/>
  <c r="C59" i="22"/>
  <c r="B59" i="22"/>
  <c r="H58" i="22"/>
  <c r="G58" i="22"/>
  <c r="F58" i="22"/>
  <c r="E58" i="22"/>
  <c r="D58" i="22"/>
  <c r="C58" i="22"/>
  <c r="B58" i="22"/>
  <c r="H57" i="22"/>
  <c r="G57" i="22"/>
  <c r="F57" i="22"/>
  <c r="E57" i="22"/>
  <c r="D57" i="22"/>
  <c r="C57" i="22"/>
  <c r="B57" i="22"/>
  <c r="H56" i="22"/>
  <c r="G56" i="22"/>
  <c r="F56" i="22"/>
  <c r="E56" i="22"/>
  <c r="D56" i="22"/>
  <c r="C56" i="22"/>
  <c r="B56" i="22"/>
  <c r="H55" i="22"/>
  <c r="G55" i="22"/>
  <c r="F55" i="22"/>
  <c r="E55" i="22"/>
  <c r="D55" i="22"/>
  <c r="C55" i="22"/>
  <c r="B55" i="22"/>
  <c r="H54" i="22"/>
  <c r="G54" i="22"/>
  <c r="F54" i="22"/>
  <c r="E54" i="22"/>
  <c r="D54" i="22"/>
  <c r="C54" i="22"/>
  <c r="B54" i="22"/>
  <c r="H53" i="22"/>
  <c r="G53" i="22"/>
  <c r="F53" i="22"/>
  <c r="E53" i="22"/>
  <c r="D53" i="22"/>
  <c r="C53" i="22"/>
  <c r="B53" i="22"/>
  <c r="H52" i="22"/>
  <c r="G52" i="22"/>
  <c r="F52" i="22"/>
  <c r="E52" i="22"/>
  <c r="D52" i="22"/>
  <c r="C52" i="22"/>
  <c r="B52" i="22"/>
  <c r="H51" i="22"/>
  <c r="G51" i="22"/>
  <c r="F51" i="22"/>
  <c r="E51" i="22"/>
  <c r="D51" i="22"/>
  <c r="C51" i="22"/>
  <c r="B51" i="22"/>
  <c r="H50" i="22"/>
  <c r="G50" i="22"/>
  <c r="F50" i="22"/>
  <c r="E50" i="22"/>
  <c r="D50" i="22"/>
  <c r="C50" i="22"/>
  <c r="B50" i="22"/>
  <c r="H49" i="22"/>
  <c r="G49" i="22"/>
  <c r="F49" i="22"/>
  <c r="E49" i="22"/>
  <c r="D49" i="22"/>
  <c r="C49" i="22"/>
  <c r="B49" i="22"/>
  <c r="H48" i="22"/>
  <c r="G48" i="22"/>
  <c r="F48" i="22"/>
  <c r="E48" i="22"/>
  <c r="D48" i="22"/>
  <c r="C48" i="22"/>
  <c r="B48" i="22"/>
  <c r="H47" i="22"/>
  <c r="G47" i="22"/>
  <c r="F47" i="22"/>
  <c r="E47" i="22"/>
  <c r="D47" i="22"/>
  <c r="C47" i="22"/>
  <c r="B47" i="22"/>
  <c r="H46" i="22"/>
  <c r="G46" i="22"/>
  <c r="F46" i="22"/>
  <c r="E46" i="22"/>
  <c r="D46" i="22"/>
  <c r="C46" i="22"/>
  <c r="B46" i="22"/>
  <c r="H45" i="22"/>
  <c r="G45" i="22"/>
  <c r="F45" i="22"/>
  <c r="E45" i="22"/>
  <c r="D45" i="22"/>
  <c r="C45" i="22"/>
  <c r="B45" i="22"/>
  <c r="H44" i="22"/>
  <c r="G44" i="22"/>
  <c r="F44" i="22"/>
  <c r="E44" i="22"/>
  <c r="D44" i="22"/>
  <c r="C44" i="22"/>
  <c r="B44" i="22"/>
  <c r="H43" i="22"/>
  <c r="G43" i="22"/>
  <c r="F43" i="22"/>
  <c r="E43" i="22"/>
  <c r="D43" i="22"/>
  <c r="C43" i="22"/>
  <c r="B43" i="22"/>
  <c r="H42" i="22"/>
  <c r="G42" i="22"/>
  <c r="F42" i="22"/>
  <c r="E42" i="22"/>
  <c r="D42" i="22"/>
  <c r="C42" i="22"/>
  <c r="B42" i="22"/>
  <c r="H41" i="22"/>
  <c r="G41" i="22"/>
  <c r="F41" i="22"/>
  <c r="E41" i="22"/>
  <c r="D41" i="22"/>
  <c r="C41" i="22"/>
  <c r="B41" i="22"/>
  <c r="H40" i="22"/>
  <c r="G40" i="22"/>
  <c r="F40" i="22"/>
  <c r="E40" i="22"/>
  <c r="D40" i="22"/>
  <c r="C40" i="22"/>
  <c r="B40" i="22"/>
  <c r="H39" i="22"/>
  <c r="G39" i="22"/>
  <c r="F39" i="22"/>
  <c r="E39" i="22"/>
  <c r="D39" i="22"/>
  <c r="C39" i="22"/>
  <c r="B39" i="22"/>
  <c r="H38" i="22"/>
  <c r="G38" i="22"/>
  <c r="F38" i="22"/>
  <c r="E38" i="22"/>
  <c r="D38" i="22"/>
  <c r="C38" i="22"/>
  <c r="B38" i="22"/>
  <c r="H37" i="22"/>
  <c r="G37" i="22"/>
  <c r="F37" i="22"/>
  <c r="E37" i="22"/>
  <c r="D37" i="22"/>
  <c r="C37" i="22"/>
  <c r="B37" i="22"/>
  <c r="H36" i="22"/>
  <c r="G36" i="22"/>
  <c r="F36" i="22"/>
  <c r="E36" i="22"/>
  <c r="D36" i="22"/>
  <c r="C36" i="22"/>
  <c r="B36" i="22"/>
  <c r="H35" i="22"/>
  <c r="G35" i="22"/>
  <c r="F35" i="22"/>
  <c r="E35" i="22"/>
  <c r="D35" i="22"/>
  <c r="C35" i="22"/>
  <c r="B35" i="22"/>
  <c r="H34" i="22"/>
  <c r="G34" i="22"/>
  <c r="F34" i="22"/>
  <c r="E34" i="22"/>
  <c r="D34" i="22"/>
  <c r="C34" i="22"/>
  <c r="B34" i="22"/>
  <c r="H33" i="22"/>
  <c r="G33" i="22"/>
  <c r="F33" i="22"/>
  <c r="E33" i="22"/>
  <c r="D33" i="22"/>
  <c r="C33" i="22"/>
  <c r="B33" i="22"/>
  <c r="H32" i="22"/>
  <c r="G32" i="22"/>
  <c r="F32" i="22"/>
  <c r="E32" i="22"/>
  <c r="D32" i="22"/>
  <c r="C32" i="22"/>
  <c r="B32" i="22"/>
  <c r="H31" i="22"/>
  <c r="G31" i="22"/>
  <c r="F31" i="22"/>
  <c r="E31" i="22"/>
  <c r="D31" i="22"/>
  <c r="C31" i="22"/>
  <c r="B31" i="22"/>
  <c r="H30" i="22"/>
  <c r="G30" i="22"/>
  <c r="F30" i="22"/>
  <c r="E30" i="22"/>
  <c r="D30" i="22"/>
  <c r="C30" i="22"/>
  <c r="B30" i="22"/>
  <c r="H29" i="22"/>
  <c r="G29" i="22"/>
  <c r="F29" i="22"/>
  <c r="E29" i="22"/>
  <c r="D29" i="22"/>
  <c r="C29" i="22"/>
  <c r="B29" i="22"/>
  <c r="H28" i="22"/>
  <c r="G28" i="22"/>
  <c r="F28" i="22"/>
  <c r="E28" i="22"/>
  <c r="D28" i="22"/>
  <c r="C28" i="22"/>
  <c r="B28" i="22"/>
  <c r="H27" i="22"/>
  <c r="G27" i="22"/>
  <c r="F27" i="22"/>
  <c r="E27" i="22"/>
  <c r="D27" i="22"/>
  <c r="C27" i="22"/>
  <c r="B27" i="22"/>
  <c r="H26" i="22"/>
  <c r="G26" i="22"/>
  <c r="F26" i="22"/>
  <c r="E26" i="22"/>
  <c r="D26" i="22"/>
  <c r="C26" i="22"/>
  <c r="B26" i="22"/>
  <c r="H25" i="22"/>
  <c r="G25" i="22"/>
  <c r="F25" i="22"/>
  <c r="E25" i="22"/>
  <c r="D25" i="22"/>
  <c r="C25" i="22"/>
  <c r="B25" i="22"/>
  <c r="H24" i="22"/>
  <c r="G24" i="22"/>
  <c r="F24" i="22"/>
  <c r="E24" i="22"/>
  <c r="D24" i="22"/>
  <c r="C24" i="22"/>
  <c r="B24" i="22"/>
  <c r="H23" i="22"/>
  <c r="G23" i="22"/>
  <c r="F23" i="22"/>
  <c r="E23" i="22"/>
  <c r="D23" i="22"/>
  <c r="C23" i="22"/>
  <c r="B23" i="22"/>
  <c r="H22" i="22"/>
  <c r="G22" i="22"/>
  <c r="F22" i="22"/>
  <c r="E22" i="22"/>
  <c r="D22" i="22"/>
  <c r="C22" i="22"/>
  <c r="B22" i="22"/>
  <c r="H21" i="22"/>
  <c r="G21" i="22"/>
  <c r="F21" i="22"/>
  <c r="E21" i="22"/>
  <c r="D21" i="22"/>
  <c r="C21" i="22"/>
  <c r="B21" i="22"/>
  <c r="H20" i="22"/>
  <c r="G20" i="22"/>
  <c r="F20" i="22"/>
  <c r="E20" i="22"/>
  <c r="D20" i="22"/>
  <c r="C20" i="22"/>
  <c r="B20" i="22"/>
  <c r="H19" i="22"/>
  <c r="G19" i="22"/>
  <c r="F19" i="22"/>
  <c r="E19" i="22"/>
  <c r="D19" i="22"/>
  <c r="C19" i="22"/>
  <c r="B19" i="22"/>
  <c r="H18" i="22"/>
  <c r="G18" i="22"/>
  <c r="F18" i="22"/>
  <c r="E18" i="22"/>
  <c r="D18" i="22"/>
  <c r="C18" i="22"/>
  <c r="B18" i="22"/>
  <c r="H17" i="22"/>
  <c r="G17" i="22"/>
  <c r="F17" i="22"/>
  <c r="E17" i="22"/>
  <c r="D17" i="22"/>
  <c r="C17" i="22"/>
  <c r="B17" i="22"/>
  <c r="H16" i="22"/>
  <c r="G16" i="22"/>
  <c r="F16" i="22"/>
  <c r="E16" i="22"/>
  <c r="D16" i="22"/>
  <c r="C16" i="22"/>
  <c r="B16" i="22"/>
  <c r="H15" i="22"/>
  <c r="G15" i="22"/>
  <c r="F15" i="22"/>
  <c r="E15" i="22"/>
  <c r="D15" i="22"/>
  <c r="C15" i="22"/>
  <c r="B15" i="22"/>
  <c r="H14" i="22"/>
  <c r="G14" i="22"/>
  <c r="F14" i="22"/>
  <c r="E14" i="22"/>
  <c r="D14" i="22"/>
  <c r="C14" i="22"/>
  <c r="B14" i="22"/>
  <c r="H13" i="22"/>
  <c r="G13" i="22"/>
  <c r="F13" i="22"/>
  <c r="E13" i="22"/>
  <c r="D13" i="22"/>
  <c r="C13" i="22"/>
  <c r="B13" i="22"/>
  <c r="J12" i="22"/>
  <c r="H12" i="22"/>
  <c r="G12" i="22"/>
  <c r="F12" i="22"/>
  <c r="E12" i="22"/>
  <c r="D12" i="22"/>
  <c r="C12" i="22"/>
  <c r="B12" i="22"/>
  <c r="J11" i="22"/>
  <c r="H11" i="22"/>
  <c r="G11" i="22"/>
  <c r="F11" i="22"/>
  <c r="E11" i="22"/>
  <c r="D11" i="22"/>
  <c r="C11" i="22"/>
  <c r="B11" i="22"/>
  <c r="J10" i="22"/>
  <c r="H10" i="22"/>
  <c r="G10" i="22"/>
  <c r="F10" i="22"/>
  <c r="E10" i="22"/>
  <c r="D10" i="22"/>
  <c r="C10" i="22"/>
  <c r="B10" i="22"/>
  <c r="D8" i="22"/>
  <c r="C8" i="22"/>
  <c r="B8" i="22"/>
  <c r="D7" i="22"/>
  <c r="C7" i="22"/>
  <c r="B7" i="22"/>
  <c r="D6" i="22"/>
  <c r="C6" i="22"/>
  <c r="D5" i="22"/>
  <c r="C5" i="22"/>
  <c r="D4" i="22"/>
  <c r="C4" i="22"/>
  <c r="D9" i="21"/>
  <c r="D8" i="21"/>
  <c r="D7" i="21"/>
  <c r="D6" i="21"/>
  <c r="D5" i="21"/>
  <c r="D4" i="21"/>
  <c r="F9" i="20"/>
  <c r="E9" i="20"/>
  <c r="D9" i="20"/>
  <c r="C9" i="20"/>
  <c r="F8" i="20"/>
  <c r="E8" i="20"/>
  <c r="D8" i="20"/>
  <c r="C8" i="20"/>
  <c r="F7" i="20"/>
  <c r="E7" i="20"/>
  <c r="D7" i="20"/>
  <c r="C7" i="20"/>
  <c r="F6" i="20"/>
  <c r="E6" i="20"/>
  <c r="D6" i="20"/>
  <c r="C6" i="20"/>
  <c r="F5" i="20"/>
  <c r="E5" i="20"/>
  <c r="D5" i="20"/>
  <c r="C5" i="20"/>
  <c r="F4" i="20"/>
  <c r="E4" i="20"/>
  <c r="C4" i="20"/>
  <c r="E8" i="19"/>
  <c r="B8" i="19"/>
  <c r="H4" i="19"/>
  <c r="B5" i="18"/>
  <c r="B4" i="18"/>
  <c r="B3" i="18"/>
  <c r="B2" i="18"/>
  <c r="B10" i="16"/>
  <c r="B9" i="16"/>
  <c r="E6" i="16"/>
  <c r="D6" i="16"/>
  <c r="C6" i="16"/>
  <c r="B6" i="16"/>
  <c r="A6" i="16"/>
  <c r="E5" i="16"/>
  <c r="D5" i="16"/>
  <c r="C5" i="16"/>
  <c r="B5" i="16"/>
  <c r="A5" i="16"/>
  <c r="E4" i="16"/>
  <c r="D4" i="16"/>
  <c r="C4" i="16"/>
  <c r="B4" i="16"/>
  <c r="A4" i="16"/>
  <c r="B2" i="16"/>
  <c r="D4" i="15"/>
  <c r="C4" i="15"/>
  <c r="B4" i="15"/>
  <c r="A4" i="15"/>
  <c r="D3" i="15"/>
  <c r="C3" i="15"/>
  <c r="B3" i="15"/>
  <c r="A3" i="15"/>
  <c r="D2" i="15"/>
  <c r="C2" i="15"/>
  <c r="B2" i="15"/>
  <c r="A2" i="15"/>
  <c r="D4" i="14"/>
  <c r="C4" i="14"/>
  <c r="B4" i="14"/>
  <c r="A4" i="14"/>
  <c r="D3" i="14"/>
  <c r="C3" i="14"/>
  <c r="B3" i="14"/>
  <c r="A3" i="14"/>
  <c r="D2" i="14"/>
  <c r="C2" i="14"/>
  <c r="B2" i="14"/>
  <c r="A2" i="14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B5" i="11"/>
  <c r="B4" i="11"/>
  <c r="B3" i="11"/>
  <c r="B2" i="11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G14" i="9"/>
  <c r="F14" i="9"/>
  <c r="D14" i="9"/>
  <c r="C14" i="9"/>
  <c r="B14" i="9"/>
  <c r="G13" i="9"/>
  <c r="F13" i="9"/>
  <c r="D13" i="9"/>
  <c r="C13" i="9"/>
  <c r="B13" i="9"/>
  <c r="G12" i="9"/>
  <c r="F12" i="9"/>
  <c r="D12" i="9"/>
  <c r="C12" i="9"/>
  <c r="B12" i="9"/>
  <c r="G7" i="9"/>
  <c r="F7" i="9"/>
  <c r="E7" i="9"/>
  <c r="D7" i="9"/>
  <c r="C7" i="9"/>
  <c r="B7" i="9"/>
  <c r="G4" i="9"/>
  <c r="F4" i="9"/>
  <c r="E4" i="9"/>
  <c r="D4" i="9"/>
  <c r="C4" i="9"/>
  <c r="B4" i="9"/>
  <c r="C9" i="7"/>
  <c r="B9" i="7"/>
  <c r="C7" i="7"/>
  <c r="B7" i="7"/>
  <c r="C6" i="7"/>
  <c r="B6" i="7"/>
  <c r="C5" i="7"/>
  <c r="B5" i="7"/>
  <c r="C4" i="7"/>
  <c r="B4" i="7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B11" i="6"/>
  <c r="E10" i="6"/>
  <c r="D10" i="6"/>
  <c r="E9" i="6"/>
  <c r="D9" i="6"/>
  <c r="B9" i="6"/>
  <c r="E8" i="6"/>
  <c r="D8" i="6"/>
  <c r="B8" i="6"/>
  <c r="E7" i="6"/>
  <c r="D7" i="6"/>
  <c r="B7" i="6"/>
  <c r="E6" i="6"/>
  <c r="D6" i="6"/>
  <c r="E5" i="6"/>
  <c r="D5" i="6"/>
  <c r="B5" i="6"/>
  <c r="B4" i="6"/>
  <c r="B3" i="6"/>
  <c r="J6" i="5"/>
  <c r="I6" i="5"/>
  <c r="H6" i="5"/>
  <c r="G6" i="5"/>
  <c r="F6" i="5"/>
  <c r="E6" i="5"/>
  <c r="D6" i="5"/>
  <c r="C6" i="5"/>
  <c r="B6" i="5"/>
  <c r="A6" i="5"/>
  <c r="J5" i="5"/>
  <c r="I5" i="5"/>
  <c r="H5" i="5"/>
  <c r="G5" i="5"/>
  <c r="F5" i="5"/>
  <c r="E5" i="5"/>
  <c r="D5" i="5"/>
  <c r="C5" i="5"/>
  <c r="B5" i="5"/>
  <c r="A5" i="5"/>
  <c r="J4" i="5"/>
  <c r="I4" i="5"/>
  <c r="H4" i="5"/>
  <c r="G4" i="5"/>
  <c r="F4" i="5"/>
  <c r="E4" i="5"/>
  <c r="D4" i="5"/>
  <c r="C4" i="5"/>
  <c r="B4" i="5"/>
  <c r="A4" i="5"/>
  <c r="B8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B23" i="2"/>
  <c r="B22" i="2"/>
  <c r="B21" i="2"/>
  <c r="B20" i="2"/>
  <c r="B19" i="2"/>
  <c r="B18" i="2"/>
  <c r="E17" i="2"/>
  <c r="E3" i="2"/>
  <c r="B28" i="1"/>
  <c r="B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1E00-000001000000}">
      <text>
        <r>
          <rPr>
            <sz val="11"/>
            <color theme="1"/>
            <rFont val="Calibri"/>
            <family val="2"/>
            <scheme val="minor"/>
          </rPr>
          <t>CAPEX_Master_ID generated sequentially. Duplicate WBS IDs auto-corrected to next available suffix within same prefix (e.g., 4.1 duplicate -&gt; 4.10).</t>
        </r>
      </text>
    </comment>
  </commentList>
</comments>
</file>

<file path=xl/sharedStrings.xml><?xml version="1.0" encoding="utf-8"?>
<sst xmlns="http://schemas.openxmlformats.org/spreadsheetml/2006/main" count="1738" uniqueCount="936">
  <si>
    <t>Parameter</t>
  </si>
  <si>
    <t>Value</t>
  </si>
  <si>
    <t>Notes</t>
  </si>
  <si>
    <t>Total CAPEX (€)</t>
  </si>
  <si>
    <t>Base investment</t>
  </si>
  <si>
    <t>Grant %</t>
  </si>
  <si>
    <t>EU Grant</t>
  </si>
  <si>
    <t>Debt %</t>
  </si>
  <si>
    <t>Bank Loan</t>
  </si>
  <si>
    <t>Equity %</t>
  </si>
  <si>
    <t>Equity</t>
  </si>
  <si>
    <t>Shareholder Loan %</t>
  </si>
  <si>
    <t>Subordinated</t>
  </si>
  <si>
    <t>Interest Rate</t>
  </si>
  <si>
    <t>Annual</t>
  </si>
  <si>
    <t>Loan Tenor (years)</t>
  </si>
  <si>
    <t>Repayment period</t>
  </si>
  <si>
    <t>Construction Months</t>
  </si>
  <si>
    <t>Build duration</t>
  </si>
  <si>
    <t>Adj. Construction Months</t>
  </si>
  <si>
    <t>Includes scenario delay</t>
  </si>
  <si>
    <t>Operational Drivers</t>
  </si>
  <si>
    <t>Start Year</t>
  </si>
  <si>
    <t>Model start (calendar year)</t>
  </si>
  <si>
    <t>Installed Capacity (t) - Y1</t>
  </si>
  <si>
    <t>Nameplate capacity first year</t>
  </si>
  <si>
    <t>Installed Capacity (t) - Y2</t>
  </si>
  <si>
    <t>After ramp/upgrade</t>
  </si>
  <si>
    <t>Installed Capacity (t) - Y3</t>
  </si>
  <si>
    <t>Steady-state capacity</t>
  </si>
  <si>
    <t>Utilization % - Y1</t>
  </si>
  <si>
    <t>Ramp-up</t>
  </si>
  <si>
    <t>Utilization % - Y2</t>
  </si>
  <si>
    <t>Utilization % - Y3</t>
  </si>
  <si>
    <t>Steady-state</t>
  </si>
  <si>
    <t>Base Price (€/t) - Y1</t>
  </si>
  <si>
    <t>Avg selling price</t>
  </si>
  <si>
    <t>Price Escalation %</t>
  </si>
  <si>
    <t>Annual escalation</t>
  </si>
  <si>
    <t>Energy Cost (€/t) - Y1</t>
  </si>
  <si>
    <t>Variable</t>
  </si>
  <si>
    <t>Labor Cost (€/t) - Y1</t>
  </si>
  <si>
    <t>Materials &amp; Other Var (€/t) - Y1</t>
  </si>
  <si>
    <t>Var Cost Escalation %</t>
  </si>
  <si>
    <t>Fixed Costs (€/year) - Y1</t>
  </si>
  <si>
    <t>SG&amp;A + overhead</t>
  </si>
  <si>
    <t>Fixed Cost Escalation %</t>
  </si>
  <si>
    <t>Scenario-adjusted totals</t>
  </si>
  <si>
    <t>Total CAPEX (Adj)</t>
  </si>
  <si>
    <t>Base × scenario CAPEX factor</t>
  </si>
  <si>
    <t>CAPEX Split % - Y1</t>
  </si>
  <si>
    <t>Construction year 1 spend share</t>
  </si>
  <si>
    <t>CAPEX Split % - Y2</t>
  </si>
  <si>
    <t>Construction year 2 spend share</t>
  </si>
  <si>
    <t>CAPEX Split % - Y3</t>
  </si>
  <si>
    <t>Typically 0</t>
  </si>
  <si>
    <t>SCENARIO MANAGER (Connected Planning Engine)</t>
  </si>
  <si>
    <t>Selected Scenario</t>
  </si>
  <si>
    <t>Base</t>
  </si>
  <si>
    <t>Last Update</t>
  </si>
  <si>
    <t>Scenario Multipliers</t>
  </si>
  <si>
    <t>Optimistic</t>
  </si>
  <si>
    <t>Downside</t>
  </si>
  <si>
    <t>Delay</t>
  </si>
  <si>
    <t>Price_Shock</t>
  </si>
  <si>
    <t>Price Factor</t>
  </si>
  <si>
    <t>Volume / Utilization Factor</t>
  </si>
  <si>
    <t>Variable Cost Factor</t>
  </si>
  <si>
    <t>Fixed Cost Factor</t>
  </si>
  <si>
    <t>CAPEX Factor</t>
  </si>
  <si>
    <t>Construction Delay (months)</t>
  </si>
  <si>
    <t>Discount Rate (override)</t>
  </si>
  <si>
    <t/>
  </si>
  <si>
    <t>Active Multipliers (by Selected Scenario)</t>
  </si>
  <si>
    <t>Active</t>
  </si>
  <si>
    <t>Scenario Column</t>
  </si>
  <si>
    <t>PRODUCTION DRIVERS (Capacity → Utilization → Production)</t>
  </si>
  <si>
    <t>Year</t>
  </si>
  <si>
    <t>Installed Capacity (t)</t>
  </si>
  <si>
    <t>Utilization %</t>
  </si>
  <si>
    <t>Scenario Volume Factor</t>
  </si>
  <si>
    <t>Production (t)</t>
  </si>
  <si>
    <t>Production is driven by nameplate capacity × utilization × scenario volume factor.</t>
  </si>
  <si>
    <t>SALES DRIVERS (Production → Price → Revenue)</t>
  </si>
  <si>
    <t>Base Price (€/t)</t>
  </si>
  <si>
    <t>Scenario Price Factor</t>
  </si>
  <si>
    <t>Realized Price (€/t)</t>
  </si>
  <si>
    <t>Revenue (€)</t>
  </si>
  <si>
    <t>3-year CAGR (Revenue)</t>
  </si>
  <si>
    <t>COST DRIVERS (€/t → Total Costs → EBITDA)</t>
  </si>
  <si>
    <t>Energy €/t</t>
  </si>
  <si>
    <t>Labor €/t</t>
  </si>
  <si>
    <t>Mat+Other €/t</t>
  </si>
  <si>
    <t>Var Cost Factor</t>
  </si>
  <si>
    <t>Total Variable (€)</t>
  </si>
  <si>
    <t>Fixed Costs (€)</t>
  </si>
  <si>
    <t>Total Costs (€)</t>
  </si>
  <si>
    <t>EBITDA (€)</t>
  </si>
  <si>
    <t>CAPEX DRIVERS (Scenario CAPEX + Delay → S-curve)</t>
  </si>
  <si>
    <t>Base Total CAPEX (€)</t>
  </si>
  <si>
    <t>CAPEX Spend (S-curve)</t>
  </si>
  <si>
    <t>Scenario CAPEX Factor</t>
  </si>
  <si>
    <t>Month</t>
  </si>
  <si>
    <t>Spend (€)</t>
  </si>
  <si>
    <t>Adj Total CAPEX (€)</t>
  </si>
  <si>
    <t>Construction Months (Base)</t>
  </si>
  <si>
    <t>Delay (months)</t>
  </si>
  <si>
    <t>Construction Months (Adj)</t>
  </si>
  <si>
    <t>Monthly Spend (Avg)</t>
  </si>
  <si>
    <t>FUNDING DRIVERS (Sources mix → Uses)</t>
  </si>
  <si>
    <t>Source</t>
  </si>
  <si>
    <t>%</t>
  </si>
  <si>
    <t>Amount (€)</t>
  </si>
  <si>
    <t>EU grant %</t>
  </si>
  <si>
    <t>Senior Debt</t>
  </si>
  <si>
    <t>Bank debt %</t>
  </si>
  <si>
    <t>Shareholder Loan</t>
  </si>
  <si>
    <t>Subordinated %</t>
  </si>
  <si>
    <t>Check: Sources % = 100%</t>
  </si>
  <si>
    <t>AUTOMATION HUB (No macros) — 3-Step Runbook</t>
  </si>
  <si>
    <t>Step</t>
  </si>
  <si>
    <t>What to do</t>
  </si>
  <si>
    <t>1) Select Scenario</t>
  </si>
  <si>
    <t>Go to Scenario_Manager and choose a scenario in cell B3.</t>
  </si>
  <si>
    <t>2) Recalculate Model</t>
  </si>
  <si>
    <t>Press F9 (or Formulas → Calculate Now) to refresh scenario + Monte Carlo.</t>
  </si>
  <si>
    <t>3) Review Dashboard 2.0</t>
  </si>
  <si>
    <t>Go to Dashboard_2.0 to see KPIs, charts, DSCR, and cash metrics.</t>
  </si>
  <si>
    <t>Navigation</t>
  </si>
  <si>
    <t>Go to sheet</t>
  </si>
  <si>
    <t>Purpose</t>
  </si>
  <si>
    <t>Scenario_Manager</t>
  </si>
  <si>
    <t>Set scenario + multipliers</t>
  </si>
  <si>
    <t>Production_Drivers</t>
  </si>
  <si>
    <t>Capacity &amp; utilization</t>
  </si>
  <si>
    <t>Sales_Drivers</t>
  </si>
  <si>
    <t>Price &amp; revenue</t>
  </si>
  <si>
    <t>Cost_Drivers</t>
  </si>
  <si>
    <t>Costs &amp; EBITDA</t>
  </si>
  <si>
    <t>CAPEX_Drivers</t>
  </si>
  <si>
    <t>CAPEX + delay</t>
  </si>
  <si>
    <t>Funding_Drivers</t>
  </si>
  <si>
    <t>Funding mix</t>
  </si>
  <si>
    <t>Dashboard_2.0</t>
  </si>
  <si>
    <t>CFO cockpit</t>
  </si>
  <si>
    <t>Monte_Carlo</t>
  </si>
  <si>
    <t>Simulation (press F9)</t>
  </si>
  <si>
    <t>Bank_Pack</t>
  </si>
  <si>
    <t>Printable bank tables</t>
  </si>
  <si>
    <t>DASHBOARD 2.0 — ARS ULTRA CFO CONNECTED PLANNING</t>
  </si>
  <si>
    <t>Revenue (Y3)</t>
  </si>
  <si>
    <t>EBITDA (Y3)</t>
  </si>
  <si>
    <t>EBITDA Margin (Y3)</t>
  </si>
  <si>
    <t>Min DSCR</t>
  </si>
  <si>
    <t>IRR (Proxy)</t>
  </si>
  <si>
    <t>NPV (@8%)</t>
  </si>
  <si>
    <t>Adj CAPEX Total</t>
  </si>
  <si>
    <t>Grant Amount</t>
  </si>
  <si>
    <t>Debt Amount</t>
  </si>
  <si>
    <t>Equity Amount</t>
  </si>
  <si>
    <t>SH Loan Amount</t>
  </si>
  <si>
    <t>Revenue &amp; EBITDA</t>
  </si>
  <si>
    <t>DSCR</t>
  </si>
  <si>
    <t>Revenue</t>
  </si>
  <si>
    <t>EBITDA</t>
  </si>
  <si>
    <t>CAPEX Spend (€)</t>
  </si>
  <si>
    <t>Grant</t>
  </si>
  <si>
    <t>Debt</t>
  </si>
  <si>
    <t>Debt Draw (€)</t>
  </si>
  <si>
    <t>Interest (€)</t>
  </si>
  <si>
    <t>Opening Debt</t>
  </si>
  <si>
    <t>Debt Service</t>
  </si>
  <si>
    <t>Closing Debt</t>
  </si>
  <si>
    <t>VALUATION (Connected Cash Flows → NPV / IRR)</t>
  </si>
  <si>
    <t>IRR</t>
  </si>
  <si>
    <t>CAPEX</t>
  </si>
  <si>
    <t>Free Cash Flow</t>
  </si>
  <si>
    <t>Discount Rate</t>
  </si>
  <si>
    <t>NPV</t>
  </si>
  <si>
    <t>Scenario</t>
  </si>
  <si>
    <t>Revenue Impact</t>
  </si>
  <si>
    <t>EBITDA Impact</t>
  </si>
  <si>
    <t>Upside</t>
  </si>
  <si>
    <t>KPI</t>
  </si>
  <si>
    <t>Total CAPEX</t>
  </si>
  <si>
    <t>SOURCES &amp; USES SUMMARY</t>
  </si>
  <si>
    <t>Sources</t>
  </si>
  <si>
    <t>Uses</t>
  </si>
  <si>
    <t>Check (Sources - Uses)</t>
  </si>
  <si>
    <t>IDC</t>
  </si>
  <si>
    <t>Fees</t>
  </si>
  <si>
    <t>Total Sources</t>
  </si>
  <si>
    <t>Total Uses</t>
  </si>
  <si>
    <t>DEBT SERVICE RESERVE ACCOUNT</t>
  </si>
  <si>
    <t>Period</t>
  </si>
  <si>
    <t>DSRA Required (6M)</t>
  </si>
  <si>
    <t>Opening</t>
  </si>
  <si>
    <t>Funding</t>
  </si>
  <si>
    <t>Closing</t>
  </si>
  <si>
    <t>COVENANT TESTING</t>
  </si>
  <si>
    <t>Min Required</t>
  </si>
  <si>
    <t>Status</t>
  </si>
  <si>
    <t>MONTE CARLO (Formula-based) — Press F9 to Recalculate</t>
  </si>
  <si>
    <t>Inputs</t>
  </si>
  <si>
    <t>Revenue Factor</t>
  </si>
  <si>
    <t>Cost Factor</t>
  </si>
  <si>
    <t>IRR Result</t>
  </si>
  <si>
    <t>Iterations</t>
  </si>
  <si>
    <t>Revenue Sigma (stdev)</t>
  </si>
  <si>
    <t>Cost Sigma (stdev)</t>
  </si>
  <si>
    <t>Iter</t>
  </si>
  <si>
    <t>Rev Factor</t>
  </si>
  <si>
    <t>FCF Y1</t>
  </si>
  <si>
    <t>FCF Y2</t>
  </si>
  <si>
    <t>FCF Y3</t>
  </si>
  <si>
    <t>Base FCF</t>
  </si>
  <si>
    <t>Summary</t>
  </si>
  <si>
    <t>Metric</t>
  </si>
  <si>
    <t>P10</t>
  </si>
  <si>
    <t>P50</t>
  </si>
  <si>
    <t>P90</t>
  </si>
  <si>
    <t>TORNADO SENSITIVITY</t>
  </si>
  <si>
    <t>Low IRR</t>
  </si>
  <si>
    <t>Base IRR</t>
  </si>
  <si>
    <t>High IRR</t>
  </si>
  <si>
    <t>OPEX</t>
  </si>
  <si>
    <t>Production</t>
  </si>
  <si>
    <t>BANK PRESENTATION KPIs</t>
  </si>
  <si>
    <t>Project IRR</t>
  </si>
  <si>
    <t>Equity IRR</t>
  </si>
  <si>
    <t>Payback</t>
  </si>
  <si>
    <t>Taxes</t>
  </si>
  <si>
    <t>Maintenance CAPEX</t>
  </si>
  <si>
    <t>Δ Working Capital</t>
  </si>
  <si>
    <t>Other Adjustments</t>
  </si>
  <si>
    <t>CFADS</t>
  </si>
  <si>
    <t>Interest</t>
  </si>
  <si>
    <t>Allowed Debt Service (CFADS/Target)</t>
  </si>
  <si>
    <t>Principal</t>
  </si>
  <si>
    <t>Total Debt Service</t>
  </si>
  <si>
    <t>Base CAPEX</t>
  </si>
  <si>
    <t>S-Curve Factor</t>
  </si>
  <si>
    <t>Adjusted Draw</t>
  </si>
  <si>
    <t>Equity Investment</t>
  </si>
  <si>
    <t>Dividends</t>
  </si>
  <si>
    <t>Exit Proceeds</t>
  </si>
  <si>
    <t>Equity Cash Flow</t>
  </si>
  <si>
    <t>Threshold</t>
  </si>
  <si>
    <t>CAPEX_Master_ID</t>
  </si>
  <si>
    <t>ID</t>
  </si>
  <si>
    <t>Faza</t>
  </si>
  <si>
    <t>CAPEX_Stavka</t>
  </si>
  <si>
    <t>Opis_kratko</t>
  </si>
  <si>
    <t>BS_kategorija</t>
  </si>
  <si>
    <t>BU_efekat</t>
  </si>
  <si>
    <t>Cijena_EUR</t>
  </si>
  <si>
    <t>Source_finansiranja</t>
  </si>
  <si>
    <t>Datum_plaćanja</t>
  </si>
  <si>
    <t>Napomena</t>
  </si>
  <si>
    <t>BOQ_link</t>
  </si>
  <si>
    <t>ARS-CAPEX-0001</t>
  </si>
  <si>
    <t>1.1</t>
  </si>
  <si>
    <t>Osnivanje i priprema</t>
  </si>
  <si>
    <t>Registracija firme</t>
  </si>
  <si>
    <t>Troškovi registracije d.o.o. u CRPS, sudske takse i pečati</t>
  </si>
  <si>
    <t>Nematerijalna imovina</t>
  </si>
  <si>
    <t>Proizvodni pogon</t>
  </si>
  <si>
    <t>Sopstvena sredstva</t>
  </si>
  <si>
    <t>Plaćeno</t>
  </si>
  <si>
    <t>Minimalni za osnivanje</t>
  </si>
  <si>
    <t>BOQ_Permits</t>
  </si>
  <si>
    <t>ARS-CAPEX-0002</t>
  </si>
  <si>
    <t>1.2</t>
  </si>
  <si>
    <t>Advokatske usluge</t>
  </si>
  <si>
    <t>Kompletna pravna podrška za statut, ugovore i registraciju</t>
  </si>
  <si>
    <t>Lokalna kancelarija</t>
  </si>
  <si>
    <t>ARS-CAPEX-0003</t>
  </si>
  <si>
    <t>1.3</t>
  </si>
  <si>
    <t>Osnivački kapital</t>
  </si>
  <si>
    <t>Uplata minimalnog osnivačkog kapitala na račun firme</t>
  </si>
  <si>
    <t>Vlasnički kapital</t>
  </si>
  <si>
    <t>Neophodan za registraciju</t>
  </si>
  <si>
    <t>-</t>
  </si>
  <si>
    <t>ARS-CAPEX-0004</t>
  </si>
  <si>
    <t>1.4</t>
  </si>
  <si>
    <t>Konsultantske usluge</t>
  </si>
  <si>
    <t>Poslovni plan, finansijski model i investiciona analiza</t>
  </si>
  <si>
    <t>Corporate</t>
  </si>
  <si>
    <t>Priprema za investiciju</t>
  </si>
  <si>
    <t>BOQ_Admin</t>
  </si>
  <si>
    <t>ARS-CAPEX-0005</t>
  </si>
  <si>
    <t>1.5</t>
  </si>
  <si>
    <t>Bankarske usluge</t>
  </si>
  <si>
    <t>Otvaranje računa, provizije i administracija</t>
  </si>
  <si>
    <t>Trošak perioda</t>
  </si>
  <si>
    <t>Jednokratno</t>
  </si>
  <si>
    <t>ARS-CAPEX-0006</t>
  </si>
  <si>
    <t>1.6</t>
  </si>
  <si>
    <t>Troškovi licenciranja</t>
  </si>
  <si>
    <t>Industrijske dozvole i registracije djelatnosti</t>
  </si>
  <si>
    <t>Zakonski zahtjev</t>
  </si>
  <si>
    <t>ARS-CAPEX-0007</t>
  </si>
  <si>
    <t>1.7</t>
  </si>
  <si>
    <t>Studija izvodljivosti</t>
  </si>
  <si>
    <t>Tehnička i ekonomska analiza projekta</t>
  </si>
  <si>
    <t>Investiciona osnova</t>
  </si>
  <si>
    <t>BOQ_Study</t>
  </si>
  <si>
    <t>ARS-CAPEX-0008</t>
  </si>
  <si>
    <t>1.8</t>
  </si>
  <si>
    <t>Troškovi putovanja i sastanaka</t>
  </si>
  <si>
    <t>Putovanja investitora, pregovori sa partnerima</t>
  </si>
  <si>
    <t>Razvoj projekta</t>
  </si>
  <si>
    <t>ARS-CAPEX-0009</t>
  </si>
  <si>
    <t>1.9</t>
  </si>
  <si>
    <t>Marketing i prezentacija projekta</t>
  </si>
  <si>
    <t>Vizuali, prezentacije, promotivni materijal</t>
  </si>
  <si>
    <t>Investitor pitch</t>
  </si>
  <si>
    <t>ARS-CAPEX-0010</t>
  </si>
  <si>
    <t>2.1</t>
  </si>
  <si>
    <t>Kupovina zemljišta</t>
  </si>
  <si>
    <t>Kupoprodajna cijena zemljišta</t>
  </si>
  <si>
    <t>Nabavka 5.000 m² industrijskog zemljišta</t>
  </si>
  <si>
    <t>Dugotrajna imovina - Zemljište</t>
  </si>
  <si>
    <t>Bankarski kredit</t>
  </si>
  <si>
    <t>60 €/m²</t>
  </si>
  <si>
    <t>BOQ_Land</t>
  </si>
  <si>
    <t>ARS-CAPEX-0011</t>
  </si>
  <si>
    <t>2.2</t>
  </si>
  <si>
    <t>Notarske usluge</t>
  </si>
  <si>
    <t>Ovjera kupoprodajnog ugovora i upis u katastar</t>
  </si>
  <si>
    <t>Notar + katastar</t>
  </si>
  <si>
    <t>ARS-CAPEX-0012</t>
  </si>
  <si>
    <t>2.3</t>
  </si>
  <si>
    <t>Porez na promet nekretnina</t>
  </si>
  <si>
    <t>Porez 3 % na vrijednost transakcije</t>
  </si>
  <si>
    <t>Obavezan po zakonu</t>
  </si>
  <si>
    <t>ARS-CAPEX-0013</t>
  </si>
  <si>
    <t>2.4</t>
  </si>
  <si>
    <t>Provizija agencije</t>
  </si>
  <si>
    <t>Posrednička provizija za kupovinu zemljišta</t>
  </si>
  <si>
    <t>4 % provizije</t>
  </si>
  <si>
    <t>ARS-CAPEX-0014</t>
  </si>
  <si>
    <t>2.5</t>
  </si>
  <si>
    <t>Geodetski elaborat</t>
  </si>
  <si>
    <t>Izrada geodetskog elaborata i obilježavanje parcele</t>
  </si>
  <si>
    <t>Potrebno za projektovanje</t>
  </si>
  <si>
    <t>ARS-CAPEX-0015</t>
  </si>
  <si>
    <t>2.6</t>
  </si>
  <si>
    <t>Pravne provjere vlasništva</t>
  </si>
  <si>
    <t>Due diligence, provjera tereta i vlasničkih odnosa</t>
  </si>
  <si>
    <t>Advokat</t>
  </si>
  <si>
    <t>ARS-CAPEX-0016</t>
  </si>
  <si>
    <t>2.7</t>
  </si>
  <si>
    <t>Troškovi prenamjene zemljišta</t>
  </si>
  <si>
    <t>Administrativni troškovi promjene namjene (ako je potrebno)</t>
  </si>
  <si>
    <t>Planirano</t>
  </si>
  <si>
    <t>Urbanistički zahtjevi</t>
  </si>
  <si>
    <t>ARS-CAPEX-0017</t>
  </si>
  <si>
    <t>2.8</t>
  </si>
  <si>
    <t>Komunalno opremanje parcele</t>
  </si>
  <si>
    <t>Priključci infrastrukture (voda, struja, pristupni put)</t>
  </si>
  <si>
    <t>Priprema za gradnju</t>
  </si>
  <si>
    <t>ARS-CAPEX-0018</t>
  </si>
  <si>
    <t>3.1</t>
  </si>
  <si>
    <t>Izrada betonske ograde i pripremni radovi</t>
  </si>
  <si>
    <t>Geodetsko snimanje</t>
  </si>
  <si>
    <t>Topografsko, katastarsko i geodetsko snimanje terena</t>
  </si>
  <si>
    <t>Dugotrajna imovina - Građevinski objekti</t>
  </si>
  <si>
    <t>Neplaćeno</t>
  </si>
  <si>
    <t>Neophodno za projektovanje</t>
  </si>
  <si>
    <t>BOQ_Civil</t>
  </si>
  <si>
    <t>ARS-CAPEX-0019</t>
  </si>
  <si>
    <t>3.2</t>
  </si>
  <si>
    <t>Iskop i odvoz zemlje</t>
  </si>
  <si>
    <t>Iskop i odvoz 12.500 m³ zemlje (8,5 €/m³)</t>
  </si>
  <si>
    <t>Iz master modela</t>
  </si>
  <si>
    <t>ARS-CAPEX-0020</t>
  </si>
  <si>
    <t>3.3</t>
  </si>
  <si>
    <t>Nasip i zbijanje</t>
  </si>
  <si>
    <t>Nasipanje i zbijanje 8.400 m³ (6,2 €/m³)</t>
  </si>
  <si>
    <t>ARS-CAPEX-0021</t>
  </si>
  <si>
    <t>3.4</t>
  </si>
  <si>
    <t>Uklanjanje humusa</t>
  </si>
  <si>
    <t>Uklanjanje humusnog sloja sa 14.500 m² (1,8 €/m²)</t>
  </si>
  <si>
    <t>ARS-CAPEX-0022</t>
  </si>
  <si>
    <t>3.5</t>
  </si>
  <si>
    <t>Izrada betonske ograde</t>
  </si>
  <si>
    <t>Betonska ograda oko parcele — temelj, stubovi i paneli</t>
  </si>
  <si>
    <t>Perimetarska zaštita</t>
  </si>
  <si>
    <t>ARS-CAPEX-0023</t>
  </si>
  <si>
    <t>3.6</t>
  </si>
  <si>
    <t>Kapije i ulazni portal</t>
  </si>
  <si>
    <t>Industrijske klizne kapije, portirnica i kontrolni sistem</t>
  </si>
  <si>
    <t>Sigurnosni pristup</t>
  </si>
  <si>
    <t>ARS-CAPEX-0024</t>
  </si>
  <si>
    <t>3.7</t>
  </si>
  <si>
    <t>Privremeni pristupni putevi</t>
  </si>
  <si>
    <t>Priprema gradilišnog pristupa i manipulativnih površina</t>
  </si>
  <si>
    <t>Logistika gradnje</t>
  </si>
  <si>
    <t>ARS-CAPEX-0025</t>
  </si>
  <si>
    <t>3.8</t>
  </si>
  <si>
    <t>Privremeni priključci</t>
  </si>
  <si>
    <t>Privremeni priključak struje i vode za gradilište</t>
  </si>
  <si>
    <t>Gradilišni priključci</t>
  </si>
  <si>
    <t>ARS-CAPEX-0026</t>
  </si>
  <si>
    <t>3.9</t>
  </si>
  <si>
    <t>Uređenje terena</t>
  </si>
  <si>
    <t>Nivelacija, tampon sloj, priprema za temelje</t>
  </si>
  <si>
    <t>Priprema za konstrukciju</t>
  </si>
  <si>
    <t>ARS-CAPEX-0027</t>
  </si>
  <si>
    <t>4.1</t>
  </si>
  <si>
    <t>Projektovanje i Građevinska dozvola</t>
  </si>
  <si>
    <t>Idejni projekat</t>
  </si>
  <si>
    <t>Idejni arhitektonski i urbanistički projekat</t>
  </si>
  <si>
    <t>Arhitektonski biro</t>
  </si>
  <si>
    <t>ARS-CAPEX-0028</t>
  </si>
  <si>
    <t>4.2</t>
  </si>
  <si>
    <t>Glavni projekat</t>
  </si>
  <si>
    <t>Glavni projekat (arhitektura + konstrukcija + instalacije)</t>
  </si>
  <si>
    <t>U toku</t>
  </si>
  <si>
    <t>Sve discipline</t>
  </si>
  <si>
    <t>ARS-CAPEX-0029</t>
  </si>
  <si>
    <t>4.3</t>
  </si>
  <si>
    <t>Revizija projekta</t>
  </si>
  <si>
    <t>Nezavisna stručna revizija dokumentacije</t>
  </si>
  <si>
    <t>Obavezna po zakonu</t>
  </si>
  <si>
    <t>ARS-CAPEX-0030</t>
  </si>
  <si>
    <t>4.4</t>
  </si>
  <si>
    <t>Takse i komunalne naknade</t>
  </si>
  <si>
    <t>Takse za dozvolu + priključci (voda, struja, kanalizacija)</t>
  </si>
  <si>
    <t>Opština Podgorica</t>
  </si>
  <si>
    <t>ARS-CAPEX-0031</t>
  </si>
  <si>
    <t>4.5</t>
  </si>
  <si>
    <t>Elaborat zaštite životne sredine</t>
  </si>
  <si>
    <t>Procjena uticaja na životnu sredinu i prateća dokumentacija</t>
  </si>
  <si>
    <t>Zakonska obaveza</t>
  </si>
  <si>
    <t>ARS-CAPEX-0032</t>
  </si>
  <si>
    <t>4.6</t>
  </si>
  <si>
    <t>Geomehanički elaborat</t>
  </si>
  <si>
    <t>Ispitivanje tla i nosivosti terena</t>
  </si>
  <si>
    <t>Osnova za konstrukciju</t>
  </si>
  <si>
    <t>ARS-CAPEX-0033</t>
  </si>
  <si>
    <t>4.7</t>
  </si>
  <si>
    <t>Elaborat zaštite od požara</t>
  </si>
  <si>
    <t>Dokumentacija zaštite od požara</t>
  </si>
  <si>
    <t>ARS-CAPEX-0034</t>
  </si>
  <si>
    <t>4.8</t>
  </si>
  <si>
    <t>Elaborat zaštite na radu</t>
  </si>
  <si>
    <t>Procjena rizika i bezbjednosti</t>
  </si>
  <si>
    <t>Industrijski standard</t>
  </si>
  <si>
    <t>ARS-CAPEX-0035</t>
  </si>
  <si>
    <t>4.9</t>
  </si>
  <si>
    <t>Urbanističko-tehnički uslovi (UTU)</t>
  </si>
  <si>
    <t>Dobijanje UTU dokumentacije</t>
  </si>
  <si>
    <t>Osnova za projektovanje</t>
  </si>
  <si>
    <t>ARS-CAPEX-0036</t>
  </si>
  <si>
    <t>4.10</t>
  </si>
  <si>
    <t>Tehnička kontrola instalacija</t>
  </si>
  <si>
    <t>Kontrola elektro i mašinskih projekata</t>
  </si>
  <si>
    <t>Nezavisna provjera</t>
  </si>
  <si>
    <t>ARS-CAPEX-0037</t>
  </si>
  <si>
    <t>4.11</t>
  </si>
  <si>
    <t>Građevinska dozvola — administrativne takse</t>
  </si>
  <si>
    <t>Naknade za izdavanje dozvole</t>
  </si>
  <si>
    <t>Opština</t>
  </si>
  <si>
    <t>ARS-CAPEX-0038</t>
  </si>
  <si>
    <t>5.14</t>
  </si>
  <si>
    <t>Građenje (Izgradnja objekta)</t>
  </si>
  <si>
    <t>Vanjska obrada i oluci</t>
  </si>
  <si>
    <t>Fasada, završna obrada, oluci i odvodnja krova</t>
  </si>
  <si>
    <t>Završni radovi</t>
  </si>
  <si>
    <t>ARS-CAPEX-0039</t>
  </si>
  <si>
    <t>5.15</t>
  </si>
  <si>
    <t>Industrijska vrata i ulazi</t>
  </si>
  <si>
    <t>Sekciona vrata za kamione i pješački ulazi</t>
  </si>
  <si>
    <t>Logistika</t>
  </si>
  <si>
    <t>ARS-CAPEX-0040</t>
  </si>
  <si>
    <t>5.16</t>
  </si>
  <si>
    <t>Prozori i staklene površine</t>
  </si>
  <si>
    <t>Industrijski aluminijumski prozori</t>
  </si>
  <si>
    <t>Administrativni dio</t>
  </si>
  <si>
    <t>ARS-CAPEX-0041</t>
  </si>
  <si>
    <t>5.17</t>
  </si>
  <si>
    <t>Administrativni enterijer</t>
  </si>
  <si>
    <t>Završni radovi kancelarija (podovi, plafoni, vrata)</t>
  </si>
  <si>
    <t>Administracija</t>
  </si>
  <si>
    <t>Upravna zgrada</t>
  </si>
  <si>
    <t>ARS-CAPEX-0042</t>
  </si>
  <si>
    <t>5.18</t>
  </si>
  <si>
    <t>Sanitarni blokovi</t>
  </si>
  <si>
    <t>Toaleti, svlačionice, tuševi</t>
  </si>
  <si>
    <t>Radnici</t>
  </si>
  <si>
    <t>ARS-CAPEX-0043</t>
  </si>
  <si>
    <t>5.19</t>
  </si>
  <si>
    <t>Trafostanica i elektro ormari</t>
  </si>
  <si>
    <t>Interna trafostanica i razvodni ormari</t>
  </si>
  <si>
    <t>Industrijsko napajanje</t>
  </si>
  <si>
    <t>BOQ_Electrical</t>
  </si>
  <si>
    <t>ARS-CAPEX-0044</t>
  </si>
  <si>
    <t>5.2</t>
  </si>
  <si>
    <t>Spoljno uređenje</t>
  </si>
  <si>
    <t>Asfalt, parking, manipulativne površine</t>
  </si>
  <si>
    <t>Logistika transporta</t>
  </si>
  <si>
    <t>ARS-CAPEX-0045</t>
  </si>
  <si>
    <t>5.21</t>
  </si>
  <si>
    <t>Atmosferska kanalizacija</t>
  </si>
  <si>
    <t>Odvodnja kišnice i slivnici</t>
  </si>
  <si>
    <t>Infrastrukturа</t>
  </si>
  <si>
    <t>ARS-CAPEX-0046</t>
  </si>
  <si>
    <t>5.22</t>
  </si>
  <si>
    <t>Oznake i signalizacija</t>
  </si>
  <si>
    <t>Horizontalna i vertikalna signalizacija</t>
  </si>
  <si>
    <t>Sigurnost</t>
  </si>
  <si>
    <t>ARS-CAPEX-0047</t>
  </si>
  <si>
    <t>5.23</t>
  </si>
  <si>
    <t>Završno čišćenje objekta</t>
  </si>
  <si>
    <t>Industrijsko čišćenje prije tehničkog prijema</t>
  </si>
  <si>
    <t>Commissioning priprema</t>
  </si>
  <si>
    <t>ARS-CAPEX-0048</t>
  </si>
  <si>
    <t>6.1</t>
  </si>
  <si>
    <t>Nabavka mašina</t>
  </si>
  <si>
    <t>CNC laser/plazma za rezanje lima</t>
  </si>
  <si>
    <t>CNC mašina za rezanje čeličnih ploča do 20 mm</t>
  </si>
  <si>
    <t>Dugotrajna imovina - Mašine</t>
  </si>
  <si>
    <t>Osnovna obrada lima</t>
  </si>
  <si>
    <t>BOQ_Mech</t>
  </si>
  <si>
    <t>ARS-CAPEX-0049</t>
  </si>
  <si>
    <t>6.2</t>
  </si>
  <si>
    <t>CNC savijač (press brake)</t>
  </si>
  <si>
    <t>Hidraulični CNC savijač 400T</t>
  </si>
  <si>
    <t>Formiranje dijelova</t>
  </si>
  <si>
    <t>ARS-CAPEX-0050</t>
  </si>
  <si>
    <t>6.3</t>
  </si>
  <si>
    <t>Linija za corrugated wall tank</t>
  </si>
  <si>
    <t>Automatska linija za izradu valovitih zidova tankova</t>
  </si>
  <si>
    <t>Kredit / Grant</t>
  </si>
  <si>
    <t>Glavna tehnologija</t>
  </si>
  <si>
    <t>ARS-CAPEX-0051</t>
  </si>
  <si>
    <t>6.4</t>
  </si>
  <si>
    <t>Automatsko zavarivanje tankova</t>
  </si>
  <si>
    <t>Robotske stanice za MIG/MAG zavarivanje</t>
  </si>
  <si>
    <t>Kredit</t>
  </si>
  <si>
    <t>Automatizacija</t>
  </si>
  <si>
    <t>ARS-CAPEX-0052</t>
  </si>
  <si>
    <t>6.5</t>
  </si>
  <si>
    <t>CNC obrada (bušenje/glodanje)</t>
  </si>
  <si>
    <t>CNC machining centar za prirubnice i spojeve</t>
  </si>
  <si>
    <t>Precizna obrada</t>
  </si>
  <si>
    <t>ARS-CAPEX-0053</t>
  </si>
  <si>
    <t>6.6</t>
  </si>
  <si>
    <t>Shot blasting linija</t>
  </si>
  <si>
    <t>Pjeskarenje površina prije farbanja</t>
  </si>
  <si>
    <t>Površinska obrada</t>
  </si>
  <si>
    <t>ARS-CAPEX-0054</t>
  </si>
  <si>
    <t>6.7</t>
  </si>
  <si>
    <t>Linija za farbanje</t>
  </si>
  <si>
    <t>Kabina + sušenje + filtracija</t>
  </si>
  <si>
    <t>Antikorozivna zaštita</t>
  </si>
  <si>
    <t>ARS-CAPEX-0055</t>
  </si>
  <si>
    <t>6.8</t>
  </si>
  <si>
    <t>Mostne dizalice</t>
  </si>
  <si>
    <t>2 industrijske kranske dizalice 10–20 t</t>
  </si>
  <si>
    <t>Manipulacija</t>
  </si>
  <si>
    <t>ARS-CAPEX-0056</t>
  </si>
  <si>
    <t>6.9</t>
  </si>
  <si>
    <t>Kompresorska stanica</t>
  </si>
  <si>
    <t>Industrijski kompresori + sušači zraka</t>
  </si>
  <si>
    <t>Pneumatika</t>
  </si>
  <si>
    <t>ARS-CAPEX-0057</t>
  </si>
  <si>
    <t>6.10</t>
  </si>
  <si>
    <t>Stanica za montažu jezgra</t>
  </si>
  <si>
    <t>Radni stolovi i alati za jezgro</t>
  </si>
  <si>
    <t>Core assembly</t>
  </si>
  <si>
    <t>BOQ_Trafo</t>
  </si>
  <si>
    <t>ARS-CAPEX-0058</t>
  </si>
  <si>
    <t>6.11</t>
  </si>
  <si>
    <t>Stanica za namotaje</t>
  </si>
  <si>
    <t>Oprema za HV/LV namotaje</t>
  </si>
  <si>
    <t>Winding</t>
  </si>
  <si>
    <t>ARS-CAPEX-0059</t>
  </si>
  <si>
    <t>6.12</t>
  </si>
  <si>
    <t>Stanica za aktivni dio</t>
  </si>
  <si>
    <t>Montaža aktivnog dijela transformatora</t>
  </si>
  <si>
    <t>Assembly</t>
  </si>
  <si>
    <t>ARS-CAPEX-0060</t>
  </si>
  <si>
    <t>6.13</t>
  </si>
  <si>
    <t>Vakuumska peć (sušenje)</t>
  </si>
  <si>
    <t>Vakuumska sušna peć za transformatore do 5 MVA</t>
  </si>
  <si>
    <t>Ključna tehnologija</t>
  </si>
  <si>
    <t>ARS-CAPEX-0061</t>
  </si>
  <si>
    <t>6.14</t>
  </si>
  <si>
    <t>Sistem za punjenje uljem</t>
  </si>
  <si>
    <t>Vakum punjenje i filtracija ulja</t>
  </si>
  <si>
    <t>Oil filling</t>
  </si>
  <si>
    <t>ARS-CAPEX-0062</t>
  </si>
  <si>
    <t>6.15</t>
  </si>
  <si>
    <t>Test stanica</t>
  </si>
  <si>
    <t>Električna testiranja transformatora</t>
  </si>
  <si>
    <t>QA</t>
  </si>
  <si>
    <t>ARS-CAPEX-0063</t>
  </si>
  <si>
    <t>6.16</t>
  </si>
  <si>
    <t>Viljuškari</t>
  </si>
  <si>
    <t>Industrijski viljuškari 5–10 t</t>
  </si>
  <si>
    <t>BOQ_Log</t>
  </si>
  <si>
    <t>ARS-CAPEX-0064</t>
  </si>
  <si>
    <t>6.17</t>
  </si>
  <si>
    <t>Interni transport sistemi</t>
  </si>
  <si>
    <t>Kolica, transporteri</t>
  </si>
  <si>
    <t>Flow materijala</t>
  </si>
  <si>
    <t>ARS-CAPEX-0065</t>
  </si>
  <si>
    <t>6.18</t>
  </si>
  <si>
    <t>IT proizvodni sistem</t>
  </si>
  <si>
    <t>SCADA / MES proizvodnja</t>
  </si>
  <si>
    <t>Dugotrajna imovina - IT</t>
  </si>
  <si>
    <t>Digitalizacija</t>
  </si>
  <si>
    <t>BOQ_IT</t>
  </si>
  <si>
    <t>ARS-CAPEX-0066</t>
  </si>
  <si>
    <t>7.1</t>
  </si>
  <si>
    <t>Instalacija i commissioning</t>
  </si>
  <si>
    <t>Transport mašina do lokacije</t>
  </si>
  <si>
    <t>Pomorski i kopneni transport proizvodne opreme</t>
  </si>
  <si>
    <t>OEM transport</t>
  </si>
  <si>
    <t>ARS-CAPEX-0067</t>
  </si>
  <si>
    <t>7.2</t>
  </si>
  <si>
    <t>Istovar i manipulacija opreme</t>
  </si>
  <si>
    <t>Dizalice, specijalna oprema za istovar</t>
  </si>
  <si>
    <t>Heavy lift</t>
  </si>
  <si>
    <t>ARS-CAPEX-0068</t>
  </si>
  <si>
    <t>7.3</t>
  </si>
  <si>
    <t>Montaža proizvodne linije</t>
  </si>
  <si>
    <t>Mehanička instalacija svih mašina</t>
  </si>
  <si>
    <t>OEM tim</t>
  </si>
  <si>
    <t>ARS-CAPEX-0069</t>
  </si>
  <si>
    <t>7.4</t>
  </si>
  <si>
    <t>Elektro povezivanje mašina</t>
  </si>
  <si>
    <t>Napajanje, kablovi, razvodni ormari</t>
  </si>
  <si>
    <t>Industrijska instalacija</t>
  </si>
  <si>
    <t>ARS-CAPEX-0070</t>
  </si>
  <si>
    <t>7.5</t>
  </si>
  <si>
    <t>Puštanje u rad corrugated linije</t>
  </si>
  <si>
    <t>Testiranje i podešavanje</t>
  </si>
  <si>
    <t>OEM commissioning</t>
  </si>
  <si>
    <t>ARS-CAPEX-0071</t>
  </si>
  <si>
    <t>7.6</t>
  </si>
  <si>
    <t>Puštanje robotskog zavarivanja</t>
  </si>
  <si>
    <t>Programiranje robota i testovi</t>
  </si>
  <si>
    <t>ARS-CAPEX-0072</t>
  </si>
  <si>
    <t>7.7</t>
  </si>
  <si>
    <t>Instalacija vakuum peći</t>
  </si>
  <si>
    <t>Montaža i povezivanje peći</t>
  </si>
  <si>
    <t>Kritična oprema</t>
  </si>
  <si>
    <t>ARS-CAPEX-0073</t>
  </si>
  <si>
    <t>7.8</t>
  </si>
  <si>
    <t>Puštanje test stanice</t>
  </si>
  <si>
    <t>Kalibracija i funkcionalni testovi</t>
  </si>
  <si>
    <t>QA sistem</t>
  </si>
  <si>
    <t>ARS-CAPEX-0074</t>
  </si>
  <si>
    <t>7.9</t>
  </si>
  <si>
    <t>Integracija SCADA/MES sistema</t>
  </si>
  <si>
    <t>Softverska integracija proizvodnje</t>
  </si>
  <si>
    <t>Digital factory</t>
  </si>
  <si>
    <t>ARS-CAPEX-0075</t>
  </si>
  <si>
    <t>7.10</t>
  </si>
  <si>
    <t>Probna proizvodnja</t>
  </si>
  <si>
    <t>Testne serije proizvoda</t>
  </si>
  <si>
    <t>Trial run</t>
  </si>
  <si>
    <t>BOQ_Ops</t>
  </si>
  <si>
    <t>ARS-CAPEX-0076</t>
  </si>
  <si>
    <t>7.11</t>
  </si>
  <si>
    <t>Obuka radnika</t>
  </si>
  <si>
    <t>Tehnička obuka operatera</t>
  </si>
  <si>
    <t>HR</t>
  </si>
  <si>
    <t>OEM training</t>
  </si>
  <si>
    <t>BOQ_HR</t>
  </si>
  <si>
    <t>ARS-CAPEX-0077</t>
  </si>
  <si>
    <t>7.12</t>
  </si>
  <si>
    <t>Tehnička dokumentacija</t>
  </si>
  <si>
    <t>Priručnici, sertifikati</t>
  </si>
  <si>
    <t>Dokumentacija</t>
  </si>
  <si>
    <t>ARS-CAPEX-0078</t>
  </si>
  <si>
    <t>7.13</t>
  </si>
  <si>
    <t>Tehnički prijem opreme</t>
  </si>
  <si>
    <t>Finalni pregled i potvrda rada</t>
  </si>
  <si>
    <t>Acceptance test</t>
  </si>
  <si>
    <t>ARS-CAPEX-0079</t>
  </si>
  <si>
    <t>TS.1</t>
  </si>
  <si>
    <t>Energetska infrastruktura</t>
  </si>
  <si>
    <t>Projektovanje trafostanice</t>
  </si>
  <si>
    <t>Elektro projekat TS 10(20)/0.4 kV sa proračunima</t>
  </si>
  <si>
    <t>Dugotrajna imovina - Elektro postrojenja</t>
  </si>
  <si>
    <t>Obavezno za priključak</t>
  </si>
  <si>
    <t>ARS-CAPEX-0080</t>
  </si>
  <si>
    <t>TS.2</t>
  </si>
  <si>
    <t>Građevinski radovi trafostanice</t>
  </si>
  <si>
    <t>Temelji, objekat i betonska platforma</t>
  </si>
  <si>
    <t>TS objekat</t>
  </si>
  <si>
    <t>ARS-CAPEX-0081</t>
  </si>
  <si>
    <t>TS.3</t>
  </si>
  <si>
    <t>Energetski transformator</t>
  </si>
  <si>
    <t>Transformator 10(20)/0.4 kV 1000–1600 kVA</t>
  </si>
  <si>
    <t>Dugotrajna imovina - Elektro oprema</t>
  </si>
  <si>
    <t>ARS-CAPEX-0082</t>
  </si>
  <si>
    <t>TS.4</t>
  </si>
  <si>
    <t>SN postrojenje</t>
  </si>
  <si>
    <t>Srednjenaponske ćelije i zaštita</t>
  </si>
  <si>
    <t>Distribucija</t>
  </si>
  <si>
    <t>ARS-CAPEX-0083</t>
  </si>
  <si>
    <t>TS.5</t>
  </si>
  <si>
    <t>NN razvod</t>
  </si>
  <si>
    <t>Niskonaponski razvodni ormari</t>
  </si>
  <si>
    <t>Interna mreža</t>
  </si>
  <si>
    <t>ARS-CAPEX-0084</t>
  </si>
  <si>
    <t>TS.6</t>
  </si>
  <si>
    <t>Kablovski vodovi</t>
  </si>
  <si>
    <t>SN i NN kablovi do objekta</t>
  </si>
  <si>
    <t>Priključak</t>
  </si>
  <si>
    <t>ARS-CAPEX-0085</t>
  </si>
  <si>
    <t>TS.7</t>
  </si>
  <si>
    <t>Uzemljenje i zaštita</t>
  </si>
  <si>
    <t>Uzemljenje trafostanice i gromobranska zaštita</t>
  </si>
  <si>
    <t>ARS-CAPEX-0086</t>
  </si>
  <si>
    <t>TS.8</t>
  </si>
  <si>
    <t>Montaža trafostanice</t>
  </si>
  <si>
    <t>Mehanička i elektro montaža opreme</t>
  </si>
  <si>
    <t>Instalacija</t>
  </si>
  <si>
    <t>ARS-CAPEX-0087</t>
  </si>
  <si>
    <t>TS.9</t>
  </si>
  <si>
    <t>Testiranje i puštanje u rad</t>
  </si>
  <si>
    <t>Funkcionalni testovi i mjerenja</t>
  </si>
  <si>
    <t>Commissioning</t>
  </si>
  <si>
    <t>ARS-CAPEX-0088</t>
  </si>
  <si>
    <t>TS.10</t>
  </si>
  <si>
    <t>Priključna taksa elektrodistribuciji</t>
  </si>
  <si>
    <t>Naknada operatoru mreže</t>
  </si>
  <si>
    <t>CEDIS</t>
  </si>
  <si>
    <t>ARS-CAPEX-0089</t>
  </si>
  <si>
    <t>8.1</t>
  </si>
  <si>
    <t>Implementacija standarda</t>
  </si>
  <si>
    <t>ISO 9001 implementacija</t>
  </si>
  <si>
    <t>Sistem upravljanja kvalitetom</t>
  </si>
  <si>
    <t>Osnovni standard</t>
  </si>
  <si>
    <t>BOQ_QA</t>
  </si>
  <si>
    <t>ARS-CAPEX-0090</t>
  </si>
  <si>
    <t>8.2</t>
  </si>
  <si>
    <t>ISO 14001 implementacija</t>
  </si>
  <si>
    <t>Sistem zaštite životne sredine</t>
  </si>
  <si>
    <t>ESG</t>
  </si>
  <si>
    <t>ARS-CAPEX-0091</t>
  </si>
  <si>
    <t>8.3</t>
  </si>
  <si>
    <t>ISO 45001 implementacija</t>
  </si>
  <si>
    <t>Sistem zaštite na radu</t>
  </si>
  <si>
    <t>Bezbijednost</t>
  </si>
  <si>
    <t>ARS-CAPEX-0092</t>
  </si>
  <si>
    <t>8.4</t>
  </si>
  <si>
    <t>EN 1090 sertifikacija</t>
  </si>
  <si>
    <t>Standard za čelične konstrukcije</t>
  </si>
  <si>
    <t>Metalni proizvodi</t>
  </si>
  <si>
    <t>ARS-CAPEX-0093</t>
  </si>
  <si>
    <t>8.5</t>
  </si>
  <si>
    <t>ISO 3834 sertifikacija</t>
  </si>
  <si>
    <t>Sertifikat za zavarivanje</t>
  </si>
  <si>
    <t>Ključno za tankove</t>
  </si>
  <si>
    <t>ARS-CAPEX-0094</t>
  </si>
  <si>
    <t>8.6</t>
  </si>
  <si>
    <t>IEC standardi za transformatore</t>
  </si>
  <si>
    <t>Usklađivanje sa IEC normama</t>
  </si>
  <si>
    <t>Izvoz</t>
  </si>
  <si>
    <t>ARS-CAPEX-0095</t>
  </si>
  <si>
    <t>8.7</t>
  </si>
  <si>
    <t>Laboratorijska oprema QA/QC</t>
  </si>
  <si>
    <t>Oprema za kontrolu kvaliteta</t>
  </si>
  <si>
    <t>Dugotrajna imovina - Oprema</t>
  </si>
  <si>
    <t>Testiranje</t>
  </si>
  <si>
    <t>ARS-CAPEX-0096</t>
  </si>
  <si>
    <t>8.8</t>
  </si>
  <si>
    <t>Obuka zaposlenih za standarde</t>
  </si>
  <si>
    <t>Trening i sertifikacija osoblja</t>
  </si>
  <si>
    <t>Kompetencije</t>
  </si>
  <si>
    <t>ARS-CAPEX-0097</t>
  </si>
  <si>
    <t>8.9</t>
  </si>
  <si>
    <t>Audit i sertifikaciona tijela</t>
  </si>
  <si>
    <t>Troškovi audit kuće</t>
  </si>
  <si>
    <t>Sertifikacija</t>
  </si>
  <si>
    <t>ARS-CAPEX-0098</t>
  </si>
  <si>
    <t>8.10</t>
  </si>
  <si>
    <t>CE označavanje proizvoda</t>
  </si>
  <si>
    <t>CE deklaracije i dokumentacija</t>
  </si>
  <si>
    <t>EU tržište</t>
  </si>
  <si>
    <t>ARS-CAPEX-0099</t>
  </si>
  <si>
    <t>8.11</t>
  </si>
  <si>
    <t>Dokumentacioni sistem</t>
  </si>
  <si>
    <t>Procedura, uputstva, softver</t>
  </si>
  <si>
    <t>QMS</t>
  </si>
  <si>
    <t>ARS-CAPEX-0100</t>
  </si>
  <si>
    <t>ADM.1</t>
  </si>
  <si>
    <t>Opremljanje kancelarija</t>
  </si>
  <si>
    <t>Kancelarijski namještaj</t>
  </si>
  <si>
    <t>Stolovi, ormari, radne stanice (500 m²)</t>
  </si>
  <si>
    <t>Dugotrajna imovina - Namještaj</t>
  </si>
  <si>
    <t>Radna mjesta</t>
  </si>
  <si>
    <t>ARS-CAPEX-0101</t>
  </si>
  <si>
    <t>ADM.2</t>
  </si>
  <si>
    <t>Direkcijski namještaj</t>
  </si>
  <si>
    <t>Uprava, menadžment kancelarije</t>
  </si>
  <si>
    <t>Uprava</t>
  </si>
  <si>
    <t>Premium segment</t>
  </si>
  <si>
    <t>ARS-CAPEX-0102</t>
  </si>
  <si>
    <t>ADM.3</t>
  </si>
  <si>
    <t>Konferencijska sala</t>
  </si>
  <si>
    <t>Sto, stolice, prezentaciona oprema</t>
  </si>
  <si>
    <t>Sastanci</t>
  </si>
  <si>
    <t>ARS-CAPEX-0103</t>
  </si>
  <si>
    <t>ADM.4</t>
  </si>
  <si>
    <t>Recepcija i čekaonica</t>
  </si>
  <si>
    <t>Pult, sofa, dekoracija</t>
  </si>
  <si>
    <t>Ulazni prostor</t>
  </si>
  <si>
    <t>ARS-CAPEX-0104</t>
  </si>
  <si>
    <t>ADM.5</t>
  </si>
  <si>
    <t>IT oprema</t>
  </si>
  <si>
    <t>Računari, monitori, server</t>
  </si>
  <si>
    <t>Dugotrajna imovina - IT oprema</t>
  </si>
  <si>
    <t>Digitalni sistem</t>
  </si>
  <si>
    <t>ARS-CAPEX-0105</t>
  </si>
  <si>
    <t>ADM.6</t>
  </si>
  <si>
    <t>Mrežna infrastruktura</t>
  </si>
  <si>
    <t>LAN, rack ormari, switch</t>
  </si>
  <si>
    <t>IT</t>
  </si>
  <si>
    <t>Data mreža</t>
  </si>
  <si>
    <t>ARS-CAPEX-0106</t>
  </si>
  <si>
    <t>ADM.7</t>
  </si>
  <si>
    <t>Telefonski sistem</t>
  </si>
  <si>
    <t>VoIP centrala i uređaji</t>
  </si>
  <si>
    <t>Komunikacija</t>
  </si>
  <si>
    <t>ARS-CAPEX-0107</t>
  </si>
  <si>
    <t>ADM.8</t>
  </si>
  <si>
    <t>Kuhinja i kantina</t>
  </si>
  <si>
    <t>Kuhinjska oprema i namještaj</t>
  </si>
  <si>
    <t>Zaposleni</t>
  </si>
  <si>
    <t>ARS-CAPEX-0108</t>
  </si>
  <si>
    <t>ADM.9</t>
  </si>
  <si>
    <t>Rasvjeta kancelarija</t>
  </si>
  <si>
    <t>LED rasvjeta i instalacije</t>
  </si>
  <si>
    <t>Dugotrajna imovina - Elektro</t>
  </si>
  <si>
    <t>Energetska efikasnost</t>
  </si>
  <si>
    <t>ARS-CAPEX-0109</t>
  </si>
  <si>
    <t>ADM.10</t>
  </si>
  <si>
    <t>Klimatizacija kancelarija</t>
  </si>
  <si>
    <t>Split sistemi / VRV</t>
  </si>
  <si>
    <t>Komfort</t>
  </si>
  <si>
    <t>ARS-CAPEX-0110</t>
  </si>
  <si>
    <t>ADM.11</t>
  </si>
  <si>
    <t>Sigurnosni sistem</t>
  </si>
  <si>
    <t>Video nadzor, kontrola pristupa</t>
  </si>
  <si>
    <t>Security</t>
  </si>
  <si>
    <t>ARS-CAPEX-0111</t>
  </si>
  <si>
    <t>ADM.12</t>
  </si>
  <si>
    <t>Dekoracija i završni elementi</t>
  </si>
  <si>
    <t>Zavjese, tepisi, dekor</t>
  </si>
  <si>
    <t>Estetika</t>
  </si>
  <si>
    <t>ARS-CAPEX-0112</t>
  </si>
  <si>
    <t>LAB.1</t>
  </si>
  <si>
    <t>Laboratorija</t>
  </si>
  <si>
    <t>Visokonaponska test oprema</t>
  </si>
  <si>
    <t>Testiranje izolacije i napona transformatora</t>
  </si>
  <si>
    <t>IEC standardi</t>
  </si>
  <si>
    <t>BOQ_Lab</t>
  </si>
  <si>
    <t>ARS-CAPEX-0113</t>
  </si>
  <si>
    <t>LAB.2</t>
  </si>
  <si>
    <t>Mjerni instrumenti</t>
  </si>
  <si>
    <t>Multimetri, analizatori, mjerni sistemi</t>
  </si>
  <si>
    <t>Kontrola kvaliteta</t>
  </si>
  <si>
    <t>ARS-CAPEX-0114</t>
  </si>
  <si>
    <t>LAB.3</t>
  </si>
  <si>
    <t>Test stolovi i radne stanice</t>
  </si>
  <si>
    <t>Industrijski stolovi i priključci</t>
  </si>
  <si>
    <t>Laboratorijski rad</t>
  </si>
  <si>
    <t>ARS-CAPEX-0115</t>
  </si>
  <si>
    <t>LAB.4</t>
  </si>
  <si>
    <t>Softver za testiranje</t>
  </si>
  <si>
    <t>Software za analizu rezultata</t>
  </si>
  <si>
    <t>Digital QA</t>
  </si>
  <si>
    <t>ARS-CAPEX-0116</t>
  </si>
  <si>
    <t>LAB.5</t>
  </si>
  <si>
    <t>Sigurnosna oprema laboratorije</t>
  </si>
  <si>
    <t>Zaštita, izolacija, sigurnosni sistemi</t>
  </si>
  <si>
    <t>ARS-CAPEX-0117</t>
  </si>
  <si>
    <t>SHR.1</t>
  </si>
  <si>
    <t>Showroom</t>
  </si>
  <si>
    <t>Izložbeni prostor uređenje</t>
  </si>
  <si>
    <t>Podovi, rasvjeta, zidovi</t>
  </si>
  <si>
    <t>Marketing</t>
  </si>
  <si>
    <t>Prezentacija</t>
  </si>
  <si>
    <t>ARS-CAPEX-0118</t>
  </si>
  <si>
    <t>SHR.2</t>
  </si>
  <si>
    <t>Postolja za transformatore</t>
  </si>
  <si>
    <t>Industrijski nosači i platforme</t>
  </si>
  <si>
    <t>Izlaganje</t>
  </si>
  <si>
    <t>ARS-CAPEX-0119</t>
  </si>
  <si>
    <t>SHR.3</t>
  </si>
  <si>
    <t>Multimedijalna oprema</t>
  </si>
  <si>
    <t>Video zid, projektor, audio</t>
  </si>
  <si>
    <t>Prezentacije</t>
  </si>
  <si>
    <t>ARS-CAPEX-0120</t>
  </si>
  <si>
    <t>SHR.4</t>
  </si>
  <si>
    <t>Namještaj showrooma</t>
  </si>
  <si>
    <t>Stolice, stolovi, recepcija</t>
  </si>
  <si>
    <t>Posjete kupaca</t>
  </si>
  <si>
    <t>ARS-CAPEX-0121</t>
  </si>
  <si>
    <t>SHR.5</t>
  </si>
  <si>
    <t>Branding i vizuelni elementi</t>
  </si>
  <si>
    <t>Logo, paneli, grafika</t>
  </si>
  <si>
    <t>Brend</t>
  </si>
  <si>
    <t>ARS-CAPEX-0122</t>
  </si>
  <si>
    <t>TRN.1</t>
  </si>
  <si>
    <t>Trening centar</t>
  </si>
  <si>
    <t>Učionice i prostor</t>
  </si>
  <si>
    <t>Stolovi, stolice, tabla</t>
  </si>
  <si>
    <t>Edukacija</t>
  </si>
  <si>
    <t>ARS-CAPEX-0123</t>
  </si>
  <si>
    <t>TRN.2</t>
  </si>
  <si>
    <t>Projektor, ekrani</t>
  </si>
  <si>
    <t>ARS-CAPEX-0124</t>
  </si>
  <si>
    <t>TRN.3</t>
  </si>
  <si>
    <t>Simulaciona oprema</t>
  </si>
  <si>
    <t>Demonstracioni modeli</t>
  </si>
  <si>
    <t>Tehnička obuka</t>
  </si>
  <si>
    <t>ARS-CAPEX-0125</t>
  </si>
  <si>
    <t>TRN.4</t>
  </si>
  <si>
    <t>Softver za obuku</t>
  </si>
  <si>
    <t>Digitalni trening sistemi</t>
  </si>
  <si>
    <t>Digital learning</t>
  </si>
  <si>
    <t>ARS-CAPEX-0126</t>
  </si>
  <si>
    <t>TRN.5</t>
  </si>
  <si>
    <t>Sigurnosna oprema</t>
  </si>
  <si>
    <t>Zaštitna oprema za trening</t>
  </si>
  <si>
    <t>Safety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</si>
</sst>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€#,##0"/>
    <numFmt numFmtId="166" formatCode="dd\.mm\.yyyy\ hh:mm"/>
    <numFmt numFmtId="167" formatCode="0.00\x"/>
    <numFmt numFmtId="168" formatCode="\€#,##0.00"/>
    <numFmt numFmtId="170" formatCode="dd\-mm\-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u/>
      <sz val="11"/>
      <color rgb="FF0000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B4C7E7"/>
      </patternFill>
    </fill>
    <fill>
      <patternFill patternType="solid">
        <fgColor rgb="FFE2F0D9"/>
      </patternFill>
    </fill>
    <fill>
      <patternFill patternType="solid">
        <fgColor rgb="FFF8F9FA"/>
      </patternFill>
    </fill>
    <fill>
      <patternFill patternType="solid">
        <fgColor rgb="FF004682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1" xfId="0" applyBorder="1"/>
    <xf numFmtId="1" fontId="4" fillId="4" borderId="1" xfId="0" applyNumberFormat="1" applyFont="1" applyFill="1" applyBorder="1"/>
    <xf numFmtId="0" fontId="0" fillId="0" borderId="1" xfId="0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  <xf numFmtId="2" fontId="4" fillId="4" borderId="1" xfId="0" applyNumberFormat="1" applyFont="1" applyFill="1" applyBorder="1"/>
    <xf numFmtId="1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1" fillId="0" borderId="1" xfId="0" applyFont="1" applyBorder="1"/>
    <xf numFmtId="0" fontId="5" fillId="2" borderId="0" xfId="0" applyFont="1" applyFill="1"/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7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/>
    <xf numFmtId="16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/>
    <xf numFmtId="164" fontId="3" fillId="3" borderId="1" xfId="0" applyNumberFormat="1" applyFont="1" applyFill="1" applyBorder="1"/>
    <xf numFmtId="166" fontId="4" fillId="4" borderId="1" xfId="0" applyNumberFormat="1" applyFont="1" applyFill="1" applyBorder="1"/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4" fillId="4" borderId="1" xfId="0" applyNumberFormat="1" applyFont="1" applyFill="1" applyBorder="1"/>
    <xf numFmtId="165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168" fontId="0" fillId="0" borderId="5" xfId="0" applyNumberFormat="1" applyBorder="1" applyAlignment="1">
      <alignment vertical="top"/>
    </xf>
    <xf numFmtId="170" fontId="0" fillId="0" borderId="5" xfId="0" applyNumberFormat="1" applyBorder="1" applyAlignment="1">
      <alignment vertical="top"/>
    </xf>
    <xf numFmtId="0" fontId="6" fillId="2" borderId="0" xfId="0" applyFont="1" applyFill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Revenue (€)None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Dashboard_2.0!C11</c:f>
              <c:strCache>
                <c:ptCount val="1"/>
                <c:pt idx="0">
                  <c:v>Revenue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Dashboard_2.0!$B$12:$B$14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Dashboard_2.0!$C$12:$C$14</c:f>
              <c:numCache>
                <c:formatCode>\€#,##0</c:formatCode>
                <c:ptCount val="3"/>
                <c:pt idx="0">
                  <c:v>2668050</c:v>
                </c:pt>
                <c:pt idx="1">
                  <c:v>4371963.7500000009</c:v>
                </c:pt>
                <c:pt idx="2">
                  <c:v>6561693.022499999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2-4247-B02E-B4D1EE6F0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EBITDA (€)None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Dashboard_2.0!D11</c:f>
              <c:strCache>
                <c:ptCount val="1"/>
                <c:pt idx="0">
                  <c:v>EBITDA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Dashboard_2.0!$B$12:$B$14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Dashboard_2.0!$D$12:$D$14</c:f>
              <c:numCache>
                <c:formatCode>\€#,##0</c:formatCode>
                <c:ptCount val="3"/>
                <c:pt idx="0">
                  <c:v>110498</c:v>
                </c:pt>
                <c:pt idx="1">
                  <c:v>711989.75000000047</c:v>
                </c:pt>
                <c:pt idx="2">
                  <c:v>1501117.2125000004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6-EC4D-B6E1-9EEF5407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DSCR (x)None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Dashboard_2.0!G11</c:f>
              <c:strCache>
                <c:ptCount val="1"/>
                <c:pt idx="0">
                  <c:v>DSCR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Dashboard_2.0!$F$12:$F$14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Dashboard_2.0!$G$12:$G$14</c:f>
              <c:numCache>
                <c:formatCode>0.00\x</c:formatCode>
                <c:ptCount val="3"/>
                <c:pt idx="0">
                  <c:v>0.30693888888888887</c:v>
                </c:pt>
                <c:pt idx="1">
                  <c:v>1.9777493055555568</c:v>
                </c:pt>
                <c:pt idx="2">
                  <c:v>4.9056118055555569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2-ED44-8F2C-52D7CFC48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2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5</xdr:col>
      <xdr:colOff>0</xdr:colOff>
      <xdr:row>14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zoomScaleSheetLayoutView="100" workbookViewId="0"/>
  </sheetViews>
  <sheetFormatPr defaultRowHeight="15" x14ac:dyDescent="0.2"/>
  <cols>
    <col min="1" max="1" width="32.015625" customWidth="1"/>
    <col min="2" max="2" width="18.0234375" customWidth="1"/>
    <col min="3" max="3" width="39.95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12000000</v>
      </c>
      <c r="C2" t="s">
        <v>4</v>
      </c>
    </row>
    <row r="3" spans="1:3" x14ac:dyDescent="0.2">
      <c r="A3" t="s">
        <v>5</v>
      </c>
      <c r="B3">
        <v>0.2</v>
      </c>
      <c r="C3" t="s">
        <v>6</v>
      </c>
    </row>
    <row r="4" spans="1:3" x14ac:dyDescent="0.2">
      <c r="A4" t="s">
        <v>7</v>
      </c>
      <c r="B4">
        <v>0.4</v>
      </c>
      <c r="C4" t="s">
        <v>8</v>
      </c>
    </row>
    <row r="5" spans="1:3" x14ac:dyDescent="0.2">
      <c r="A5" t="s">
        <v>9</v>
      </c>
      <c r="B5">
        <v>0.15</v>
      </c>
      <c r="C5" t="s">
        <v>10</v>
      </c>
    </row>
    <row r="6" spans="1:3" x14ac:dyDescent="0.2">
      <c r="A6" t="s">
        <v>11</v>
      </c>
      <c r="B6">
        <v>0.25</v>
      </c>
      <c r="C6" t="s">
        <v>12</v>
      </c>
    </row>
    <row r="7" spans="1:3" x14ac:dyDescent="0.2">
      <c r="A7" t="s">
        <v>13</v>
      </c>
      <c r="B7">
        <v>0.06</v>
      </c>
      <c r="C7" t="s">
        <v>14</v>
      </c>
    </row>
    <row r="8" spans="1:3" x14ac:dyDescent="0.2">
      <c r="A8" t="s">
        <v>15</v>
      </c>
      <c r="B8">
        <v>8</v>
      </c>
      <c r="C8" t="s">
        <v>16</v>
      </c>
    </row>
    <row r="9" spans="1:3" x14ac:dyDescent="0.2">
      <c r="A9" t="s">
        <v>17</v>
      </c>
      <c r="B9">
        <v>24</v>
      </c>
      <c r="C9" t="s">
        <v>18</v>
      </c>
    </row>
    <row r="10" spans="1:3" x14ac:dyDescent="0.2">
      <c r="A10" s="2" t="s">
        <v>19</v>
      </c>
      <c r="B10" s="3">
        <f>B9+Scenario_Manager!$B$23</f>
        <v>24</v>
      </c>
      <c r="C10" s="2" t="s">
        <v>20</v>
      </c>
    </row>
    <row r="11" spans="1:3" ht="21.95" customHeight="1" x14ac:dyDescent="0.2">
      <c r="A11" s="42" t="s">
        <v>21</v>
      </c>
      <c r="B11" s="43"/>
      <c r="C11" s="43"/>
    </row>
    <row r="12" spans="1:3" x14ac:dyDescent="0.2">
      <c r="A12" s="4" t="s">
        <v>22</v>
      </c>
      <c r="B12" s="5">
        <v>2026</v>
      </c>
      <c r="C12" s="4" t="s">
        <v>23</v>
      </c>
    </row>
    <row r="13" spans="1:3" x14ac:dyDescent="0.2">
      <c r="A13" s="4" t="s">
        <v>24</v>
      </c>
      <c r="B13" s="5">
        <v>8000</v>
      </c>
      <c r="C13" s="4" t="s">
        <v>25</v>
      </c>
    </row>
    <row r="14" spans="1:3" x14ac:dyDescent="0.2">
      <c r="A14" s="4" t="s">
        <v>26</v>
      </c>
      <c r="B14" s="5">
        <v>10000</v>
      </c>
      <c r="C14" s="4" t="s">
        <v>27</v>
      </c>
    </row>
    <row r="15" spans="1:3" x14ac:dyDescent="0.2">
      <c r="A15" s="4" t="s">
        <v>28</v>
      </c>
      <c r="B15" s="5">
        <v>12000</v>
      </c>
      <c r="C15" s="4" t="s">
        <v>29</v>
      </c>
    </row>
    <row r="16" spans="1:3" x14ac:dyDescent="0.2">
      <c r="A16" s="4" t="s">
        <v>30</v>
      </c>
      <c r="B16" s="25">
        <v>0.55000000000000004</v>
      </c>
      <c r="C16" s="4" t="s">
        <v>31</v>
      </c>
    </row>
    <row r="17" spans="1:3" x14ac:dyDescent="0.2">
      <c r="A17" s="4" t="s">
        <v>32</v>
      </c>
      <c r="B17" s="25">
        <v>0.7</v>
      </c>
      <c r="C17" s="4" t="s">
        <v>31</v>
      </c>
    </row>
    <row r="18" spans="1:3" x14ac:dyDescent="0.2">
      <c r="A18" s="4" t="s">
        <v>33</v>
      </c>
      <c r="B18" s="25">
        <v>0.85</v>
      </c>
      <c r="C18" s="4" t="s">
        <v>34</v>
      </c>
    </row>
    <row r="19" spans="1:3" x14ac:dyDescent="0.2">
      <c r="A19" s="4" t="s">
        <v>35</v>
      </c>
      <c r="B19" s="26">
        <v>525</v>
      </c>
      <c r="C19" s="4" t="s">
        <v>36</v>
      </c>
    </row>
    <row r="20" spans="1:3" x14ac:dyDescent="0.2">
      <c r="A20" s="4" t="s">
        <v>37</v>
      </c>
      <c r="B20" s="25">
        <v>0.03</v>
      </c>
      <c r="C20" s="4" t="s">
        <v>38</v>
      </c>
    </row>
    <row r="21" spans="1:3" x14ac:dyDescent="0.2">
      <c r="A21" s="4" t="s">
        <v>39</v>
      </c>
      <c r="B21" s="26">
        <v>45</v>
      </c>
      <c r="C21" s="4" t="s">
        <v>40</v>
      </c>
    </row>
    <row r="22" spans="1:3" x14ac:dyDescent="0.2">
      <c r="A22" s="4" t="s">
        <v>41</v>
      </c>
      <c r="B22" s="26">
        <v>35</v>
      </c>
      <c r="C22" s="4" t="s">
        <v>40</v>
      </c>
    </row>
    <row r="23" spans="1:3" x14ac:dyDescent="0.2">
      <c r="A23" s="4" t="s">
        <v>42</v>
      </c>
      <c r="B23" s="26">
        <v>280</v>
      </c>
      <c r="C23" s="4" t="s">
        <v>40</v>
      </c>
    </row>
    <row r="24" spans="1:3" x14ac:dyDescent="0.2">
      <c r="A24" s="4" t="s">
        <v>43</v>
      </c>
      <c r="B24" s="25">
        <v>2.5000000000000001E-2</v>
      </c>
      <c r="C24" s="4" t="s">
        <v>38</v>
      </c>
    </row>
    <row r="25" spans="1:3" x14ac:dyDescent="0.2">
      <c r="A25" s="4" t="s">
        <v>44</v>
      </c>
      <c r="B25" s="26">
        <v>850000</v>
      </c>
      <c r="C25" s="4" t="s">
        <v>45</v>
      </c>
    </row>
    <row r="26" spans="1:3" x14ac:dyDescent="0.2">
      <c r="A26" s="4" t="s">
        <v>46</v>
      </c>
      <c r="B26" s="25">
        <v>0.03</v>
      </c>
      <c r="C26" s="4" t="s">
        <v>38</v>
      </c>
    </row>
    <row r="27" spans="1:3" ht="21.95" customHeight="1" x14ac:dyDescent="0.2">
      <c r="A27" s="42" t="s">
        <v>47</v>
      </c>
      <c r="B27" s="43"/>
      <c r="C27" s="43"/>
    </row>
    <row r="28" spans="1:3" x14ac:dyDescent="0.2">
      <c r="A28" s="2" t="s">
        <v>48</v>
      </c>
      <c r="B28" s="27">
        <f>B2*Scenario_Manager!$B$22</f>
        <v>11760000</v>
      </c>
      <c r="C28" s="2" t="s">
        <v>49</v>
      </c>
    </row>
    <row r="29" spans="1:3" x14ac:dyDescent="0.2">
      <c r="A29" s="2" t="s">
        <v>50</v>
      </c>
      <c r="B29" s="28">
        <v>0.6</v>
      </c>
      <c r="C29" s="2" t="s">
        <v>51</v>
      </c>
    </row>
    <row r="30" spans="1:3" x14ac:dyDescent="0.2">
      <c r="A30" s="2" t="s">
        <v>52</v>
      </c>
      <c r="B30" s="28">
        <v>0.4</v>
      </c>
      <c r="C30" s="2" t="s">
        <v>53</v>
      </c>
    </row>
    <row r="31" spans="1:3" x14ac:dyDescent="0.2">
      <c r="A31" s="2" t="s">
        <v>54</v>
      </c>
      <c r="B31" s="28">
        <v>0</v>
      </c>
      <c r="C31" s="2" t="s">
        <v>55</v>
      </c>
    </row>
  </sheetData>
  <mergeCells count="2">
    <mergeCell ref="A27:C27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Normal="100" zoomScaleSheetLayoutView="100" workbookViewId="0"/>
  </sheetViews>
  <sheetFormatPr defaultRowHeight="15" x14ac:dyDescent="0.2"/>
  <cols>
    <col min="1" max="1" width="29.99609375" customWidth="1"/>
    <col min="2" max="7" width="18.0234375" customWidth="1"/>
  </cols>
  <sheetData>
    <row r="1" spans="1:7" ht="27.95" customHeight="1" x14ac:dyDescent="0.2">
      <c r="A1" s="44" t="s">
        <v>56</v>
      </c>
      <c r="B1" s="43"/>
      <c r="C1" s="43"/>
      <c r="D1" s="43"/>
      <c r="E1" s="43"/>
      <c r="F1" s="43"/>
      <c r="G1" s="43"/>
    </row>
    <row r="3" spans="1:7" x14ac:dyDescent="0.2">
      <c r="A3" s="1" t="s">
        <v>57</v>
      </c>
      <c r="B3" s="6" t="s">
        <v>58</v>
      </c>
      <c r="D3" s="1" t="s">
        <v>59</v>
      </c>
      <c r="E3" s="29">
        <f>NOW()</f>
        <v>46085.682626284724</v>
      </c>
    </row>
    <row r="5" spans="1:7" x14ac:dyDescent="0.2">
      <c r="A5" s="1" t="s">
        <v>60</v>
      </c>
    </row>
    <row r="6" spans="1:7" ht="20.100000000000001" customHeight="1" x14ac:dyDescent="0.2">
      <c r="A6" s="7" t="s">
        <v>40</v>
      </c>
      <c r="B6" s="7" t="s">
        <v>58</v>
      </c>
      <c r="C6" s="7" t="s">
        <v>61</v>
      </c>
      <c r="D6" s="7" t="s">
        <v>62</v>
      </c>
      <c r="E6" s="7" t="s">
        <v>63</v>
      </c>
      <c r="F6" s="7" t="s">
        <v>64</v>
      </c>
    </row>
    <row r="7" spans="1:7" x14ac:dyDescent="0.2">
      <c r="A7" s="4" t="s">
        <v>65</v>
      </c>
      <c r="B7" s="8">
        <v>1</v>
      </c>
      <c r="C7" s="8">
        <v>1.05</v>
      </c>
      <c r="D7" s="8">
        <v>0.85</v>
      </c>
      <c r="E7" s="8">
        <v>1</v>
      </c>
      <c r="F7" s="8">
        <v>0.7</v>
      </c>
    </row>
    <row r="8" spans="1:7" x14ac:dyDescent="0.2">
      <c r="A8" s="4" t="s">
        <v>66</v>
      </c>
      <c r="B8" s="8">
        <v>1</v>
      </c>
      <c r="C8" s="8">
        <v>1.1000000000000001</v>
      </c>
      <c r="D8" s="8">
        <v>0.9</v>
      </c>
      <c r="E8" s="8">
        <v>0.85</v>
      </c>
      <c r="F8" s="8">
        <v>0.9</v>
      </c>
    </row>
    <row r="9" spans="1:7" x14ac:dyDescent="0.2">
      <c r="A9" s="4" t="s">
        <v>67</v>
      </c>
      <c r="B9" s="8">
        <v>1</v>
      </c>
      <c r="C9" s="8">
        <v>0.98</v>
      </c>
      <c r="D9" s="8">
        <v>1.1000000000000001</v>
      </c>
      <c r="E9" s="8">
        <v>1.1000000000000001</v>
      </c>
      <c r="F9" s="8">
        <v>1.25</v>
      </c>
    </row>
    <row r="10" spans="1:7" x14ac:dyDescent="0.2">
      <c r="A10" s="4" t="s">
        <v>68</v>
      </c>
      <c r="B10" s="8">
        <v>1</v>
      </c>
      <c r="C10" s="8">
        <v>1</v>
      </c>
      <c r="D10" s="8">
        <v>1.05</v>
      </c>
      <c r="E10" s="8">
        <v>1.05</v>
      </c>
      <c r="F10" s="8">
        <v>1.1000000000000001</v>
      </c>
    </row>
    <row r="11" spans="1:7" x14ac:dyDescent="0.2">
      <c r="A11" s="4" t="s">
        <v>69</v>
      </c>
      <c r="B11" s="8">
        <v>1</v>
      </c>
      <c r="C11" s="8">
        <v>0.98</v>
      </c>
      <c r="D11" s="8">
        <v>1.05</v>
      </c>
      <c r="E11" s="8">
        <v>1.05</v>
      </c>
      <c r="F11" s="8">
        <v>1.1000000000000001</v>
      </c>
    </row>
    <row r="12" spans="1:7" x14ac:dyDescent="0.2">
      <c r="A12" s="4" t="s">
        <v>70</v>
      </c>
      <c r="B12" s="9">
        <v>0</v>
      </c>
      <c r="C12" s="9">
        <v>0</v>
      </c>
      <c r="D12" s="9">
        <v>0</v>
      </c>
      <c r="E12" s="9">
        <v>6</v>
      </c>
      <c r="F12" s="9">
        <v>0</v>
      </c>
    </row>
    <row r="13" spans="1:7" x14ac:dyDescent="0.2">
      <c r="A13" s="4" t="s">
        <v>71</v>
      </c>
      <c r="B13" s="10" t="s">
        <v>72</v>
      </c>
      <c r="C13" s="10" t="s">
        <v>72</v>
      </c>
      <c r="D13" s="10" t="s">
        <v>72</v>
      </c>
      <c r="E13" s="10" t="s">
        <v>72</v>
      </c>
      <c r="F13" s="10" t="s">
        <v>72</v>
      </c>
    </row>
    <row r="16" spans="1:7" x14ac:dyDescent="0.2">
      <c r="A16" s="1" t="s">
        <v>73</v>
      </c>
    </row>
    <row r="17" spans="1:5" ht="20.100000000000001" customHeight="1" x14ac:dyDescent="0.2">
      <c r="A17" s="7" t="s">
        <v>40</v>
      </c>
      <c r="B17" s="7" t="s">
        <v>74</v>
      </c>
      <c r="D17" s="1" t="s">
        <v>75</v>
      </c>
      <c r="E17" s="11">
        <f>MATCH($B$3,$B$6:$G$6,0)+1</f>
        <v>2</v>
      </c>
    </row>
    <row r="18" spans="1:5" x14ac:dyDescent="0.2">
      <c r="A18" s="4" t="s">
        <v>65</v>
      </c>
      <c r="B18" s="12">
        <f>INDEX($B$7:$G$12, MATCH(A18, $A$7:$A$12,0), $E$17)</f>
        <v>1.05</v>
      </c>
    </row>
    <row r="19" spans="1:5" x14ac:dyDescent="0.2">
      <c r="A19" s="4" t="s">
        <v>66</v>
      </c>
      <c r="B19" s="12">
        <f>INDEX($B$7:$G$12, MATCH(A19, $A$7:$A$12,0), $E$17)</f>
        <v>1.1000000000000001</v>
      </c>
    </row>
    <row r="20" spans="1:5" x14ac:dyDescent="0.2">
      <c r="A20" s="4" t="s">
        <v>67</v>
      </c>
      <c r="B20" s="12">
        <f>INDEX($B$7:$G$12, MATCH(A20, $A$7:$A$12,0), $E$17)</f>
        <v>0.98</v>
      </c>
    </row>
    <row r="21" spans="1:5" x14ac:dyDescent="0.2">
      <c r="A21" s="4" t="s">
        <v>68</v>
      </c>
      <c r="B21" s="12">
        <f>INDEX($B$7:$G$12, MATCH(A21, $A$7:$A$12,0), $E$17)</f>
        <v>1</v>
      </c>
    </row>
    <row r="22" spans="1:5" x14ac:dyDescent="0.2">
      <c r="A22" s="4" t="s">
        <v>69</v>
      </c>
      <c r="B22" s="12">
        <f>INDEX($B$7:$G$12, MATCH(A22, $A$7:$A$12,0), $E$17)</f>
        <v>0.98</v>
      </c>
    </row>
    <row r="23" spans="1:5" x14ac:dyDescent="0.2">
      <c r="A23" s="4" t="s">
        <v>70</v>
      </c>
      <c r="B23" s="3">
        <f>INDEX($B$7:$G$12, MATCH(A23, $A$7:$A$12,0), $E$17)</f>
        <v>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zoomScaleSheetLayoutView="100" workbookViewId="0"/>
  </sheetViews>
  <sheetFormatPr defaultRowHeight="15" x14ac:dyDescent="0.2"/>
  <cols>
    <col min="1" max="1" width="25.9609375" customWidth="1"/>
    <col min="2" max="6" width="16.0078125" customWidth="1"/>
  </cols>
  <sheetData>
    <row r="1" spans="1:6" ht="27.95" customHeight="1" x14ac:dyDescent="0.2">
      <c r="A1" s="44" t="s">
        <v>76</v>
      </c>
      <c r="B1" s="43"/>
      <c r="C1" s="43"/>
      <c r="D1" s="43"/>
      <c r="E1" s="43"/>
      <c r="F1" s="43"/>
    </row>
    <row r="3" spans="1:6" ht="20.100000000000001" customHeight="1" x14ac:dyDescent="0.2">
      <c r="A3" s="7" t="s">
        <v>77</v>
      </c>
      <c r="B3" s="7" t="s">
        <v>78</v>
      </c>
      <c r="C3" s="7" t="s">
        <v>79</v>
      </c>
      <c r="D3" s="7" t="s">
        <v>80</v>
      </c>
      <c r="E3" s="7" t="s">
        <v>81</v>
      </c>
    </row>
    <row r="4" spans="1:6" x14ac:dyDescent="0.2">
      <c r="A4" s="13">
        <f>Assumptions!$B$12+0</f>
        <v>2026</v>
      </c>
      <c r="B4" s="14">
        <f>Assumptions!$B$13</f>
        <v>8000</v>
      </c>
      <c r="C4" s="30">
        <f>Assumptions!$B$16</f>
        <v>0.55000000000000004</v>
      </c>
      <c r="D4" s="15">
        <f>Scenario_Manager!$B$19</f>
        <v>1.1000000000000001</v>
      </c>
      <c r="E4" s="14">
        <f>B4*C4*D4</f>
        <v>4840</v>
      </c>
    </row>
    <row r="5" spans="1:6" x14ac:dyDescent="0.2">
      <c r="A5" s="13">
        <f>Assumptions!$B$12+1</f>
        <v>2027</v>
      </c>
      <c r="B5" s="14">
        <f>Assumptions!$B$14</f>
        <v>10000</v>
      </c>
      <c r="C5" s="30">
        <f>Assumptions!$B$17</f>
        <v>0.7</v>
      </c>
      <c r="D5" s="15">
        <f>Scenario_Manager!$B$19</f>
        <v>1.1000000000000001</v>
      </c>
      <c r="E5" s="14">
        <f>B5*C5*D5</f>
        <v>7700.0000000000009</v>
      </c>
    </row>
    <row r="6" spans="1:6" x14ac:dyDescent="0.2">
      <c r="A6" s="13">
        <f>Assumptions!$B$12+2</f>
        <v>2028</v>
      </c>
      <c r="B6" s="14">
        <f>Assumptions!$B$15</f>
        <v>12000</v>
      </c>
      <c r="C6" s="30">
        <f>Assumptions!$B$18</f>
        <v>0.85</v>
      </c>
      <c r="D6" s="15">
        <f>Scenario_Manager!$B$19</f>
        <v>1.1000000000000001</v>
      </c>
      <c r="E6" s="14">
        <f>B6*C6*D6</f>
        <v>11220</v>
      </c>
    </row>
    <row r="8" spans="1:6" x14ac:dyDescent="0.2">
      <c r="A8" s="1" t="s">
        <v>2</v>
      </c>
    </row>
    <row r="9" spans="1:6" x14ac:dyDescent="0.2">
      <c r="A9" s="45" t="s">
        <v>82</v>
      </c>
      <c r="B9" s="43"/>
      <c r="C9" s="43"/>
      <c r="D9" s="43"/>
      <c r="E9" s="43"/>
      <c r="F9" s="43"/>
    </row>
  </sheetData>
  <mergeCells count="2">
    <mergeCell ref="A1:F1"/>
    <mergeCell ref="A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zoomScaleSheetLayoutView="100" workbookViewId="0"/>
  </sheetViews>
  <sheetFormatPr defaultRowHeight="15" x14ac:dyDescent="0.2"/>
  <cols>
    <col min="1" max="1" width="20.04296875" customWidth="1"/>
    <col min="2" max="6" width="18.0234375" customWidth="1"/>
  </cols>
  <sheetData>
    <row r="1" spans="1:6" ht="27.95" customHeight="1" x14ac:dyDescent="0.2">
      <c r="A1" s="44" t="s">
        <v>83</v>
      </c>
      <c r="B1" s="43"/>
      <c r="C1" s="43"/>
      <c r="D1" s="43"/>
      <c r="E1" s="43"/>
      <c r="F1" s="43"/>
    </row>
    <row r="3" spans="1:6" ht="20.100000000000001" customHeight="1" x14ac:dyDescent="0.2">
      <c r="A3" s="7" t="s">
        <v>77</v>
      </c>
      <c r="B3" s="7" t="s">
        <v>81</v>
      </c>
      <c r="C3" s="7" t="s">
        <v>84</v>
      </c>
      <c r="D3" s="7" t="s">
        <v>85</v>
      </c>
      <c r="E3" s="7" t="s">
        <v>86</v>
      </c>
      <c r="F3" s="7" t="s">
        <v>87</v>
      </c>
    </row>
    <row r="4" spans="1:6" x14ac:dyDescent="0.2">
      <c r="A4" s="13">
        <f>Assumptions!$B$12+0</f>
        <v>2026</v>
      </c>
      <c r="B4" s="14">
        <f>Production_Drivers!E4</f>
        <v>4840</v>
      </c>
      <c r="C4" s="31">
        <f>Assumptions!$B$19*(1+Assumptions!$B$20)^0</f>
        <v>525</v>
      </c>
      <c r="D4" s="15">
        <f>Scenario_Manager!$B$18</f>
        <v>1.05</v>
      </c>
      <c r="E4" s="31">
        <f>C4*D4</f>
        <v>551.25</v>
      </c>
      <c r="F4" s="31">
        <f>B4*E4</f>
        <v>2668050</v>
      </c>
    </row>
    <row r="5" spans="1:6" x14ac:dyDescent="0.2">
      <c r="A5" s="13">
        <f>Assumptions!$B$12+1</f>
        <v>2027</v>
      </c>
      <c r="B5" s="14">
        <f>Production_Drivers!E5</f>
        <v>7700.0000000000009</v>
      </c>
      <c r="C5" s="31">
        <f>Assumptions!$B$19*(1+Assumptions!$B$20)^1</f>
        <v>540.75</v>
      </c>
      <c r="D5" s="15">
        <f>Scenario_Manager!$B$18</f>
        <v>1.05</v>
      </c>
      <c r="E5" s="31">
        <f>C5*D5</f>
        <v>567.78750000000002</v>
      </c>
      <c r="F5" s="31">
        <f>B5*E5</f>
        <v>4371963.7500000009</v>
      </c>
    </row>
    <row r="6" spans="1:6" x14ac:dyDescent="0.2">
      <c r="A6" s="13">
        <f>Assumptions!$B$12+2</f>
        <v>2028</v>
      </c>
      <c r="B6" s="14">
        <f>Production_Drivers!E6</f>
        <v>11220</v>
      </c>
      <c r="C6" s="31">
        <f>Assumptions!$B$19*(1+Assumptions!$B$20)^2</f>
        <v>556.97249999999997</v>
      </c>
      <c r="D6" s="15">
        <f>Scenario_Manager!$B$18</f>
        <v>1.05</v>
      </c>
      <c r="E6" s="31">
        <f>C6*D6</f>
        <v>584.82112499999994</v>
      </c>
      <c r="F6" s="31">
        <f>B6*E6</f>
        <v>6561693.022499999</v>
      </c>
    </row>
    <row r="8" spans="1:6" x14ac:dyDescent="0.2">
      <c r="A8" s="16" t="s">
        <v>88</v>
      </c>
      <c r="B8" s="46">
        <f>(F6/F4)^(1/2)-1</f>
        <v>0.56823438647068647</v>
      </c>
      <c r="C8" s="47"/>
    </row>
  </sheetData>
  <mergeCells count="2">
    <mergeCell ref="B8:C8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zoomScaleNormal="100" zoomScaleSheetLayoutView="100" workbookViewId="0"/>
  </sheetViews>
  <sheetFormatPr defaultRowHeight="15" x14ac:dyDescent="0.2"/>
  <cols>
    <col min="1" max="1" width="20.04296875" customWidth="1"/>
    <col min="2" max="7" width="16.0078125" customWidth="1"/>
    <col min="8" max="10" width="18.0234375" customWidth="1"/>
  </cols>
  <sheetData>
    <row r="1" spans="1:10" ht="27.95" customHeight="1" x14ac:dyDescent="0.2">
      <c r="A1" s="44" t="s">
        <v>89</v>
      </c>
      <c r="B1" s="43"/>
      <c r="C1" s="43"/>
      <c r="D1" s="43"/>
      <c r="E1" s="43"/>
      <c r="F1" s="43"/>
      <c r="G1" s="43"/>
      <c r="H1" s="43"/>
      <c r="I1" s="43"/>
    </row>
    <row r="3" spans="1:10" ht="20.100000000000001" customHeight="1" x14ac:dyDescent="0.2">
      <c r="A3" s="7" t="s">
        <v>77</v>
      </c>
      <c r="B3" s="7" t="s">
        <v>81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95</v>
      </c>
      <c r="I3" s="7" t="s">
        <v>96</v>
      </c>
      <c r="J3" s="7" t="s">
        <v>97</v>
      </c>
    </row>
    <row r="4" spans="1:10" x14ac:dyDescent="0.2">
      <c r="A4" s="13">
        <f>Assumptions!$B$12+0</f>
        <v>2026</v>
      </c>
      <c r="B4" s="14">
        <f>Production_Drivers!E4</f>
        <v>4840</v>
      </c>
      <c r="C4" s="31">
        <f>Assumptions!$B$21*(1+Assumptions!$B$24)^0</f>
        <v>45</v>
      </c>
      <c r="D4" s="31">
        <f>Assumptions!$B$22*(1+Assumptions!$B$24)^0</f>
        <v>35</v>
      </c>
      <c r="E4" s="31">
        <f>Assumptions!$B$23*(1+Assumptions!$B$24)^0</f>
        <v>280</v>
      </c>
      <c r="F4" s="15">
        <f>Scenario_Manager!$B$20</f>
        <v>0.98</v>
      </c>
      <c r="G4" s="31">
        <f>B4*(C4+D4+E4)*F4</f>
        <v>1707552</v>
      </c>
      <c r="H4" s="31">
        <f>Assumptions!$B$25*(1+Assumptions!$B$26)^0*Scenario_Manager!$B$21</f>
        <v>850000</v>
      </c>
      <c r="I4" s="31">
        <f>G4+H4</f>
        <v>2557552</v>
      </c>
      <c r="J4" s="31">
        <f>Sales_Drivers!F4-I4</f>
        <v>110498</v>
      </c>
    </row>
    <row r="5" spans="1:10" x14ac:dyDescent="0.2">
      <c r="A5" s="13">
        <f>Assumptions!$B$12+1</f>
        <v>2027</v>
      </c>
      <c r="B5" s="14">
        <f>Production_Drivers!E5</f>
        <v>7700.0000000000009</v>
      </c>
      <c r="C5" s="31">
        <f>Assumptions!$B$21*(1+Assumptions!$B$24)^1</f>
        <v>46.124999999999993</v>
      </c>
      <c r="D5" s="31">
        <f>Assumptions!$B$22*(1+Assumptions!$B$24)^1</f>
        <v>35.875</v>
      </c>
      <c r="E5" s="31">
        <f>Assumptions!$B$23*(1+Assumptions!$B$24)^1</f>
        <v>287</v>
      </c>
      <c r="F5" s="15">
        <f>Scenario_Manager!$B$20</f>
        <v>0.98</v>
      </c>
      <c r="G5" s="31">
        <f>B5*(C5+D5+E5)*F5</f>
        <v>2784474.0000000005</v>
      </c>
      <c r="H5" s="31">
        <f>Assumptions!$B$25*(1+Assumptions!$B$26)^1*Scenario_Manager!$B$21</f>
        <v>875500</v>
      </c>
      <c r="I5" s="31">
        <f>G5+H5</f>
        <v>3659974.0000000005</v>
      </c>
      <c r="J5" s="31">
        <f>Sales_Drivers!F5-I5</f>
        <v>711989.75000000047</v>
      </c>
    </row>
    <row r="6" spans="1:10" x14ac:dyDescent="0.2">
      <c r="A6" s="13">
        <f>Assumptions!$B$12+2</f>
        <v>2028</v>
      </c>
      <c r="B6" s="14">
        <f>Production_Drivers!E6</f>
        <v>11220</v>
      </c>
      <c r="C6" s="31">
        <f>Assumptions!$B$21*(1+Assumptions!$B$24)^2</f>
        <v>47.278124999999996</v>
      </c>
      <c r="D6" s="31">
        <f>Assumptions!$B$22*(1+Assumptions!$B$24)^2</f>
        <v>36.771874999999994</v>
      </c>
      <c r="E6" s="31">
        <f>Assumptions!$B$23*(1+Assumptions!$B$24)^2</f>
        <v>294.17499999999995</v>
      </c>
      <c r="F6" s="15">
        <f>Scenario_Manager!$B$20</f>
        <v>0.98</v>
      </c>
      <c r="G6" s="31">
        <f>B6*(C6+D6+E6)*F6</f>
        <v>4158810.8099999991</v>
      </c>
      <c r="H6" s="31">
        <f>Assumptions!$B$25*(1+Assumptions!$B$26)^2*Scenario_Manager!$B$21</f>
        <v>901765</v>
      </c>
      <c r="I6" s="31">
        <f>G6+H6</f>
        <v>5060575.8099999987</v>
      </c>
      <c r="J6" s="31">
        <f>Sales_Drivers!F6-I6</f>
        <v>1501117.2125000004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zoomScaleNormal="100" zoomScaleSheetLayoutView="100" workbookViewId="0"/>
  </sheetViews>
  <sheetFormatPr defaultRowHeight="15" x14ac:dyDescent="0.2"/>
  <cols>
    <col min="1" max="1" width="25.9609375" customWidth="1"/>
    <col min="2" max="6" width="18.0234375" customWidth="1"/>
  </cols>
  <sheetData>
    <row r="1" spans="1:6" ht="27.95" customHeight="1" x14ac:dyDescent="0.2">
      <c r="A1" s="44" t="s">
        <v>98</v>
      </c>
      <c r="B1" s="43"/>
      <c r="C1" s="43"/>
      <c r="D1" s="43"/>
      <c r="E1" s="43"/>
      <c r="F1" s="43"/>
    </row>
    <row r="3" spans="1:6" x14ac:dyDescent="0.2">
      <c r="A3" s="16" t="s">
        <v>99</v>
      </c>
      <c r="B3" s="27">
        <f>Assumptions!B2</f>
        <v>12000000</v>
      </c>
      <c r="D3" s="1" t="s">
        <v>100</v>
      </c>
    </row>
    <row r="4" spans="1:6" x14ac:dyDescent="0.2">
      <c r="A4" s="16" t="s">
        <v>101</v>
      </c>
      <c r="B4" s="12">
        <f>Scenario_Manager!$B$22</f>
        <v>0.98</v>
      </c>
      <c r="D4" s="17" t="s">
        <v>102</v>
      </c>
      <c r="E4" s="17" t="s">
        <v>103</v>
      </c>
    </row>
    <row r="5" spans="1:6" x14ac:dyDescent="0.2">
      <c r="A5" s="16" t="s">
        <v>104</v>
      </c>
      <c r="B5" s="27">
        <f>Assumptions!$B$28</f>
        <v>11760000</v>
      </c>
      <c r="D5" s="18">
        <f>CAPEX_Scurve!A2</f>
        <v>1</v>
      </c>
      <c r="E5" s="32">
        <f>CAPEX_Scurve!B2</f>
        <v>490000</v>
      </c>
    </row>
    <row r="6" spans="1:6" x14ac:dyDescent="0.2">
      <c r="D6" s="18">
        <f>CAPEX_Scurve!A3</f>
        <v>2</v>
      </c>
      <c r="E6" s="32">
        <f>CAPEX_Scurve!B3</f>
        <v>490000</v>
      </c>
    </row>
    <row r="7" spans="1:6" x14ac:dyDescent="0.2">
      <c r="A7" s="2" t="s">
        <v>105</v>
      </c>
      <c r="B7" s="3">
        <f>Assumptions!$B$9</f>
        <v>24</v>
      </c>
      <c r="D7" s="18">
        <f>CAPEX_Scurve!A4</f>
        <v>3</v>
      </c>
      <c r="E7" s="32">
        <f>CAPEX_Scurve!B4</f>
        <v>490000</v>
      </c>
    </row>
    <row r="8" spans="1:6" x14ac:dyDescent="0.2">
      <c r="A8" s="2" t="s">
        <v>106</v>
      </c>
      <c r="B8" s="3">
        <f>Scenario_Manager!$B$23</f>
        <v>0</v>
      </c>
      <c r="D8" s="18">
        <f>CAPEX_Scurve!A5</f>
        <v>4</v>
      </c>
      <c r="E8" s="32">
        <f>CAPEX_Scurve!B5</f>
        <v>490000</v>
      </c>
    </row>
    <row r="9" spans="1:6" x14ac:dyDescent="0.2">
      <c r="A9" s="2" t="s">
        <v>107</v>
      </c>
      <c r="B9" s="3">
        <f>Assumptions!$B$10</f>
        <v>24</v>
      </c>
      <c r="D9" s="18">
        <f>CAPEX_Scurve!A6</f>
        <v>5</v>
      </c>
      <c r="E9" s="32">
        <f>CAPEX_Scurve!B6</f>
        <v>490000</v>
      </c>
    </row>
    <row r="10" spans="1:6" x14ac:dyDescent="0.2">
      <c r="D10" s="18">
        <f>CAPEX_Scurve!A7</f>
        <v>6</v>
      </c>
      <c r="E10" s="32">
        <f>CAPEX_Scurve!B7</f>
        <v>490000</v>
      </c>
    </row>
    <row r="11" spans="1:6" x14ac:dyDescent="0.2">
      <c r="A11" s="2" t="s">
        <v>108</v>
      </c>
      <c r="B11" s="27">
        <f>B5/B9</f>
        <v>490000</v>
      </c>
      <c r="D11" s="18">
        <f>CAPEX_Scurve!A8</f>
        <v>7</v>
      </c>
      <c r="E11" s="32">
        <f>CAPEX_Scurve!B8</f>
        <v>490000</v>
      </c>
    </row>
    <row r="12" spans="1:6" x14ac:dyDescent="0.2">
      <c r="D12" s="18">
        <f>CAPEX_Scurve!A9</f>
        <v>8</v>
      </c>
      <c r="E12" s="32">
        <f>CAPEX_Scurve!B9</f>
        <v>490000</v>
      </c>
    </row>
    <row r="13" spans="1:6" x14ac:dyDescent="0.2">
      <c r="D13" s="18">
        <f>CAPEX_Scurve!A10</f>
        <v>9</v>
      </c>
      <c r="E13" s="32">
        <f>CAPEX_Scurve!B10</f>
        <v>490000</v>
      </c>
    </row>
    <row r="14" spans="1:6" x14ac:dyDescent="0.2">
      <c r="D14" s="18">
        <f>CAPEX_Scurve!A11</f>
        <v>10</v>
      </c>
      <c r="E14" s="32">
        <f>CAPEX_Scurve!B11</f>
        <v>490000</v>
      </c>
    </row>
    <row r="15" spans="1:6" x14ac:dyDescent="0.2">
      <c r="D15" s="18">
        <f>CAPEX_Scurve!A12</f>
        <v>11</v>
      </c>
      <c r="E15" s="32">
        <f>CAPEX_Scurve!B12</f>
        <v>490000</v>
      </c>
    </row>
    <row r="16" spans="1:6" x14ac:dyDescent="0.2">
      <c r="D16" s="18">
        <f>CAPEX_Scurve!A13</f>
        <v>12</v>
      </c>
      <c r="E16" s="32">
        <f>CAPEX_Scurve!B13</f>
        <v>490000</v>
      </c>
    </row>
    <row r="17" spans="4:5" x14ac:dyDescent="0.2">
      <c r="D17" s="18">
        <f>CAPEX_Scurve!A14</f>
        <v>13</v>
      </c>
      <c r="E17" s="32">
        <f>CAPEX_Scurve!B14</f>
        <v>490000</v>
      </c>
    </row>
    <row r="18" spans="4:5" x14ac:dyDescent="0.2">
      <c r="D18" s="18">
        <f>CAPEX_Scurve!A15</f>
        <v>14</v>
      </c>
      <c r="E18" s="32">
        <f>CAPEX_Scurve!B15</f>
        <v>490000</v>
      </c>
    </row>
    <row r="19" spans="4:5" x14ac:dyDescent="0.2">
      <c r="D19" s="18">
        <f>CAPEX_Scurve!A16</f>
        <v>15</v>
      </c>
      <c r="E19" s="32">
        <f>CAPEX_Scurve!B16</f>
        <v>490000</v>
      </c>
    </row>
    <row r="20" spans="4:5" x14ac:dyDescent="0.2">
      <c r="D20" s="18">
        <f>CAPEX_Scurve!A17</f>
        <v>16</v>
      </c>
      <c r="E20" s="32">
        <f>CAPEX_Scurve!B17</f>
        <v>490000</v>
      </c>
    </row>
    <row r="21" spans="4:5" x14ac:dyDescent="0.2">
      <c r="D21" s="18">
        <f>CAPEX_Scurve!A18</f>
        <v>17</v>
      </c>
      <c r="E21" s="32">
        <f>CAPEX_Scurve!B18</f>
        <v>490000</v>
      </c>
    </row>
    <row r="22" spans="4:5" x14ac:dyDescent="0.2">
      <c r="D22" s="18">
        <f>CAPEX_Scurve!A19</f>
        <v>18</v>
      </c>
      <c r="E22" s="32">
        <f>CAPEX_Scurve!B19</f>
        <v>490000</v>
      </c>
    </row>
    <row r="23" spans="4:5" x14ac:dyDescent="0.2">
      <c r="D23" s="18">
        <f>CAPEX_Scurve!A20</f>
        <v>19</v>
      </c>
      <c r="E23" s="32">
        <f>CAPEX_Scurve!B20</f>
        <v>490000</v>
      </c>
    </row>
    <row r="24" spans="4:5" x14ac:dyDescent="0.2">
      <c r="D24" s="18">
        <f>CAPEX_Scurve!A21</f>
        <v>20</v>
      </c>
      <c r="E24" s="32">
        <f>CAPEX_Scurve!B21</f>
        <v>490000</v>
      </c>
    </row>
    <row r="25" spans="4:5" x14ac:dyDescent="0.2">
      <c r="D25" s="18">
        <f>CAPEX_Scurve!A22</f>
        <v>21</v>
      </c>
      <c r="E25" s="32">
        <f>CAPEX_Scurve!B22</f>
        <v>490000</v>
      </c>
    </row>
    <row r="26" spans="4:5" x14ac:dyDescent="0.2">
      <c r="D26" s="18">
        <f>CAPEX_Scurve!A23</f>
        <v>22</v>
      </c>
      <c r="E26" s="32">
        <f>CAPEX_Scurve!B23</f>
        <v>490000</v>
      </c>
    </row>
    <row r="27" spans="4:5" x14ac:dyDescent="0.2">
      <c r="D27" s="18">
        <f>CAPEX_Scurve!A24</f>
        <v>23</v>
      </c>
      <c r="E27" s="32">
        <f>CAPEX_Scurve!B24</f>
        <v>490000</v>
      </c>
    </row>
    <row r="28" spans="4:5" x14ac:dyDescent="0.2">
      <c r="D28" s="18">
        <f>CAPEX_Scurve!A25</f>
        <v>24</v>
      </c>
      <c r="E28" s="32">
        <f>CAPEX_Scurve!B25</f>
        <v>490000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zoomScaleNormal="100" zoomScaleSheetLayoutView="100" workbookViewId="0"/>
  </sheetViews>
  <sheetFormatPr defaultRowHeight="15" x14ac:dyDescent="0.2"/>
  <cols>
    <col min="1" max="1" width="27.98046875" customWidth="1"/>
    <col min="2" max="2" width="18.0234375" customWidth="1"/>
    <col min="3" max="3" width="29.99609375" customWidth="1"/>
    <col min="4" max="4" width="18.0234375" customWidth="1"/>
  </cols>
  <sheetData>
    <row r="1" spans="1:4" ht="27.95" customHeight="1" x14ac:dyDescent="0.2">
      <c r="A1" s="44" t="s">
        <v>109</v>
      </c>
      <c r="B1" s="43"/>
      <c r="C1" s="43"/>
      <c r="D1" s="43"/>
    </row>
    <row r="3" spans="1:4" ht="20.100000000000001" customHeight="1" x14ac:dyDescent="0.2">
      <c r="A3" s="7" t="s">
        <v>110</v>
      </c>
      <c r="B3" s="7" t="s">
        <v>111</v>
      </c>
      <c r="C3" s="7" t="s">
        <v>112</v>
      </c>
      <c r="D3" s="7" t="s">
        <v>2</v>
      </c>
    </row>
    <row r="4" spans="1:4" x14ac:dyDescent="0.2">
      <c r="A4" s="4" t="s">
        <v>6</v>
      </c>
      <c r="B4" s="33">
        <f>Assumptions!B3</f>
        <v>0.2</v>
      </c>
      <c r="C4" s="27">
        <f>Assumptions!$B$28*B4</f>
        <v>2352000</v>
      </c>
      <c r="D4" s="2" t="s">
        <v>113</v>
      </c>
    </row>
    <row r="5" spans="1:4" x14ac:dyDescent="0.2">
      <c r="A5" s="4" t="s">
        <v>114</v>
      </c>
      <c r="B5" s="33">
        <f>Assumptions!B4</f>
        <v>0.4</v>
      </c>
      <c r="C5" s="27">
        <f>Assumptions!$B$28*B5</f>
        <v>4704000</v>
      </c>
      <c r="D5" s="2" t="s">
        <v>115</v>
      </c>
    </row>
    <row r="6" spans="1:4" x14ac:dyDescent="0.2">
      <c r="A6" s="4" t="s">
        <v>10</v>
      </c>
      <c r="B6" s="33">
        <f>Assumptions!B5</f>
        <v>0.15</v>
      </c>
      <c r="C6" s="27">
        <f>Assumptions!$B$28*B6</f>
        <v>1764000</v>
      </c>
      <c r="D6" s="2" t="s">
        <v>9</v>
      </c>
    </row>
    <row r="7" spans="1:4" x14ac:dyDescent="0.2">
      <c r="A7" s="4" t="s">
        <v>116</v>
      </c>
      <c r="B7" s="33">
        <f>Assumptions!B6</f>
        <v>0.25</v>
      </c>
      <c r="C7" s="27">
        <f>Assumptions!$B$28*B7</f>
        <v>2940000</v>
      </c>
      <c r="D7" s="2" t="s">
        <v>117</v>
      </c>
    </row>
    <row r="9" spans="1:4" x14ac:dyDescent="0.2">
      <c r="A9" s="1" t="s">
        <v>118</v>
      </c>
      <c r="B9" s="33">
        <f>SUM(B4:B7)</f>
        <v>1</v>
      </c>
      <c r="C9" s="11" t="str">
        <f>IF(ABS(B9-1)&lt;0.0001,"OK","CHECK")</f>
        <v>OK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zoomScaleSheetLayoutView="100" workbookViewId="0"/>
  </sheetViews>
  <sheetFormatPr defaultRowHeight="15" x14ac:dyDescent="0.2"/>
  <cols>
    <col min="1" max="4" width="36.05078125" customWidth="1"/>
  </cols>
  <sheetData>
    <row r="1" spans="1:4" ht="27.95" customHeight="1" x14ac:dyDescent="0.2">
      <c r="A1" s="44" t="s">
        <v>119</v>
      </c>
      <c r="B1" s="43"/>
      <c r="C1" s="43"/>
      <c r="D1" s="43"/>
    </row>
    <row r="3" spans="1:4" ht="20.100000000000001" customHeight="1" x14ac:dyDescent="0.2">
      <c r="A3" s="7" t="s">
        <v>120</v>
      </c>
      <c r="B3" s="7" t="s">
        <v>121</v>
      </c>
    </row>
    <row r="4" spans="1:4" x14ac:dyDescent="0.2">
      <c r="A4" s="4" t="s">
        <v>122</v>
      </c>
      <c r="B4" s="48" t="s">
        <v>123</v>
      </c>
      <c r="C4" s="49"/>
      <c r="D4" s="47"/>
    </row>
    <row r="5" spans="1:4" x14ac:dyDescent="0.2">
      <c r="A5" s="4" t="s">
        <v>124</v>
      </c>
      <c r="B5" s="48" t="s">
        <v>125</v>
      </c>
      <c r="C5" s="49"/>
      <c r="D5" s="47"/>
    </row>
    <row r="6" spans="1:4" x14ac:dyDescent="0.2">
      <c r="A6" s="4" t="s">
        <v>126</v>
      </c>
      <c r="B6" s="48" t="s">
        <v>127</v>
      </c>
      <c r="C6" s="49"/>
      <c r="D6" s="47"/>
    </row>
    <row r="8" spans="1:4" x14ac:dyDescent="0.2">
      <c r="A8" s="1" t="s">
        <v>128</v>
      </c>
    </row>
    <row r="9" spans="1:4" ht="20.100000000000001" customHeight="1" x14ac:dyDescent="0.2">
      <c r="A9" s="7" t="s">
        <v>129</v>
      </c>
      <c r="B9" s="7" t="s">
        <v>130</v>
      </c>
    </row>
    <row r="10" spans="1:4" x14ac:dyDescent="0.2">
      <c r="A10" s="19" t="s">
        <v>131</v>
      </c>
      <c r="B10" s="48" t="s">
        <v>132</v>
      </c>
      <c r="C10" s="49"/>
      <c r="D10" s="47"/>
    </row>
    <row r="11" spans="1:4" x14ac:dyDescent="0.2">
      <c r="A11" s="19" t="s">
        <v>133</v>
      </c>
      <c r="B11" s="48" t="s">
        <v>134</v>
      </c>
      <c r="C11" s="49"/>
      <c r="D11" s="47"/>
    </row>
    <row r="12" spans="1:4" x14ac:dyDescent="0.2">
      <c r="A12" s="19" t="s">
        <v>135</v>
      </c>
      <c r="B12" s="48" t="s">
        <v>136</v>
      </c>
      <c r="C12" s="49"/>
      <c r="D12" s="47"/>
    </row>
    <row r="13" spans="1:4" x14ac:dyDescent="0.2">
      <c r="A13" s="19" t="s">
        <v>137</v>
      </c>
      <c r="B13" s="48" t="s">
        <v>138</v>
      </c>
      <c r="C13" s="49"/>
      <c r="D13" s="47"/>
    </row>
    <row r="14" spans="1:4" x14ac:dyDescent="0.2">
      <c r="A14" s="19" t="s">
        <v>139</v>
      </c>
      <c r="B14" s="48" t="s">
        <v>140</v>
      </c>
      <c r="C14" s="49"/>
      <c r="D14" s="47"/>
    </row>
    <row r="15" spans="1:4" x14ac:dyDescent="0.2">
      <c r="A15" s="19" t="s">
        <v>141</v>
      </c>
      <c r="B15" s="48" t="s">
        <v>142</v>
      </c>
      <c r="C15" s="49"/>
      <c r="D15" s="47"/>
    </row>
    <row r="16" spans="1:4" x14ac:dyDescent="0.2">
      <c r="A16" s="19" t="s">
        <v>143</v>
      </c>
      <c r="B16" s="48" t="s">
        <v>144</v>
      </c>
      <c r="C16" s="49"/>
      <c r="D16" s="47"/>
    </row>
    <row r="17" spans="1:4" x14ac:dyDescent="0.2">
      <c r="A17" s="19" t="s">
        <v>145</v>
      </c>
      <c r="B17" s="48" t="s">
        <v>146</v>
      </c>
      <c r="C17" s="49"/>
      <c r="D17" s="47"/>
    </row>
    <row r="18" spans="1:4" x14ac:dyDescent="0.2">
      <c r="A18" s="19" t="s">
        <v>147</v>
      </c>
      <c r="B18" s="48" t="s">
        <v>148</v>
      </c>
      <c r="C18" s="49"/>
      <c r="D18" s="47"/>
    </row>
  </sheetData>
  <mergeCells count="13">
    <mergeCell ref="B15:D15"/>
    <mergeCell ref="B4:D4"/>
    <mergeCell ref="B17:D17"/>
    <mergeCell ref="B18:D18"/>
    <mergeCell ref="B13:D13"/>
    <mergeCell ref="B12:D12"/>
    <mergeCell ref="B6:D6"/>
    <mergeCell ref="B16:D16"/>
    <mergeCell ref="B10:D10"/>
    <mergeCell ref="A1:D1"/>
    <mergeCell ref="B11:D11"/>
    <mergeCell ref="B5:D5"/>
    <mergeCell ref="B14:D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Normal="100" zoomScaleSheetLayoutView="100" workbookViewId="0"/>
  </sheetViews>
  <sheetFormatPr defaultRowHeight="15" x14ac:dyDescent="0.2"/>
  <cols>
    <col min="1" max="1" width="2.95703125" customWidth="1"/>
    <col min="2" max="7" width="22.05859375" customWidth="1"/>
  </cols>
  <sheetData>
    <row r="1" spans="1:7" ht="27.95" customHeight="1" x14ac:dyDescent="0.2">
      <c r="A1" s="44" t="s">
        <v>149</v>
      </c>
      <c r="B1" s="43"/>
      <c r="C1" s="43"/>
      <c r="D1" s="43"/>
      <c r="E1" s="43"/>
      <c r="F1" s="43"/>
      <c r="G1" s="43"/>
    </row>
    <row r="3" spans="1:7" ht="21.95" customHeight="1" x14ac:dyDescent="0.2">
      <c r="B3" s="50" t="s">
        <v>150</v>
      </c>
      <c r="C3" s="50" t="s">
        <v>151</v>
      </c>
      <c r="D3" s="50" t="s">
        <v>152</v>
      </c>
      <c r="E3" s="50" t="s">
        <v>153</v>
      </c>
      <c r="F3" s="50" t="s">
        <v>154</v>
      </c>
      <c r="G3" s="50" t="s">
        <v>155</v>
      </c>
    </row>
    <row r="4" spans="1:7" ht="27.95" customHeight="1" x14ac:dyDescent="0.2">
      <c r="B4" s="34">
        <f>Financials!B4</f>
        <v>6561693.022499999</v>
      </c>
      <c r="C4" s="34">
        <f>Financials!C4</f>
        <v>1501117.2125000004</v>
      </c>
      <c r="D4" s="35">
        <f>IF(Financials!B4=0,"-",Financials!C4/Financials!B4)</f>
        <v>0.22876980184118337</v>
      </c>
      <c r="E4" s="20">
        <f>MIN(DSCR!D2:D4)</f>
        <v>0.30693888888888887</v>
      </c>
      <c r="F4" s="35">
        <f>NPV_IRR!B10</f>
        <v>-0.79555270109113252</v>
      </c>
      <c r="G4" s="34">
        <f>NPV_IRR!B9</f>
        <v>-9546778.462299319</v>
      </c>
    </row>
    <row r="6" spans="1:7" ht="21.95" customHeight="1" x14ac:dyDescent="0.2">
      <c r="B6" s="50" t="s">
        <v>156</v>
      </c>
      <c r="C6" s="50" t="s">
        <v>157</v>
      </c>
      <c r="D6" s="50" t="s">
        <v>158</v>
      </c>
      <c r="E6" s="50" t="s">
        <v>159</v>
      </c>
      <c r="F6" s="50" t="s">
        <v>160</v>
      </c>
      <c r="G6" s="50" t="s">
        <v>106</v>
      </c>
    </row>
    <row r="7" spans="1:7" ht="27.95" customHeight="1" x14ac:dyDescent="0.2">
      <c r="B7" s="34">
        <f>Assumptions!$B$28</f>
        <v>11760000</v>
      </c>
      <c r="C7" s="34">
        <f>Funding_Drivers!C4</f>
        <v>2352000</v>
      </c>
      <c r="D7" s="34">
        <f>Funding_Drivers!C5</f>
        <v>4704000</v>
      </c>
      <c r="E7" s="34">
        <f>Funding_Drivers!C6</f>
        <v>1764000</v>
      </c>
      <c r="F7" s="34">
        <f>Funding_Drivers!C7</f>
        <v>2940000</v>
      </c>
      <c r="G7" s="21">
        <f>Scenario_Manager!$B$23</f>
        <v>0</v>
      </c>
    </row>
    <row r="10" spans="1:7" x14ac:dyDescent="0.2">
      <c r="B10" s="1" t="s">
        <v>161</v>
      </c>
      <c r="F10" s="1" t="s">
        <v>162</v>
      </c>
    </row>
    <row r="11" spans="1:7" ht="20.100000000000001" customHeight="1" x14ac:dyDescent="0.2">
      <c r="B11" s="7" t="s">
        <v>77</v>
      </c>
      <c r="C11" s="7" t="s">
        <v>163</v>
      </c>
      <c r="D11" s="7" t="s">
        <v>164</v>
      </c>
      <c r="F11" s="7" t="s">
        <v>77</v>
      </c>
      <c r="G11" s="7" t="s">
        <v>162</v>
      </c>
    </row>
    <row r="12" spans="1:7" x14ac:dyDescent="0.2">
      <c r="B12" s="22">
        <f>Financials!A2</f>
        <v>2026</v>
      </c>
      <c r="C12" s="31">
        <f>Financials!B2</f>
        <v>2668050</v>
      </c>
      <c r="D12" s="31">
        <f>Financials!C2</f>
        <v>110498</v>
      </c>
      <c r="F12" s="22">
        <f>DSCR!A2</f>
        <v>2026</v>
      </c>
      <c r="G12" s="23">
        <f>DSCR!D2</f>
        <v>0.30693888888888887</v>
      </c>
    </row>
    <row r="13" spans="1:7" x14ac:dyDescent="0.2">
      <c r="B13" s="22">
        <f>Financials!A3</f>
        <v>2027</v>
      </c>
      <c r="C13" s="31">
        <f>Financials!B3</f>
        <v>4371963.7500000009</v>
      </c>
      <c r="D13" s="31">
        <f>Financials!C3</f>
        <v>711989.75000000047</v>
      </c>
      <c r="F13" s="22">
        <f>DSCR!A3</f>
        <v>2027</v>
      </c>
      <c r="G13" s="23">
        <f>DSCR!D3</f>
        <v>1.9777493055555568</v>
      </c>
    </row>
    <row r="14" spans="1:7" x14ac:dyDescent="0.2">
      <c r="B14" s="22">
        <f>Financials!A4</f>
        <v>2028</v>
      </c>
      <c r="C14" s="31">
        <f>Financials!B4</f>
        <v>6561693.022499999</v>
      </c>
      <c r="D14" s="31">
        <f>Financials!C4</f>
        <v>1501117.2125000004</v>
      </c>
      <c r="F14" s="22">
        <f>DSCR!A4</f>
        <v>2028</v>
      </c>
      <c r="G14" s="23">
        <f>DSCR!D4</f>
        <v>4.9056118055555569</v>
      </c>
    </row>
  </sheetData>
  <mergeCells count="13">
    <mergeCell ref="F6"/>
    <mergeCell ref="G6"/>
    <mergeCell ref="D6"/>
    <mergeCell ref="B6"/>
    <mergeCell ref="E6"/>
    <mergeCell ref="C6"/>
    <mergeCell ref="B3"/>
    <mergeCell ref="A1:G1"/>
    <mergeCell ref="D3"/>
    <mergeCell ref="C3"/>
    <mergeCell ref="G3"/>
    <mergeCell ref="E3"/>
    <mergeCell ref="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"/>
  <sheetViews>
    <sheetView zoomScaleNormal="100" zoomScaleSheetLayoutView="100" workbookViewId="0"/>
  </sheetViews>
  <sheetFormatPr defaultRowHeight="15" x14ac:dyDescent="0.2"/>
  <cols>
    <col min="1" max="2" width="22.05859375" customWidth="1"/>
  </cols>
  <sheetData>
    <row r="1" spans="1:2" x14ac:dyDescent="0.2">
      <c r="A1" s="1" t="s">
        <v>102</v>
      </c>
      <c r="B1" s="1" t="s">
        <v>165</v>
      </c>
    </row>
    <row r="2" spans="1:2" x14ac:dyDescent="0.2">
      <c r="A2">
        <v>1</v>
      </c>
      <c r="B2" s="27">
        <f>Assumptions!$B$28/Assumptions!$B$10</f>
        <v>490000</v>
      </c>
    </row>
    <row r="3" spans="1:2" x14ac:dyDescent="0.2">
      <c r="A3">
        <v>2</v>
      </c>
      <c r="B3" s="27">
        <f>Assumptions!$B$28/Assumptions!$B$10</f>
        <v>490000</v>
      </c>
    </row>
    <row r="4" spans="1:2" x14ac:dyDescent="0.2">
      <c r="A4">
        <v>3</v>
      </c>
      <c r="B4" s="27">
        <f>Assumptions!$B$28/Assumptions!$B$10</f>
        <v>490000</v>
      </c>
    </row>
    <row r="5" spans="1:2" x14ac:dyDescent="0.2">
      <c r="A5">
        <v>4</v>
      </c>
      <c r="B5" s="27">
        <f>Assumptions!$B$28/Assumptions!$B$10</f>
        <v>490000</v>
      </c>
    </row>
    <row r="6" spans="1:2" x14ac:dyDescent="0.2">
      <c r="A6">
        <v>5</v>
      </c>
      <c r="B6" s="27">
        <f>Assumptions!$B$28/Assumptions!$B$10</f>
        <v>490000</v>
      </c>
    </row>
    <row r="7" spans="1:2" x14ac:dyDescent="0.2">
      <c r="A7">
        <v>6</v>
      </c>
      <c r="B7" s="27">
        <f>Assumptions!$B$28/Assumptions!$B$10</f>
        <v>490000</v>
      </c>
    </row>
    <row r="8" spans="1:2" x14ac:dyDescent="0.2">
      <c r="A8">
        <v>7</v>
      </c>
      <c r="B8" s="27">
        <f>Assumptions!$B$28/Assumptions!$B$10</f>
        <v>490000</v>
      </c>
    </row>
    <row r="9" spans="1:2" x14ac:dyDescent="0.2">
      <c r="A9">
        <v>8</v>
      </c>
      <c r="B9" s="27">
        <f>Assumptions!$B$28/Assumptions!$B$10</f>
        <v>490000</v>
      </c>
    </row>
    <row r="10" spans="1:2" x14ac:dyDescent="0.2">
      <c r="A10">
        <v>9</v>
      </c>
      <c r="B10" s="27">
        <f>Assumptions!$B$28/Assumptions!$B$10</f>
        <v>490000</v>
      </c>
    </row>
    <row r="11" spans="1:2" x14ac:dyDescent="0.2">
      <c r="A11">
        <v>10</v>
      </c>
      <c r="B11" s="27">
        <f>Assumptions!$B$28/Assumptions!$B$10</f>
        <v>490000</v>
      </c>
    </row>
    <row r="12" spans="1:2" x14ac:dyDescent="0.2">
      <c r="A12">
        <v>11</v>
      </c>
      <c r="B12" s="27">
        <f>Assumptions!$B$28/Assumptions!$B$10</f>
        <v>490000</v>
      </c>
    </row>
    <row r="13" spans="1:2" x14ac:dyDescent="0.2">
      <c r="A13">
        <v>12</v>
      </c>
      <c r="B13" s="27">
        <f>Assumptions!$B$28/Assumptions!$B$10</f>
        <v>490000</v>
      </c>
    </row>
    <row r="14" spans="1:2" x14ac:dyDescent="0.2">
      <c r="A14">
        <v>13</v>
      </c>
      <c r="B14" s="27">
        <f>Assumptions!$B$28/Assumptions!$B$10</f>
        <v>490000</v>
      </c>
    </row>
    <row r="15" spans="1:2" x14ac:dyDescent="0.2">
      <c r="A15">
        <v>14</v>
      </c>
      <c r="B15" s="27">
        <f>Assumptions!$B$28/Assumptions!$B$10</f>
        <v>490000</v>
      </c>
    </row>
    <row r="16" spans="1:2" x14ac:dyDescent="0.2">
      <c r="A16">
        <v>15</v>
      </c>
      <c r="B16" s="27">
        <f>Assumptions!$B$28/Assumptions!$B$10</f>
        <v>490000</v>
      </c>
    </row>
    <row r="17" spans="1:2" x14ac:dyDescent="0.2">
      <c r="A17">
        <v>16</v>
      </c>
      <c r="B17" s="27">
        <f>Assumptions!$B$28/Assumptions!$B$10</f>
        <v>490000</v>
      </c>
    </row>
    <row r="18" spans="1:2" x14ac:dyDescent="0.2">
      <c r="A18">
        <v>17</v>
      </c>
      <c r="B18" s="27">
        <f>Assumptions!$B$28/Assumptions!$B$10</f>
        <v>490000</v>
      </c>
    </row>
    <row r="19" spans="1:2" x14ac:dyDescent="0.2">
      <c r="A19">
        <v>18</v>
      </c>
      <c r="B19" s="27">
        <f>Assumptions!$B$28/Assumptions!$B$10</f>
        <v>490000</v>
      </c>
    </row>
    <row r="20" spans="1:2" x14ac:dyDescent="0.2">
      <c r="A20">
        <v>19</v>
      </c>
      <c r="B20" s="27">
        <f>Assumptions!$B$28/Assumptions!$B$10</f>
        <v>490000</v>
      </c>
    </row>
    <row r="21" spans="1:2" x14ac:dyDescent="0.2">
      <c r="A21">
        <v>20</v>
      </c>
      <c r="B21" s="27">
        <f>Assumptions!$B$28/Assumptions!$B$10</f>
        <v>490000</v>
      </c>
    </row>
    <row r="22" spans="1:2" x14ac:dyDescent="0.2">
      <c r="A22">
        <v>21</v>
      </c>
      <c r="B22" s="27">
        <f>Assumptions!$B$28/Assumptions!$B$10</f>
        <v>490000</v>
      </c>
    </row>
    <row r="23" spans="1:2" x14ac:dyDescent="0.2">
      <c r="A23">
        <v>22</v>
      </c>
      <c r="B23" s="27">
        <f>Assumptions!$B$28/Assumptions!$B$10</f>
        <v>490000</v>
      </c>
    </row>
    <row r="24" spans="1:2" x14ac:dyDescent="0.2">
      <c r="A24">
        <v>23</v>
      </c>
      <c r="B24" s="27">
        <f>Assumptions!$B$28/Assumptions!$B$10</f>
        <v>490000</v>
      </c>
    </row>
    <row r="25" spans="1:2" x14ac:dyDescent="0.2">
      <c r="A25">
        <v>24</v>
      </c>
      <c r="B25" s="27">
        <f>Assumptions!$B$28/Assumptions!$B$10</f>
        <v>490000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zoomScaleNormal="100" zoomScaleSheetLayoutView="100" workbookViewId="0"/>
  </sheetViews>
  <sheetFormatPr defaultRowHeight="15" x14ac:dyDescent="0.2"/>
  <cols>
    <col min="1" max="2" width="22.05859375" customWidth="1"/>
  </cols>
  <sheetData>
    <row r="1" spans="1:2" x14ac:dyDescent="0.2">
      <c r="A1" s="1" t="s">
        <v>110</v>
      </c>
      <c r="B1" s="1" t="s">
        <v>112</v>
      </c>
    </row>
    <row r="2" spans="1:2" x14ac:dyDescent="0.2">
      <c r="A2" t="s">
        <v>166</v>
      </c>
      <c r="B2">
        <f>Assumptions!B2*Assumptions!B3</f>
        <v>2400000</v>
      </c>
    </row>
    <row r="3" spans="1:2" x14ac:dyDescent="0.2">
      <c r="A3" t="s">
        <v>167</v>
      </c>
      <c r="B3">
        <f>Assumptions!B2*Assumptions!B4</f>
        <v>4800000</v>
      </c>
    </row>
    <row r="4" spans="1:2" x14ac:dyDescent="0.2">
      <c r="A4" t="s">
        <v>10</v>
      </c>
      <c r="B4">
        <f>Assumptions!B2*Assumptions!B5</f>
        <v>1800000</v>
      </c>
    </row>
    <row r="5" spans="1:2" x14ac:dyDescent="0.2">
      <c r="A5" t="s">
        <v>116</v>
      </c>
      <c r="B5">
        <f>Assumptions!B2*Assumptions!B6</f>
        <v>3000000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zoomScaleNormal="100" zoomScaleSheetLayoutView="100" workbookViewId="0"/>
  </sheetViews>
  <sheetFormatPr defaultRowHeight="15" x14ac:dyDescent="0.2"/>
  <cols>
    <col min="1" max="3" width="22.05859375" customWidth="1"/>
  </cols>
  <sheetData>
    <row r="1" spans="1:3" x14ac:dyDescent="0.2">
      <c r="A1" s="1" t="s">
        <v>102</v>
      </c>
      <c r="B1" s="1" t="s">
        <v>168</v>
      </c>
      <c r="C1" s="1" t="s">
        <v>169</v>
      </c>
    </row>
    <row r="2" spans="1:3" x14ac:dyDescent="0.2">
      <c r="A2">
        <v>1</v>
      </c>
      <c r="B2">
        <f>Funding_Draw!B2/24</f>
        <v>100000</v>
      </c>
      <c r="C2">
        <f>B2*Assumptions!B7/12</f>
        <v>500</v>
      </c>
    </row>
    <row r="3" spans="1:3" x14ac:dyDescent="0.2">
      <c r="A3">
        <v>2</v>
      </c>
      <c r="B3">
        <f>Funding_Draw!B2/24</f>
        <v>100000</v>
      </c>
      <c r="C3">
        <f>B2*Assumptions!B7/12</f>
        <v>500</v>
      </c>
    </row>
    <row r="4" spans="1:3" x14ac:dyDescent="0.2">
      <c r="A4">
        <v>3</v>
      </c>
      <c r="B4">
        <f>Funding_Draw!B2/24</f>
        <v>100000</v>
      </c>
      <c r="C4">
        <f>B2*Assumptions!B7/12</f>
        <v>500</v>
      </c>
    </row>
    <row r="5" spans="1:3" x14ac:dyDescent="0.2">
      <c r="A5">
        <v>4</v>
      </c>
      <c r="B5">
        <f>Funding_Draw!B2/24</f>
        <v>100000</v>
      </c>
      <c r="C5">
        <f>B2*Assumptions!B7/12</f>
        <v>500</v>
      </c>
    </row>
    <row r="6" spans="1:3" x14ac:dyDescent="0.2">
      <c r="A6">
        <v>5</v>
      </c>
      <c r="B6">
        <f>Funding_Draw!B2/24</f>
        <v>100000</v>
      </c>
      <c r="C6">
        <f>B2*Assumptions!B7/12</f>
        <v>500</v>
      </c>
    </row>
    <row r="7" spans="1:3" x14ac:dyDescent="0.2">
      <c r="A7">
        <v>6</v>
      </c>
      <c r="B7">
        <f>Funding_Draw!B2/24</f>
        <v>100000</v>
      </c>
      <c r="C7">
        <f>B2*Assumptions!B7/12</f>
        <v>500</v>
      </c>
    </row>
    <row r="8" spans="1:3" x14ac:dyDescent="0.2">
      <c r="A8">
        <v>7</v>
      </c>
      <c r="B8">
        <f>Funding_Draw!B2/24</f>
        <v>100000</v>
      </c>
      <c r="C8">
        <f>B2*Assumptions!B7/12</f>
        <v>500</v>
      </c>
    </row>
    <row r="9" spans="1:3" x14ac:dyDescent="0.2">
      <c r="A9">
        <v>8</v>
      </c>
      <c r="B9">
        <f>Funding_Draw!B2/24</f>
        <v>100000</v>
      </c>
      <c r="C9">
        <f>B2*Assumptions!B7/12</f>
        <v>500</v>
      </c>
    </row>
    <row r="10" spans="1:3" x14ac:dyDescent="0.2">
      <c r="A10">
        <v>9</v>
      </c>
      <c r="B10">
        <f>Funding_Draw!B2/24</f>
        <v>100000</v>
      </c>
      <c r="C10">
        <f>B2*Assumptions!B7/12</f>
        <v>500</v>
      </c>
    </row>
    <row r="11" spans="1:3" x14ac:dyDescent="0.2">
      <c r="A11">
        <v>10</v>
      </c>
      <c r="B11">
        <f>Funding_Draw!B2/24</f>
        <v>100000</v>
      </c>
      <c r="C11">
        <f>B2*Assumptions!B7/12</f>
        <v>500</v>
      </c>
    </row>
    <row r="12" spans="1:3" x14ac:dyDescent="0.2">
      <c r="A12">
        <v>11</v>
      </c>
      <c r="B12">
        <f>Funding_Draw!B2/24</f>
        <v>100000</v>
      </c>
      <c r="C12">
        <f>B2*Assumptions!B7/12</f>
        <v>500</v>
      </c>
    </row>
    <row r="13" spans="1:3" x14ac:dyDescent="0.2">
      <c r="A13">
        <v>12</v>
      </c>
      <c r="B13">
        <f>Funding_Draw!B2/24</f>
        <v>100000</v>
      </c>
      <c r="C13">
        <f>B2*Assumptions!B7/12</f>
        <v>500</v>
      </c>
    </row>
    <row r="14" spans="1:3" x14ac:dyDescent="0.2">
      <c r="A14">
        <v>13</v>
      </c>
      <c r="B14">
        <f>Funding_Draw!B2/24</f>
        <v>100000</v>
      </c>
      <c r="C14">
        <f>B2*Assumptions!B7/12</f>
        <v>500</v>
      </c>
    </row>
    <row r="15" spans="1:3" x14ac:dyDescent="0.2">
      <c r="A15">
        <v>14</v>
      </c>
      <c r="B15">
        <f>Funding_Draw!B2/24</f>
        <v>100000</v>
      </c>
      <c r="C15">
        <f>B2*Assumptions!B7/12</f>
        <v>500</v>
      </c>
    </row>
    <row r="16" spans="1:3" x14ac:dyDescent="0.2">
      <c r="A16">
        <v>15</v>
      </c>
      <c r="B16">
        <f>Funding_Draw!B2/24</f>
        <v>100000</v>
      </c>
      <c r="C16">
        <f>B2*Assumptions!B7/12</f>
        <v>500</v>
      </c>
    </row>
    <row r="17" spans="1:3" x14ac:dyDescent="0.2">
      <c r="A17">
        <v>16</v>
      </c>
      <c r="B17">
        <f>Funding_Draw!B2/24</f>
        <v>100000</v>
      </c>
      <c r="C17">
        <f>B2*Assumptions!B7/12</f>
        <v>500</v>
      </c>
    </row>
    <row r="18" spans="1:3" x14ac:dyDescent="0.2">
      <c r="A18">
        <v>17</v>
      </c>
      <c r="B18">
        <f>Funding_Draw!B2/24</f>
        <v>100000</v>
      </c>
      <c r="C18">
        <f>B2*Assumptions!B7/12</f>
        <v>500</v>
      </c>
    </row>
    <row r="19" spans="1:3" x14ac:dyDescent="0.2">
      <c r="A19">
        <v>18</v>
      </c>
      <c r="B19">
        <f>Funding_Draw!B2/24</f>
        <v>100000</v>
      </c>
      <c r="C19">
        <f>B2*Assumptions!B7/12</f>
        <v>500</v>
      </c>
    </row>
    <row r="20" spans="1:3" x14ac:dyDescent="0.2">
      <c r="A20">
        <v>19</v>
      </c>
      <c r="B20">
        <f>Funding_Draw!B2/24</f>
        <v>100000</v>
      </c>
      <c r="C20">
        <f>B2*Assumptions!B7/12</f>
        <v>500</v>
      </c>
    </row>
    <row r="21" spans="1:3" x14ac:dyDescent="0.2">
      <c r="A21">
        <v>20</v>
      </c>
      <c r="B21">
        <f>Funding_Draw!B2/24</f>
        <v>100000</v>
      </c>
      <c r="C21">
        <f>B2*Assumptions!B7/12</f>
        <v>500</v>
      </c>
    </row>
    <row r="22" spans="1:3" x14ac:dyDescent="0.2">
      <c r="A22">
        <v>21</v>
      </c>
      <c r="B22">
        <f>Funding_Draw!B2/24</f>
        <v>100000</v>
      </c>
      <c r="C22">
        <f>B2*Assumptions!B7/12</f>
        <v>500</v>
      </c>
    </row>
    <row r="23" spans="1:3" x14ac:dyDescent="0.2">
      <c r="A23">
        <v>22</v>
      </c>
      <c r="B23">
        <f>Funding_Draw!B2/24</f>
        <v>100000</v>
      </c>
      <c r="C23">
        <f>B2*Assumptions!B7/12</f>
        <v>500</v>
      </c>
    </row>
    <row r="24" spans="1:3" x14ac:dyDescent="0.2">
      <c r="A24">
        <v>23</v>
      </c>
      <c r="B24">
        <f>Funding_Draw!B2/24</f>
        <v>100000</v>
      </c>
      <c r="C24">
        <f>B2*Assumptions!B7/12</f>
        <v>500</v>
      </c>
    </row>
    <row r="25" spans="1:3" x14ac:dyDescent="0.2">
      <c r="A25">
        <v>24</v>
      </c>
      <c r="B25">
        <f>Funding_Draw!B2/24</f>
        <v>100000</v>
      </c>
      <c r="C25">
        <f>B2*Assumptions!B7/12</f>
        <v>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zoomScaleNormal="100" zoomScaleSheetLayoutView="100" workbookViewId="0"/>
  </sheetViews>
  <sheetFormatPr defaultRowHeight="15" x14ac:dyDescent="0.2"/>
  <cols>
    <col min="1" max="4" width="22.05859375" customWidth="1"/>
  </cols>
  <sheetData>
    <row r="1" spans="1:4" x14ac:dyDescent="0.2">
      <c r="A1" s="1" t="s">
        <v>77</v>
      </c>
      <c r="B1" s="1" t="s">
        <v>170</v>
      </c>
      <c r="C1" s="1" t="s">
        <v>171</v>
      </c>
      <c r="D1" s="1" t="s">
        <v>172</v>
      </c>
    </row>
    <row r="2" spans="1:4" x14ac:dyDescent="0.2">
      <c r="A2">
        <v>1</v>
      </c>
      <c r="B2">
        <f>Funding_Draw!B2</f>
        <v>2400000</v>
      </c>
      <c r="C2">
        <f>B2*0.15</f>
        <v>360000</v>
      </c>
      <c r="D2">
        <f>B2-C2</f>
        <v>2040000</v>
      </c>
    </row>
    <row r="3" spans="1:4" x14ac:dyDescent="0.2">
      <c r="A3">
        <v>2</v>
      </c>
      <c r="B3">
        <f>D2</f>
        <v>2040000</v>
      </c>
      <c r="C3">
        <f>B2*0.15</f>
        <v>360000</v>
      </c>
      <c r="D3">
        <f>B2-C2</f>
        <v>2040000</v>
      </c>
    </row>
    <row r="4" spans="1:4" x14ac:dyDescent="0.2">
      <c r="A4">
        <v>3</v>
      </c>
      <c r="B4">
        <f>D3</f>
        <v>2040000</v>
      </c>
      <c r="C4">
        <f>B3*0.15</f>
        <v>306000</v>
      </c>
      <c r="D4">
        <f>B3-C3</f>
        <v>1680000</v>
      </c>
    </row>
    <row r="5" spans="1:4" x14ac:dyDescent="0.2">
      <c r="A5">
        <v>4</v>
      </c>
      <c r="B5">
        <f>D4</f>
        <v>1680000</v>
      </c>
      <c r="C5">
        <f>B4*0.15</f>
        <v>306000</v>
      </c>
      <c r="D5">
        <f>B4-C4</f>
        <v>1734000</v>
      </c>
    </row>
    <row r="6" spans="1:4" x14ac:dyDescent="0.2">
      <c r="A6">
        <v>5</v>
      </c>
      <c r="B6">
        <f>D5</f>
        <v>1734000</v>
      </c>
      <c r="C6">
        <f>B5*0.15</f>
        <v>252000</v>
      </c>
      <c r="D6">
        <f>B5-C5</f>
        <v>1374000</v>
      </c>
    </row>
    <row r="7" spans="1:4" x14ac:dyDescent="0.2">
      <c r="A7">
        <v>6</v>
      </c>
      <c r="B7">
        <f>D6</f>
        <v>1374000</v>
      </c>
      <c r="C7">
        <f>B6*0.15</f>
        <v>260100</v>
      </c>
      <c r="D7">
        <f>B6-C6</f>
        <v>1482000</v>
      </c>
    </row>
    <row r="8" spans="1:4" x14ac:dyDescent="0.2">
      <c r="A8">
        <v>7</v>
      </c>
      <c r="B8">
        <f>D7</f>
        <v>1482000</v>
      </c>
      <c r="C8">
        <f>B7*0.15</f>
        <v>206100</v>
      </c>
      <c r="D8">
        <f>B7-C7</f>
        <v>1113900</v>
      </c>
    </row>
    <row r="9" spans="1:4" x14ac:dyDescent="0.2">
      <c r="A9">
        <v>8</v>
      </c>
      <c r="B9">
        <f>D8</f>
        <v>1113900</v>
      </c>
      <c r="C9">
        <f>B8*0.15</f>
        <v>222300</v>
      </c>
      <c r="D9">
        <f>B8-C8</f>
        <v>1275900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4" width="18.0234375" customWidth="1"/>
  </cols>
  <sheetData>
    <row r="1" spans="1:4" ht="20.100000000000001" customHeight="1" x14ac:dyDescent="0.2">
      <c r="A1" s="7" t="s">
        <v>77</v>
      </c>
      <c r="B1" s="7" t="s">
        <v>163</v>
      </c>
      <c r="C1" s="7" t="s">
        <v>164</v>
      </c>
      <c r="D1" s="7" t="s">
        <v>171</v>
      </c>
    </row>
    <row r="2" spans="1:4" x14ac:dyDescent="0.2">
      <c r="A2" s="13">
        <f>Assumptions!$B$12+0</f>
        <v>2026</v>
      </c>
      <c r="B2" s="31">
        <f>Sales_Drivers!F4</f>
        <v>2668050</v>
      </c>
      <c r="C2" s="31">
        <f>Cost_Drivers!J4</f>
        <v>110498</v>
      </c>
      <c r="D2" s="31">
        <f>Debt_Sculpt!C2</f>
        <v>360000</v>
      </c>
    </row>
    <row r="3" spans="1:4" x14ac:dyDescent="0.2">
      <c r="A3" s="13">
        <f>Assumptions!$B$12+1</f>
        <v>2027</v>
      </c>
      <c r="B3" s="31">
        <f>Sales_Drivers!F5</f>
        <v>4371963.7500000009</v>
      </c>
      <c r="C3" s="31">
        <f>Cost_Drivers!J5</f>
        <v>711989.75000000047</v>
      </c>
      <c r="D3" s="31">
        <f>Debt_Sculpt!C3</f>
        <v>360000</v>
      </c>
    </row>
    <row r="4" spans="1:4" x14ac:dyDescent="0.2">
      <c r="A4" s="13">
        <f>Assumptions!$B$12+2</f>
        <v>2028</v>
      </c>
      <c r="B4" s="31">
        <f>Sales_Drivers!F6</f>
        <v>6561693.022499999</v>
      </c>
      <c r="C4" s="31">
        <f>Cost_Drivers!J6</f>
        <v>1501117.2125000004</v>
      </c>
      <c r="D4" s="31">
        <f>Debt_Sculpt!C4</f>
        <v>306000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3" width="18.0234375" customWidth="1"/>
    <col min="4" max="4" width="11.97265625" customWidth="1"/>
  </cols>
  <sheetData>
    <row r="1" spans="1:4" ht="20.100000000000001" customHeight="1" x14ac:dyDescent="0.2">
      <c r="A1" s="7" t="s">
        <v>77</v>
      </c>
      <c r="B1" s="7" t="s">
        <v>164</v>
      </c>
      <c r="C1" s="7" t="s">
        <v>171</v>
      </c>
      <c r="D1" s="7" t="s">
        <v>162</v>
      </c>
    </row>
    <row r="2" spans="1:4" x14ac:dyDescent="0.2">
      <c r="A2" s="13">
        <f>Assumptions!$B$12+0</f>
        <v>2026</v>
      </c>
      <c r="B2" s="31">
        <f>Financials!C2</f>
        <v>110498</v>
      </c>
      <c r="C2" s="31">
        <f>Financials!D2</f>
        <v>360000</v>
      </c>
      <c r="D2" s="23">
        <f>IF(C2=0,"-",B2/C2)</f>
        <v>0.30693888888888887</v>
      </c>
    </row>
    <row r="3" spans="1:4" x14ac:dyDescent="0.2">
      <c r="A3" s="13">
        <f>Assumptions!$B$12+1</f>
        <v>2027</v>
      </c>
      <c r="B3" s="31">
        <f>Financials!C3</f>
        <v>711989.75000000047</v>
      </c>
      <c r="C3" s="31">
        <f>Financials!D3</f>
        <v>360000</v>
      </c>
      <c r="D3" s="23">
        <f>IF(C3=0,"-",B3/C3)</f>
        <v>1.9777493055555568</v>
      </c>
    </row>
    <row r="4" spans="1:4" x14ac:dyDescent="0.2">
      <c r="A4" s="13">
        <f>Assumptions!$B$12+2</f>
        <v>2028</v>
      </c>
      <c r="B4" s="31">
        <f>Financials!C4</f>
        <v>1501117.2125000004</v>
      </c>
      <c r="C4" s="31">
        <f>Financials!D4</f>
        <v>306000</v>
      </c>
      <c r="D4" s="23">
        <f>IF(C4=0,"-",B4/C4)</f>
        <v>4.9056118055555569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zoomScaleNormal="100" zoomScaleSheetLayoutView="100" workbookViewId="0"/>
  </sheetViews>
  <sheetFormatPr defaultRowHeight="15" x14ac:dyDescent="0.2"/>
  <cols>
    <col min="1" max="1" width="25.9609375" customWidth="1"/>
    <col min="2" max="5" width="18.0234375" customWidth="1"/>
  </cols>
  <sheetData>
    <row r="1" spans="1:5" ht="27.95" customHeight="1" x14ac:dyDescent="0.2">
      <c r="A1" s="44" t="s">
        <v>173</v>
      </c>
      <c r="B1" s="43"/>
      <c r="C1" s="43"/>
      <c r="D1" s="43"/>
      <c r="E1" s="43"/>
    </row>
    <row r="2" spans="1:5" x14ac:dyDescent="0.2">
      <c r="A2" t="s">
        <v>174</v>
      </c>
      <c r="B2" t="e">
        <f>IRR(Financials!C2:C4)</f>
        <v>#VALUE!</v>
      </c>
    </row>
    <row r="3" spans="1:5" ht="20.100000000000001" customHeight="1" x14ac:dyDescent="0.2">
      <c r="A3" s="7" t="s">
        <v>77</v>
      </c>
      <c r="B3" s="7" t="s">
        <v>164</v>
      </c>
      <c r="C3" s="7" t="s">
        <v>175</v>
      </c>
      <c r="D3" s="7" t="s">
        <v>171</v>
      </c>
      <c r="E3" s="7" t="s">
        <v>176</v>
      </c>
    </row>
    <row r="4" spans="1:5" x14ac:dyDescent="0.2">
      <c r="A4" s="13">
        <f>Assumptions!$B$12+0</f>
        <v>2026</v>
      </c>
      <c r="B4" s="31">
        <f>Financials!C2</f>
        <v>110498</v>
      </c>
      <c r="C4" s="31">
        <f>-Assumptions!$B$28*Assumptions!$B$29</f>
        <v>-7056000</v>
      </c>
      <c r="D4" s="31">
        <f>-Financials!D2</f>
        <v>-360000</v>
      </c>
      <c r="E4" s="31">
        <f>B4+C4+D4</f>
        <v>-7305502</v>
      </c>
    </row>
    <row r="5" spans="1:5" x14ac:dyDescent="0.2">
      <c r="A5" s="13">
        <f>Assumptions!$B$12+1</f>
        <v>2027</v>
      </c>
      <c r="B5" s="31">
        <f>Financials!C3</f>
        <v>711989.75000000047</v>
      </c>
      <c r="C5" s="31">
        <f>-Assumptions!$B$28*Assumptions!$B$30</f>
        <v>-4704000</v>
      </c>
      <c r="D5" s="31">
        <f>-Financials!D3</f>
        <v>-360000</v>
      </c>
      <c r="E5" s="31">
        <f>B5+C5+D5</f>
        <v>-4352010.25</v>
      </c>
    </row>
    <row r="6" spans="1:5" x14ac:dyDescent="0.2">
      <c r="A6" s="13">
        <f>Assumptions!$B$12+2</f>
        <v>2028</v>
      </c>
      <c r="B6" s="31">
        <f>Financials!C4</f>
        <v>1501117.2125000004</v>
      </c>
      <c r="C6" s="31">
        <f>-Assumptions!$B$28*Assumptions!$B$31</f>
        <v>0</v>
      </c>
      <c r="D6" s="31">
        <f>-Financials!D4</f>
        <v>-306000</v>
      </c>
      <c r="E6" s="31">
        <f>B6+C6+D6</f>
        <v>1195117.2125000004</v>
      </c>
    </row>
    <row r="8" spans="1:5" x14ac:dyDescent="0.2">
      <c r="A8" s="16" t="s">
        <v>177</v>
      </c>
      <c r="B8" s="28">
        <v>0.08</v>
      </c>
    </row>
    <row r="9" spans="1:5" x14ac:dyDescent="0.2">
      <c r="A9" s="16" t="s">
        <v>178</v>
      </c>
      <c r="B9" s="27">
        <f>NPV($B$8,E4:E6)</f>
        <v>-9546778.462299319</v>
      </c>
    </row>
    <row r="10" spans="1:5" x14ac:dyDescent="0.2">
      <c r="A10" s="16" t="s">
        <v>174</v>
      </c>
      <c r="B10" s="33">
        <f>IRR(E4:E6)</f>
        <v>-0.79555270109113252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zoomScaleNormal="100" zoomScaleSheetLayoutView="100" workbookViewId="0"/>
  </sheetViews>
  <sheetFormatPr defaultRowHeight="15" x14ac:dyDescent="0.2"/>
  <cols>
    <col min="1" max="3" width="22.05859375" customWidth="1"/>
  </cols>
  <sheetData>
    <row r="1" spans="1:3" x14ac:dyDescent="0.2">
      <c r="A1" s="1" t="s">
        <v>179</v>
      </c>
      <c r="B1" s="1" t="s">
        <v>180</v>
      </c>
      <c r="C1" s="1" t="s">
        <v>181</v>
      </c>
    </row>
    <row r="2" spans="1:3" x14ac:dyDescent="0.2">
      <c r="A2" t="s">
        <v>58</v>
      </c>
      <c r="B2">
        <v>1</v>
      </c>
      <c r="C2">
        <v>1</v>
      </c>
    </row>
    <row r="3" spans="1:3" x14ac:dyDescent="0.2">
      <c r="A3" t="s">
        <v>62</v>
      </c>
      <c r="B3">
        <v>0.9</v>
      </c>
      <c r="C3">
        <v>0.85</v>
      </c>
    </row>
    <row r="4" spans="1:3" x14ac:dyDescent="0.2">
      <c r="A4" t="s">
        <v>182</v>
      </c>
      <c r="B4">
        <v>1.1000000000000001</v>
      </c>
      <c r="C4">
        <v>1.2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"/>
  <sheetViews>
    <sheetView zoomScaleNormal="100" zoomScaleSheetLayoutView="100" workbookViewId="0"/>
  </sheetViews>
  <sheetFormatPr defaultRowHeight="15" x14ac:dyDescent="0.2"/>
  <cols>
    <col min="1" max="2" width="22.05859375" customWidth="1"/>
  </cols>
  <sheetData>
    <row r="1" spans="1:2" x14ac:dyDescent="0.2">
      <c r="A1" s="1" t="s">
        <v>183</v>
      </c>
      <c r="B1" s="1" t="s">
        <v>1</v>
      </c>
    </row>
    <row r="2" spans="1:2" x14ac:dyDescent="0.2">
      <c r="A2" t="s">
        <v>184</v>
      </c>
      <c r="B2">
        <f>Assumptions!B2</f>
        <v>12000000</v>
      </c>
    </row>
    <row r="3" spans="1:2" x14ac:dyDescent="0.2">
      <c r="A3" t="s">
        <v>158</v>
      </c>
      <c r="B3">
        <f>Funding_Draw!B2</f>
        <v>2400000</v>
      </c>
    </row>
    <row r="4" spans="1:2" x14ac:dyDescent="0.2">
      <c r="A4" t="s">
        <v>157</v>
      </c>
      <c r="B4" t="str">
        <f>Funding_Draw!B1</f>
        <v>Amount (€)</v>
      </c>
    </row>
    <row r="5" spans="1:2" x14ac:dyDescent="0.2">
      <c r="A5" t="s">
        <v>174</v>
      </c>
      <c r="B5" t="e">
        <f>NPV_IRR!B2</f>
        <v>#VALUE!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zoomScaleNormal="100" zoomScaleSheetLayoutView="100" workbookViewId="0"/>
  </sheetViews>
  <sheetFormatPr defaultRowHeight="15" x14ac:dyDescent="0.2"/>
  <sheetData>
    <row r="1" spans="1:8" x14ac:dyDescent="0.2">
      <c r="A1" t="s">
        <v>185</v>
      </c>
    </row>
    <row r="3" spans="1:8" x14ac:dyDescent="0.2">
      <c r="A3" t="s">
        <v>186</v>
      </c>
      <c r="D3" t="s">
        <v>187</v>
      </c>
    </row>
    <row r="4" spans="1:8" x14ac:dyDescent="0.2">
      <c r="A4" t="s">
        <v>10</v>
      </c>
      <c r="B4">
        <v>2000000</v>
      </c>
      <c r="D4" t="s">
        <v>175</v>
      </c>
      <c r="E4">
        <v>11000000</v>
      </c>
      <c r="G4" t="s">
        <v>188</v>
      </c>
      <c r="H4">
        <f>B8-E8</f>
        <v>0</v>
      </c>
    </row>
    <row r="5" spans="1:8" x14ac:dyDescent="0.2">
      <c r="A5" t="s">
        <v>114</v>
      </c>
      <c r="B5">
        <v>6000000</v>
      </c>
      <c r="D5" t="s">
        <v>189</v>
      </c>
      <c r="E5">
        <v>500000</v>
      </c>
    </row>
    <row r="6" spans="1:8" x14ac:dyDescent="0.2">
      <c r="A6" t="s">
        <v>166</v>
      </c>
      <c r="B6">
        <v>4000000</v>
      </c>
      <c r="D6" t="s">
        <v>190</v>
      </c>
      <c r="E6">
        <v>500000</v>
      </c>
    </row>
    <row r="8" spans="1:8" x14ac:dyDescent="0.2">
      <c r="A8" t="s">
        <v>191</v>
      </c>
      <c r="B8">
        <f>SUM(B4:B6)</f>
        <v>12000000</v>
      </c>
      <c r="D8" t="s">
        <v>192</v>
      </c>
      <c r="E8">
        <f>SUM(E4:E6)</f>
        <v>12000000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"/>
  <sheetViews>
    <sheetView zoomScaleNormal="100" zoomScaleSheetLayoutView="100" workbookViewId="0"/>
  </sheetViews>
  <sheetFormatPr defaultRowHeight="15" x14ac:dyDescent="0.2"/>
  <sheetData>
    <row r="1" spans="1:6" x14ac:dyDescent="0.2">
      <c r="A1" t="s">
        <v>193</v>
      </c>
    </row>
    <row r="3" spans="1:6" x14ac:dyDescent="0.2">
      <c r="A3" t="s">
        <v>194</v>
      </c>
      <c r="B3" t="s">
        <v>171</v>
      </c>
      <c r="C3" t="s">
        <v>195</v>
      </c>
      <c r="D3" t="s">
        <v>196</v>
      </c>
      <c r="E3" t="s">
        <v>197</v>
      </c>
      <c r="F3" t="s">
        <v>198</v>
      </c>
    </row>
    <row r="4" spans="1:6" x14ac:dyDescent="0.2">
      <c r="A4">
        <v>1</v>
      </c>
      <c r="B4">
        <v>200000</v>
      </c>
      <c r="C4">
        <f>B4*0.5</f>
        <v>100000</v>
      </c>
      <c r="D4">
        <v>0</v>
      </c>
      <c r="E4">
        <f>MAX(0,C4-D4)</f>
        <v>100000</v>
      </c>
      <c r="F4">
        <f>D4+E4</f>
        <v>100000</v>
      </c>
    </row>
    <row r="5" spans="1:6" x14ac:dyDescent="0.2">
      <c r="A5">
        <v>2</v>
      </c>
      <c r="B5">
        <v>200000</v>
      </c>
      <c r="C5">
        <f>B5*0.5</f>
        <v>100000</v>
      </c>
      <c r="D5">
        <f>F4</f>
        <v>100000</v>
      </c>
      <c r="E5">
        <f>MAX(0,C5-D5)</f>
        <v>0</v>
      </c>
      <c r="F5">
        <f>D5+E5</f>
        <v>100000</v>
      </c>
    </row>
    <row r="6" spans="1:6" x14ac:dyDescent="0.2">
      <c r="A6">
        <v>3</v>
      </c>
      <c r="B6">
        <v>200000</v>
      </c>
      <c r="C6">
        <f>B6*0.5</f>
        <v>100000</v>
      </c>
      <c r="D6">
        <f>F5</f>
        <v>100000</v>
      </c>
      <c r="E6">
        <f>MAX(0,C6-D6)</f>
        <v>0</v>
      </c>
      <c r="F6">
        <f>D6+E6</f>
        <v>100000</v>
      </c>
    </row>
    <row r="7" spans="1:6" x14ac:dyDescent="0.2">
      <c r="A7">
        <v>4</v>
      </c>
      <c r="B7">
        <v>200000</v>
      </c>
      <c r="C7">
        <f>B7*0.5</f>
        <v>100000</v>
      </c>
      <c r="D7">
        <f>F6</f>
        <v>100000</v>
      </c>
      <c r="E7">
        <f>MAX(0,C7-D7)</f>
        <v>0</v>
      </c>
      <c r="F7">
        <f>D7+E7</f>
        <v>100000</v>
      </c>
    </row>
    <row r="8" spans="1:6" x14ac:dyDescent="0.2">
      <c r="A8">
        <v>5</v>
      </c>
      <c r="B8">
        <v>200000</v>
      </c>
      <c r="C8">
        <f>B8*0.5</f>
        <v>100000</v>
      </c>
      <c r="D8">
        <f>F7</f>
        <v>100000</v>
      </c>
      <c r="E8">
        <f>MAX(0,C8-D8)</f>
        <v>0</v>
      </c>
      <c r="F8">
        <f>D8+E8</f>
        <v>100000</v>
      </c>
    </row>
    <row r="9" spans="1:6" x14ac:dyDescent="0.2">
      <c r="A9">
        <v>6</v>
      </c>
      <c r="B9">
        <v>200000</v>
      </c>
      <c r="C9">
        <f>B9*0.5</f>
        <v>100000</v>
      </c>
      <c r="D9">
        <f>F8</f>
        <v>100000</v>
      </c>
      <c r="E9">
        <f>MAX(0,C9-D9)</f>
        <v>0</v>
      </c>
      <c r="F9">
        <f>D9+E9</f>
        <v>100000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9"/>
  <sheetViews>
    <sheetView zoomScaleNormal="100" zoomScaleSheetLayoutView="100" workbookViewId="0"/>
  </sheetViews>
  <sheetFormatPr defaultRowHeight="15" x14ac:dyDescent="0.2"/>
  <sheetData>
    <row r="1" spans="1:4" x14ac:dyDescent="0.2">
      <c r="A1" t="s">
        <v>199</v>
      </c>
    </row>
    <row r="3" spans="1:4" x14ac:dyDescent="0.2">
      <c r="A3" t="s">
        <v>194</v>
      </c>
      <c r="B3" t="s">
        <v>162</v>
      </c>
      <c r="C3" t="s">
        <v>200</v>
      </c>
      <c r="D3" t="s">
        <v>201</v>
      </c>
    </row>
    <row r="4" spans="1:4" x14ac:dyDescent="0.2">
      <c r="A4">
        <v>1</v>
      </c>
      <c r="B4">
        <v>1.3</v>
      </c>
      <c r="C4">
        <v>1.2</v>
      </c>
      <c r="D4" t="str">
        <f>IF(B4&gt;=C4,"OK","BREACH")</f>
        <v>OK</v>
      </c>
    </row>
    <row r="5" spans="1:4" x14ac:dyDescent="0.2">
      <c r="A5">
        <v>2</v>
      </c>
      <c r="B5">
        <v>1.3</v>
      </c>
      <c r="C5">
        <v>1.2</v>
      </c>
      <c r="D5" t="str">
        <f>IF(B5&gt;=C5,"OK","BREACH")</f>
        <v>OK</v>
      </c>
    </row>
    <row r="6" spans="1:4" x14ac:dyDescent="0.2">
      <c r="A6">
        <v>3</v>
      </c>
      <c r="B6">
        <v>1.3</v>
      </c>
      <c r="C6">
        <v>1.2</v>
      </c>
      <c r="D6" t="str">
        <f>IF(B6&gt;=C6,"OK","BREACH")</f>
        <v>OK</v>
      </c>
    </row>
    <row r="7" spans="1:4" x14ac:dyDescent="0.2">
      <c r="A7">
        <v>4</v>
      </c>
      <c r="B7">
        <v>1.3</v>
      </c>
      <c r="C7">
        <v>1.2</v>
      </c>
      <c r="D7" t="str">
        <f>IF(B7&gt;=C7,"OK","BREACH")</f>
        <v>OK</v>
      </c>
    </row>
    <row r="8" spans="1:4" x14ac:dyDescent="0.2">
      <c r="A8">
        <v>5</v>
      </c>
      <c r="B8">
        <v>1.3</v>
      </c>
      <c r="C8">
        <v>1.2</v>
      </c>
      <c r="D8" t="str">
        <f>IF(B8&gt;=C8,"OK","BREACH")</f>
        <v>OK</v>
      </c>
    </row>
    <row r="9" spans="1:4" x14ac:dyDescent="0.2">
      <c r="A9">
        <v>6</v>
      </c>
      <c r="B9">
        <v>1.3</v>
      </c>
      <c r="C9">
        <v>1.2</v>
      </c>
      <c r="D9" t="str">
        <f>IF(B9&gt;=C9,"OK","BREACH")</f>
        <v>OK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15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3" width="16.0078125" customWidth="1"/>
    <col min="4" max="10" width="13.98828125" customWidth="1"/>
  </cols>
  <sheetData>
    <row r="1" spans="1:10" ht="27.95" customHeight="1" x14ac:dyDescent="0.2">
      <c r="A1" s="44" t="s">
        <v>202</v>
      </c>
      <c r="B1" s="43"/>
      <c r="C1" s="43"/>
      <c r="D1" s="43"/>
      <c r="E1" s="43"/>
      <c r="F1" s="43"/>
      <c r="G1" s="43"/>
      <c r="H1" s="43"/>
      <c r="I1" s="43"/>
      <c r="J1" s="43"/>
    </row>
    <row r="3" spans="1:10" x14ac:dyDescent="0.2">
      <c r="A3" s="1" t="s">
        <v>203</v>
      </c>
      <c r="B3" t="s">
        <v>204</v>
      </c>
      <c r="C3" t="s">
        <v>205</v>
      </c>
      <c r="D3" t="s">
        <v>206</v>
      </c>
    </row>
    <row r="4" spans="1:10" x14ac:dyDescent="0.2">
      <c r="A4" t="s">
        <v>207</v>
      </c>
      <c r="B4" s="24">
        <v>200</v>
      </c>
      <c r="C4">
        <f>NORMINV(RAND(),1,0.1)</f>
        <v>0.7571001213612325</v>
      </c>
      <c r="D4">
        <f>RAND()</f>
        <v>0.77962761541689596</v>
      </c>
    </row>
    <row r="5" spans="1:10" x14ac:dyDescent="0.2">
      <c r="A5" t="s">
        <v>208</v>
      </c>
      <c r="B5" s="28">
        <v>0.1</v>
      </c>
      <c r="C5">
        <f>NORMINV(RAND(),1,0.1)</f>
        <v>0.9952613204688886</v>
      </c>
      <c r="D5">
        <f>RAND()</f>
        <v>0.76569021518361857</v>
      </c>
    </row>
    <row r="6" spans="1:10" x14ac:dyDescent="0.2">
      <c r="A6" t="s">
        <v>209</v>
      </c>
      <c r="B6" s="28">
        <v>0.1</v>
      </c>
      <c r="C6">
        <f>NORMINV(RAND(),1,0.1)</f>
        <v>1.0565801015828327</v>
      </c>
      <c r="D6">
        <f>RAND()</f>
        <v>0.35433665270806347</v>
      </c>
    </row>
    <row r="7" spans="1:10" x14ac:dyDescent="0.2">
      <c r="A7" t="s">
        <v>177</v>
      </c>
      <c r="B7" s="33">
        <f>NPV_IRR!B8</f>
        <v>0.08</v>
      </c>
      <c r="C7">
        <f>NORMINV(RAND(),1,0.1)</f>
        <v>0.98629649452218027</v>
      </c>
      <c r="D7">
        <f>RAND()</f>
        <v>0.44480939751435822</v>
      </c>
    </row>
    <row r="8" spans="1:10" x14ac:dyDescent="0.2">
      <c r="A8">
        <v>5</v>
      </c>
      <c r="B8">
        <f>NORMINV(RAND(),1,0.1)</f>
        <v>0.80554898036968492</v>
      </c>
      <c r="C8">
        <f>NORMINV(RAND(),1,0.1)</f>
        <v>0.9840734147463317</v>
      </c>
      <c r="D8">
        <f>RAND()</f>
        <v>0.68757913944916949</v>
      </c>
    </row>
    <row r="9" spans="1:10" ht="20.100000000000001" customHeight="1" x14ac:dyDescent="0.2">
      <c r="A9" s="7" t="s">
        <v>210</v>
      </c>
      <c r="B9" s="7" t="s">
        <v>211</v>
      </c>
      <c r="C9" s="7" t="s">
        <v>205</v>
      </c>
      <c r="D9" s="7" t="s">
        <v>174</v>
      </c>
      <c r="E9" s="7" t="s">
        <v>178</v>
      </c>
      <c r="F9" s="7" t="s">
        <v>212</v>
      </c>
      <c r="G9" s="7" t="s">
        <v>213</v>
      </c>
      <c r="H9" s="7" t="s">
        <v>214</v>
      </c>
      <c r="J9" s="1" t="s">
        <v>215</v>
      </c>
    </row>
    <row r="10" spans="1:10" x14ac:dyDescent="0.2">
      <c r="A10" s="10">
        <v>1</v>
      </c>
      <c r="B10" s="15">
        <f>NORMINV(RAND(),1,$B$5)</f>
        <v>0.71410099102692359</v>
      </c>
      <c r="C10" s="15">
        <f>NORMINV(RAND(),1,$B$6)</f>
        <v>0.89375568692838014</v>
      </c>
      <c r="D10" s="30">
        <f>IFERROR(IRR(F10:H10),"")</f>
        <v>-2</v>
      </c>
      <c r="E10" s="31">
        <f>IFERROR(NPV($B$7,F10:H10),"")</f>
        <v>-7627771.2810668061</v>
      </c>
      <c r="F10" s="31">
        <f>$J$10*B10/C10</f>
        <v>-5837015.9703019811</v>
      </c>
      <c r="G10" s="31">
        <f>$J$11*B10/C10</f>
        <v>-3477208.456334406</v>
      </c>
      <c r="H10" s="31">
        <f>$J$12*B10/C10</f>
        <v>954885.54458616092</v>
      </c>
      <c r="J10" s="27">
        <f>NPV_IRR!E4</f>
        <v>-7305502</v>
      </c>
    </row>
    <row r="11" spans="1:10" x14ac:dyDescent="0.2">
      <c r="A11" s="10">
        <v>2</v>
      </c>
      <c r="B11" s="15">
        <f>NORMINV(RAND(),1,$B$5)</f>
        <v>0.97291278719710139</v>
      </c>
      <c r="C11" s="15">
        <f>NORMINV(RAND(),1,$B$6)</f>
        <v>0.916713674122971</v>
      </c>
      <c r="D11" s="30">
        <f>IFERROR(IRR(F11:H11),"")</f>
        <v>-2</v>
      </c>
      <c r="E11" s="31">
        <f>IFERROR(NPV($B$7,F11:H11),"")</f>
        <v>-10132043.520999055</v>
      </c>
      <c r="F11" s="31">
        <f>$J$10*B11/C11</f>
        <v>-7753365.6509421282</v>
      </c>
      <c r="G11" s="31">
        <f>$J$11*B11/C11</f>
        <v>-4618810.1495144432</v>
      </c>
      <c r="H11" s="31">
        <f>$J$12*B11/C11</f>
        <v>1268383.8488097338</v>
      </c>
      <c r="J11" s="27">
        <f>NPV_IRR!E5</f>
        <v>-4352010.25</v>
      </c>
    </row>
    <row r="12" spans="1:10" x14ac:dyDescent="0.2">
      <c r="A12" s="10">
        <v>3</v>
      </c>
      <c r="B12" s="15">
        <f>NORMINV(RAND(),1,$B$5)</f>
        <v>0.79294512569875764</v>
      </c>
      <c r="C12" s="15">
        <f>NORMINV(RAND(),1,$B$6)</f>
        <v>1.09662107729202</v>
      </c>
      <c r="D12" s="30">
        <f>IFERROR(IRR(F12:H12),"")</f>
        <v>-2</v>
      </c>
      <c r="E12" s="31">
        <f>IFERROR(NPV($B$7,F12:H12),"")</f>
        <v>-6903087.6795652602</v>
      </c>
      <c r="F12" s="31">
        <f>$J$10*B12/C12</f>
        <v>-5282464.7653019167</v>
      </c>
      <c r="G12" s="31">
        <f>$J$11*B12/C12</f>
        <v>-3146852.9888648018</v>
      </c>
      <c r="H12" s="31">
        <f>$J$12*B12/C12</f>
        <v>864165.74322162883</v>
      </c>
      <c r="J12" s="27">
        <f>NPV_IRR!E6</f>
        <v>1195117.2125000004</v>
      </c>
    </row>
    <row r="13" spans="1:10" x14ac:dyDescent="0.2">
      <c r="A13" s="10">
        <v>4</v>
      </c>
      <c r="B13" s="15">
        <f>NORMINV(RAND(),1,$B$5)</f>
        <v>1.0432069360506113</v>
      </c>
      <c r="C13" s="15">
        <f>NORMINV(RAND(),1,$B$6)</f>
        <v>0.86405456897739585</v>
      </c>
      <c r="D13" s="30">
        <f>IFERROR(IRR(F13:H13),"")</f>
        <v>-2</v>
      </c>
      <c r="E13" s="31">
        <f>IFERROR(NPV($B$7,F13:H13),"")</f>
        <v>-11526199.694304006</v>
      </c>
      <c r="F13" s="31">
        <f>$J$10*B13/C13</f>
        <v>-8820218.8048738707</v>
      </c>
      <c r="G13" s="31">
        <f>$J$11*B13/C13</f>
        <v>-5254352.492964047</v>
      </c>
      <c r="H13" s="31">
        <f>$J$12*B13/C13</f>
        <v>1442911.8370949654</v>
      </c>
    </row>
    <row r="14" spans="1:10" x14ac:dyDescent="0.2">
      <c r="A14" s="10">
        <v>5</v>
      </c>
      <c r="B14" s="15">
        <f>NORMINV(RAND(),1,$B$5)</f>
        <v>0.97224422175012915</v>
      </c>
      <c r="C14" s="15">
        <f>NORMINV(RAND(),1,$B$6)</f>
        <v>1.025347262975792</v>
      </c>
      <c r="D14" s="30">
        <f>IFERROR(IRR(F14:H14),"")</f>
        <v>-2</v>
      </c>
      <c r="E14" s="31">
        <f>IFERROR(NPV($B$7,F14:H14),"")</f>
        <v>-9052347.9522061534</v>
      </c>
      <c r="F14" s="31">
        <f>$J$10*B14/C14</f>
        <v>-6927147.8678065231</v>
      </c>
      <c r="G14" s="31">
        <f>$J$11*B14/C14</f>
        <v>-4126618.3383372743</v>
      </c>
      <c r="H14" s="31">
        <f>$J$12*B14/C14</f>
        <v>1133221.7348442657</v>
      </c>
    </row>
    <row r="15" spans="1:10" x14ac:dyDescent="0.2">
      <c r="A15" s="10">
        <v>6</v>
      </c>
      <c r="B15" s="15">
        <f>NORMINV(RAND(),1,$B$5)</f>
        <v>1.0843740068158023</v>
      </c>
      <c r="C15" s="15">
        <f>NORMINV(RAND(),1,$B$6)</f>
        <v>0.94493119661349501</v>
      </c>
      <c r="D15" s="30">
        <f>IFERROR(IRR(F15:H15),"")</f>
        <v>-2</v>
      </c>
      <c r="E15" s="31">
        <f>IFERROR(NPV($B$7,F15:H15),"")</f>
        <v>-10955589.624353046</v>
      </c>
      <c r="F15" s="31">
        <f>$J$10*B15/C15</f>
        <v>-8383569.6227745013</v>
      </c>
      <c r="G15" s="31">
        <f>$J$11*B15/C15</f>
        <v>-4994233.2409057263</v>
      </c>
      <c r="H15" s="31">
        <f>$J$12*B15/C15</f>
        <v>1371479.7913093367</v>
      </c>
    </row>
    <row r="16" spans="1:10" x14ac:dyDescent="0.2">
      <c r="A16" s="10">
        <v>7</v>
      </c>
      <c r="B16" s="15">
        <f>NORMINV(RAND(),1,$B$5)</f>
        <v>1.0720414469457504</v>
      </c>
      <c r="C16" s="15">
        <f>NORMINV(RAND(),1,$B$6)</f>
        <v>1.0286345211458461</v>
      </c>
      <c r="D16" s="30">
        <f>IFERROR(IRR(F16:H16),"")</f>
        <v>-2</v>
      </c>
      <c r="E16" s="31">
        <f>IFERROR(NPV($B$7,F16:H16),"")</f>
        <v>-9949639.0467171296</v>
      </c>
      <c r="F16" s="31">
        <f>$J$10*B16/C16</f>
        <v>-7613783.879254654</v>
      </c>
      <c r="G16" s="31">
        <f>$J$11*B16/C16</f>
        <v>-4535658.9436018243</v>
      </c>
      <c r="H16" s="31">
        <f>$J$12*B16/C16</f>
        <v>1245549.4730344692</v>
      </c>
    </row>
    <row r="17" spans="1:8" x14ac:dyDescent="0.2">
      <c r="A17" s="10">
        <v>8</v>
      </c>
      <c r="B17" s="15">
        <f>NORMINV(RAND(),1,$B$5)</f>
        <v>1.1179266343040959</v>
      </c>
      <c r="C17" s="15">
        <f>NORMINV(RAND(),1,$B$6)</f>
        <v>0.92009538861884366</v>
      </c>
      <c r="D17" s="30">
        <f>IFERROR(IRR(F17:H17),"")</f>
        <v>-2</v>
      </c>
      <c r="E17" s="31">
        <f>IFERROR(NPV($B$7,F17:H17),"")</f>
        <v>-11599447.238645285</v>
      </c>
      <c r="F17" s="31">
        <f>$J$10*B17/C17</f>
        <v>-8876270.1821833458</v>
      </c>
      <c r="G17" s="31">
        <f>$J$11*B17/C17</f>
        <v>-5287743.2399075786</v>
      </c>
      <c r="H17" s="31">
        <f>$J$12*B17/C17</f>
        <v>1452081.3597105076</v>
      </c>
    </row>
    <row r="18" spans="1:8" x14ac:dyDescent="0.2">
      <c r="A18" s="10">
        <v>9</v>
      </c>
      <c r="B18" s="15">
        <f>NORMINV(RAND(),1,$B$5)</f>
        <v>0.85238346314098878</v>
      </c>
      <c r="C18" s="15">
        <f>NORMINV(RAND(),1,$B$6)</f>
        <v>1.1308624420779811</v>
      </c>
      <c r="D18" s="30">
        <f>IFERROR(IRR(F18:H18),"")</f>
        <v>-2</v>
      </c>
      <c r="E18" s="31">
        <f>IFERROR(NPV($B$7,F18:H18),"")</f>
        <v>-7195849.6318806531</v>
      </c>
      <c r="F18" s="31">
        <f>$J$10*B18/C18</f>
        <v>-5506495.629389748</v>
      </c>
      <c r="G18" s="31">
        <f>$J$11*B18/C18</f>
        <v>-3280311.9375895569</v>
      </c>
      <c r="H18" s="31">
        <f>$J$12*B18/C18</f>
        <v>900815.26324128173</v>
      </c>
    </row>
    <row r="19" spans="1:8" x14ac:dyDescent="0.2">
      <c r="A19" s="10">
        <v>10</v>
      </c>
      <c r="B19" s="15">
        <f>NORMINV(RAND(),1,$B$5)</f>
        <v>1.075388132233424</v>
      </c>
      <c r="C19" s="15">
        <f>NORMINV(RAND(),1,$B$6)</f>
        <v>1.0598551936071252</v>
      </c>
      <c r="D19" s="30">
        <f>IFERROR(IRR(F19:H19),"")</f>
        <v>-2</v>
      </c>
      <c r="E19" s="31">
        <f>IFERROR(NPV($B$7,F19:H19),"")</f>
        <v>-9686693.3533412497</v>
      </c>
      <c r="F19" s="31">
        <f>$J$10*B19/C19</f>
        <v>-7412569.3756988421</v>
      </c>
      <c r="G19" s="31">
        <f>$J$11*B19/C19</f>
        <v>-4415792.0840864135</v>
      </c>
      <c r="H19" s="31">
        <f>$J$12*B19/C19</f>
        <v>1212632.5131042423</v>
      </c>
    </row>
    <row r="20" spans="1:8" x14ac:dyDescent="0.2">
      <c r="A20" s="10">
        <v>11</v>
      </c>
      <c r="B20" s="15">
        <f>NORMINV(RAND(),1,$B$5)</f>
        <v>0.94838032000137829</v>
      </c>
      <c r="C20" s="15">
        <f>NORMINV(RAND(),1,$B$6)</f>
        <v>1.1397109432038566</v>
      </c>
      <c r="D20" s="30">
        <f>IFERROR(IRR(F20:H20),"")</f>
        <v>-2</v>
      </c>
      <c r="E20" s="31">
        <f>IFERROR(NPV($B$7,F20:H20),"")</f>
        <v>-7944099.2183561372</v>
      </c>
      <c r="F20" s="31">
        <f>$J$10*B20/C20</f>
        <v>-6079080.2842115453</v>
      </c>
      <c r="G20" s="31">
        <f>$J$11*B20/C20</f>
        <v>-3621410.2340210923</v>
      </c>
      <c r="H20" s="31">
        <f>$J$12*B20/C20</f>
        <v>994485.18169327884</v>
      </c>
    </row>
    <row r="21" spans="1:8" x14ac:dyDescent="0.2">
      <c r="A21" s="10">
        <v>12</v>
      </c>
      <c r="B21" s="15">
        <f>NORMINV(RAND(),1,$B$5)</f>
        <v>0.80406699791214575</v>
      </c>
      <c r="C21" s="15">
        <f>NORMINV(RAND(),1,$B$6)</f>
        <v>1.0461718479447371</v>
      </c>
      <c r="D21" s="30">
        <f>IFERROR(IRR(F21:H21),"")</f>
        <v>-2</v>
      </c>
      <c r="E21" s="31">
        <f>IFERROR(NPV($B$7,F21:H21),"")</f>
        <v>-7337465.1717055514</v>
      </c>
      <c r="F21" s="31">
        <f>$J$10*B21/C21</f>
        <v>-5614864.3962473273</v>
      </c>
      <c r="G21" s="31">
        <f>$J$11*B21/C21</f>
        <v>-3344869.0322483559</v>
      </c>
      <c r="H21" s="31">
        <f>$J$12*B21/C21</f>
        <v>918543.46023156284</v>
      </c>
    </row>
    <row r="22" spans="1:8" x14ac:dyDescent="0.2">
      <c r="A22" s="10">
        <v>13</v>
      </c>
      <c r="B22" s="15">
        <f>NORMINV(RAND(),1,$B$5)</f>
        <v>1.0331900545647437</v>
      </c>
      <c r="C22" s="15">
        <f>NORMINV(RAND(),1,$B$6)</f>
        <v>0.912526216909334</v>
      </c>
      <c r="D22" s="30">
        <f>IFERROR(IRR(F22:H22),"")</f>
        <v>-2</v>
      </c>
      <c r="E22" s="31">
        <f>IFERROR(NPV($B$7,F22:H22),"")</f>
        <v>-10809154.16741454</v>
      </c>
      <c r="F22" s="31">
        <f>$J$10*B22/C22</f>
        <v>-8271512.5002844594</v>
      </c>
      <c r="G22" s="31">
        <f>$J$11*B22/C22</f>
        <v>-4927478.9308443274</v>
      </c>
      <c r="H22" s="31">
        <f>$J$12*B22/C22</f>
        <v>1353148.2111015604</v>
      </c>
    </row>
    <row r="23" spans="1:8" x14ac:dyDescent="0.2">
      <c r="A23" s="10">
        <v>14</v>
      </c>
      <c r="B23" s="15">
        <f>NORMINV(RAND(),1,$B$5)</f>
        <v>1.0740935370127052</v>
      </c>
      <c r="C23" s="15">
        <f>NORMINV(RAND(),1,$B$6)</f>
        <v>1.008718998956263</v>
      </c>
      <c r="D23" s="30">
        <f>IFERROR(IRR(F23:H23),"")</f>
        <v>-2</v>
      </c>
      <c r="E23" s="31">
        <f>IFERROR(NPV($B$7,F23:H23),"")</f>
        <v>-10165500.061224084</v>
      </c>
      <c r="F23" s="31">
        <f>$J$10*B23/C23</f>
        <v>-7778967.6718219714</v>
      </c>
      <c r="G23" s="31">
        <f>$J$11*B23/C23</f>
        <v>-4634061.7033829922</v>
      </c>
      <c r="H23" s="31">
        <f>$J$12*B23/C23</f>
        <v>1272572.1189420647</v>
      </c>
    </row>
    <row r="24" spans="1:8" x14ac:dyDescent="0.2">
      <c r="A24" s="10">
        <v>15</v>
      </c>
      <c r="B24" s="15">
        <f>NORMINV(RAND(),1,$B$5)</f>
        <v>0.96404852769249483</v>
      </c>
      <c r="C24" s="15">
        <f>NORMINV(RAND(),1,$B$6)</f>
        <v>0.91607413368191415</v>
      </c>
      <c r="D24" s="30">
        <f>IFERROR(IRR(F24:H24),"")</f>
        <v>-2</v>
      </c>
      <c r="E24" s="31">
        <f>IFERROR(NPV($B$7,F24:H24),"")</f>
        <v>-10046738.994577708</v>
      </c>
      <c r="F24" s="31">
        <f>$J$10*B24/C24</f>
        <v>-7688087.8830708796</v>
      </c>
      <c r="G24" s="31">
        <f>$J$11*B24/C24</f>
        <v>-4579923.086740003</v>
      </c>
      <c r="H24" s="31">
        <f>$J$12*B24/C24</f>
        <v>1257704.9681556036</v>
      </c>
    </row>
    <row r="25" spans="1:8" x14ac:dyDescent="0.2">
      <c r="A25" s="10">
        <v>16</v>
      </c>
      <c r="B25" s="15">
        <f>NORMINV(RAND(),1,$B$5)</f>
        <v>1.0351397991247993</v>
      </c>
      <c r="C25" s="15">
        <f>NORMINV(RAND(),1,$B$6)</f>
        <v>1.0340818996499916</v>
      </c>
      <c r="D25" s="30">
        <f>IFERROR(IRR(F25:H25),"")</f>
        <v>-2</v>
      </c>
      <c r="E25" s="31">
        <f>IFERROR(NPV($B$7,F25:H25),"")</f>
        <v>-9556545.1277102381</v>
      </c>
      <c r="F25" s="31">
        <f>$J$10*B25/C25</f>
        <v>-7312975.7665668661</v>
      </c>
      <c r="G25" s="31">
        <f>$J$11*B25/C25</f>
        <v>-4356462.498278778</v>
      </c>
      <c r="H25" s="31">
        <f>$J$12*B25/C25</f>
        <v>1196339.8563465518</v>
      </c>
    </row>
    <row r="26" spans="1:8" x14ac:dyDescent="0.2">
      <c r="A26" s="10">
        <v>17</v>
      </c>
      <c r="B26" s="15">
        <f>NORMINV(RAND(),1,$B$5)</f>
        <v>1.1463659290372759</v>
      </c>
      <c r="C26" s="15">
        <f>NORMINV(RAND(),1,$B$6)</f>
        <v>0.8399886130172507</v>
      </c>
      <c r="D26" s="30">
        <f>IFERROR(IRR(F26:H26),"")</f>
        <v>-2</v>
      </c>
      <c r="E26" s="31">
        <f>IFERROR(NPV($B$7,F26:H26),"")</f>
        <v>-13028868.953277174</v>
      </c>
      <c r="F26" s="31">
        <f>$J$10*B26/C26</f>
        <v>-9970109.6628338285</v>
      </c>
      <c r="G26" s="31">
        <f>$J$11*B26/C26</f>
        <v>-5939361.7914657844</v>
      </c>
      <c r="H26" s="31">
        <f>$J$12*B26/C26</f>
        <v>1631024.0786417257</v>
      </c>
    </row>
    <row r="27" spans="1:8" x14ac:dyDescent="0.2">
      <c r="A27" s="10">
        <v>18</v>
      </c>
      <c r="B27" s="15">
        <f>NORMINV(RAND(),1,$B$5)</f>
        <v>0.86509374260194827</v>
      </c>
      <c r="C27" s="15">
        <f>NORMINV(RAND(),1,$B$6)</f>
        <v>1.1362069949899813</v>
      </c>
      <c r="D27" s="30">
        <f>IFERROR(IRR(F27:H27),"")</f>
        <v>-2</v>
      </c>
      <c r="E27" s="31">
        <f>IFERROR(NPV($B$7,F27:H27),"")</f>
        <v>-7268797.2756363936</v>
      </c>
      <c r="F27" s="31">
        <f>$J$10*B27/C27</f>
        <v>-5562317.5131233418</v>
      </c>
      <c r="G27" s="31">
        <f>$J$11*B27/C27</f>
        <v>-3313565.971355191</v>
      </c>
      <c r="H27" s="31">
        <f>$J$12*B27/C27</f>
        <v>909947.24268419913</v>
      </c>
    </row>
    <row r="28" spans="1:8" x14ac:dyDescent="0.2">
      <c r="A28" s="10">
        <v>19</v>
      </c>
      <c r="B28" s="15">
        <f>NORMINV(RAND(),1,$B$5)</f>
        <v>0.82990508837725696</v>
      </c>
      <c r="C28" s="15">
        <f>NORMINV(RAND(),1,$B$6)</f>
        <v>0.8874892526148549</v>
      </c>
      <c r="D28" s="30">
        <f>IFERROR(IRR(F28:H28),"")</f>
        <v>-2</v>
      </c>
      <c r="E28" s="31">
        <f>IFERROR(NPV($B$7,F28:H28),"")</f>
        <v>-8927341.9369630739</v>
      </c>
      <c r="F28" s="31">
        <f>$J$10*B28/C28</f>
        <v>-6831489.2434887234</v>
      </c>
      <c r="G28" s="31">
        <f>$J$11*B28/C28</f>
        <v>-4069632.8890783507</v>
      </c>
      <c r="H28" s="31">
        <f>$J$12*B28/C28</f>
        <v>1117572.8077142378</v>
      </c>
    </row>
    <row r="29" spans="1:8" x14ac:dyDescent="0.2">
      <c r="A29" s="10">
        <v>20</v>
      </c>
      <c r="B29" s="15">
        <f>NORMINV(RAND(),1,$B$5)</f>
        <v>1.0272716355298577</v>
      </c>
      <c r="C29" s="15">
        <f>NORMINV(RAND(),1,$B$6)</f>
        <v>1.1112678812955044</v>
      </c>
      <c r="D29" s="30">
        <f>IFERROR(IRR(F29:H29),"")</f>
        <v>-2</v>
      </c>
      <c r="E29" s="31">
        <f>IFERROR(NPV($B$7,F29:H29),"")</f>
        <v>-8825176.0804734007</v>
      </c>
      <c r="F29" s="31">
        <f>$J$10*B29/C29</f>
        <v>-6753308.6434188178</v>
      </c>
      <c r="G29" s="31">
        <f>$J$11*B29/C29</f>
        <v>-4023059.3924376848</v>
      </c>
      <c r="H29" s="31">
        <f>$J$12*B29/C29</f>
        <v>1104783.1348310981</v>
      </c>
    </row>
    <row r="30" spans="1:8" x14ac:dyDescent="0.2">
      <c r="A30" s="10">
        <v>21</v>
      </c>
      <c r="B30" s="15">
        <f>NORMINV(RAND(),1,$B$5)</f>
        <v>1.0035649281933314</v>
      </c>
      <c r="C30" s="15">
        <f>NORMINV(RAND(),1,$B$6)</f>
        <v>1.1036968780921221</v>
      </c>
      <c r="D30" s="30">
        <f>IFERROR(IRR(F30:H30),"")</f>
        <v>-2</v>
      </c>
      <c r="E30" s="31">
        <f>IFERROR(NPV($B$7,F30:H30),"")</f>
        <v>-8680655.1981524918</v>
      </c>
      <c r="F30" s="31">
        <f>$J$10*B30/C30</f>
        <v>-6642716.6150181843</v>
      </c>
      <c r="G30" s="31">
        <f>$J$11*B30/C30</f>
        <v>-3957177.8635341474</v>
      </c>
      <c r="H30" s="31">
        <f>$J$12*B30/C30</f>
        <v>1086691.2313990155</v>
      </c>
    </row>
    <row r="31" spans="1:8" x14ac:dyDescent="0.2">
      <c r="A31" s="10">
        <v>22</v>
      </c>
      <c r="B31" s="15">
        <f>NORMINV(RAND(),1,$B$5)</f>
        <v>1.1460812881509126</v>
      </c>
      <c r="C31" s="15">
        <f>NORMINV(RAND(),1,$B$6)</f>
        <v>0.82455764071332172</v>
      </c>
      <c r="D31" s="30">
        <f>IFERROR(IRR(F31:H31),"")</f>
        <v>-2</v>
      </c>
      <c r="E31" s="31">
        <f>IFERROR(NPV($B$7,F31:H31),"")</f>
        <v>-13269398.787328005</v>
      </c>
      <c r="F31" s="31">
        <f>$J$10*B31/C31</f>
        <v>-10154170.829714073</v>
      </c>
      <c r="G31" s="31">
        <f>$J$11*B31/C31</f>
        <v>-6049010.1202034643</v>
      </c>
      <c r="H31" s="31">
        <f>$J$12*B31/C31</f>
        <v>1661134.9004157002</v>
      </c>
    </row>
    <row r="32" spans="1:8" x14ac:dyDescent="0.2">
      <c r="A32" s="10">
        <v>23</v>
      </c>
      <c r="B32" s="15">
        <f>NORMINV(RAND(),1,$B$5)</f>
        <v>0.97377256650340449</v>
      </c>
      <c r="C32" s="15">
        <f>NORMINV(RAND(),1,$B$6)</f>
        <v>0.87331264788525587</v>
      </c>
      <c r="D32" s="30">
        <f>IFERROR(IRR(F32:H32),"")</f>
        <v>-2</v>
      </c>
      <c r="E32" s="31">
        <f>IFERROR(NPV($B$7,F32:H32),"")</f>
        <v>-10644974.61199495</v>
      </c>
      <c r="F32" s="31">
        <f>$J$10*B32/C32</f>
        <v>-8145877.0228075832</v>
      </c>
      <c r="G32" s="31">
        <f>$J$11*B32/C32</f>
        <v>-4852635.7666452061</v>
      </c>
      <c r="H32" s="31">
        <f>$J$12*B32/C32</f>
        <v>1332595.3289542047</v>
      </c>
    </row>
    <row r="33" spans="1:8" x14ac:dyDescent="0.2">
      <c r="A33" s="10">
        <v>24</v>
      </c>
      <c r="B33" s="15">
        <f>NORMINV(RAND(),1,$B$5)</f>
        <v>1.0421922234857814</v>
      </c>
      <c r="C33" s="15">
        <f>NORMINV(RAND(),1,$B$6)</f>
        <v>0.99374161254172522</v>
      </c>
      <c r="D33" s="30">
        <f>IFERROR(IRR(F33:H33),"")</f>
        <v>-2</v>
      </c>
      <c r="E33" s="31">
        <f>IFERROR(NPV($B$7,F33:H33),"")</f>
        <v>-10012238.742122851</v>
      </c>
      <c r="F33" s="31">
        <f>$J$10*B33/C33</f>
        <v>-7661687.1800164636</v>
      </c>
      <c r="G33" s="31">
        <f>$J$11*B33/C33</f>
        <v>-4564195.7444848064</v>
      </c>
      <c r="H33" s="31">
        <f>$J$12*B33/C33</f>
        <v>1253386.0404977323</v>
      </c>
    </row>
    <row r="34" spans="1:8" x14ac:dyDescent="0.2">
      <c r="A34" s="10">
        <v>25</v>
      </c>
      <c r="B34" s="15">
        <f>NORMINV(RAND(),1,$B$5)</f>
        <v>0.93937624381016205</v>
      </c>
      <c r="C34" s="15">
        <f>NORMINV(RAND(),1,$B$6)</f>
        <v>0.87441806336502725</v>
      </c>
      <c r="D34" s="30">
        <f>IFERROR(IRR(F34:H34),"")</f>
        <v>-2</v>
      </c>
      <c r="E34" s="31">
        <f>IFERROR(NPV($B$7,F34:H34),"")</f>
        <v>-10255983.113947608</v>
      </c>
      <c r="F34" s="31">
        <f>$J$10*B34/C34</f>
        <v>-7848208.2146132626</v>
      </c>
      <c r="G34" s="31">
        <f>$J$11*B34/C34</f>
        <v>-4675309.4577389909</v>
      </c>
      <c r="H34" s="31">
        <f>$J$12*B34/C34</f>
        <v>1283899.2754458499</v>
      </c>
    </row>
    <row r="35" spans="1:8" x14ac:dyDescent="0.2">
      <c r="A35" s="10">
        <v>26</v>
      </c>
      <c r="B35" s="15">
        <f>NORMINV(RAND(),1,$B$5)</f>
        <v>1.0642945422878751</v>
      </c>
      <c r="C35" s="15">
        <f>NORMINV(RAND(),1,$B$6)</f>
        <v>0.9552593052682129</v>
      </c>
      <c r="D35" s="30">
        <f>IFERROR(IRR(F35:H35),"")</f>
        <v>-2</v>
      </c>
      <c r="E35" s="31">
        <f>IFERROR(NPV($B$7,F35:H35),"")</f>
        <v>-10636467.143341523</v>
      </c>
      <c r="F35" s="31">
        <f>$J$10*B35/C35</f>
        <v>-8139366.8341080146</v>
      </c>
      <c r="G35" s="31">
        <f>$J$11*B35/C35</f>
        <v>-4848757.5378869418</v>
      </c>
      <c r="H35" s="31">
        <f>$J$12*B35/C35</f>
        <v>1331530.3181484481</v>
      </c>
    </row>
    <row r="36" spans="1:8" x14ac:dyDescent="0.2">
      <c r="A36" s="10">
        <v>27</v>
      </c>
      <c r="B36" s="15">
        <f>NORMINV(RAND(),1,$B$5)</f>
        <v>1.0860999064114181</v>
      </c>
      <c r="C36" s="15">
        <f>NORMINV(RAND(),1,$B$6)</f>
        <v>1.1266536811415144</v>
      </c>
      <c r="D36" s="30">
        <f>IFERROR(IRR(F36:H36),"")</f>
        <v>-2</v>
      </c>
      <c r="E36" s="31">
        <f>IFERROR(NPV($B$7,F36:H36),"")</f>
        <v>-9203143.2266997192</v>
      </c>
      <c r="F36" s="31">
        <f>$J$10*B36/C36</f>
        <v>-7042541.2629453847</v>
      </c>
      <c r="G36" s="31">
        <f>$J$11*B36/C36</f>
        <v>-4195360.1220540712</v>
      </c>
      <c r="H36" s="31">
        <f>$J$12*B36/C36</f>
        <v>1152099.1005255382</v>
      </c>
    </row>
    <row r="37" spans="1:8" x14ac:dyDescent="0.2">
      <c r="A37" s="10">
        <v>28</v>
      </c>
      <c r="B37" s="15">
        <f>NORMINV(RAND(),1,$B$5)</f>
        <v>0.96111347966071858</v>
      </c>
      <c r="C37" s="15">
        <f>NORMINV(RAND(),1,$B$6)</f>
        <v>0.99284158633172881</v>
      </c>
      <c r="D37" s="30">
        <f>IFERROR(IRR(F37:H37),"")</f>
        <v>-2</v>
      </c>
      <c r="E37" s="31">
        <f>IFERROR(NPV($B$7,F37:H37),"")</f>
        <v>-9241693.3313113321</v>
      </c>
      <c r="F37" s="31">
        <f>$J$10*B37/C37</f>
        <v>-7072041.0431542285</v>
      </c>
      <c r="G37" s="31">
        <f>$J$11*B37/C37</f>
        <v>-4212933.6366245458</v>
      </c>
      <c r="H37" s="31">
        <f>$J$12*B37/C37</f>
        <v>1156925.0105167415</v>
      </c>
    </row>
    <row r="38" spans="1:8" x14ac:dyDescent="0.2">
      <c r="A38" s="10">
        <v>29</v>
      </c>
      <c r="B38" s="15">
        <f>NORMINV(RAND(),1,$B$5)</f>
        <v>0.98906685378271997</v>
      </c>
      <c r="C38" s="15">
        <f>NORMINV(RAND(),1,$B$6)</f>
        <v>1.294577578002893</v>
      </c>
      <c r="D38" s="30">
        <f>IFERROR(IRR(F38:H38),"")</f>
        <v>-2</v>
      </c>
      <c r="E38" s="31">
        <f>IFERROR(NPV($B$7,F38:H38),"")</f>
        <v>-7293809.4231738029</v>
      </c>
      <c r="F38" s="31">
        <f>$J$10*B38/C38</f>
        <v>-5581457.6130618118</v>
      </c>
      <c r="G38" s="31">
        <f>$J$11*B38/C38</f>
        <v>-3324968.0503797736</v>
      </c>
      <c r="H38" s="31">
        <f>$J$12*B38/C38</f>
        <v>913078.39820033417</v>
      </c>
    </row>
    <row r="39" spans="1:8" x14ac:dyDescent="0.2">
      <c r="A39" s="10">
        <v>30</v>
      </c>
      <c r="B39" s="15">
        <f>NORMINV(RAND(),1,$B$5)</f>
        <v>1.0317189257140096</v>
      </c>
      <c r="C39" s="15">
        <f>NORMINV(RAND(),1,$B$6)</f>
        <v>0.96543612707985682</v>
      </c>
      <c r="D39" s="30">
        <f>IFERROR(IRR(F39:H39),"")</f>
        <v>-2</v>
      </c>
      <c r="E39" s="31">
        <f>IFERROR(NPV($B$7,F39:H39),"")</f>
        <v>-10202220.263856336</v>
      </c>
      <c r="F39" s="31">
        <f>$J$10*B39/C39</f>
        <v>-7807067.1521681109</v>
      </c>
      <c r="G39" s="31">
        <f>$J$11*B39/C39</f>
        <v>-4650801.0358047849</v>
      </c>
      <c r="H39" s="31">
        <f>$J$12*B39/C39</f>
        <v>1277168.951935058</v>
      </c>
    </row>
    <row r="40" spans="1:8" x14ac:dyDescent="0.2">
      <c r="A40" s="10">
        <v>31</v>
      </c>
      <c r="B40" s="15">
        <f>NORMINV(RAND(),1,$B$5)</f>
        <v>1.008820569664306</v>
      </c>
      <c r="C40" s="15">
        <f>NORMINV(RAND(),1,$B$6)</f>
        <v>0.89513841039282749</v>
      </c>
      <c r="D40" s="30">
        <f>IFERROR(IRR(F40:H40),"")</f>
        <v>-2</v>
      </c>
      <c r="E40" s="31">
        <f>IFERROR(NPV($B$7,F40:H40),"")</f>
        <v>-10759214.85993346</v>
      </c>
      <c r="F40" s="31">
        <f>$J$10*B40/C40</f>
        <v>-8233297.3356483066</v>
      </c>
      <c r="G40" s="31">
        <f>$J$11*B40/C40</f>
        <v>-4904713.5153804794</v>
      </c>
      <c r="H40" s="31">
        <f>$J$12*B40/C40</f>
        <v>1346896.5392746022</v>
      </c>
    </row>
    <row r="41" spans="1:8" x14ac:dyDescent="0.2">
      <c r="A41" s="10">
        <v>32</v>
      </c>
      <c r="B41" s="15">
        <f>NORMINV(RAND(),1,$B$5)</f>
        <v>0.98216845392692709</v>
      </c>
      <c r="C41" s="15">
        <f>NORMINV(RAND(),1,$B$6)</f>
        <v>1.0982695128214219</v>
      </c>
      <c r="D41" s="30">
        <f>IFERROR(IRR(F41:H41),"")</f>
        <v>-2</v>
      </c>
      <c r="E41" s="31">
        <f>IFERROR(NPV($B$7,F41:H41),"")</f>
        <v>-8537562.5316333696</v>
      </c>
      <c r="F41" s="31">
        <f>$J$10*B41/C41</f>
        <v>-6533217.5032948973</v>
      </c>
      <c r="G41" s="31">
        <f>$J$11*B41/C41</f>
        <v>-3891947.4034527405</v>
      </c>
      <c r="H41" s="31">
        <f>$J$12*B41/C41</f>
        <v>1068778.1197231908</v>
      </c>
    </row>
    <row r="42" spans="1:8" x14ac:dyDescent="0.2">
      <c r="A42" s="10">
        <v>33</v>
      </c>
      <c r="B42" s="15">
        <f>NORMINV(RAND(),1,$B$5)</f>
        <v>1.0892516685146181</v>
      </c>
      <c r="C42" s="15">
        <f>NORMINV(RAND(),1,$B$6)</f>
        <v>0.97691503125490864</v>
      </c>
      <c r="D42" s="30">
        <f>IFERROR(IRR(F42:H42),"")</f>
        <v>-2</v>
      </c>
      <c r="E42" s="31">
        <f>IFERROR(NPV($B$7,F42:H42),"")</f>
        <v>-10644574.027734002</v>
      </c>
      <c r="F42" s="31">
        <f>$J$10*B42/C42</f>
        <v>-8145570.4828442782</v>
      </c>
      <c r="G42" s="31">
        <f>$J$11*B42/C42</f>
        <v>-4852453.1556401933</v>
      </c>
      <c r="H42" s="31">
        <f>$J$12*B42/C42</f>
        <v>1332545.1816561182</v>
      </c>
    </row>
    <row r="43" spans="1:8" x14ac:dyDescent="0.2">
      <c r="A43" s="10">
        <v>34</v>
      </c>
      <c r="B43" s="15">
        <f>NORMINV(RAND(),1,$B$5)</f>
        <v>0.86586839869448018</v>
      </c>
      <c r="C43" s="15">
        <f>NORMINV(RAND(),1,$B$6)</f>
        <v>1.0083297432118519</v>
      </c>
      <c r="D43" s="30">
        <f>IFERROR(IRR(F43:H43),"")</f>
        <v>-2</v>
      </c>
      <c r="E43" s="31">
        <f>IFERROR(NPV($B$7,F43:H43),"")</f>
        <v>-8197966.8213608451</v>
      </c>
      <c r="F43" s="31">
        <f>$J$10*B43/C43</f>
        <v>-6273347.9409724222</v>
      </c>
      <c r="G43" s="31">
        <f>$J$11*B43/C43</f>
        <v>-3737138.7402163981</v>
      </c>
      <c r="H43" s="31">
        <f>$J$12*B43/C43</f>
        <v>1026265.6973138299</v>
      </c>
    </row>
    <row r="44" spans="1:8" x14ac:dyDescent="0.2">
      <c r="A44" s="10">
        <v>35</v>
      </c>
      <c r="B44" s="15">
        <f>NORMINV(RAND(),1,$B$5)</f>
        <v>0.89210553243285373</v>
      </c>
      <c r="C44" s="15">
        <f>NORMINV(RAND(),1,$B$6)</f>
        <v>1.006932065552484</v>
      </c>
      <c r="D44" s="30">
        <f>IFERROR(IRR(F44:H44),"")</f>
        <v>-2</v>
      </c>
      <c r="E44" s="31">
        <f>IFERROR(NPV($B$7,F44:H44),"")</f>
        <v>-8458101.7672280278</v>
      </c>
      <c r="F44" s="31">
        <f>$J$10*B44/C44</f>
        <v>-6472411.5701126009</v>
      </c>
      <c r="G44" s="31">
        <f>$J$11*B44/C44</f>
        <v>-3855724.2877147435</v>
      </c>
      <c r="H44" s="31">
        <f>$J$12*B44/C44</f>
        <v>1058830.7927129064</v>
      </c>
    </row>
    <row r="45" spans="1:8" x14ac:dyDescent="0.2">
      <c r="A45" s="10">
        <v>36</v>
      </c>
      <c r="B45" s="15">
        <f>NORMINV(RAND(),1,$B$5)</f>
        <v>0.85097904814873615</v>
      </c>
      <c r="C45" s="15">
        <f>NORMINV(RAND(),1,$B$6)</f>
        <v>1.1057865911771825</v>
      </c>
      <c r="D45" s="30">
        <f>IFERROR(IRR(F45:H45),"")</f>
        <v>-2</v>
      </c>
      <c r="E45" s="31">
        <f>IFERROR(NPV($B$7,F45:H45),"")</f>
        <v>-7346904.4692300735</v>
      </c>
      <c r="F45" s="31">
        <f>$J$10*B45/C45</f>
        <v>-5622087.6503760694</v>
      </c>
      <c r="G45" s="31">
        <f>$J$11*B45/C45</f>
        <v>-3349172.0460599517</v>
      </c>
      <c r="H45" s="31">
        <f>$J$12*B45/C45</f>
        <v>919725.12240064051</v>
      </c>
    </row>
    <row r="46" spans="1:8" x14ac:dyDescent="0.2">
      <c r="A46" s="10">
        <v>37</v>
      </c>
      <c r="B46" s="15">
        <f>NORMINV(RAND(),1,$B$5)</f>
        <v>1.1293767027209276</v>
      </c>
      <c r="C46" s="15">
        <f>NORMINV(RAND(),1,$B$6)</f>
        <v>1.0203607377899784</v>
      </c>
      <c r="D46" s="30">
        <f>IFERROR(IRR(F46:H46),"")</f>
        <v>-2</v>
      </c>
      <c r="E46" s="31">
        <f>IFERROR(NPV($B$7,F46:H46),"")</f>
        <v>-10566762.108772967</v>
      </c>
      <c r="F46" s="31">
        <f>$J$10*B46/C46</f>
        <v>-8086026.2992394585</v>
      </c>
      <c r="G46" s="31">
        <f>$J$11*B46/C46</f>
        <v>-4816981.6853187764</v>
      </c>
      <c r="H46" s="31">
        <f>$J$12*B46/C46</f>
        <v>1322804.2660105706</v>
      </c>
    </row>
    <row r="47" spans="1:8" x14ac:dyDescent="0.2">
      <c r="A47" s="10">
        <v>38</v>
      </c>
      <c r="B47" s="15">
        <f>NORMINV(RAND(),1,$B$5)</f>
        <v>1.0927510860531873</v>
      </c>
      <c r="C47" s="15">
        <f>NORMINV(RAND(),1,$B$6)</f>
        <v>1.2275850638454875</v>
      </c>
      <c r="D47" s="30">
        <f>IFERROR(IRR(F47:H47),"")</f>
        <v>-2</v>
      </c>
      <c r="E47" s="31">
        <f>IFERROR(NPV($B$7,F47:H47),"")</f>
        <v>-8498191.1561444625</v>
      </c>
      <c r="F47" s="31">
        <f>$J$10*B47/C47</f>
        <v>-6503089.2601903966</v>
      </c>
      <c r="G47" s="31">
        <f>$J$11*B47/C47</f>
        <v>-3873999.5029791957</v>
      </c>
      <c r="H47" s="31">
        <f>$J$12*B47/C47</f>
        <v>1063849.3986145561</v>
      </c>
    </row>
    <row r="48" spans="1:8" x14ac:dyDescent="0.2">
      <c r="A48" s="10">
        <v>39</v>
      </c>
      <c r="B48" s="15">
        <f>NORMINV(RAND(),1,$B$5)</f>
        <v>0.81001752676572758</v>
      </c>
      <c r="C48" s="15">
        <f>NORMINV(RAND(),1,$B$6)</f>
        <v>0.97074914197018525</v>
      </c>
      <c r="D48" s="30">
        <f>IFERROR(IRR(F48:H48),"")</f>
        <v>-2</v>
      </c>
      <c r="E48" s="31">
        <f>IFERROR(NPV($B$7,F48:H48),"")</f>
        <v>-7966072.3293737574</v>
      </c>
      <c r="F48" s="31">
        <f>$J$10*B48/C48</f>
        <v>-6095894.8156390162</v>
      </c>
      <c r="G48" s="31">
        <f>$J$11*B48/C48</f>
        <v>-3631426.9328217092</v>
      </c>
      <c r="H48" s="31">
        <f>$J$12*B48/C48</f>
        <v>997235.89422872034</v>
      </c>
    </row>
    <row r="49" spans="1:8" x14ac:dyDescent="0.2">
      <c r="A49" s="10">
        <v>40</v>
      </c>
      <c r="B49" s="15">
        <f>NORMINV(RAND(),1,$B$5)</f>
        <v>1.02527587988793</v>
      </c>
      <c r="C49" s="15">
        <f>NORMINV(RAND(),1,$B$6)</f>
        <v>0.90679447948710912</v>
      </c>
      <c r="D49" s="30">
        <f>IFERROR(IRR(F49:H49),"")</f>
        <v>-2</v>
      </c>
      <c r="E49" s="31">
        <f>IFERROR(NPV($B$7,F49:H49),"")</f>
        <v>-10794156.67987447</v>
      </c>
      <c r="F49" s="31">
        <f>$J$10*B49/C49</f>
        <v>-8260035.9403483896</v>
      </c>
      <c r="G49" s="31">
        <f>$J$11*B49/C49</f>
        <v>-4920642.1513216449</v>
      </c>
      <c r="H49" s="31">
        <f>$J$12*B49/C49</f>
        <v>1351270.7447317087</v>
      </c>
    </row>
    <row r="50" spans="1:8" x14ac:dyDescent="0.2">
      <c r="A50" s="10">
        <v>41</v>
      </c>
      <c r="B50" s="15">
        <f>NORMINV(RAND(),1,$B$5)</f>
        <v>0.95232892997256313</v>
      </c>
      <c r="C50" s="15">
        <f>NORMINV(RAND(),1,$B$6)</f>
        <v>1.0072791676389268</v>
      </c>
      <c r="D50" s="30">
        <f>IFERROR(IRR(F50:H50),"")</f>
        <v>-2</v>
      </c>
      <c r="E50" s="31">
        <f>IFERROR(NPV($B$7,F50:H50),"")</f>
        <v>-9025971.7561692465</v>
      </c>
      <c r="F50" s="31">
        <f>$J$10*B50/C50</f>
        <v>-6906963.9540746855</v>
      </c>
      <c r="G50" s="31">
        <f>$J$11*B50/C50</f>
        <v>-4114594.441903316</v>
      </c>
      <c r="H50" s="31">
        <f>$J$12*B50/C50</f>
        <v>1129919.8203808197</v>
      </c>
    </row>
    <row r="51" spans="1:8" x14ac:dyDescent="0.2">
      <c r="A51" s="10">
        <v>42</v>
      </c>
      <c r="B51" s="15" t="str">
        <f ca="1">NORMINV(RAND(),1,$B$5)</f>
        <v/>
      </c>
      <c r="C51" s="15" t="str">
        <f ca="1">NORMINV(RAND(),1,$B$6)</f>
        <v/>
      </c>
      <c r="D51" s="30" t="str">
        <f ca="1">IFERROR(IRR(F51:H51),"")</f>
        <v/>
      </c>
      <c r="E51" s="31" t="str">
        <f ca="1">IFERROR(NPV($B$7,F51:H51),"")</f>
        <v/>
      </c>
      <c r="F51" s="31" t="str">
        <f ca="1">$J$10*B51/C51</f>
        <v/>
      </c>
      <c r="G51" s="31" t="str">
        <f ca="1">$J$11*B51/C51</f>
        <v/>
      </c>
      <c r="H51" s="31" t="str">
        <f ca="1">$J$12*B51/C51</f>
        <v/>
      </c>
    </row>
    <row r="52" spans="1:8" x14ac:dyDescent="0.2">
      <c r="A52" s="10">
        <v>43</v>
      </c>
      <c r="B52" s="15" t="str">
        <f ca="1">NORMINV(RAND(),1,$B$5)</f>
        <v/>
      </c>
      <c r="C52" s="15" t="str">
        <f ca="1">NORMINV(RAND(),1,$B$6)</f>
        <v/>
      </c>
      <c r="D52" s="30" t="str">
        <f ca="1">IFERROR(IRR(F52:H52),"")</f>
        <v/>
      </c>
      <c r="E52" s="31" t="str">
        <f ca="1">IFERROR(NPV($B$7,F52:H52),"")</f>
        <v/>
      </c>
      <c r="F52" s="31" t="str">
        <f ca="1">$J$10*B52/C52</f>
        <v/>
      </c>
      <c r="G52" s="31" t="str">
        <f ca="1">$J$11*B52/C52</f>
        <v/>
      </c>
      <c r="H52" s="31" t="str">
        <f ca="1">$J$12*B52/C52</f>
        <v/>
      </c>
    </row>
    <row r="53" spans="1:8" x14ac:dyDescent="0.2">
      <c r="A53" s="10">
        <v>44</v>
      </c>
      <c r="B53" s="15" t="str">
        <f ca="1">NORMINV(RAND(),1,$B$5)</f>
        <v/>
      </c>
      <c r="C53" s="15" t="str">
        <f ca="1">NORMINV(RAND(),1,$B$6)</f>
        <v/>
      </c>
      <c r="D53" s="30" t="str">
        <f ca="1">IFERROR(IRR(F53:H53),"")</f>
        <v/>
      </c>
      <c r="E53" s="31" t="str">
        <f ca="1">IFERROR(NPV($B$7,F53:H53),"")</f>
        <v/>
      </c>
      <c r="F53" s="31" t="str">
        <f ca="1">$J$10*B53/C53</f>
        <v/>
      </c>
      <c r="G53" s="31" t="str">
        <f ca="1">$J$11*B53/C53</f>
        <v/>
      </c>
      <c r="H53" s="31" t="str">
        <f ca="1">$J$12*B53/C53</f>
        <v/>
      </c>
    </row>
    <row r="54" spans="1:8" x14ac:dyDescent="0.2">
      <c r="A54" s="10">
        <v>45</v>
      </c>
      <c r="B54" s="15" t="str">
        <f ca="1">NORMINV(RAND(),1,$B$5)</f>
        <v/>
      </c>
      <c r="C54" s="15" t="str">
        <f ca="1">NORMINV(RAND(),1,$B$6)</f>
        <v/>
      </c>
      <c r="D54" s="30" t="str">
        <f ca="1">IFERROR(IRR(F54:H54),"")</f>
        <v/>
      </c>
      <c r="E54" s="31" t="str">
        <f ca="1">IFERROR(NPV($B$7,F54:H54),"")</f>
        <v/>
      </c>
      <c r="F54" s="31" t="str">
        <f ca="1">$J$10*B54/C54</f>
        <v/>
      </c>
      <c r="G54" s="31" t="str">
        <f ca="1">$J$11*B54/C54</f>
        <v/>
      </c>
      <c r="H54" s="31" t="str">
        <f ca="1">$J$12*B54/C54</f>
        <v/>
      </c>
    </row>
    <row r="55" spans="1:8" x14ac:dyDescent="0.2">
      <c r="A55" s="10">
        <v>46</v>
      </c>
      <c r="B55" s="15" t="str">
        <f ca="1">NORMINV(RAND(),1,$B$5)</f>
        <v/>
      </c>
      <c r="C55" s="15" t="str">
        <f ca="1">NORMINV(RAND(),1,$B$6)</f>
        <v/>
      </c>
      <c r="D55" s="30" t="str">
        <f ca="1">IFERROR(IRR(F55:H55),"")</f>
        <v/>
      </c>
      <c r="E55" s="31" t="str">
        <f ca="1">IFERROR(NPV($B$7,F55:H55),"")</f>
        <v/>
      </c>
      <c r="F55" s="31" t="str">
        <f ca="1">$J$10*B55/C55</f>
        <v/>
      </c>
      <c r="G55" s="31" t="str">
        <f ca="1">$J$11*B55/C55</f>
        <v/>
      </c>
      <c r="H55" s="31" t="str">
        <f ca="1">$J$12*B55/C55</f>
        <v/>
      </c>
    </row>
    <row r="56" spans="1:8" x14ac:dyDescent="0.2">
      <c r="A56" s="10">
        <v>47</v>
      </c>
      <c r="B56" s="15" t="str">
        <f ca="1">NORMINV(RAND(),1,$B$5)</f>
        <v/>
      </c>
      <c r="C56" s="15" t="str">
        <f ca="1">NORMINV(RAND(),1,$B$6)</f>
        <v/>
      </c>
      <c r="D56" s="30" t="str">
        <f ca="1">IFERROR(IRR(F56:H56),"")</f>
        <v/>
      </c>
      <c r="E56" s="31" t="str">
        <f ca="1">IFERROR(NPV($B$7,F56:H56),"")</f>
        <v/>
      </c>
      <c r="F56" s="31" t="str">
        <f ca="1">$J$10*B56/C56</f>
        <v/>
      </c>
      <c r="G56" s="31" t="str">
        <f ca="1">$J$11*B56/C56</f>
        <v/>
      </c>
      <c r="H56" s="31" t="str">
        <f ca="1">$J$12*B56/C56</f>
        <v/>
      </c>
    </row>
    <row r="57" spans="1:8" x14ac:dyDescent="0.2">
      <c r="A57" s="10">
        <v>48</v>
      </c>
      <c r="B57" s="15" t="str">
        <f ca="1">NORMINV(RAND(),1,$B$5)</f>
        <v/>
      </c>
      <c r="C57" s="15" t="str">
        <f ca="1">NORMINV(RAND(),1,$B$6)</f>
        <v/>
      </c>
      <c r="D57" s="30" t="str">
        <f ca="1">IFERROR(IRR(F57:H57),"")</f>
        <v/>
      </c>
      <c r="E57" s="31" t="str">
        <f ca="1">IFERROR(NPV($B$7,F57:H57),"")</f>
        <v/>
      </c>
      <c r="F57" s="31" t="str">
        <f ca="1">$J$10*B57/C57</f>
        <v/>
      </c>
      <c r="G57" s="31" t="str">
        <f ca="1">$J$11*B57/C57</f>
        <v/>
      </c>
      <c r="H57" s="31" t="str">
        <f ca="1">$J$12*B57/C57</f>
        <v/>
      </c>
    </row>
    <row r="58" spans="1:8" x14ac:dyDescent="0.2">
      <c r="A58" s="10">
        <v>49</v>
      </c>
      <c r="B58" s="15" t="str">
        <f ca="1">NORMINV(RAND(),1,$B$5)</f>
        <v/>
      </c>
      <c r="C58" s="15" t="str">
        <f ca="1">NORMINV(RAND(),1,$B$6)</f>
        <v/>
      </c>
      <c r="D58" s="30" t="str">
        <f ca="1">IFERROR(IRR(F58:H58),"")</f>
        <v/>
      </c>
      <c r="E58" s="31" t="str">
        <f ca="1">IFERROR(NPV($B$7,F58:H58),"")</f>
        <v/>
      </c>
      <c r="F58" s="31" t="str">
        <f ca="1">$J$10*B58/C58</f>
        <v/>
      </c>
      <c r="G58" s="31" t="str">
        <f ca="1">$J$11*B58/C58</f>
        <v/>
      </c>
      <c r="H58" s="31" t="str">
        <f ca="1">$J$12*B58/C58</f>
        <v/>
      </c>
    </row>
    <row r="59" spans="1:8" x14ac:dyDescent="0.2">
      <c r="A59" s="10">
        <v>50</v>
      </c>
      <c r="B59" s="15" t="str">
        <f ca="1">NORMINV(RAND(),1,$B$5)</f>
        <v/>
      </c>
      <c r="C59" s="15" t="str">
        <f ca="1">NORMINV(RAND(),1,$B$6)</f>
        <v/>
      </c>
      <c r="D59" s="30" t="str">
        <f ca="1">IFERROR(IRR(F59:H59),"")</f>
        <v/>
      </c>
      <c r="E59" s="31" t="str">
        <f ca="1">IFERROR(NPV($B$7,F59:H59),"")</f>
        <v/>
      </c>
      <c r="F59" s="31" t="str">
        <f ca="1">$J$10*B59/C59</f>
        <v/>
      </c>
      <c r="G59" s="31" t="str">
        <f ca="1">$J$11*B59/C59</f>
        <v/>
      </c>
      <c r="H59" s="31" t="str">
        <f ca="1">$J$12*B59/C59</f>
        <v/>
      </c>
    </row>
    <row r="60" spans="1:8" x14ac:dyDescent="0.2">
      <c r="A60" s="10">
        <v>51</v>
      </c>
      <c r="B60" s="15" t="str">
        <f ca="1">NORMINV(RAND(),1,$B$5)</f>
        <v/>
      </c>
      <c r="C60" s="15" t="str">
        <f ca="1">NORMINV(RAND(),1,$B$6)</f>
        <v/>
      </c>
      <c r="D60" s="30" t="str">
        <f ca="1">IFERROR(IRR(F60:H60),"")</f>
        <v/>
      </c>
      <c r="E60" s="31" t="str">
        <f ca="1">IFERROR(NPV($B$7,F60:H60),"")</f>
        <v/>
      </c>
      <c r="F60" s="31" t="str">
        <f ca="1">$J$10*B60/C60</f>
        <v/>
      </c>
      <c r="G60" s="31" t="str">
        <f ca="1">$J$11*B60/C60</f>
        <v/>
      </c>
      <c r="H60" s="31" t="str">
        <f ca="1">$J$12*B60/C60</f>
        <v/>
      </c>
    </row>
    <row r="61" spans="1:8" x14ac:dyDescent="0.2">
      <c r="A61" s="10">
        <v>52</v>
      </c>
      <c r="B61" s="15" t="str">
        <f ca="1">NORMINV(RAND(),1,$B$5)</f>
        <v/>
      </c>
      <c r="C61" s="15" t="str">
        <f ca="1">NORMINV(RAND(),1,$B$6)</f>
        <v/>
      </c>
      <c r="D61" s="30" t="str">
        <f ca="1">IFERROR(IRR(F61:H61),"")</f>
        <v/>
      </c>
      <c r="E61" s="31" t="str">
        <f ca="1">IFERROR(NPV($B$7,F61:H61),"")</f>
        <v/>
      </c>
      <c r="F61" s="31" t="str">
        <f ca="1">$J$10*B61/C61</f>
        <v/>
      </c>
      <c r="G61" s="31" t="str">
        <f ca="1">$J$11*B61/C61</f>
        <v/>
      </c>
      <c r="H61" s="31" t="str">
        <f ca="1">$J$12*B61/C61</f>
        <v/>
      </c>
    </row>
    <row r="62" spans="1:8" x14ac:dyDescent="0.2">
      <c r="A62" s="10">
        <v>53</v>
      </c>
      <c r="B62" s="15" t="str">
        <f ca="1">NORMINV(RAND(),1,$B$5)</f>
        <v/>
      </c>
      <c r="C62" s="15" t="str">
        <f ca="1">NORMINV(RAND(),1,$B$6)</f>
        <v/>
      </c>
      <c r="D62" s="30" t="str">
        <f ca="1">IFERROR(IRR(F62:H62),"")</f>
        <v/>
      </c>
      <c r="E62" s="31" t="str">
        <f ca="1">IFERROR(NPV($B$7,F62:H62),"")</f>
        <v/>
      </c>
      <c r="F62" s="31" t="str">
        <f ca="1">$J$10*B62/C62</f>
        <v/>
      </c>
      <c r="G62" s="31" t="str">
        <f ca="1">$J$11*B62/C62</f>
        <v/>
      </c>
      <c r="H62" s="31" t="str">
        <f ca="1">$J$12*B62/C62</f>
        <v/>
      </c>
    </row>
    <row r="63" spans="1:8" x14ac:dyDescent="0.2">
      <c r="A63" s="10">
        <v>54</v>
      </c>
      <c r="B63" s="15" t="str">
        <f ca="1">NORMINV(RAND(),1,$B$5)</f>
        <v/>
      </c>
      <c r="C63" s="15" t="str">
        <f ca="1">NORMINV(RAND(),1,$B$6)</f>
        <v/>
      </c>
      <c r="D63" s="30" t="str">
        <f ca="1">IFERROR(IRR(F63:H63),"")</f>
        <v/>
      </c>
      <c r="E63" s="31" t="str">
        <f ca="1">IFERROR(NPV($B$7,F63:H63),"")</f>
        <v/>
      </c>
      <c r="F63" s="31" t="str">
        <f ca="1">$J$10*B63/C63</f>
        <v/>
      </c>
      <c r="G63" s="31" t="str">
        <f ca="1">$J$11*B63/C63</f>
        <v/>
      </c>
      <c r="H63" s="31" t="str">
        <f ca="1">$J$12*B63/C63</f>
        <v/>
      </c>
    </row>
    <row r="64" spans="1:8" x14ac:dyDescent="0.2">
      <c r="A64" s="10">
        <v>55</v>
      </c>
      <c r="B64" s="15" t="str">
        <f ca="1">NORMINV(RAND(),1,$B$5)</f>
        <v/>
      </c>
      <c r="C64" s="15" t="str">
        <f ca="1">NORMINV(RAND(),1,$B$6)</f>
        <v/>
      </c>
      <c r="D64" s="30" t="str">
        <f ca="1">IFERROR(IRR(F64:H64),"")</f>
        <v/>
      </c>
      <c r="E64" s="31" t="str">
        <f ca="1">IFERROR(NPV($B$7,F64:H64),"")</f>
        <v/>
      </c>
      <c r="F64" s="31" t="str">
        <f ca="1">$J$10*B64/C64</f>
        <v/>
      </c>
      <c r="G64" s="31" t="str">
        <f ca="1">$J$11*B64/C64</f>
        <v/>
      </c>
      <c r="H64" s="31" t="str">
        <f ca="1">$J$12*B64/C64</f>
        <v/>
      </c>
    </row>
    <row r="65" spans="1:8" x14ac:dyDescent="0.2">
      <c r="A65" s="10">
        <v>56</v>
      </c>
      <c r="B65" s="15" t="str">
        <f ca="1">NORMINV(RAND(),1,$B$5)</f>
        <v/>
      </c>
      <c r="C65" s="15" t="str">
        <f ca="1">NORMINV(RAND(),1,$B$6)</f>
        <v/>
      </c>
      <c r="D65" s="30" t="str">
        <f ca="1">IFERROR(IRR(F65:H65),"")</f>
        <v/>
      </c>
      <c r="E65" s="31" t="str">
        <f ca="1">IFERROR(NPV($B$7,F65:H65),"")</f>
        <v/>
      </c>
      <c r="F65" s="31" t="str">
        <f ca="1">$J$10*B65/C65</f>
        <v/>
      </c>
      <c r="G65" s="31" t="str">
        <f ca="1">$J$11*B65/C65</f>
        <v/>
      </c>
      <c r="H65" s="31" t="str">
        <f ca="1">$J$12*B65/C65</f>
        <v/>
      </c>
    </row>
    <row r="66" spans="1:8" x14ac:dyDescent="0.2">
      <c r="A66" s="10">
        <v>57</v>
      </c>
      <c r="B66" s="15" t="str">
        <f ca="1">NORMINV(RAND(),1,$B$5)</f>
        <v/>
      </c>
      <c r="C66" s="15" t="str">
        <f ca="1">NORMINV(RAND(),1,$B$6)</f>
        <v/>
      </c>
      <c r="D66" s="30" t="str">
        <f ca="1">IFERROR(IRR(F66:H66),"")</f>
        <v/>
      </c>
      <c r="E66" s="31" t="str">
        <f ca="1">IFERROR(NPV($B$7,F66:H66),"")</f>
        <v/>
      </c>
      <c r="F66" s="31" t="str">
        <f ca="1">$J$10*B66/C66</f>
        <v/>
      </c>
      <c r="G66" s="31" t="str">
        <f ca="1">$J$11*B66/C66</f>
        <v/>
      </c>
      <c r="H66" s="31" t="str">
        <f ca="1">$J$12*B66/C66</f>
        <v/>
      </c>
    </row>
    <row r="67" spans="1:8" x14ac:dyDescent="0.2">
      <c r="A67" s="10">
        <v>58</v>
      </c>
      <c r="B67" s="15" t="str">
        <f ca="1">NORMINV(RAND(),1,$B$5)</f>
        <v/>
      </c>
      <c r="C67" s="15" t="str">
        <f ca="1">NORMINV(RAND(),1,$B$6)</f>
        <v/>
      </c>
      <c r="D67" s="30" t="str">
        <f ca="1">IFERROR(IRR(F67:H67),"")</f>
        <v/>
      </c>
      <c r="E67" s="31" t="str">
        <f ca="1">IFERROR(NPV($B$7,F67:H67),"")</f>
        <v/>
      </c>
      <c r="F67" s="31" t="str">
        <f ca="1">$J$10*B67/C67</f>
        <v/>
      </c>
      <c r="G67" s="31" t="str">
        <f ca="1">$J$11*B67/C67</f>
        <v/>
      </c>
      <c r="H67" s="31" t="str">
        <f ca="1">$J$12*B67/C67</f>
        <v/>
      </c>
    </row>
    <row r="68" spans="1:8" x14ac:dyDescent="0.2">
      <c r="A68" s="10">
        <v>59</v>
      </c>
      <c r="B68" s="15" t="str">
        <f ca="1">NORMINV(RAND(),1,$B$5)</f>
        <v/>
      </c>
      <c r="C68" s="15" t="str">
        <f ca="1">NORMINV(RAND(),1,$B$6)</f>
        <v/>
      </c>
      <c r="D68" s="30" t="str">
        <f ca="1">IFERROR(IRR(F68:H68),"")</f>
        <v/>
      </c>
      <c r="E68" s="31" t="str">
        <f ca="1">IFERROR(NPV($B$7,F68:H68),"")</f>
        <v/>
      </c>
      <c r="F68" s="31" t="str">
        <f ca="1">$J$10*B68/C68</f>
        <v/>
      </c>
      <c r="G68" s="31" t="str">
        <f ca="1">$J$11*B68/C68</f>
        <v/>
      </c>
      <c r="H68" s="31" t="str">
        <f ca="1">$J$12*B68/C68</f>
        <v/>
      </c>
    </row>
    <row r="69" spans="1:8" x14ac:dyDescent="0.2">
      <c r="A69" s="10">
        <v>60</v>
      </c>
      <c r="B69" s="15" t="str">
        <f ca="1">NORMINV(RAND(),1,$B$5)</f>
        <v/>
      </c>
      <c r="C69" s="15" t="str">
        <f ca="1">NORMINV(RAND(),1,$B$6)</f>
        <v/>
      </c>
      <c r="D69" s="30" t="str">
        <f ca="1">IFERROR(IRR(F69:H69),"")</f>
        <v/>
      </c>
      <c r="E69" s="31" t="str">
        <f ca="1">IFERROR(NPV($B$7,F69:H69),"")</f>
        <v/>
      </c>
      <c r="F69" s="31" t="str">
        <f ca="1">$J$10*B69/C69</f>
        <v/>
      </c>
      <c r="G69" s="31" t="str">
        <f ca="1">$J$11*B69/C69</f>
        <v/>
      </c>
      <c r="H69" s="31" t="str">
        <f ca="1">$J$12*B69/C69</f>
        <v/>
      </c>
    </row>
    <row r="70" spans="1:8" x14ac:dyDescent="0.2">
      <c r="A70" s="10">
        <v>61</v>
      </c>
      <c r="B70" s="15" t="str">
        <f ca="1">NORMINV(RAND(),1,$B$5)</f>
        <v/>
      </c>
      <c r="C70" s="15" t="str">
        <f ca="1">NORMINV(RAND(),1,$B$6)</f>
        <v/>
      </c>
      <c r="D70" s="30" t="str">
        <f ca="1">IFERROR(IRR(F70:H70),"")</f>
        <v/>
      </c>
      <c r="E70" s="31" t="str">
        <f ca="1">IFERROR(NPV($B$7,F70:H70),"")</f>
        <v/>
      </c>
      <c r="F70" s="31" t="str">
        <f ca="1">$J$10*B70/C70</f>
        <v/>
      </c>
      <c r="G70" s="31" t="str">
        <f ca="1">$J$11*B70/C70</f>
        <v/>
      </c>
      <c r="H70" s="31" t="str">
        <f ca="1">$J$12*B70/C70</f>
        <v/>
      </c>
    </row>
    <row r="71" spans="1:8" x14ac:dyDescent="0.2">
      <c r="A71" s="10">
        <v>62</v>
      </c>
      <c r="B71" s="15" t="str">
        <f ca="1">NORMINV(RAND(),1,$B$5)</f>
        <v/>
      </c>
      <c r="C71" s="15" t="str">
        <f ca="1">NORMINV(RAND(),1,$B$6)</f>
        <v/>
      </c>
      <c r="D71" s="30" t="str">
        <f ca="1">IFERROR(IRR(F71:H71),"")</f>
        <v/>
      </c>
      <c r="E71" s="31" t="str">
        <f ca="1">IFERROR(NPV($B$7,F71:H71),"")</f>
        <v/>
      </c>
      <c r="F71" s="31" t="str">
        <f ca="1">$J$10*B71/C71</f>
        <v/>
      </c>
      <c r="G71" s="31" t="str">
        <f ca="1">$J$11*B71/C71</f>
        <v/>
      </c>
      <c r="H71" s="31" t="str">
        <f ca="1">$J$12*B71/C71</f>
        <v/>
      </c>
    </row>
    <row r="72" spans="1:8" x14ac:dyDescent="0.2">
      <c r="A72" s="10">
        <v>63</v>
      </c>
      <c r="B72" s="15" t="str">
        <f ca="1">NORMINV(RAND(),1,$B$5)</f>
        <v/>
      </c>
      <c r="C72" s="15" t="str">
        <f ca="1">NORMINV(RAND(),1,$B$6)</f>
        <v/>
      </c>
      <c r="D72" s="30" t="str">
        <f ca="1">IFERROR(IRR(F72:H72),"")</f>
        <v/>
      </c>
      <c r="E72" s="31" t="str">
        <f ca="1">IFERROR(NPV($B$7,F72:H72),"")</f>
        <v/>
      </c>
      <c r="F72" s="31" t="str">
        <f ca="1">$J$10*B72/C72</f>
        <v/>
      </c>
      <c r="G72" s="31" t="str">
        <f ca="1">$J$11*B72/C72</f>
        <v/>
      </c>
      <c r="H72" s="31" t="str">
        <f ca="1">$J$12*B72/C72</f>
        <v/>
      </c>
    </row>
    <row r="73" spans="1:8" x14ac:dyDescent="0.2">
      <c r="A73" s="10">
        <v>64</v>
      </c>
      <c r="B73" s="15" t="str">
        <f ca="1">NORMINV(RAND(),1,$B$5)</f>
        <v/>
      </c>
      <c r="C73" s="15" t="str">
        <f ca="1">NORMINV(RAND(),1,$B$6)</f>
        <v/>
      </c>
      <c r="D73" s="30" t="str">
        <f ca="1">IFERROR(IRR(F73:H73),"")</f>
        <v/>
      </c>
      <c r="E73" s="31" t="str">
        <f ca="1">IFERROR(NPV($B$7,F73:H73),"")</f>
        <v/>
      </c>
      <c r="F73" s="31" t="str">
        <f ca="1">$J$10*B73/C73</f>
        <v/>
      </c>
      <c r="G73" s="31" t="str">
        <f ca="1">$J$11*B73/C73</f>
        <v/>
      </c>
      <c r="H73" s="31" t="str">
        <f ca="1">$J$12*B73/C73</f>
        <v/>
      </c>
    </row>
    <row r="74" spans="1:8" x14ac:dyDescent="0.2">
      <c r="A74" s="10">
        <v>65</v>
      </c>
      <c r="B74" s="15" t="str">
        <f ca="1">NORMINV(RAND(),1,$B$5)</f>
        <v/>
      </c>
      <c r="C74" s="15" t="str">
        <f ca="1">NORMINV(RAND(),1,$B$6)</f>
        <v/>
      </c>
      <c r="D74" s="30" t="str">
        <f ca="1">IFERROR(IRR(F74:H74),"")</f>
        <v/>
      </c>
      <c r="E74" s="31" t="str">
        <f ca="1">IFERROR(NPV($B$7,F74:H74),"")</f>
        <v/>
      </c>
      <c r="F74" s="31" t="str">
        <f ca="1">$J$10*B74/C74</f>
        <v/>
      </c>
      <c r="G74" s="31" t="str">
        <f ca="1">$J$11*B74/C74</f>
        <v/>
      </c>
      <c r="H74" s="31" t="str">
        <f ca="1">$J$12*B74/C74</f>
        <v/>
      </c>
    </row>
    <row r="75" spans="1:8" x14ac:dyDescent="0.2">
      <c r="A75" s="10">
        <v>66</v>
      </c>
      <c r="B75" s="15" t="str">
        <f ca="1">NORMINV(RAND(),1,$B$5)</f>
        <v/>
      </c>
      <c r="C75" s="15" t="str">
        <f ca="1">NORMINV(RAND(),1,$B$6)</f>
        <v/>
      </c>
      <c r="D75" s="30" t="str">
        <f ca="1">IFERROR(IRR(F75:H75),"")</f>
        <v/>
      </c>
      <c r="E75" s="31" t="str">
        <f ca="1">IFERROR(NPV($B$7,F75:H75),"")</f>
        <v/>
      </c>
      <c r="F75" s="31" t="str">
        <f ca="1">$J$10*B75/C75</f>
        <v/>
      </c>
      <c r="G75" s="31" t="str">
        <f ca="1">$J$11*B75/C75</f>
        <v/>
      </c>
      <c r="H75" s="31" t="str">
        <f ca="1">$J$12*B75/C75</f>
        <v/>
      </c>
    </row>
    <row r="76" spans="1:8" x14ac:dyDescent="0.2">
      <c r="A76" s="10">
        <v>67</v>
      </c>
      <c r="B76" s="15" t="str">
        <f ca="1">NORMINV(RAND(),1,$B$5)</f>
        <v/>
      </c>
      <c r="C76" s="15" t="str">
        <f ca="1">NORMINV(RAND(),1,$B$6)</f>
        <v/>
      </c>
      <c r="D76" s="30" t="str">
        <f ca="1">IFERROR(IRR(F76:H76),"")</f>
        <v/>
      </c>
      <c r="E76" s="31" t="str">
        <f ca="1">IFERROR(NPV($B$7,F76:H76),"")</f>
        <v/>
      </c>
      <c r="F76" s="31" t="str">
        <f ca="1">$J$10*B76/C76</f>
        <v/>
      </c>
      <c r="G76" s="31" t="str">
        <f ca="1">$J$11*B76/C76</f>
        <v/>
      </c>
      <c r="H76" s="31" t="str">
        <f ca="1">$J$12*B76/C76</f>
        <v/>
      </c>
    </row>
    <row r="77" spans="1:8" x14ac:dyDescent="0.2">
      <c r="A77" s="10">
        <v>68</v>
      </c>
      <c r="B77" s="15" t="str">
        <f ca="1">NORMINV(RAND(),1,$B$5)</f>
        <v/>
      </c>
      <c r="C77" s="15" t="str">
        <f ca="1">NORMINV(RAND(),1,$B$6)</f>
        <v/>
      </c>
      <c r="D77" s="30" t="str">
        <f ca="1">IFERROR(IRR(F77:H77),"")</f>
        <v/>
      </c>
      <c r="E77" s="31" t="str">
        <f ca="1">IFERROR(NPV($B$7,F77:H77),"")</f>
        <v/>
      </c>
      <c r="F77" s="31" t="str">
        <f ca="1">$J$10*B77/C77</f>
        <v/>
      </c>
      <c r="G77" s="31" t="str">
        <f ca="1">$J$11*B77/C77</f>
        <v/>
      </c>
      <c r="H77" s="31" t="str">
        <f ca="1">$J$12*B77/C77</f>
        <v/>
      </c>
    </row>
    <row r="78" spans="1:8" x14ac:dyDescent="0.2">
      <c r="A78" s="10">
        <v>69</v>
      </c>
      <c r="B78" s="15" t="str">
        <f ca="1">NORMINV(RAND(),1,$B$5)</f>
        <v/>
      </c>
      <c r="C78" s="15" t="str">
        <f ca="1">NORMINV(RAND(),1,$B$6)</f>
        <v/>
      </c>
      <c r="D78" s="30" t="str">
        <f ca="1">IFERROR(IRR(F78:H78),"")</f>
        <v/>
      </c>
      <c r="E78" s="31" t="str">
        <f ca="1">IFERROR(NPV($B$7,F78:H78),"")</f>
        <v/>
      </c>
      <c r="F78" s="31" t="str">
        <f ca="1">$J$10*B78/C78</f>
        <v/>
      </c>
      <c r="G78" s="31" t="str">
        <f ca="1">$J$11*B78/C78</f>
        <v/>
      </c>
      <c r="H78" s="31" t="str">
        <f ca="1">$J$12*B78/C78</f>
        <v/>
      </c>
    </row>
    <row r="79" spans="1:8" x14ac:dyDescent="0.2">
      <c r="A79" s="10">
        <v>70</v>
      </c>
      <c r="B79" s="15" t="str">
        <f ca="1">NORMINV(RAND(),1,$B$5)</f>
        <v/>
      </c>
      <c r="C79" s="15" t="str">
        <f ca="1">NORMINV(RAND(),1,$B$6)</f>
        <v/>
      </c>
      <c r="D79" s="30" t="str">
        <f ca="1">IFERROR(IRR(F79:H79),"")</f>
        <v/>
      </c>
      <c r="E79" s="31" t="str">
        <f ca="1">IFERROR(NPV($B$7,F79:H79),"")</f>
        <v/>
      </c>
      <c r="F79" s="31" t="str">
        <f ca="1">$J$10*B79/C79</f>
        <v/>
      </c>
      <c r="G79" s="31" t="str">
        <f ca="1">$J$11*B79/C79</f>
        <v/>
      </c>
      <c r="H79" s="31" t="str">
        <f ca="1">$J$12*B79/C79</f>
        <v/>
      </c>
    </row>
    <row r="80" spans="1:8" x14ac:dyDescent="0.2">
      <c r="A80" s="10">
        <v>71</v>
      </c>
      <c r="B80" s="15" t="str">
        <f ca="1">NORMINV(RAND(),1,$B$5)</f>
        <v/>
      </c>
      <c r="C80" s="15" t="str">
        <f ca="1">NORMINV(RAND(),1,$B$6)</f>
        <v/>
      </c>
      <c r="D80" s="30" t="str">
        <f ca="1">IFERROR(IRR(F80:H80),"")</f>
        <v/>
      </c>
      <c r="E80" s="31" t="str">
        <f ca="1">IFERROR(NPV($B$7,F80:H80),"")</f>
        <v/>
      </c>
      <c r="F80" s="31" t="str">
        <f ca="1">$J$10*B80/C80</f>
        <v/>
      </c>
      <c r="G80" s="31" t="str">
        <f ca="1">$J$11*B80/C80</f>
        <v/>
      </c>
      <c r="H80" s="31" t="str">
        <f ca="1">$J$12*B80/C80</f>
        <v/>
      </c>
    </row>
    <row r="81" spans="1:8" x14ac:dyDescent="0.2">
      <c r="A81" s="10">
        <v>72</v>
      </c>
      <c r="B81" s="15" t="str">
        <f ca="1">NORMINV(RAND(),1,$B$5)</f>
        <v/>
      </c>
      <c r="C81" s="15" t="str">
        <f ca="1">NORMINV(RAND(),1,$B$6)</f>
        <v/>
      </c>
      <c r="D81" s="30" t="str">
        <f ca="1">IFERROR(IRR(F81:H81),"")</f>
        <v/>
      </c>
      <c r="E81" s="31" t="str">
        <f ca="1">IFERROR(NPV($B$7,F81:H81),"")</f>
        <v/>
      </c>
      <c r="F81" s="31" t="str">
        <f ca="1">$J$10*B81/C81</f>
        <v/>
      </c>
      <c r="G81" s="31" t="str">
        <f ca="1">$J$11*B81/C81</f>
        <v/>
      </c>
      <c r="H81" s="31" t="str">
        <f ca="1">$J$12*B81/C81</f>
        <v/>
      </c>
    </row>
    <row r="82" spans="1:8" x14ac:dyDescent="0.2">
      <c r="A82" s="10">
        <v>73</v>
      </c>
      <c r="B82" s="15" t="str">
        <f ca="1">NORMINV(RAND(),1,$B$5)</f>
        <v/>
      </c>
      <c r="C82" s="15" t="str">
        <f ca="1">NORMINV(RAND(),1,$B$6)</f>
        <v/>
      </c>
      <c r="D82" s="30" t="str">
        <f ca="1">IFERROR(IRR(F82:H82),"")</f>
        <v/>
      </c>
      <c r="E82" s="31" t="str">
        <f ca="1">IFERROR(NPV($B$7,F82:H82),"")</f>
        <v/>
      </c>
      <c r="F82" s="31" t="str">
        <f ca="1">$J$10*B82/C82</f>
        <v/>
      </c>
      <c r="G82" s="31" t="str">
        <f ca="1">$J$11*B82/C82</f>
        <v/>
      </c>
      <c r="H82" s="31" t="str">
        <f ca="1">$J$12*B82/C82</f>
        <v/>
      </c>
    </row>
    <row r="83" spans="1:8" x14ac:dyDescent="0.2">
      <c r="A83" s="10">
        <v>74</v>
      </c>
      <c r="B83" s="15" t="str">
        <f ca="1">NORMINV(RAND(),1,$B$5)</f>
        <v/>
      </c>
      <c r="C83" s="15" t="str">
        <f ca="1">NORMINV(RAND(),1,$B$6)</f>
        <v/>
      </c>
      <c r="D83" s="30" t="str">
        <f ca="1">IFERROR(IRR(F83:H83),"")</f>
        <v/>
      </c>
      <c r="E83" s="31" t="str">
        <f ca="1">IFERROR(NPV($B$7,F83:H83),"")</f>
        <v/>
      </c>
      <c r="F83" s="31" t="str">
        <f ca="1">$J$10*B83/C83</f>
        <v/>
      </c>
      <c r="G83" s="31" t="str">
        <f ca="1">$J$11*B83/C83</f>
        <v/>
      </c>
      <c r="H83" s="31" t="str">
        <f ca="1">$J$12*B83/C83</f>
        <v/>
      </c>
    </row>
    <row r="84" spans="1:8" x14ac:dyDescent="0.2">
      <c r="A84" s="10">
        <v>75</v>
      </c>
      <c r="B84" s="15" t="str">
        <f ca="1">NORMINV(RAND(),1,$B$5)</f>
        <v/>
      </c>
      <c r="C84" s="15" t="str">
        <f ca="1">NORMINV(RAND(),1,$B$6)</f>
        <v/>
      </c>
      <c r="D84" s="30" t="str">
        <f ca="1">IFERROR(IRR(F84:H84),"")</f>
        <v/>
      </c>
      <c r="E84" s="31" t="str">
        <f ca="1">IFERROR(NPV($B$7,F84:H84),"")</f>
        <v/>
      </c>
      <c r="F84" s="31" t="str">
        <f ca="1">$J$10*B84/C84</f>
        <v/>
      </c>
      <c r="G84" s="31" t="str">
        <f ca="1">$J$11*B84/C84</f>
        <v/>
      </c>
      <c r="H84" s="31" t="str">
        <f ca="1">$J$12*B84/C84</f>
        <v/>
      </c>
    </row>
    <row r="85" spans="1:8" x14ac:dyDescent="0.2">
      <c r="A85" s="10">
        <v>76</v>
      </c>
      <c r="B85" s="15" t="str">
        <f ca="1">NORMINV(RAND(),1,$B$5)</f>
        <v/>
      </c>
      <c r="C85" s="15" t="str">
        <f ca="1">NORMINV(RAND(),1,$B$6)</f>
        <v/>
      </c>
      <c r="D85" s="30" t="str">
        <f ca="1">IFERROR(IRR(F85:H85),"")</f>
        <v/>
      </c>
      <c r="E85" s="31" t="str">
        <f ca="1">IFERROR(NPV($B$7,F85:H85),"")</f>
        <v/>
      </c>
      <c r="F85" s="31" t="str">
        <f ca="1">$J$10*B85/C85</f>
        <v/>
      </c>
      <c r="G85" s="31" t="str">
        <f ca="1">$J$11*B85/C85</f>
        <v/>
      </c>
      <c r="H85" s="31" t="str">
        <f ca="1">$J$12*B85/C85</f>
        <v/>
      </c>
    </row>
    <row r="86" spans="1:8" x14ac:dyDescent="0.2">
      <c r="A86" s="10">
        <v>77</v>
      </c>
      <c r="B86" s="15" t="str">
        <f ca="1">NORMINV(RAND(),1,$B$5)</f>
        <v/>
      </c>
      <c r="C86" s="15" t="str">
        <f ca="1">NORMINV(RAND(),1,$B$6)</f>
        <v/>
      </c>
      <c r="D86" s="30" t="str">
        <f ca="1">IFERROR(IRR(F86:H86),"")</f>
        <v/>
      </c>
      <c r="E86" s="31" t="str">
        <f ca="1">IFERROR(NPV($B$7,F86:H86),"")</f>
        <v/>
      </c>
      <c r="F86" s="31" t="str">
        <f ca="1">$J$10*B86/C86</f>
        <v/>
      </c>
      <c r="G86" s="31" t="str">
        <f ca="1">$J$11*B86/C86</f>
        <v/>
      </c>
      <c r="H86" s="31" t="str">
        <f ca="1">$J$12*B86/C86</f>
        <v/>
      </c>
    </row>
    <row r="87" spans="1:8" x14ac:dyDescent="0.2">
      <c r="A87" s="10">
        <v>78</v>
      </c>
      <c r="B87" s="15" t="str">
        <f ca="1">NORMINV(RAND(),1,$B$5)</f>
        <v/>
      </c>
      <c r="C87" s="15" t="str">
        <f ca="1">NORMINV(RAND(),1,$B$6)</f>
        <v/>
      </c>
      <c r="D87" s="30" t="str">
        <f ca="1">IFERROR(IRR(F87:H87),"")</f>
        <v/>
      </c>
      <c r="E87" s="31" t="str">
        <f ca="1">IFERROR(NPV($B$7,F87:H87),"")</f>
        <v/>
      </c>
      <c r="F87" s="31" t="str">
        <f ca="1">$J$10*B87/C87</f>
        <v/>
      </c>
      <c r="G87" s="31" t="str">
        <f ca="1">$J$11*B87/C87</f>
        <v/>
      </c>
      <c r="H87" s="31" t="str">
        <f ca="1">$J$12*B87/C87</f>
        <v/>
      </c>
    </row>
    <row r="88" spans="1:8" x14ac:dyDescent="0.2">
      <c r="A88" s="10">
        <v>79</v>
      </c>
      <c r="B88" s="15" t="str">
        <f ca="1">NORMINV(RAND(),1,$B$5)</f>
        <v/>
      </c>
      <c r="C88" s="15" t="str">
        <f ca="1">NORMINV(RAND(),1,$B$6)</f>
        <v/>
      </c>
      <c r="D88" s="30" t="str">
        <f ca="1">IFERROR(IRR(F88:H88),"")</f>
        <v/>
      </c>
      <c r="E88" s="31" t="str">
        <f ca="1">IFERROR(NPV($B$7,F88:H88),"")</f>
        <v/>
      </c>
      <c r="F88" s="31" t="str">
        <f ca="1">$J$10*B88/C88</f>
        <v/>
      </c>
      <c r="G88" s="31" t="str">
        <f ca="1">$J$11*B88/C88</f>
        <v/>
      </c>
      <c r="H88" s="31" t="str">
        <f ca="1">$J$12*B88/C88</f>
        <v/>
      </c>
    </row>
    <row r="89" spans="1:8" x14ac:dyDescent="0.2">
      <c r="A89" s="10">
        <v>80</v>
      </c>
      <c r="B89" s="15" t="str">
        <f ca="1">NORMINV(RAND(),1,$B$5)</f>
        <v/>
      </c>
      <c r="C89" s="15" t="str">
        <f ca="1">NORMINV(RAND(),1,$B$6)</f>
        <v/>
      </c>
      <c r="D89" s="30" t="str">
        <f ca="1">IFERROR(IRR(F89:H89),"")</f>
        <v/>
      </c>
      <c r="E89" s="31" t="str">
        <f ca="1">IFERROR(NPV($B$7,F89:H89),"")</f>
        <v/>
      </c>
      <c r="F89" s="31" t="str">
        <f ca="1">$J$10*B89/C89</f>
        <v/>
      </c>
      <c r="G89" s="31" t="str">
        <f ca="1">$J$11*B89/C89</f>
        <v/>
      </c>
      <c r="H89" s="31" t="str">
        <f ca="1">$J$12*B89/C89</f>
        <v/>
      </c>
    </row>
    <row r="90" spans="1:8" x14ac:dyDescent="0.2">
      <c r="A90" s="10">
        <v>81</v>
      </c>
      <c r="B90" s="15" t="str">
        <f ca="1">NORMINV(RAND(),1,$B$5)</f>
        <v/>
      </c>
      <c r="C90" s="15" t="str">
        <f ca="1">NORMINV(RAND(),1,$B$6)</f>
        <v/>
      </c>
      <c r="D90" s="30" t="str">
        <f ca="1">IFERROR(IRR(F90:H90),"")</f>
        <v/>
      </c>
      <c r="E90" s="31" t="str">
        <f ca="1">IFERROR(NPV($B$7,F90:H90),"")</f>
        <v/>
      </c>
      <c r="F90" s="31" t="str">
        <f ca="1">$J$10*B90/C90</f>
        <v/>
      </c>
      <c r="G90" s="31" t="str">
        <f ca="1">$J$11*B90/C90</f>
        <v/>
      </c>
      <c r="H90" s="31" t="str">
        <f ca="1">$J$12*B90/C90</f>
        <v/>
      </c>
    </row>
    <row r="91" spans="1:8" x14ac:dyDescent="0.2">
      <c r="A91" s="10">
        <v>82</v>
      </c>
      <c r="B91" s="15" t="str">
        <f ca="1">NORMINV(RAND(),1,$B$5)</f>
        <v/>
      </c>
      <c r="C91" s="15" t="str">
        <f ca="1">NORMINV(RAND(),1,$B$6)</f>
        <v/>
      </c>
      <c r="D91" s="30" t="str">
        <f ca="1">IFERROR(IRR(F91:H91),"")</f>
        <v/>
      </c>
      <c r="E91" s="31" t="str">
        <f ca="1">IFERROR(NPV($B$7,F91:H91),"")</f>
        <v/>
      </c>
      <c r="F91" s="31" t="str">
        <f ca="1">$J$10*B91/C91</f>
        <v/>
      </c>
      <c r="G91" s="31" t="str">
        <f ca="1">$J$11*B91/C91</f>
        <v/>
      </c>
      <c r="H91" s="31" t="str">
        <f ca="1">$J$12*B91/C91</f>
        <v/>
      </c>
    </row>
    <row r="92" spans="1:8" x14ac:dyDescent="0.2">
      <c r="A92" s="10">
        <v>83</v>
      </c>
      <c r="B92" s="15" t="str">
        <f ca="1">NORMINV(RAND(),1,$B$5)</f>
        <v/>
      </c>
      <c r="C92" s="15" t="str">
        <f ca="1">NORMINV(RAND(),1,$B$6)</f>
        <v/>
      </c>
      <c r="D92" s="30" t="str">
        <f ca="1">IFERROR(IRR(F92:H92),"")</f>
        <v/>
      </c>
      <c r="E92" s="31" t="str">
        <f ca="1">IFERROR(NPV($B$7,F92:H92),"")</f>
        <v/>
      </c>
      <c r="F92" s="31" t="str">
        <f ca="1">$J$10*B92/C92</f>
        <v/>
      </c>
      <c r="G92" s="31" t="str">
        <f ca="1">$J$11*B92/C92</f>
        <v/>
      </c>
      <c r="H92" s="31" t="str">
        <f ca="1">$J$12*B92/C92</f>
        <v/>
      </c>
    </row>
    <row r="93" spans="1:8" x14ac:dyDescent="0.2">
      <c r="A93" s="10">
        <v>84</v>
      </c>
      <c r="B93" s="15" t="str">
        <f ca="1">NORMINV(RAND(),1,$B$5)</f>
        <v/>
      </c>
      <c r="C93" s="15" t="str">
        <f ca="1">NORMINV(RAND(),1,$B$6)</f>
        <v/>
      </c>
      <c r="D93" s="30" t="str">
        <f ca="1">IFERROR(IRR(F93:H93),"")</f>
        <v/>
      </c>
      <c r="E93" s="31" t="str">
        <f ca="1">IFERROR(NPV($B$7,F93:H93),"")</f>
        <v/>
      </c>
      <c r="F93" s="31" t="str">
        <f ca="1">$J$10*B93/C93</f>
        <v/>
      </c>
      <c r="G93" s="31" t="str">
        <f ca="1">$J$11*B93/C93</f>
        <v/>
      </c>
      <c r="H93" s="31" t="str">
        <f ca="1">$J$12*B93/C93</f>
        <v/>
      </c>
    </row>
    <row r="94" spans="1:8" x14ac:dyDescent="0.2">
      <c r="A94" s="10">
        <v>85</v>
      </c>
      <c r="B94" s="15" t="str">
        <f ca="1">NORMINV(RAND(),1,$B$5)</f>
        <v/>
      </c>
      <c r="C94" s="15" t="str">
        <f ca="1">NORMINV(RAND(),1,$B$6)</f>
        <v/>
      </c>
      <c r="D94" s="30" t="str">
        <f ca="1">IFERROR(IRR(F94:H94),"")</f>
        <v/>
      </c>
      <c r="E94" s="31" t="str">
        <f ca="1">IFERROR(NPV($B$7,F94:H94),"")</f>
        <v/>
      </c>
      <c r="F94" s="31" t="str">
        <f ca="1">$J$10*B94/C94</f>
        <v/>
      </c>
      <c r="G94" s="31" t="str">
        <f ca="1">$J$11*B94/C94</f>
        <v/>
      </c>
      <c r="H94" s="31" t="str">
        <f ca="1">$J$12*B94/C94</f>
        <v/>
      </c>
    </row>
    <row r="95" spans="1:8" x14ac:dyDescent="0.2">
      <c r="A95" s="10">
        <v>86</v>
      </c>
      <c r="B95" s="15" t="str">
        <f ca="1">NORMINV(RAND(),1,$B$5)</f>
        <v/>
      </c>
      <c r="C95" s="15" t="str">
        <f ca="1">NORMINV(RAND(),1,$B$6)</f>
        <v/>
      </c>
      <c r="D95" s="30" t="str">
        <f ca="1">IFERROR(IRR(F95:H95),"")</f>
        <v/>
      </c>
      <c r="E95" s="31" t="str">
        <f ca="1">IFERROR(NPV($B$7,F95:H95),"")</f>
        <v/>
      </c>
      <c r="F95" s="31" t="str">
        <f ca="1">$J$10*B95/C95</f>
        <v/>
      </c>
      <c r="G95" s="31" t="str">
        <f ca="1">$J$11*B95/C95</f>
        <v/>
      </c>
      <c r="H95" s="31" t="str">
        <f ca="1">$J$12*B95/C95</f>
        <v/>
      </c>
    </row>
    <row r="96" spans="1:8" x14ac:dyDescent="0.2">
      <c r="A96" s="10">
        <v>87</v>
      </c>
      <c r="B96" s="15" t="str">
        <f ca="1">NORMINV(RAND(),1,$B$5)</f>
        <v/>
      </c>
      <c r="C96" s="15" t="str">
        <f ca="1">NORMINV(RAND(),1,$B$6)</f>
        <v/>
      </c>
      <c r="D96" s="30" t="str">
        <f ca="1">IFERROR(IRR(F96:H96),"")</f>
        <v/>
      </c>
      <c r="E96" s="31" t="str">
        <f ca="1">IFERROR(NPV($B$7,F96:H96),"")</f>
        <v/>
      </c>
      <c r="F96" s="31" t="str">
        <f ca="1">$J$10*B96/C96</f>
        <v/>
      </c>
      <c r="G96" s="31" t="str">
        <f ca="1">$J$11*B96/C96</f>
        <v/>
      </c>
      <c r="H96" s="31" t="str">
        <f ca="1">$J$12*B96/C96</f>
        <v/>
      </c>
    </row>
    <row r="97" spans="1:8" x14ac:dyDescent="0.2">
      <c r="A97" s="10">
        <v>88</v>
      </c>
      <c r="B97" s="15" t="str">
        <f ca="1">NORMINV(RAND(),1,$B$5)</f>
        <v/>
      </c>
      <c r="C97" s="15" t="str">
        <f ca="1">NORMINV(RAND(),1,$B$6)</f>
        <v/>
      </c>
      <c r="D97" s="30" t="str">
        <f ca="1">IFERROR(IRR(F97:H97),"")</f>
        <v/>
      </c>
      <c r="E97" s="31" t="str">
        <f ca="1">IFERROR(NPV($B$7,F97:H97),"")</f>
        <v/>
      </c>
      <c r="F97" s="31" t="str">
        <f ca="1">$J$10*B97/C97</f>
        <v/>
      </c>
      <c r="G97" s="31" t="str">
        <f ca="1">$J$11*B97/C97</f>
        <v/>
      </c>
      <c r="H97" s="31" t="str">
        <f ca="1">$J$12*B97/C97</f>
        <v/>
      </c>
    </row>
    <row r="98" spans="1:8" x14ac:dyDescent="0.2">
      <c r="A98" s="10">
        <v>89</v>
      </c>
      <c r="B98" s="15" t="str">
        <f ca="1">NORMINV(RAND(),1,$B$5)</f>
        <v/>
      </c>
      <c r="C98" s="15" t="str">
        <f ca="1">NORMINV(RAND(),1,$B$6)</f>
        <v/>
      </c>
      <c r="D98" s="30" t="str">
        <f ca="1">IFERROR(IRR(F98:H98),"")</f>
        <v/>
      </c>
      <c r="E98" s="31" t="str">
        <f ca="1">IFERROR(NPV($B$7,F98:H98),"")</f>
        <v/>
      </c>
      <c r="F98" s="31" t="str">
        <f ca="1">$J$10*B98/C98</f>
        <v/>
      </c>
      <c r="G98" s="31" t="str">
        <f ca="1">$J$11*B98/C98</f>
        <v/>
      </c>
      <c r="H98" s="31" t="str">
        <f ca="1">$J$12*B98/C98</f>
        <v/>
      </c>
    </row>
    <row r="99" spans="1:8" x14ac:dyDescent="0.2">
      <c r="A99" s="10">
        <v>90</v>
      </c>
      <c r="B99" s="15" t="str">
        <f ca="1">NORMINV(RAND(),1,$B$5)</f>
        <v/>
      </c>
      <c r="C99" s="15" t="str">
        <f ca="1">NORMINV(RAND(),1,$B$6)</f>
        <v/>
      </c>
      <c r="D99" s="30" t="str">
        <f ca="1">IFERROR(IRR(F99:H99),"")</f>
        <v/>
      </c>
      <c r="E99" s="31" t="str">
        <f ca="1">IFERROR(NPV($B$7,F99:H99),"")</f>
        <v/>
      </c>
      <c r="F99" s="31" t="str">
        <f ca="1">$J$10*B99/C99</f>
        <v/>
      </c>
      <c r="G99" s="31" t="str">
        <f ca="1">$J$11*B99/C99</f>
        <v/>
      </c>
      <c r="H99" s="31" t="str">
        <f ca="1">$J$12*B99/C99</f>
        <v/>
      </c>
    </row>
    <row r="100" spans="1:8" x14ac:dyDescent="0.2">
      <c r="A100" s="10">
        <v>91</v>
      </c>
      <c r="B100" s="15" t="str">
        <f ca="1">NORMINV(RAND(),1,$B$5)</f>
        <v/>
      </c>
      <c r="C100" s="15" t="str">
        <f ca="1">NORMINV(RAND(),1,$B$6)</f>
        <v/>
      </c>
      <c r="D100" s="30" t="str">
        <f ca="1">IFERROR(IRR(F100:H100),"")</f>
        <v/>
      </c>
      <c r="E100" s="31" t="str">
        <f ca="1">IFERROR(NPV($B$7,F100:H100),"")</f>
        <v/>
      </c>
      <c r="F100" s="31" t="str">
        <f ca="1">$J$10*B100/C100</f>
        <v/>
      </c>
      <c r="G100" s="31" t="str">
        <f ca="1">$J$11*B100/C100</f>
        <v/>
      </c>
      <c r="H100" s="31" t="str">
        <f ca="1">$J$12*B100/C100</f>
        <v/>
      </c>
    </row>
    <row r="101" spans="1:8" x14ac:dyDescent="0.2">
      <c r="A101" s="10">
        <v>92</v>
      </c>
      <c r="B101" s="15" t="str">
        <f ca="1">NORMINV(RAND(),1,$B$5)</f>
        <v/>
      </c>
      <c r="C101" s="15" t="str">
        <f ca="1">NORMINV(RAND(),1,$B$6)</f>
        <v/>
      </c>
      <c r="D101" s="30" t="str">
        <f ca="1">IFERROR(IRR(F101:H101),"")</f>
        <v/>
      </c>
      <c r="E101" s="31" t="str">
        <f ca="1">IFERROR(NPV($B$7,F101:H101),"")</f>
        <v/>
      </c>
      <c r="F101" s="31" t="str">
        <f ca="1">$J$10*B101/C101</f>
        <v/>
      </c>
      <c r="G101" s="31" t="str">
        <f ca="1">$J$11*B101/C101</f>
        <v/>
      </c>
      <c r="H101" s="31" t="str">
        <f ca="1">$J$12*B101/C101</f>
        <v/>
      </c>
    </row>
    <row r="102" spans="1:8" x14ac:dyDescent="0.2">
      <c r="A102" s="10">
        <v>93</v>
      </c>
      <c r="B102" s="15" t="str">
        <f ca="1">NORMINV(RAND(),1,$B$5)</f>
        <v/>
      </c>
      <c r="C102" s="15" t="str">
        <f ca="1">NORMINV(RAND(),1,$B$6)</f>
        <v/>
      </c>
      <c r="D102" s="30" t="str">
        <f ca="1">IFERROR(IRR(F102:H102),"")</f>
        <v/>
      </c>
      <c r="E102" s="31" t="str">
        <f ca="1">IFERROR(NPV($B$7,F102:H102),"")</f>
        <v/>
      </c>
      <c r="F102" s="31" t="str">
        <f ca="1">$J$10*B102/C102</f>
        <v/>
      </c>
      <c r="G102" s="31" t="str">
        <f ca="1">$J$11*B102/C102</f>
        <v/>
      </c>
      <c r="H102" s="31" t="str">
        <f ca="1">$J$12*B102/C102</f>
        <v/>
      </c>
    </row>
    <row r="103" spans="1:8" x14ac:dyDescent="0.2">
      <c r="A103" s="10">
        <v>94</v>
      </c>
      <c r="B103" s="15" t="str">
        <f ca="1">NORMINV(RAND(),1,$B$5)</f>
        <v/>
      </c>
      <c r="C103" s="15" t="str">
        <f ca="1">NORMINV(RAND(),1,$B$6)</f>
        <v/>
      </c>
      <c r="D103" s="30" t="str">
        <f ca="1">IFERROR(IRR(F103:H103),"")</f>
        <v/>
      </c>
      <c r="E103" s="31" t="str">
        <f ca="1">IFERROR(NPV($B$7,F103:H103),"")</f>
        <v/>
      </c>
      <c r="F103" s="31" t="str">
        <f ca="1">$J$10*B103/C103</f>
        <v/>
      </c>
      <c r="G103" s="31" t="str">
        <f ca="1">$J$11*B103/C103</f>
        <v/>
      </c>
      <c r="H103" s="31" t="str">
        <f ca="1">$J$12*B103/C103</f>
        <v/>
      </c>
    </row>
    <row r="104" spans="1:8" x14ac:dyDescent="0.2">
      <c r="A104" s="10">
        <v>95</v>
      </c>
      <c r="B104" s="15" t="str">
        <f ca="1">NORMINV(RAND(),1,$B$5)</f>
        <v/>
      </c>
      <c r="C104" s="15" t="str">
        <f ca="1">NORMINV(RAND(),1,$B$6)</f>
        <v/>
      </c>
      <c r="D104" s="30" t="str">
        <f ca="1">IFERROR(IRR(F104:H104),"")</f>
        <v/>
      </c>
      <c r="E104" s="31" t="str">
        <f ca="1">IFERROR(NPV($B$7,F104:H104),"")</f>
        <v/>
      </c>
      <c r="F104" s="31" t="str">
        <f ca="1">$J$10*B104/C104</f>
        <v/>
      </c>
      <c r="G104" s="31" t="str">
        <f ca="1">$J$11*B104/C104</f>
        <v/>
      </c>
      <c r="H104" s="31" t="str">
        <f ca="1">$J$12*B104/C104</f>
        <v/>
      </c>
    </row>
    <row r="105" spans="1:8" x14ac:dyDescent="0.2">
      <c r="A105" s="10">
        <v>96</v>
      </c>
      <c r="B105" s="15" t="str">
        <f ca="1">NORMINV(RAND(),1,$B$5)</f>
        <v/>
      </c>
      <c r="C105" s="15" t="str">
        <f ca="1">NORMINV(RAND(),1,$B$6)</f>
        <v/>
      </c>
      <c r="D105" s="30" t="str">
        <f ca="1">IFERROR(IRR(F105:H105),"")</f>
        <v/>
      </c>
      <c r="E105" s="31" t="str">
        <f ca="1">IFERROR(NPV($B$7,F105:H105),"")</f>
        <v/>
      </c>
      <c r="F105" s="31" t="str">
        <f ca="1">$J$10*B105/C105</f>
        <v/>
      </c>
      <c r="G105" s="31" t="str">
        <f ca="1">$J$11*B105/C105</f>
        <v/>
      </c>
      <c r="H105" s="31" t="str">
        <f ca="1">$J$12*B105/C105</f>
        <v/>
      </c>
    </row>
    <row r="106" spans="1:8" x14ac:dyDescent="0.2">
      <c r="A106" s="10">
        <v>97</v>
      </c>
      <c r="B106" s="15" t="str">
        <f ca="1">NORMINV(RAND(),1,$B$5)</f>
        <v/>
      </c>
      <c r="C106" s="15" t="str">
        <f ca="1">NORMINV(RAND(),1,$B$6)</f>
        <v/>
      </c>
      <c r="D106" s="30" t="str">
        <f ca="1">IFERROR(IRR(F106:H106),"")</f>
        <v/>
      </c>
      <c r="E106" s="31" t="str">
        <f ca="1">IFERROR(NPV($B$7,F106:H106),"")</f>
        <v/>
      </c>
      <c r="F106" s="31" t="str">
        <f ca="1">$J$10*B106/C106</f>
        <v/>
      </c>
      <c r="G106" s="31" t="str">
        <f ca="1">$J$11*B106/C106</f>
        <v/>
      </c>
      <c r="H106" s="31" t="str">
        <f ca="1">$J$12*B106/C106</f>
        <v/>
      </c>
    </row>
    <row r="107" spans="1:8" x14ac:dyDescent="0.2">
      <c r="A107" s="10">
        <v>98</v>
      </c>
      <c r="B107" s="15" t="str">
        <f ca="1">NORMINV(RAND(),1,$B$5)</f>
        <v/>
      </c>
      <c r="C107" s="15" t="str">
        <f ca="1">NORMINV(RAND(),1,$B$6)</f>
        <v/>
      </c>
      <c r="D107" s="30" t="str">
        <f ca="1">IFERROR(IRR(F107:H107),"")</f>
        <v/>
      </c>
      <c r="E107" s="31" t="str">
        <f ca="1">IFERROR(NPV($B$7,F107:H107),"")</f>
        <v/>
      </c>
      <c r="F107" s="31" t="str">
        <f ca="1">$J$10*B107/C107</f>
        <v/>
      </c>
      <c r="G107" s="31" t="str">
        <f ca="1">$J$11*B107/C107</f>
        <v/>
      </c>
      <c r="H107" s="31" t="str">
        <f ca="1">$J$12*B107/C107</f>
        <v/>
      </c>
    </row>
    <row r="108" spans="1:8" x14ac:dyDescent="0.2">
      <c r="A108" s="10">
        <v>99</v>
      </c>
      <c r="B108" s="15" t="str">
        <f ca="1">NORMINV(RAND(),1,$B$5)</f>
        <v/>
      </c>
      <c r="C108" s="15" t="str">
        <f ca="1">NORMINV(RAND(),1,$B$6)</f>
        <v/>
      </c>
      <c r="D108" s="30" t="str">
        <f ca="1">IFERROR(IRR(F108:H108),"")</f>
        <v/>
      </c>
      <c r="E108" s="31" t="str">
        <f ca="1">IFERROR(NPV($B$7,F108:H108),"")</f>
        <v/>
      </c>
      <c r="F108" s="31" t="str">
        <f ca="1">$J$10*B108/C108</f>
        <v/>
      </c>
      <c r="G108" s="31" t="str">
        <f ca="1">$J$11*B108/C108</f>
        <v/>
      </c>
      <c r="H108" s="31" t="str">
        <f ca="1">$J$12*B108/C108</f>
        <v/>
      </c>
    </row>
    <row r="109" spans="1:8" x14ac:dyDescent="0.2">
      <c r="A109" s="10">
        <v>100</v>
      </c>
      <c r="B109" s="15" t="str">
        <f ca="1">NORMINV(RAND(),1,$B$5)</f>
        <v/>
      </c>
      <c r="C109" s="15" t="str">
        <f ca="1">NORMINV(RAND(),1,$B$6)</f>
        <v/>
      </c>
      <c r="D109" s="30" t="str">
        <f ca="1">IFERROR(IRR(F109:H109),"")</f>
        <v/>
      </c>
      <c r="E109" s="31" t="str">
        <f ca="1">IFERROR(NPV($B$7,F109:H109),"")</f>
        <v/>
      </c>
      <c r="F109" s="31" t="str">
        <f ca="1">$J$10*B109/C109</f>
        <v/>
      </c>
      <c r="G109" s="31" t="str">
        <f ca="1">$J$11*B109/C109</f>
        <v/>
      </c>
      <c r="H109" s="31" t="str">
        <f ca="1">$J$12*B109/C109</f>
        <v/>
      </c>
    </row>
    <row r="110" spans="1:8" x14ac:dyDescent="0.2">
      <c r="A110" s="10">
        <v>101</v>
      </c>
      <c r="B110" s="15" t="str">
        <f ca="1">NORMINV(RAND(),1,$B$5)</f>
        <v/>
      </c>
      <c r="C110" s="15" t="str">
        <f ca="1">NORMINV(RAND(),1,$B$6)</f>
        <v/>
      </c>
      <c r="D110" s="30" t="str">
        <f ca="1">IFERROR(IRR(F110:H110),"")</f>
        <v/>
      </c>
      <c r="E110" s="31" t="str">
        <f ca="1">IFERROR(NPV($B$7,F110:H110),"")</f>
        <v/>
      </c>
      <c r="F110" s="31" t="str">
        <f ca="1">$J$10*B110/C110</f>
        <v/>
      </c>
      <c r="G110" s="31" t="str">
        <f ca="1">$J$11*B110/C110</f>
        <v/>
      </c>
      <c r="H110" s="31" t="str">
        <f ca="1">$J$12*B110/C110</f>
        <v/>
      </c>
    </row>
    <row r="111" spans="1:8" x14ac:dyDescent="0.2">
      <c r="A111" s="10">
        <v>102</v>
      </c>
      <c r="B111" s="15" t="str">
        <f ca="1">NORMINV(RAND(),1,$B$5)</f>
        <v/>
      </c>
      <c r="C111" s="15" t="str">
        <f ca="1">NORMINV(RAND(),1,$B$6)</f>
        <v/>
      </c>
      <c r="D111" s="30" t="str">
        <f ca="1">IFERROR(IRR(F111:H111),"")</f>
        <v/>
      </c>
      <c r="E111" s="31" t="str">
        <f ca="1">IFERROR(NPV($B$7,F111:H111),"")</f>
        <v/>
      </c>
      <c r="F111" s="31" t="str">
        <f ca="1">$J$10*B111/C111</f>
        <v/>
      </c>
      <c r="G111" s="31" t="str">
        <f ca="1">$J$11*B111/C111</f>
        <v/>
      </c>
      <c r="H111" s="31" t="str">
        <f ca="1">$J$12*B111/C111</f>
        <v/>
      </c>
    </row>
    <row r="112" spans="1:8" x14ac:dyDescent="0.2">
      <c r="A112" s="10">
        <v>103</v>
      </c>
      <c r="B112" s="15" t="str">
        <f ca="1">NORMINV(RAND(),1,$B$5)</f>
        <v/>
      </c>
      <c r="C112" s="15" t="str">
        <f ca="1">NORMINV(RAND(),1,$B$6)</f>
        <v/>
      </c>
      <c r="D112" s="30" t="str">
        <f ca="1">IFERROR(IRR(F112:H112),"")</f>
        <v/>
      </c>
      <c r="E112" s="31" t="str">
        <f ca="1">IFERROR(NPV($B$7,F112:H112),"")</f>
        <v/>
      </c>
      <c r="F112" s="31" t="str">
        <f ca="1">$J$10*B112/C112</f>
        <v/>
      </c>
      <c r="G112" s="31" t="str">
        <f ca="1">$J$11*B112/C112</f>
        <v/>
      </c>
      <c r="H112" s="31" t="str">
        <f ca="1">$J$12*B112/C112</f>
        <v/>
      </c>
    </row>
    <row r="113" spans="1:8" x14ac:dyDescent="0.2">
      <c r="A113" s="10">
        <v>104</v>
      </c>
      <c r="B113" s="15" t="str">
        <f ca="1">NORMINV(RAND(),1,$B$5)</f>
        <v/>
      </c>
      <c r="C113" s="15" t="str">
        <f ca="1">NORMINV(RAND(),1,$B$6)</f>
        <v/>
      </c>
      <c r="D113" s="30" t="str">
        <f ca="1">IFERROR(IRR(F113:H113),"")</f>
        <v/>
      </c>
      <c r="E113" s="31" t="str">
        <f ca="1">IFERROR(NPV($B$7,F113:H113),"")</f>
        <v/>
      </c>
      <c r="F113" s="31" t="str">
        <f ca="1">$J$10*B113/C113</f>
        <v/>
      </c>
      <c r="G113" s="31" t="str">
        <f ca="1">$J$11*B113/C113</f>
        <v/>
      </c>
      <c r="H113" s="31" t="str">
        <f ca="1">$J$12*B113/C113</f>
        <v/>
      </c>
    </row>
    <row r="114" spans="1:8" x14ac:dyDescent="0.2">
      <c r="A114" s="10">
        <v>105</v>
      </c>
      <c r="B114" s="15" t="str">
        <f ca="1">NORMINV(RAND(),1,$B$5)</f>
        <v/>
      </c>
      <c r="C114" s="15" t="str">
        <f ca="1">NORMINV(RAND(),1,$B$6)</f>
        <v/>
      </c>
      <c r="D114" s="30" t="str">
        <f ca="1">IFERROR(IRR(F114:H114),"")</f>
        <v/>
      </c>
      <c r="E114" s="31" t="str">
        <f ca="1">IFERROR(NPV($B$7,F114:H114),"")</f>
        <v/>
      </c>
      <c r="F114" s="31" t="str">
        <f ca="1">$J$10*B114/C114</f>
        <v/>
      </c>
      <c r="G114" s="31" t="str">
        <f ca="1">$J$11*B114/C114</f>
        <v/>
      </c>
      <c r="H114" s="31" t="str">
        <f ca="1">$J$12*B114/C114</f>
        <v/>
      </c>
    </row>
    <row r="115" spans="1:8" x14ac:dyDescent="0.2">
      <c r="A115" s="10">
        <v>106</v>
      </c>
      <c r="B115" s="15" t="str">
        <f ca="1">NORMINV(RAND(),1,$B$5)</f>
        <v/>
      </c>
      <c r="C115" s="15" t="str">
        <f ca="1">NORMINV(RAND(),1,$B$6)</f>
        <v/>
      </c>
      <c r="D115" s="30" t="str">
        <f ca="1">IFERROR(IRR(F115:H115),"")</f>
        <v/>
      </c>
      <c r="E115" s="31" t="str">
        <f ca="1">IFERROR(NPV($B$7,F115:H115),"")</f>
        <v/>
      </c>
      <c r="F115" s="31" t="str">
        <f ca="1">$J$10*B115/C115</f>
        <v/>
      </c>
      <c r="G115" s="31" t="str">
        <f ca="1">$J$11*B115/C115</f>
        <v/>
      </c>
      <c r="H115" s="31" t="str">
        <f ca="1">$J$12*B115/C115</f>
        <v/>
      </c>
    </row>
    <row r="116" spans="1:8" x14ac:dyDescent="0.2">
      <c r="A116" s="10">
        <v>107</v>
      </c>
      <c r="B116" s="15" t="str">
        <f ca="1">NORMINV(RAND(),1,$B$5)</f>
        <v/>
      </c>
      <c r="C116" s="15" t="str">
        <f ca="1">NORMINV(RAND(),1,$B$6)</f>
        <v/>
      </c>
      <c r="D116" s="30" t="str">
        <f ca="1">IFERROR(IRR(F116:H116),"")</f>
        <v/>
      </c>
      <c r="E116" s="31" t="str">
        <f ca="1">IFERROR(NPV($B$7,F116:H116),"")</f>
        <v/>
      </c>
      <c r="F116" s="31" t="str">
        <f ca="1">$J$10*B116/C116</f>
        <v/>
      </c>
      <c r="G116" s="31" t="str">
        <f ca="1">$J$11*B116/C116</f>
        <v/>
      </c>
      <c r="H116" s="31" t="str">
        <f ca="1">$J$12*B116/C116</f>
        <v/>
      </c>
    </row>
    <row r="117" spans="1:8" x14ac:dyDescent="0.2">
      <c r="A117" s="10">
        <v>108</v>
      </c>
      <c r="B117" s="15" t="str">
        <f ca="1">NORMINV(RAND(),1,$B$5)</f>
        <v/>
      </c>
      <c r="C117" s="15" t="str">
        <f ca="1">NORMINV(RAND(),1,$B$6)</f>
        <v/>
      </c>
      <c r="D117" s="30" t="str">
        <f ca="1">IFERROR(IRR(F117:H117),"")</f>
        <v/>
      </c>
      <c r="E117" s="31" t="str">
        <f ca="1">IFERROR(NPV($B$7,F117:H117),"")</f>
        <v/>
      </c>
      <c r="F117" s="31" t="str">
        <f ca="1">$J$10*B117/C117</f>
        <v/>
      </c>
      <c r="G117" s="31" t="str">
        <f ca="1">$J$11*B117/C117</f>
        <v/>
      </c>
      <c r="H117" s="31" t="str">
        <f ca="1">$J$12*B117/C117</f>
        <v/>
      </c>
    </row>
    <row r="118" spans="1:8" x14ac:dyDescent="0.2">
      <c r="A118" s="10">
        <v>109</v>
      </c>
      <c r="B118" s="15" t="str">
        <f ca="1">NORMINV(RAND(),1,$B$5)</f>
        <v/>
      </c>
      <c r="C118" s="15" t="str">
        <f ca="1">NORMINV(RAND(),1,$B$6)</f>
        <v/>
      </c>
      <c r="D118" s="30" t="str">
        <f ca="1">IFERROR(IRR(F118:H118),"")</f>
        <v/>
      </c>
      <c r="E118" s="31" t="str">
        <f ca="1">IFERROR(NPV($B$7,F118:H118),"")</f>
        <v/>
      </c>
      <c r="F118" s="31" t="str">
        <f ca="1">$J$10*B118/C118</f>
        <v/>
      </c>
      <c r="G118" s="31" t="str">
        <f ca="1">$J$11*B118/C118</f>
        <v/>
      </c>
      <c r="H118" s="31" t="str">
        <f ca="1">$J$12*B118/C118</f>
        <v/>
      </c>
    </row>
    <row r="119" spans="1:8" x14ac:dyDescent="0.2">
      <c r="A119" s="10">
        <v>110</v>
      </c>
      <c r="B119" s="15" t="str">
        <f ca="1">NORMINV(RAND(),1,$B$5)</f>
        <v/>
      </c>
      <c r="C119" s="15" t="str">
        <f ca="1">NORMINV(RAND(),1,$B$6)</f>
        <v/>
      </c>
      <c r="D119" s="30" t="str">
        <f ca="1">IFERROR(IRR(F119:H119),"")</f>
        <v/>
      </c>
      <c r="E119" s="31" t="str">
        <f ca="1">IFERROR(NPV($B$7,F119:H119),"")</f>
        <v/>
      </c>
      <c r="F119" s="31" t="str">
        <f ca="1">$J$10*B119/C119</f>
        <v/>
      </c>
      <c r="G119" s="31" t="str">
        <f ca="1">$J$11*B119/C119</f>
        <v/>
      </c>
      <c r="H119" s="31" t="str">
        <f ca="1">$J$12*B119/C119</f>
        <v/>
      </c>
    </row>
    <row r="120" spans="1:8" x14ac:dyDescent="0.2">
      <c r="A120" s="10">
        <v>111</v>
      </c>
      <c r="B120" s="15" t="str">
        <f ca="1">NORMINV(RAND(),1,$B$5)</f>
        <v/>
      </c>
      <c r="C120" s="15" t="str">
        <f ca="1">NORMINV(RAND(),1,$B$6)</f>
        <v/>
      </c>
      <c r="D120" s="30" t="str">
        <f ca="1">IFERROR(IRR(F120:H120),"")</f>
        <v/>
      </c>
      <c r="E120" s="31" t="str">
        <f ca="1">IFERROR(NPV($B$7,F120:H120),"")</f>
        <v/>
      </c>
      <c r="F120" s="31" t="str">
        <f ca="1">$J$10*B120/C120</f>
        <v/>
      </c>
      <c r="G120" s="31" t="str">
        <f ca="1">$J$11*B120/C120</f>
        <v/>
      </c>
      <c r="H120" s="31" t="str">
        <f ca="1">$J$12*B120/C120</f>
        <v/>
      </c>
    </row>
    <row r="121" spans="1:8" x14ac:dyDescent="0.2">
      <c r="A121" s="10">
        <v>112</v>
      </c>
      <c r="B121" s="15" t="str">
        <f ca="1">NORMINV(RAND(),1,$B$5)</f>
        <v/>
      </c>
      <c r="C121" s="15" t="str">
        <f ca="1">NORMINV(RAND(),1,$B$6)</f>
        <v/>
      </c>
      <c r="D121" s="30" t="str">
        <f ca="1">IFERROR(IRR(F121:H121),"")</f>
        <v/>
      </c>
      <c r="E121" s="31" t="str">
        <f ca="1">IFERROR(NPV($B$7,F121:H121),"")</f>
        <v/>
      </c>
      <c r="F121" s="31" t="str">
        <f ca="1">$J$10*B121/C121</f>
        <v/>
      </c>
      <c r="G121" s="31" t="str">
        <f ca="1">$J$11*B121/C121</f>
        <v/>
      </c>
      <c r="H121" s="31" t="str">
        <f ca="1">$J$12*B121/C121</f>
        <v/>
      </c>
    </row>
    <row r="122" spans="1:8" x14ac:dyDescent="0.2">
      <c r="A122" s="10">
        <v>113</v>
      </c>
      <c r="B122" s="15" t="str">
        <f ca="1">NORMINV(RAND(),1,$B$5)</f>
        <v/>
      </c>
      <c r="C122" s="15" t="str">
        <f ca="1">NORMINV(RAND(),1,$B$6)</f>
        <v/>
      </c>
      <c r="D122" s="30" t="str">
        <f ca="1">IFERROR(IRR(F122:H122),"")</f>
        <v/>
      </c>
      <c r="E122" s="31" t="str">
        <f ca="1">IFERROR(NPV($B$7,F122:H122),"")</f>
        <v/>
      </c>
      <c r="F122" s="31" t="str">
        <f ca="1">$J$10*B122/C122</f>
        <v/>
      </c>
      <c r="G122" s="31" t="str">
        <f ca="1">$J$11*B122/C122</f>
        <v/>
      </c>
      <c r="H122" s="31" t="str">
        <f ca="1">$J$12*B122/C122</f>
        <v/>
      </c>
    </row>
    <row r="123" spans="1:8" x14ac:dyDescent="0.2">
      <c r="A123" s="10">
        <v>114</v>
      </c>
      <c r="B123" s="15" t="str">
        <f ca="1">NORMINV(RAND(),1,$B$5)</f>
        <v/>
      </c>
      <c r="C123" s="15" t="str">
        <f ca="1">NORMINV(RAND(),1,$B$6)</f>
        <v/>
      </c>
      <c r="D123" s="30" t="str">
        <f ca="1">IFERROR(IRR(F123:H123),"")</f>
        <v/>
      </c>
      <c r="E123" s="31" t="str">
        <f ca="1">IFERROR(NPV($B$7,F123:H123),"")</f>
        <v/>
      </c>
      <c r="F123" s="31" t="str">
        <f ca="1">$J$10*B123/C123</f>
        <v/>
      </c>
      <c r="G123" s="31" t="str">
        <f ca="1">$J$11*B123/C123</f>
        <v/>
      </c>
      <c r="H123" s="31" t="str">
        <f ca="1">$J$12*B123/C123</f>
        <v/>
      </c>
    </row>
    <row r="124" spans="1:8" x14ac:dyDescent="0.2">
      <c r="A124" s="10">
        <v>115</v>
      </c>
      <c r="B124" s="15" t="str">
        <f ca="1">NORMINV(RAND(),1,$B$5)</f>
        <v/>
      </c>
      <c r="C124" s="15" t="str">
        <f ca="1">NORMINV(RAND(),1,$B$6)</f>
        <v/>
      </c>
      <c r="D124" s="30" t="str">
        <f ca="1">IFERROR(IRR(F124:H124),"")</f>
        <v/>
      </c>
      <c r="E124" s="31" t="str">
        <f ca="1">IFERROR(NPV($B$7,F124:H124),"")</f>
        <v/>
      </c>
      <c r="F124" s="31" t="str">
        <f ca="1">$J$10*B124/C124</f>
        <v/>
      </c>
      <c r="G124" s="31" t="str">
        <f ca="1">$J$11*B124/C124</f>
        <v/>
      </c>
      <c r="H124" s="31" t="str">
        <f ca="1">$J$12*B124/C124</f>
        <v/>
      </c>
    </row>
    <row r="125" spans="1:8" x14ac:dyDescent="0.2">
      <c r="A125" s="10">
        <v>116</v>
      </c>
      <c r="B125" s="15" t="str">
        <f ca="1">NORMINV(RAND(),1,$B$5)</f>
        <v/>
      </c>
      <c r="C125" s="15" t="str">
        <f ca="1">NORMINV(RAND(),1,$B$6)</f>
        <v/>
      </c>
      <c r="D125" s="30" t="str">
        <f ca="1">IFERROR(IRR(F125:H125),"")</f>
        <v/>
      </c>
      <c r="E125" s="31" t="str">
        <f ca="1">IFERROR(NPV($B$7,F125:H125),"")</f>
        <v/>
      </c>
      <c r="F125" s="31" t="str">
        <f ca="1">$J$10*B125/C125</f>
        <v/>
      </c>
      <c r="G125" s="31" t="str">
        <f ca="1">$J$11*B125/C125</f>
        <v/>
      </c>
      <c r="H125" s="31" t="str">
        <f ca="1">$J$12*B125/C125</f>
        <v/>
      </c>
    </row>
    <row r="126" spans="1:8" x14ac:dyDescent="0.2">
      <c r="A126" s="10">
        <v>117</v>
      </c>
      <c r="B126" s="15" t="str">
        <f ca="1">NORMINV(RAND(),1,$B$5)</f>
        <v/>
      </c>
      <c r="C126" s="15" t="str">
        <f ca="1">NORMINV(RAND(),1,$B$6)</f>
        <v/>
      </c>
      <c r="D126" s="30" t="str">
        <f ca="1">IFERROR(IRR(F126:H126),"")</f>
        <v/>
      </c>
      <c r="E126" s="31" t="str">
        <f ca="1">IFERROR(NPV($B$7,F126:H126),"")</f>
        <v/>
      </c>
      <c r="F126" s="31" t="str">
        <f ca="1">$J$10*B126/C126</f>
        <v/>
      </c>
      <c r="G126" s="31" t="str">
        <f ca="1">$J$11*B126/C126</f>
        <v/>
      </c>
      <c r="H126" s="31" t="str">
        <f ca="1">$J$12*B126/C126</f>
        <v/>
      </c>
    </row>
    <row r="127" spans="1:8" x14ac:dyDescent="0.2">
      <c r="A127" s="10">
        <v>118</v>
      </c>
      <c r="B127" s="15" t="str">
        <f ca="1">NORMINV(RAND(),1,$B$5)</f>
        <v/>
      </c>
      <c r="C127" s="15" t="str">
        <f ca="1">NORMINV(RAND(),1,$B$6)</f>
        <v/>
      </c>
      <c r="D127" s="30" t="str">
        <f ca="1">IFERROR(IRR(F127:H127),"")</f>
        <v/>
      </c>
      <c r="E127" s="31" t="str">
        <f ca="1">IFERROR(NPV($B$7,F127:H127),"")</f>
        <v/>
      </c>
      <c r="F127" s="31" t="str">
        <f ca="1">$J$10*B127/C127</f>
        <v/>
      </c>
      <c r="G127" s="31" t="str">
        <f ca="1">$J$11*B127/C127</f>
        <v/>
      </c>
      <c r="H127" s="31" t="str">
        <f ca="1">$J$12*B127/C127</f>
        <v/>
      </c>
    </row>
    <row r="128" spans="1:8" x14ac:dyDescent="0.2">
      <c r="A128" s="10">
        <v>119</v>
      </c>
      <c r="B128" s="15" t="str">
        <f ca="1">NORMINV(RAND(),1,$B$5)</f>
        <v/>
      </c>
      <c r="C128" s="15" t="str">
        <f ca="1">NORMINV(RAND(),1,$B$6)</f>
        <v/>
      </c>
      <c r="D128" s="30" t="str">
        <f ca="1">IFERROR(IRR(F128:H128),"")</f>
        <v/>
      </c>
      <c r="E128" s="31" t="str">
        <f ca="1">IFERROR(NPV($B$7,F128:H128),"")</f>
        <v/>
      </c>
      <c r="F128" s="31" t="str">
        <f ca="1">$J$10*B128/C128</f>
        <v/>
      </c>
      <c r="G128" s="31" t="str">
        <f ca="1">$J$11*B128/C128</f>
        <v/>
      </c>
      <c r="H128" s="31" t="str">
        <f ca="1">$J$12*B128/C128</f>
        <v/>
      </c>
    </row>
    <row r="129" spans="1:8" x14ac:dyDescent="0.2">
      <c r="A129" s="10">
        <v>120</v>
      </c>
      <c r="B129" s="15" t="str">
        <f ca="1">NORMINV(RAND(),1,$B$5)</f>
        <v/>
      </c>
      <c r="C129" s="15" t="str">
        <f ca="1">NORMINV(RAND(),1,$B$6)</f>
        <v/>
      </c>
      <c r="D129" s="30" t="str">
        <f ca="1">IFERROR(IRR(F129:H129),"")</f>
        <v/>
      </c>
      <c r="E129" s="31" t="str">
        <f ca="1">IFERROR(NPV($B$7,F129:H129),"")</f>
        <v/>
      </c>
      <c r="F129" s="31" t="str">
        <f ca="1">$J$10*B129/C129</f>
        <v/>
      </c>
      <c r="G129" s="31" t="str">
        <f ca="1">$J$11*B129/C129</f>
        <v/>
      </c>
      <c r="H129" s="31" t="str">
        <f ca="1">$J$12*B129/C129</f>
        <v/>
      </c>
    </row>
    <row r="130" spans="1:8" x14ac:dyDescent="0.2">
      <c r="A130" s="10">
        <v>121</v>
      </c>
      <c r="B130" s="15" t="str">
        <f ca="1">NORMINV(RAND(),1,$B$5)</f>
        <v/>
      </c>
      <c r="C130" s="15" t="str">
        <f ca="1">NORMINV(RAND(),1,$B$6)</f>
        <v/>
      </c>
      <c r="D130" s="30" t="str">
        <f ca="1">IFERROR(IRR(F130:H130),"")</f>
        <v/>
      </c>
      <c r="E130" s="31" t="str">
        <f ca="1">IFERROR(NPV($B$7,F130:H130),"")</f>
        <v/>
      </c>
      <c r="F130" s="31" t="str">
        <f ca="1">$J$10*B130/C130</f>
        <v/>
      </c>
      <c r="G130" s="31" t="str">
        <f ca="1">$J$11*B130/C130</f>
        <v/>
      </c>
      <c r="H130" s="31" t="str">
        <f ca="1">$J$12*B130/C130</f>
        <v/>
      </c>
    </row>
    <row r="131" spans="1:8" x14ac:dyDescent="0.2">
      <c r="A131" s="10">
        <v>122</v>
      </c>
      <c r="B131" s="15" t="str">
        <f ca="1">NORMINV(RAND(),1,$B$5)</f>
        <v/>
      </c>
      <c r="C131" s="15" t="str">
        <f ca="1">NORMINV(RAND(),1,$B$6)</f>
        <v/>
      </c>
      <c r="D131" s="30" t="str">
        <f ca="1">IFERROR(IRR(F131:H131),"")</f>
        <v/>
      </c>
      <c r="E131" s="31" t="str">
        <f ca="1">IFERROR(NPV($B$7,F131:H131),"")</f>
        <v/>
      </c>
      <c r="F131" s="31" t="str">
        <f ca="1">$J$10*B131/C131</f>
        <v/>
      </c>
      <c r="G131" s="31" t="str">
        <f ca="1">$J$11*B131/C131</f>
        <v/>
      </c>
      <c r="H131" s="31" t="str">
        <f ca="1">$J$12*B131/C131</f>
        <v/>
      </c>
    </row>
    <row r="132" spans="1:8" x14ac:dyDescent="0.2">
      <c r="A132" s="10">
        <v>123</v>
      </c>
      <c r="B132" s="15" t="str">
        <f ca="1">NORMINV(RAND(),1,$B$5)</f>
        <v/>
      </c>
      <c r="C132" s="15" t="str">
        <f ca="1">NORMINV(RAND(),1,$B$6)</f>
        <v/>
      </c>
      <c r="D132" s="30" t="str">
        <f ca="1">IFERROR(IRR(F132:H132),"")</f>
        <v/>
      </c>
      <c r="E132" s="31" t="str">
        <f ca="1">IFERROR(NPV($B$7,F132:H132),"")</f>
        <v/>
      </c>
      <c r="F132" s="31" t="str">
        <f ca="1">$J$10*B132/C132</f>
        <v/>
      </c>
      <c r="G132" s="31" t="str">
        <f ca="1">$J$11*B132/C132</f>
        <v/>
      </c>
      <c r="H132" s="31" t="str">
        <f ca="1">$J$12*B132/C132</f>
        <v/>
      </c>
    </row>
    <row r="133" spans="1:8" x14ac:dyDescent="0.2">
      <c r="A133" s="10">
        <v>124</v>
      </c>
      <c r="B133" s="15" t="str">
        <f ca="1">NORMINV(RAND(),1,$B$5)</f>
        <v/>
      </c>
      <c r="C133" s="15" t="str">
        <f ca="1">NORMINV(RAND(),1,$B$6)</f>
        <v/>
      </c>
      <c r="D133" s="30" t="str">
        <f ca="1">IFERROR(IRR(F133:H133),"")</f>
        <v/>
      </c>
      <c r="E133" s="31" t="str">
        <f ca="1">IFERROR(NPV($B$7,F133:H133),"")</f>
        <v/>
      </c>
      <c r="F133" s="31" t="str">
        <f ca="1">$J$10*B133/C133</f>
        <v/>
      </c>
      <c r="G133" s="31" t="str">
        <f ca="1">$J$11*B133/C133</f>
        <v/>
      </c>
      <c r="H133" s="31" t="str">
        <f ca="1">$J$12*B133/C133</f>
        <v/>
      </c>
    </row>
    <row r="134" spans="1:8" x14ac:dyDescent="0.2">
      <c r="A134" s="10">
        <v>125</v>
      </c>
      <c r="B134" s="15" t="str">
        <f ca="1">NORMINV(RAND(),1,$B$5)</f>
        <v/>
      </c>
      <c r="C134" s="15" t="str">
        <f ca="1">NORMINV(RAND(),1,$B$6)</f>
        <v/>
      </c>
      <c r="D134" s="30" t="str">
        <f ca="1">IFERROR(IRR(F134:H134),"")</f>
        <v/>
      </c>
      <c r="E134" s="31" t="str">
        <f ca="1">IFERROR(NPV($B$7,F134:H134),"")</f>
        <v/>
      </c>
      <c r="F134" s="31" t="str">
        <f ca="1">$J$10*B134/C134</f>
        <v/>
      </c>
      <c r="G134" s="31" t="str">
        <f ca="1">$J$11*B134/C134</f>
        <v/>
      </c>
      <c r="H134" s="31" t="str">
        <f ca="1">$J$12*B134/C134</f>
        <v/>
      </c>
    </row>
    <row r="135" spans="1:8" x14ac:dyDescent="0.2">
      <c r="A135" s="10">
        <v>126</v>
      </c>
      <c r="B135" s="15" t="str">
        <f ca="1">NORMINV(RAND(),1,$B$5)</f>
        <v/>
      </c>
      <c r="C135" s="15" t="str">
        <f ca="1">NORMINV(RAND(),1,$B$6)</f>
        <v/>
      </c>
      <c r="D135" s="30" t="str">
        <f ca="1">IFERROR(IRR(F135:H135),"")</f>
        <v/>
      </c>
      <c r="E135" s="31" t="str">
        <f ca="1">IFERROR(NPV($B$7,F135:H135),"")</f>
        <v/>
      </c>
      <c r="F135" s="31" t="str">
        <f ca="1">$J$10*B135/C135</f>
        <v/>
      </c>
      <c r="G135" s="31" t="str">
        <f ca="1">$J$11*B135/C135</f>
        <v/>
      </c>
      <c r="H135" s="31" t="str">
        <f ca="1">$J$12*B135/C135</f>
        <v/>
      </c>
    </row>
    <row r="136" spans="1:8" x14ac:dyDescent="0.2">
      <c r="A136" s="10">
        <v>127</v>
      </c>
      <c r="B136" s="15" t="str">
        <f ca="1">NORMINV(RAND(),1,$B$5)</f>
        <v/>
      </c>
      <c r="C136" s="15" t="str">
        <f ca="1">NORMINV(RAND(),1,$B$6)</f>
        <v/>
      </c>
      <c r="D136" s="30" t="str">
        <f ca="1">IFERROR(IRR(F136:H136),"")</f>
        <v/>
      </c>
      <c r="E136" s="31" t="str">
        <f ca="1">IFERROR(NPV($B$7,F136:H136),"")</f>
        <v/>
      </c>
      <c r="F136" s="31" t="str">
        <f ca="1">$J$10*B136/C136</f>
        <v/>
      </c>
      <c r="G136" s="31" t="str">
        <f ca="1">$J$11*B136/C136</f>
        <v/>
      </c>
      <c r="H136" s="31" t="str">
        <f ca="1">$J$12*B136/C136</f>
        <v/>
      </c>
    </row>
    <row r="137" spans="1:8" x14ac:dyDescent="0.2">
      <c r="A137" s="10">
        <v>128</v>
      </c>
      <c r="B137" s="15" t="str">
        <f ca="1">NORMINV(RAND(),1,$B$5)</f>
        <v/>
      </c>
      <c r="C137" s="15" t="str">
        <f ca="1">NORMINV(RAND(),1,$B$6)</f>
        <v/>
      </c>
      <c r="D137" s="30" t="str">
        <f ca="1">IFERROR(IRR(F137:H137),"")</f>
        <v/>
      </c>
      <c r="E137" s="31" t="str">
        <f ca="1">IFERROR(NPV($B$7,F137:H137),"")</f>
        <v/>
      </c>
      <c r="F137" s="31" t="str">
        <f ca="1">$J$10*B137/C137</f>
        <v/>
      </c>
      <c r="G137" s="31" t="str">
        <f ca="1">$J$11*B137/C137</f>
        <v/>
      </c>
      <c r="H137" s="31" t="str">
        <f ca="1">$J$12*B137/C137</f>
        <v/>
      </c>
    </row>
    <row r="138" spans="1:8" x14ac:dyDescent="0.2">
      <c r="A138" s="10">
        <v>129</v>
      </c>
      <c r="B138" s="15" t="str">
        <f ca="1">NORMINV(RAND(),1,$B$5)</f>
        <v/>
      </c>
      <c r="C138" s="15" t="str">
        <f ca="1">NORMINV(RAND(),1,$B$6)</f>
        <v/>
      </c>
      <c r="D138" s="30" t="str">
        <f ca="1">IFERROR(IRR(F138:H138),"")</f>
        <v/>
      </c>
      <c r="E138" s="31" t="str">
        <f ca="1">IFERROR(NPV($B$7,F138:H138),"")</f>
        <v/>
      </c>
      <c r="F138" s="31" t="str">
        <f ca="1">$J$10*B138/C138</f>
        <v/>
      </c>
      <c r="G138" s="31" t="str">
        <f ca="1">$J$11*B138/C138</f>
        <v/>
      </c>
      <c r="H138" s="31" t="str">
        <f ca="1">$J$12*B138/C138</f>
        <v/>
      </c>
    </row>
    <row r="139" spans="1:8" x14ac:dyDescent="0.2">
      <c r="A139" s="10">
        <v>130</v>
      </c>
      <c r="B139" s="15" t="str">
        <f ca="1">NORMINV(RAND(),1,$B$5)</f>
        <v/>
      </c>
      <c r="C139" s="15" t="str">
        <f ca="1">NORMINV(RAND(),1,$B$6)</f>
        <v/>
      </c>
      <c r="D139" s="30" t="str">
        <f ca="1">IFERROR(IRR(F139:H139),"")</f>
        <v/>
      </c>
      <c r="E139" s="31" t="str">
        <f ca="1">IFERROR(NPV($B$7,F139:H139),"")</f>
        <v/>
      </c>
      <c r="F139" s="31" t="str">
        <f ca="1">$J$10*B139/C139</f>
        <v/>
      </c>
      <c r="G139" s="31" t="str">
        <f ca="1">$J$11*B139/C139</f>
        <v/>
      </c>
      <c r="H139" s="31" t="str">
        <f ca="1">$J$12*B139/C139</f>
        <v/>
      </c>
    </row>
    <row r="140" spans="1:8" x14ac:dyDescent="0.2">
      <c r="A140" s="10">
        <v>131</v>
      </c>
      <c r="B140" s="15" t="str">
        <f ca="1">NORMINV(RAND(),1,$B$5)</f>
        <v/>
      </c>
      <c r="C140" s="15" t="str">
        <f ca="1">NORMINV(RAND(),1,$B$6)</f>
        <v/>
      </c>
      <c r="D140" s="30" t="str">
        <f ca="1">IFERROR(IRR(F140:H140),"")</f>
        <v/>
      </c>
      <c r="E140" s="31" t="str">
        <f ca="1">IFERROR(NPV($B$7,F140:H140),"")</f>
        <v/>
      </c>
      <c r="F140" s="31" t="str">
        <f ca="1">$J$10*B140/C140</f>
        <v/>
      </c>
      <c r="G140" s="31" t="str">
        <f ca="1">$J$11*B140/C140</f>
        <v/>
      </c>
      <c r="H140" s="31" t="str">
        <f ca="1">$J$12*B140/C140</f>
        <v/>
      </c>
    </row>
    <row r="141" spans="1:8" x14ac:dyDescent="0.2">
      <c r="A141" s="10">
        <v>132</v>
      </c>
      <c r="B141" s="15" t="str">
        <f ca="1">NORMINV(RAND(),1,$B$5)</f>
        <v/>
      </c>
      <c r="C141" s="15" t="str">
        <f ca="1">NORMINV(RAND(),1,$B$6)</f>
        <v/>
      </c>
      <c r="D141" s="30" t="str">
        <f ca="1">IFERROR(IRR(F141:H141),"")</f>
        <v/>
      </c>
      <c r="E141" s="31" t="str">
        <f ca="1">IFERROR(NPV($B$7,F141:H141),"")</f>
        <v/>
      </c>
      <c r="F141" s="31" t="str">
        <f ca="1">$J$10*B141/C141</f>
        <v/>
      </c>
      <c r="G141" s="31" t="str">
        <f ca="1">$J$11*B141/C141</f>
        <v/>
      </c>
      <c r="H141" s="31" t="str">
        <f ca="1">$J$12*B141/C141</f>
        <v/>
      </c>
    </row>
    <row r="142" spans="1:8" x14ac:dyDescent="0.2">
      <c r="A142" s="10">
        <v>133</v>
      </c>
      <c r="B142" s="15" t="str">
        <f ca="1">NORMINV(RAND(),1,$B$5)</f>
        <v/>
      </c>
      <c r="C142" s="15" t="str">
        <f ca="1">NORMINV(RAND(),1,$B$6)</f>
        <v/>
      </c>
      <c r="D142" s="30" t="str">
        <f ca="1">IFERROR(IRR(F142:H142),"")</f>
        <v/>
      </c>
      <c r="E142" s="31" t="str">
        <f ca="1">IFERROR(NPV($B$7,F142:H142),"")</f>
        <v/>
      </c>
      <c r="F142" s="31" t="str">
        <f ca="1">$J$10*B142/C142</f>
        <v/>
      </c>
      <c r="G142" s="31" t="str">
        <f ca="1">$J$11*B142/C142</f>
        <v/>
      </c>
      <c r="H142" s="31" t="str">
        <f ca="1">$J$12*B142/C142</f>
        <v/>
      </c>
    </row>
    <row r="143" spans="1:8" x14ac:dyDescent="0.2">
      <c r="A143" s="10">
        <v>134</v>
      </c>
      <c r="B143" s="15" t="str">
        <f ca="1">NORMINV(RAND(),1,$B$5)</f>
        <v/>
      </c>
      <c r="C143" s="15" t="str">
        <f ca="1">NORMINV(RAND(),1,$B$6)</f>
        <v/>
      </c>
      <c r="D143" s="30" t="str">
        <f ca="1">IFERROR(IRR(F143:H143),"")</f>
        <v/>
      </c>
      <c r="E143" s="31" t="str">
        <f ca="1">IFERROR(NPV($B$7,F143:H143),"")</f>
        <v/>
      </c>
      <c r="F143" s="31" t="str">
        <f ca="1">$J$10*B143/C143</f>
        <v/>
      </c>
      <c r="G143" s="31" t="str">
        <f ca="1">$J$11*B143/C143</f>
        <v/>
      </c>
      <c r="H143" s="31" t="str">
        <f ca="1">$J$12*B143/C143</f>
        <v/>
      </c>
    </row>
    <row r="144" spans="1:8" x14ac:dyDescent="0.2">
      <c r="A144" s="10">
        <v>135</v>
      </c>
      <c r="B144" s="15" t="str">
        <f ca="1">NORMINV(RAND(),1,$B$5)</f>
        <v/>
      </c>
      <c r="C144" s="15" t="str">
        <f ca="1">NORMINV(RAND(),1,$B$6)</f>
        <v/>
      </c>
      <c r="D144" s="30" t="str">
        <f ca="1">IFERROR(IRR(F144:H144),"")</f>
        <v/>
      </c>
      <c r="E144" s="31" t="str">
        <f ca="1">IFERROR(NPV($B$7,F144:H144),"")</f>
        <v/>
      </c>
      <c r="F144" s="31" t="str">
        <f ca="1">$J$10*B144/C144</f>
        <v/>
      </c>
      <c r="G144" s="31" t="str">
        <f ca="1">$J$11*B144/C144</f>
        <v/>
      </c>
      <c r="H144" s="31" t="str">
        <f ca="1">$J$12*B144/C144</f>
        <v/>
      </c>
    </row>
    <row r="145" spans="1:8" x14ac:dyDescent="0.2">
      <c r="A145" s="10">
        <v>136</v>
      </c>
      <c r="B145" s="15" t="str">
        <f ca="1">NORMINV(RAND(),1,$B$5)</f>
        <v/>
      </c>
      <c r="C145" s="15" t="str">
        <f ca="1">NORMINV(RAND(),1,$B$6)</f>
        <v/>
      </c>
      <c r="D145" s="30" t="str">
        <f ca="1">IFERROR(IRR(F145:H145),"")</f>
        <v/>
      </c>
      <c r="E145" s="31" t="str">
        <f ca="1">IFERROR(NPV($B$7,F145:H145),"")</f>
        <v/>
      </c>
      <c r="F145" s="31" t="str">
        <f ca="1">$J$10*B145/C145</f>
        <v/>
      </c>
      <c r="G145" s="31" t="str">
        <f ca="1">$J$11*B145/C145</f>
        <v/>
      </c>
      <c r="H145" s="31" t="str">
        <f ca="1">$J$12*B145/C145</f>
        <v/>
      </c>
    </row>
    <row r="146" spans="1:8" x14ac:dyDescent="0.2">
      <c r="A146" s="10">
        <v>137</v>
      </c>
      <c r="B146" s="15" t="str">
        <f ca="1">NORMINV(RAND(),1,$B$5)</f>
        <v/>
      </c>
      <c r="C146" s="15" t="str">
        <f ca="1">NORMINV(RAND(),1,$B$6)</f>
        <v/>
      </c>
      <c r="D146" s="30" t="str">
        <f ca="1">IFERROR(IRR(F146:H146),"")</f>
        <v/>
      </c>
      <c r="E146" s="31" t="str">
        <f ca="1">IFERROR(NPV($B$7,F146:H146),"")</f>
        <v/>
      </c>
      <c r="F146" s="31" t="str">
        <f ca="1">$J$10*B146/C146</f>
        <v/>
      </c>
      <c r="G146" s="31" t="str">
        <f ca="1">$J$11*B146/C146</f>
        <v/>
      </c>
      <c r="H146" s="31" t="str">
        <f ca="1">$J$12*B146/C146</f>
        <v/>
      </c>
    </row>
    <row r="147" spans="1:8" x14ac:dyDescent="0.2">
      <c r="A147" s="10">
        <v>138</v>
      </c>
      <c r="B147" s="15" t="str">
        <f ca="1">NORMINV(RAND(),1,$B$5)</f>
        <v/>
      </c>
      <c r="C147" s="15" t="str">
        <f ca="1">NORMINV(RAND(),1,$B$6)</f>
        <v/>
      </c>
      <c r="D147" s="30" t="str">
        <f ca="1">IFERROR(IRR(F147:H147),"")</f>
        <v/>
      </c>
      <c r="E147" s="31" t="str">
        <f ca="1">IFERROR(NPV($B$7,F147:H147),"")</f>
        <v/>
      </c>
      <c r="F147" s="31" t="str">
        <f ca="1">$J$10*B147/C147</f>
        <v/>
      </c>
      <c r="G147" s="31" t="str">
        <f ca="1">$J$11*B147/C147</f>
        <v/>
      </c>
      <c r="H147" s="31" t="str">
        <f ca="1">$J$12*B147/C147</f>
        <v/>
      </c>
    </row>
    <row r="148" spans="1:8" x14ac:dyDescent="0.2">
      <c r="A148" s="10">
        <v>139</v>
      </c>
      <c r="B148" s="15" t="str">
        <f ca="1">NORMINV(RAND(),1,$B$5)</f>
        <v/>
      </c>
      <c r="C148" s="15" t="str">
        <f ca="1">NORMINV(RAND(),1,$B$6)</f>
        <v/>
      </c>
      <c r="D148" s="30" t="str">
        <f ca="1">IFERROR(IRR(F148:H148),"")</f>
        <v/>
      </c>
      <c r="E148" s="31" t="str">
        <f ca="1">IFERROR(NPV($B$7,F148:H148),"")</f>
        <v/>
      </c>
      <c r="F148" s="31" t="str">
        <f ca="1">$J$10*B148/C148</f>
        <v/>
      </c>
      <c r="G148" s="31" t="str">
        <f ca="1">$J$11*B148/C148</f>
        <v/>
      </c>
      <c r="H148" s="31" t="str">
        <f ca="1">$J$12*B148/C148</f>
        <v/>
      </c>
    </row>
    <row r="149" spans="1:8" x14ac:dyDescent="0.2">
      <c r="A149" s="10">
        <v>140</v>
      </c>
      <c r="B149" s="15" t="str">
        <f ca="1">NORMINV(RAND(),1,$B$5)</f>
        <v/>
      </c>
      <c r="C149" s="15" t="str">
        <f ca="1">NORMINV(RAND(),1,$B$6)</f>
        <v/>
      </c>
      <c r="D149" s="30" t="str">
        <f ca="1">IFERROR(IRR(F149:H149),"")</f>
        <v/>
      </c>
      <c r="E149" s="31" t="str">
        <f ca="1">IFERROR(NPV($B$7,F149:H149),"")</f>
        <v/>
      </c>
      <c r="F149" s="31" t="str">
        <f ca="1">$J$10*B149/C149</f>
        <v/>
      </c>
      <c r="G149" s="31" t="str">
        <f ca="1">$J$11*B149/C149</f>
        <v/>
      </c>
      <c r="H149" s="31" t="str">
        <f ca="1">$J$12*B149/C149</f>
        <v/>
      </c>
    </row>
    <row r="150" spans="1:8" x14ac:dyDescent="0.2">
      <c r="A150" s="10">
        <v>141</v>
      </c>
      <c r="B150" s="15" t="str">
        <f ca="1">NORMINV(RAND(),1,$B$5)</f>
        <v/>
      </c>
      <c r="C150" s="15" t="str">
        <f ca="1">NORMINV(RAND(),1,$B$6)</f>
        <v/>
      </c>
      <c r="D150" s="30" t="str">
        <f ca="1">IFERROR(IRR(F150:H150),"")</f>
        <v/>
      </c>
      <c r="E150" s="31" t="str">
        <f ca="1">IFERROR(NPV($B$7,F150:H150),"")</f>
        <v/>
      </c>
      <c r="F150" s="31" t="str">
        <f ca="1">$J$10*B150/C150</f>
        <v/>
      </c>
      <c r="G150" s="31" t="str">
        <f ca="1">$J$11*B150/C150</f>
        <v/>
      </c>
      <c r="H150" s="31" t="str">
        <f ca="1">$J$12*B150/C150</f>
        <v/>
      </c>
    </row>
    <row r="151" spans="1:8" x14ac:dyDescent="0.2">
      <c r="A151" s="10">
        <v>142</v>
      </c>
      <c r="B151" s="15" t="str">
        <f ca="1">NORMINV(RAND(),1,$B$5)</f>
        <v/>
      </c>
      <c r="C151" s="15" t="str">
        <f ca="1">NORMINV(RAND(),1,$B$6)</f>
        <v/>
      </c>
      <c r="D151" s="30" t="str">
        <f ca="1">IFERROR(IRR(F151:H151),"")</f>
        <v/>
      </c>
      <c r="E151" s="31" t="str">
        <f ca="1">IFERROR(NPV($B$7,F151:H151),"")</f>
        <v/>
      </c>
      <c r="F151" s="31" t="str">
        <f ca="1">$J$10*B151/C151</f>
        <v/>
      </c>
      <c r="G151" s="31" t="str">
        <f ca="1">$J$11*B151/C151</f>
        <v/>
      </c>
      <c r="H151" s="31" t="str">
        <f ca="1">$J$12*B151/C151</f>
        <v/>
      </c>
    </row>
    <row r="152" spans="1:8" x14ac:dyDescent="0.2">
      <c r="A152" s="10">
        <v>143</v>
      </c>
      <c r="B152" s="15" t="str">
        <f ca="1">NORMINV(RAND(),1,$B$5)</f>
        <v/>
      </c>
      <c r="C152" s="15" t="str">
        <f ca="1">NORMINV(RAND(),1,$B$6)</f>
        <v/>
      </c>
      <c r="D152" s="30" t="str">
        <f ca="1">IFERROR(IRR(F152:H152),"")</f>
        <v/>
      </c>
      <c r="E152" s="31" t="str">
        <f ca="1">IFERROR(NPV($B$7,F152:H152),"")</f>
        <v/>
      </c>
      <c r="F152" s="31" t="str">
        <f ca="1">$J$10*B152/C152</f>
        <v/>
      </c>
      <c r="G152" s="31" t="str">
        <f ca="1">$J$11*B152/C152</f>
        <v/>
      </c>
      <c r="H152" s="31" t="str">
        <f ca="1">$J$12*B152/C152</f>
        <v/>
      </c>
    </row>
    <row r="153" spans="1:8" x14ac:dyDescent="0.2">
      <c r="A153" s="10">
        <v>144</v>
      </c>
      <c r="B153" s="15" t="str">
        <f ca="1">NORMINV(RAND(),1,$B$5)</f>
        <v/>
      </c>
      <c r="C153" s="15" t="str">
        <f ca="1">NORMINV(RAND(),1,$B$6)</f>
        <v/>
      </c>
      <c r="D153" s="30" t="str">
        <f ca="1">IFERROR(IRR(F153:H153),"")</f>
        <v/>
      </c>
      <c r="E153" s="31" t="str">
        <f ca="1">IFERROR(NPV($B$7,F153:H153),"")</f>
        <v/>
      </c>
      <c r="F153" s="31" t="str">
        <f ca="1">$J$10*B153/C153</f>
        <v/>
      </c>
      <c r="G153" s="31" t="str">
        <f ca="1">$J$11*B153/C153</f>
        <v/>
      </c>
      <c r="H153" s="31" t="str">
        <f ca="1">$J$12*B153/C153</f>
        <v/>
      </c>
    </row>
    <row r="154" spans="1:8" x14ac:dyDescent="0.2">
      <c r="A154" s="10">
        <v>145</v>
      </c>
      <c r="B154" s="15" t="str">
        <f ca="1">NORMINV(RAND(),1,$B$5)</f>
        <v/>
      </c>
      <c r="C154" s="15" t="str">
        <f ca="1">NORMINV(RAND(),1,$B$6)</f>
        <v/>
      </c>
      <c r="D154" s="30" t="str">
        <f ca="1">IFERROR(IRR(F154:H154),"")</f>
        <v/>
      </c>
      <c r="E154" s="31" t="str">
        <f ca="1">IFERROR(NPV($B$7,F154:H154),"")</f>
        <v/>
      </c>
      <c r="F154" s="31" t="str">
        <f ca="1">$J$10*B154/C154</f>
        <v/>
      </c>
      <c r="G154" s="31" t="str">
        <f ca="1">$J$11*B154/C154</f>
        <v/>
      </c>
      <c r="H154" s="31" t="str">
        <f ca="1">$J$12*B154/C154</f>
        <v/>
      </c>
    </row>
    <row r="155" spans="1:8" x14ac:dyDescent="0.2">
      <c r="A155" s="10">
        <v>146</v>
      </c>
      <c r="B155" s="15" t="str">
        <f ca="1">NORMINV(RAND(),1,$B$5)</f>
        <v/>
      </c>
      <c r="C155" s="15" t="str">
        <f ca="1">NORMINV(RAND(),1,$B$6)</f>
        <v/>
      </c>
      <c r="D155" s="30" t="str">
        <f ca="1">IFERROR(IRR(F155:H155),"")</f>
        <v/>
      </c>
      <c r="E155" s="31" t="str">
        <f ca="1">IFERROR(NPV($B$7,F155:H155),"")</f>
        <v/>
      </c>
      <c r="F155" s="31" t="str">
        <f ca="1">$J$10*B155/C155</f>
        <v/>
      </c>
      <c r="G155" s="31" t="str">
        <f ca="1">$J$11*B155/C155</f>
        <v/>
      </c>
      <c r="H155" s="31" t="str">
        <f ca="1">$J$12*B155/C155</f>
        <v/>
      </c>
    </row>
    <row r="156" spans="1:8" x14ac:dyDescent="0.2">
      <c r="A156" s="10">
        <v>147</v>
      </c>
      <c r="B156" s="15" t="str">
        <f ca="1">NORMINV(RAND(),1,$B$5)</f>
        <v/>
      </c>
      <c r="C156" s="15" t="str">
        <f ca="1">NORMINV(RAND(),1,$B$6)</f>
        <v/>
      </c>
      <c r="D156" s="30" t="str">
        <f ca="1">IFERROR(IRR(F156:H156),"")</f>
        <v/>
      </c>
      <c r="E156" s="31" t="str">
        <f ca="1">IFERROR(NPV($B$7,F156:H156),"")</f>
        <v/>
      </c>
      <c r="F156" s="31" t="str">
        <f ca="1">$J$10*B156/C156</f>
        <v/>
      </c>
      <c r="G156" s="31" t="str">
        <f ca="1">$J$11*B156/C156</f>
        <v/>
      </c>
      <c r="H156" s="31" t="str">
        <f ca="1">$J$12*B156/C156</f>
        <v/>
      </c>
    </row>
    <row r="157" spans="1:8" x14ac:dyDescent="0.2">
      <c r="A157" s="10">
        <v>148</v>
      </c>
      <c r="B157" s="15" t="str">
        <f ca="1">NORMINV(RAND(),1,$B$5)</f>
        <v/>
      </c>
      <c r="C157" s="15" t="str">
        <f ca="1">NORMINV(RAND(),1,$B$6)</f>
        <v/>
      </c>
      <c r="D157" s="30" t="str">
        <f ca="1">IFERROR(IRR(F157:H157),"")</f>
        <v/>
      </c>
      <c r="E157" s="31" t="str">
        <f ca="1">IFERROR(NPV($B$7,F157:H157),"")</f>
        <v/>
      </c>
      <c r="F157" s="31" t="str">
        <f ca="1">$J$10*B157/C157</f>
        <v/>
      </c>
      <c r="G157" s="31" t="str">
        <f ca="1">$J$11*B157/C157</f>
        <v/>
      </c>
      <c r="H157" s="31" t="str">
        <f ca="1">$J$12*B157/C157</f>
        <v/>
      </c>
    </row>
    <row r="158" spans="1:8" x14ac:dyDescent="0.2">
      <c r="A158" s="10">
        <v>149</v>
      </c>
      <c r="B158" s="15" t="str">
        <f ca="1">NORMINV(RAND(),1,$B$5)</f>
        <v/>
      </c>
      <c r="C158" s="15" t="str">
        <f ca="1">NORMINV(RAND(),1,$B$6)</f>
        <v/>
      </c>
      <c r="D158" s="30" t="str">
        <f ca="1">IFERROR(IRR(F158:H158),"")</f>
        <v/>
      </c>
      <c r="E158" s="31" t="str">
        <f ca="1">IFERROR(NPV($B$7,F158:H158),"")</f>
        <v/>
      </c>
      <c r="F158" s="31" t="str">
        <f ca="1">$J$10*B158/C158</f>
        <v/>
      </c>
      <c r="G158" s="31" t="str">
        <f ca="1">$J$11*B158/C158</f>
        <v/>
      </c>
      <c r="H158" s="31" t="str">
        <f ca="1">$J$12*B158/C158</f>
        <v/>
      </c>
    </row>
    <row r="159" spans="1:8" x14ac:dyDescent="0.2">
      <c r="A159" s="10">
        <v>150</v>
      </c>
      <c r="B159" s="15" t="str">
        <f ca="1">NORMINV(RAND(),1,$B$5)</f>
        <v/>
      </c>
      <c r="C159" s="15" t="str">
        <f ca="1">NORMINV(RAND(),1,$B$6)</f>
        <v/>
      </c>
      <c r="D159" s="30" t="str">
        <f ca="1">IFERROR(IRR(F159:H159),"")</f>
        <v/>
      </c>
      <c r="E159" s="31" t="str">
        <f ca="1">IFERROR(NPV($B$7,F159:H159),"")</f>
        <v/>
      </c>
      <c r="F159" s="31" t="str">
        <f ca="1">$J$10*B159/C159</f>
        <v/>
      </c>
      <c r="G159" s="31" t="str">
        <f ca="1">$J$11*B159/C159</f>
        <v/>
      </c>
      <c r="H159" s="31" t="str">
        <f ca="1">$J$12*B159/C159</f>
        <v/>
      </c>
    </row>
    <row r="160" spans="1:8" x14ac:dyDescent="0.2">
      <c r="A160" s="10">
        <v>151</v>
      </c>
      <c r="B160" s="15" t="str">
        <f ca="1">NORMINV(RAND(),1,$B$5)</f>
        <v/>
      </c>
      <c r="C160" s="15" t="str">
        <f ca="1">NORMINV(RAND(),1,$B$6)</f>
        <v/>
      </c>
      <c r="D160" s="30" t="str">
        <f ca="1">IFERROR(IRR(F160:H160),"")</f>
        <v/>
      </c>
      <c r="E160" s="31" t="str">
        <f ca="1">IFERROR(NPV($B$7,F160:H160),"")</f>
        <v/>
      </c>
      <c r="F160" s="31" t="str">
        <f ca="1">$J$10*B160/C160</f>
        <v/>
      </c>
      <c r="G160" s="31" t="str">
        <f ca="1">$J$11*B160/C160</f>
        <v/>
      </c>
      <c r="H160" s="31" t="str">
        <f ca="1">$J$12*B160/C160</f>
        <v/>
      </c>
    </row>
    <row r="161" spans="1:8" x14ac:dyDescent="0.2">
      <c r="A161" s="10">
        <v>152</v>
      </c>
      <c r="B161" s="15" t="str">
        <f ca="1">NORMINV(RAND(),1,$B$5)</f>
        <v/>
      </c>
      <c r="C161" s="15" t="str">
        <f ca="1">NORMINV(RAND(),1,$B$6)</f>
        <v/>
      </c>
      <c r="D161" s="30" t="str">
        <f ca="1">IFERROR(IRR(F161:H161),"")</f>
        <v/>
      </c>
      <c r="E161" s="31" t="str">
        <f ca="1">IFERROR(NPV($B$7,F161:H161),"")</f>
        <v/>
      </c>
      <c r="F161" s="31" t="str">
        <f ca="1">$J$10*B161/C161</f>
        <v/>
      </c>
      <c r="G161" s="31" t="str">
        <f ca="1">$J$11*B161/C161</f>
        <v/>
      </c>
      <c r="H161" s="31" t="str">
        <f ca="1">$J$12*B161/C161</f>
        <v/>
      </c>
    </row>
    <row r="162" spans="1:8" x14ac:dyDescent="0.2">
      <c r="A162" s="10">
        <v>153</v>
      </c>
      <c r="B162" s="15" t="str">
        <f ca="1">NORMINV(RAND(),1,$B$5)</f>
        <v/>
      </c>
      <c r="C162" s="15" t="str">
        <f ca="1">NORMINV(RAND(),1,$B$6)</f>
        <v/>
      </c>
      <c r="D162" s="30" t="str">
        <f ca="1">IFERROR(IRR(F162:H162),"")</f>
        <v/>
      </c>
      <c r="E162" s="31" t="str">
        <f ca="1">IFERROR(NPV($B$7,F162:H162),"")</f>
        <v/>
      </c>
      <c r="F162" s="31" t="str">
        <f ca="1">$J$10*B162/C162</f>
        <v/>
      </c>
      <c r="G162" s="31" t="str">
        <f ca="1">$J$11*B162/C162</f>
        <v/>
      </c>
      <c r="H162" s="31" t="str">
        <f ca="1">$J$12*B162/C162</f>
        <v/>
      </c>
    </row>
    <row r="163" spans="1:8" x14ac:dyDescent="0.2">
      <c r="A163" s="10">
        <v>154</v>
      </c>
      <c r="B163" s="15" t="str">
        <f ca="1">NORMINV(RAND(),1,$B$5)</f>
        <v/>
      </c>
      <c r="C163" s="15" t="str">
        <f ca="1">NORMINV(RAND(),1,$B$6)</f>
        <v/>
      </c>
      <c r="D163" s="30" t="str">
        <f ca="1">IFERROR(IRR(F163:H163),"")</f>
        <v/>
      </c>
      <c r="E163" s="31" t="str">
        <f ca="1">IFERROR(NPV($B$7,F163:H163),"")</f>
        <v/>
      </c>
      <c r="F163" s="31" t="str">
        <f ca="1">$J$10*B163/C163</f>
        <v/>
      </c>
      <c r="G163" s="31" t="str">
        <f ca="1">$J$11*B163/C163</f>
        <v/>
      </c>
      <c r="H163" s="31" t="str">
        <f ca="1">$J$12*B163/C163</f>
        <v/>
      </c>
    </row>
    <row r="164" spans="1:8" x14ac:dyDescent="0.2">
      <c r="A164" s="10">
        <v>155</v>
      </c>
      <c r="B164" s="15" t="str">
        <f ca="1">NORMINV(RAND(),1,$B$5)</f>
        <v/>
      </c>
      <c r="C164" s="15" t="str">
        <f ca="1">NORMINV(RAND(),1,$B$6)</f>
        <v/>
      </c>
      <c r="D164" s="30" t="str">
        <f ca="1">IFERROR(IRR(F164:H164),"")</f>
        <v/>
      </c>
      <c r="E164" s="31" t="str">
        <f ca="1">IFERROR(NPV($B$7,F164:H164),"")</f>
        <v/>
      </c>
      <c r="F164" s="31" t="str">
        <f ca="1">$J$10*B164/C164</f>
        <v/>
      </c>
      <c r="G164" s="31" t="str">
        <f ca="1">$J$11*B164/C164</f>
        <v/>
      </c>
      <c r="H164" s="31" t="str">
        <f ca="1">$J$12*B164/C164</f>
        <v/>
      </c>
    </row>
    <row r="165" spans="1:8" x14ac:dyDescent="0.2">
      <c r="A165" s="10">
        <v>156</v>
      </c>
      <c r="B165" s="15" t="str">
        <f ca="1">NORMINV(RAND(),1,$B$5)</f>
        <v/>
      </c>
      <c r="C165" s="15" t="str">
        <f ca="1">NORMINV(RAND(),1,$B$6)</f>
        <v/>
      </c>
      <c r="D165" s="30" t="str">
        <f ca="1">IFERROR(IRR(F165:H165),"")</f>
        <v/>
      </c>
      <c r="E165" s="31" t="str">
        <f ca="1">IFERROR(NPV($B$7,F165:H165),"")</f>
        <v/>
      </c>
      <c r="F165" s="31" t="str">
        <f ca="1">$J$10*B165/C165</f>
        <v/>
      </c>
      <c r="G165" s="31" t="str">
        <f ca="1">$J$11*B165/C165</f>
        <v/>
      </c>
      <c r="H165" s="31" t="str">
        <f ca="1">$J$12*B165/C165</f>
        <v/>
      </c>
    </row>
    <row r="166" spans="1:8" x14ac:dyDescent="0.2">
      <c r="A166" s="10">
        <v>157</v>
      </c>
      <c r="B166" s="15" t="str">
        <f ca="1">NORMINV(RAND(),1,$B$5)</f>
        <v/>
      </c>
      <c r="C166" s="15" t="str">
        <f ca="1">NORMINV(RAND(),1,$B$6)</f>
        <v/>
      </c>
      <c r="D166" s="30" t="str">
        <f ca="1">IFERROR(IRR(F166:H166),"")</f>
        <v/>
      </c>
      <c r="E166" s="31" t="str">
        <f ca="1">IFERROR(NPV($B$7,F166:H166),"")</f>
        <v/>
      </c>
      <c r="F166" s="31" t="str">
        <f ca="1">$J$10*B166/C166</f>
        <v/>
      </c>
      <c r="G166" s="31" t="str">
        <f ca="1">$J$11*B166/C166</f>
        <v/>
      </c>
      <c r="H166" s="31" t="str">
        <f ca="1">$J$12*B166/C166</f>
        <v/>
      </c>
    </row>
    <row r="167" spans="1:8" x14ac:dyDescent="0.2">
      <c r="A167" s="10">
        <v>158</v>
      </c>
      <c r="B167" s="15" t="str">
        <f ca="1">NORMINV(RAND(),1,$B$5)</f>
        <v/>
      </c>
      <c r="C167" s="15" t="str">
        <f ca="1">NORMINV(RAND(),1,$B$6)</f>
        <v/>
      </c>
      <c r="D167" s="30" t="str">
        <f ca="1">IFERROR(IRR(F167:H167),"")</f>
        <v/>
      </c>
      <c r="E167" s="31" t="str">
        <f ca="1">IFERROR(NPV($B$7,F167:H167),"")</f>
        <v/>
      </c>
      <c r="F167" s="31" t="str">
        <f ca="1">$J$10*B167/C167</f>
        <v/>
      </c>
      <c r="G167" s="31" t="str">
        <f ca="1">$J$11*B167/C167</f>
        <v/>
      </c>
      <c r="H167" s="31" t="str">
        <f ca="1">$J$12*B167/C167</f>
        <v/>
      </c>
    </row>
    <row r="168" spans="1:8" x14ac:dyDescent="0.2">
      <c r="A168" s="10">
        <v>159</v>
      </c>
      <c r="B168" s="15" t="str">
        <f ca="1">NORMINV(RAND(),1,$B$5)</f>
        <v/>
      </c>
      <c r="C168" s="15" t="str">
        <f ca="1">NORMINV(RAND(),1,$B$6)</f>
        <v/>
      </c>
      <c r="D168" s="30" t="str">
        <f ca="1">IFERROR(IRR(F168:H168),"")</f>
        <v/>
      </c>
      <c r="E168" s="31" t="str">
        <f ca="1">IFERROR(NPV($B$7,F168:H168),"")</f>
        <v/>
      </c>
      <c r="F168" s="31" t="str">
        <f ca="1">$J$10*B168/C168</f>
        <v/>
      </c>
      <c r="G168" s="31" t="str">
        <f ca="1">$J$11*B168/C168</f>
        <v/>
      </c>
      <c r="H168" s="31" t="str">
        <f ca="1">$J$12*B168/C168</f>
        <v/>
      </c>
    </row>
    <row r="169" spans="1:8" x14ac:dyDescent="0.2">
      <c r="A169" s="10">
        <v>160</v>
      </c>
      <c r="B169" s="15" t="str">
        <f ca="1">NORMINV(RAND(),1,$B$5)</f>
        <v/>
      </c>
      <c r="C169" s="15" t="str">
        <f ca="1">NORMINV(RAND(),1,$B$6)</f>
        <v/>
      </c>
      <c r="D169" s="30" t="str">
        <f ca="1">IFERROR(IRR(F169:H169),"")</f>
        <v/>
      </c>
      <c r="E169" s="31" t="str">
        <f ca="1">IFERROR(NPV($B$7,F169:H169),"")</f>
        <v/>
      </c>
      <c r="F169" s="31" t="str">
        <f ca="1">$J$10*B169/C169</f>
        <v/>
      </c>
      <c r="G169" s="31" t="str">
        <f ca="1">$J$11*B169/C169</f>
        <v/>
      </c>
      <c r="H169" s="31" t="str">
        <f ca="1">$J$12*B169/C169</f>
        <v/>
      </c>
    </row>
    <row r="170" spans="1:8" x14ac:dyDescent="0.2">
      <c r="A170" s="10">
        <v>161</v>
      </c>
      <c r="B170" s="15" t="str">
        <f ca="1">NORMINV(RAND(),1,$B$5)</f>
        <v/>
      </c>
      <c r="C170" s="15" t="str">
        <f ca="1">NORMINV(RAND(),1,$B$6)</f>
        <v/>
      </c>
      <c r="D170" s="30" t="str">
        <f ca="1">IFERROR(IRR(F170:H170),"")</f>
        <v/>
      </c>
      <c r="E170" s="31" t="str">
        <f ca="1">IFERROR(NPV($B$7,F170:H170),"")</f>
        <v/>
      </c>
      <c r="F170" s="31" t="str">
        <f ca="1">$J$10*B170/C170</f>
        <v/>
      </c>
      <c r="G170" s="31" t="str">
        <f ca="1">$J$11*B170/C170</f>
        <v/>
      </c>
      <c r="H170" s="31" t="str">
        <f ca="1">$J$12*B170/C170</f>
        <v/>
      </c>
    </row>
    <row r="171" spans="1:8" x14ac:dyDescent="0.2">
      <c r="A171" s="10">
        <v>162</v>
      </c>
      <c r="B171" s="15" t="str">
        <f ca="1">NORMINV(RAND(),1,$B$5)</f>
        <v/>
      </c>
      <c r="C171" s="15" t="str">
        <f ca="1">NORMINV(RAND(),1,$B$6)</f>
        <v/>
      </c>
      <c r="D171" s="30" t="str">
        <f ca="1">IFERROR(IRR(F171:H171),"")</f>
        <v/>
      </c>
      <c r="E171" s="31" t="str">
        <f ca="1">IFERROR(NPV($B$7,F171:H171),"")</f>
        <v/>
      </c>
      <c r="F171" s="31" t="str">
        <f ca="1">$J$10*B171/C171</f>
        <v/>
      </c>
      <c r="G171" s="31" t="str">
        <f ca="1">$J$11*B171/C171</f>
        <v/>
      </c>
      <c r="H171" s="31" t="str">
        <f ca="1">$J$12*B171/C171</f>
        <v/>
      </c>
    </row>
    <row r="172" spans="1:8" x14ac:dyDescent="0.2">
      <c r="A172" s="10">
        <v>163</v>
      </c>
      <c r="B172" s="15" t="str">
        <f ca="1">NORMINV(RAND(),1,$B$5)</f>
        <v/>
      </c>
      <c r="C172" s="15" t="str">
        <f ca="1">NORMINV(RAND(),1,$B$6)</f>
        <v/>
      </c>
      <c r="D172" s="30" t="str">
        <f ca="1">IFERROR(IRR(F172:H172),"")</f>
        <v/>
      </c>
      <c r="E172" s="31" t="str">
        <f ca="1">IFERROR(NPV($B$7,F172:H172),"")</f>
        <v/>
      </c>
      <c r="F172" s="31" t="str">
        <f ca="1">$J$10*B172/C172</f>
        <v/>
      </c>
      <c r="G172" s="31" t="str">
        <f ca="1">$J$11*B172/C172</f>
        <v/>
      </c>
      <c r="H172" s="31" t="str">
        <f ca="1">$J$12*B172/C172</f>
        <v/>
      </c>
    </row>
    <row r="173" spans="1:8" x14ac:dyDescent="0.2">
      <c r="A173" s="10">
        <v>164</v>
      </c>
      <c r="B173" s="15" t="str">
        <f ca="1">NORMINV(RAND(),1,$B$5)</f>
        <v/>
      </c>
      <c r="C173" s="15" t="str">
        <f ca="1">NORMINV(RAND(),1,$B$6)</f>
        <v/>
      </c>
      <c r="D173" s="30" t="str">
        <f ca="1">IFERROR(IRR(F173:H173),"")</f>
        <v/>
      </c>
      <c r="E173" s="31" t="str">
        <f ca="1">IFERROR(NPV($B$7,F173:H173),"")</f>
        <v/>
      </c>
      <c r="F173" s="31" t="str">
        <f ca="1">$J$10*B173/C173</f>
        <v/>
      </c>
      <c r="G173" s="31" t="str">
        <f ca="1">$J$11*B173/C173</f>
        <v/>
      </c>
      <c r="H173" s="31" t="str">
        <f ca="1">$J$12*B173/C173</f>
        <v/>
      </c>
    </row>
    <row r="174" spans="1:8" x14ac:dyDescent="0.2">
      <c r="A174" s="10">
        <v>165</v>
      </c>
      <c r="B174" s="15" t="str">
        <f ca="1">NORMINV(RAND(),1,$B$5)</f>
        <v/>
      </c>
      <c r="C174" s="15" t="str">
        <f ca="1">NORMINV(RAND(),1,$B$6)</f>
        <v/>
      </c>
      <c r="D174" s="30" t="str">
        <f ca="1">IFERROR(IRR(F174:H174),"")</f>
        <v/>
      </c>
      <c r="E174" s="31" t="str">
        <f ca="1">IFERROR(NPV($B$7,F174:H174),"")</f>
        <v/>
      </c>
      <c r="F174" s="31" t="str">
        <f ca="1">$J$10*B174/C174</f>
        <v/>
      </c>
      <c r="G174" s="31" t="str">
        <f ca="1">$J$11*B174/C174</f>
        <v/>
      </c>
      <c r="H174" s="31" t="str">
        <f ca="1">$J$12*B174/C174</f>
        <v/>
      </c>
    </row>
    <row r="175" spans="1:8" x14ac:dyDescent="0.2">
      <c r="A175" s="10">
        <v>166</v>
      </c>
      <c r="B175" s="15" t="str">
        <f ca="1">NORMINV(RAND(),1,$B$5)</f>
        <v/>
      </c>
      <c r="C175" s="15" t="str">
        <f ca="1">NORMINV(RAND(),1,$B$6)</f>
        <v/>
      </c>
      <c r="D175" s="30" t="str">
        <f ca="1">IFERROR(IRR(F175:H175),"")</f>
        <v/>
      </c>
      <c r="E175" s="31" t="str">
        <f ca="1">IFERROR(NPV($B$7,F175:H175),"")</f>
        <v/>
      </c>
      <c r="F175" s="31" t="str">
        <f ca="1">$J$10*B175/C175</f>
        <v/>
      </c>
      <c r="G175" s="31" t="str">
        <f ca="1">$J$11*B175/C175</f>
        <v/>
      </c>
      <c r="H175" s="31" t="str">
        <f ca="1">$J$12*B175/C175</f>
        <v/>
      </c>
    </row>
    <row r="176" spans="1:8" x14ac:dyDescent="0.2">
      <c r="A176" s="10">
        <v>167</v>
      </c>
      <c r="B176" s="15" t="str">
        <f ca="1">NORMINV(RAND(),1,$B$5)</f>
        <v/>
      </c>
      <c r="C176" s="15" t="str">
        <f ca="1">NORMINV(RAND(),1,$B$6)</f>
        <v/>
      </c>
      <c r="D176" s="30" t="str">
        <f ca="1">IFERROR(IRR(F176:H176),"")</f>
        <v/>
      </c>
      <c r="E176" s="31" t="str">
        <f ca="1">IFERROR(NPV($B$7,F176:H176),"")</f>
        <v/>
      </c>
      <c r="F176" s="31" t="str">
        <f ca="1">$J$10*B176/C176</f>
        <v/>
      </c>
      <c r="G176" s="31" t="str">
        <f ca="1">$J$11*B176/C176</f>
        <v/>
      </c>
      <c r="H176" s="31" t="str">
        <f ca="1">$J$12*B176/C176</f>
        <v/>
      </c>
    </row>
    <row r="177" spans="1:8" x14ac:dyDescent="0.2">
      <c r="A177" s="10">
        <v>168</v>
      </c>
      <c r="B177" s="15" t="str">
        <f ca="1">NORMINV(RAND(),1,$B$5)</f>
        <v/>
      </c>
      <c r="C177" s="15" t="str">
        <f ca="1">NORMINV(RAND(),1,$B$6)</f>
        <v/>
      </c>
      <c r="D177" s="30" t="str">
        <f ca="1">IFERROR(IRR(F177:H177),"")</f>
        <v/>
      </c>
      <c r="E177" s="31" t="str">
        <f ca="1">IFERROR(NPV($B$7,F177:H177),"")</f>
        <v/>
      </c>
      <c r="F177" s="31" t="str">
        <f ca="1">$J$10*B177/C177</f>
        <v/>
      </c>
      <c r="G177" s="31" t="str">
        <f ca="1">$J$11*B177/C177</f>
        <v/>
      </c>
      <c r="H177" s="31" t="str">
        <f ca="1">$J$12*B177/C177</f>
        <v/>
      </c>
    </row>
    <row r="178" spans="1:8" x14ac:dyDescent="0.2">
      <c r="A178" s="10">
        <v>169</v>
      </c>
      <c r="B178" s="15" t="str">
        <f ca="1">NORMINV(RAND(),1,$B$5)</f>
        <v/>
      </c>
      <c r="C178" s="15" t="str">
        <f ca="1">NORMINV(RAND(),1,$B$6)</f>
        <v/>
      </c>
      <c r="D178" s="30" t="str">
        <f ca="1">IFERROR(IRR(F178:H178),"")</f>
        <v/>
      </c>
      <c r="E178" s="31" t="str">
        <f ca="1">IFERROR(NPV($B$7,F178:H178),"")</f>
        <v/>
      </c>
      <c r="F178" s="31" t="str">
        <f ca="1">$J$10*B178/C178</f>
        <v/>
      </c>
      <c r="G178" s="31" t="str">
        <f ca="1">$J$11*B178/C178</f>
        <v/>
      </c>
      <c r="H178" s="31" t="str">
        <f ca="1">$J$12*B178/C178</f>
        <v/>
      </c>
    </row>
    <row r="179" spans="1:8" x14ac:dyDescent="0.2">
      <c r="A179" s="10">
        <v>170</v>
      </c>
      <c r="B179" s="15" t="str">
        <f ca="1">NORMINV(RAND(),1,$B$5)</f>
        <v/>
      </c>
      <c r="C179" s="15" t="str">
        <f ca="1">NORMINV(RAND(),1,$B$6)</f>
        <v/>
      </c>
      <c r="D179" s="30" t="str">
        <f ca="1">IFERROR(IRR(F179:H179),"")</f>
        <v/>
      </c>
      <c r="E179" s="31" t="str">
        <f ca="1">IFERROR(NPV($B$7,F179:H179),"")</f>
        <v/>
      </c>
      <c r="F179" s="31" t="str">
        <f ca="1">$J$10*B179/C179</f>
        <v/>
      </c>
      <c r="G179" s="31" t="str">
        <f ca="1">$J$11*B179/C179</f>
        <v/>
      </c>
      <c r="H179" s="31" t="str">
        <f ca="1">$J$12*B179/C179</f>
        <v/>
      </c>
    </row>
    <row r="180" spans="1:8" x14ac:dyDescent="0.2">
      <c r="A180" s="10">
        <v>171</v>
      </c>
      <c r="B180" s="15" t="str">
        <f ca="1">NORMINV(RAND(),1,$B$5)</f>
        <v/>
      </c>
      <c r="C180" s="15" t="str">
        <f ca="1">NORMINV(RAND(),1,$B$6)</f>
        <v/>
      </c>
      <c r="D180" s="30" t="str">
        <f ca="1">IFERROR(IRR(F180:H180),"")</f>
        <v/>
      </c>
      <c r="E180" s="31" t="str">
        <f ca="1">IFERROR(NPV($B$7,F180:H180),"")</f>
        <v/>
      </c>
      <c r="F180" s="31" t="str">
        <f ca="1">$J$10*B180/C180</f>
        <v/>
      </c>
      <c r="G180" s="31" t="str">
        <f ca="1">$J$11*B180/C180</f>
        <v/>
      </c>
      <c r="H180" s="31" t="str">
        <f ca="1">$J$12*B180/C180</f>
        <v/>
      </c>
    </row>
    <row r="181" spans="1:8" x14ac:dyDescent="0.2">
      <c r="A181" s="10">
        <v>172</v>
      </c>
      <c r="B181" s="15" t="str">
        <f ca="1">NORMINV(RAND(),1,$B$5)</f>
        <v/>
      </c>
      <c r="C181" s="15" t="str">
        <f ca="1">NORMINV(RAND(),1,$B$6)</f>
        <v/>
      </c>
      <c r="D181" s="30" t="str">
        <f ca="1">IFERROR(IRR(F181:H181),"")</f>
        <v/>
      </c>
      <c r="E181" s="31" t="str">
        <f ca="1">IFERROR(NPV($B$7,F181:H181),"")</f>
        <v/>
      </c>
      <c r="F181" s="31" t="str">
        <f ca="1">$J$10*B181/C181</f>
        <v/>
      </c>
      <c r="G181" s="31" t="str">
        <f ca="1">$J$11*B181/C181</f>
        <v/>
      </c>
      <c r="H181" s="31" t="str">
        <f ca="1">$J$12*B181/C181</f>
        <v/>
      </c>
    </row>
    <row r="182" spans="1:8" x14ac:dyDescent="0.2">
      <c r="A182" s="10">
        <v>173</v>
      </c>
      <c r="B182" s="15" t="str">
        <f ca="1">NORMINV(RAND(),1,$B$5)</f>
        <v/>
      </c>
      <c r="C182" s="15" t="str">
        <f ca="1">NORMINV(RAND(),1,$B$6)</f>
        <v/>
      </c>
      <c r="D182" s="30" t="str">
        <f ca="1">IFERROR(IRR(F182:H182),"")</f>
        <v/>
      </c>
      <c r="E182" s="31" t="str">
        <f ca="1">IFERROR(NPV($B$7,F182:H182),"")</f>
        <v/>
      </c>
      <c r="F182" s="31" t="str">
        <f ca="1">$J$10*B182/C182</f>
        <v/>
      </c>
      <c r="G182" s="31" t="str">
        <f ca="1">$J$11*B182/C182</f>
        <v/>
      </c>
      <c r="H182" s="31" t="str">
        <f ca="1">$J$12*B182/C182</f>
        <v/>
      </c>
    </row>
    <row r="183" spans="1:8" x14ac:dyDescent="0.2">
      <c r="A183" s="10">
        <v>174</v>
      </c>
      <c r="B183" s="15" t="str">
        <f ca="1">NORMINV(RAND(),1,$B$5)</f>
        <v/>
      </c>
      <c r="C183" s="15" t="str">
        <f ca="1">NORMINV(RAND(),1,$B$6)</f>
        <v/>
      </c>
      <c r="D183" s="30" t="str">
        <f ca="1">IFERROR(IRR(F183:H183),"")</f>
        <v/>
      </c>
      <c r="E183" s="31" t="str">
        <f ca="1">IFERROR(NPV($B$7,F183:H183),"")</f>
        <v/>
      </c>
      <c r="F183" s="31" t="str">
        <f ca="1">$J$10*B183/C183</f>
        <v/>
      </c>
      <c r="G183" s="31" t="str">
        <f ca="1">$J$11*B183/C183</f>
        <v/>
      </c>
      <c r="H183" s="31" t="str">
        <f ca="1">$J$12*B183/C183</f>
        <v/>
      </c>
    </row>
    <row r="184" spans="1:8" x14ac:dyDescent="0.2">
      <c r="A184" s="10">
        <v>175</v>
      </c>
      <c r="B184" s="15" t="str">
        <f ca="1">NORMINV(RAND(),1,$B$5)</f>
        <v/>
      </c>
      <c r="C184" s="15" t="str">
        <f ca="1">NORMINV(RAND(),1,$B$6)</f>
        <v/>
      </c>
      <c r="D184" s="30" t="str">
        <f ca="1">IFERROR(IRR(F184:H184),"")</f>
        <v/>
      </c>
      <c r="E184" s="31" t="str">
        <f ca="1">IFERROR(NPV($B$7,F184:H184),"")</f>
        <v/>
      </c>
      <c r="F184" s="31" t="str">
        <f ca="1">$J$10*B184/C184</f>
        <v/>
      </c>
      <c r="G184" s="31" t="str">
        <f ca="1">$J$11*B184/C184</f>
        <v/>
      </c>
      <c r="H184" s="31" t="str">
        <f ca="1">$J$12*B184/C184</f>
        <v/>
      </c>
    </row>
    <row r="185" spans="1:8" x14ac:dyDescent="0.2">
      <c r="A185" s="10">
        <v>176</v>
      </c>
      <c r="B185" s="15" t="str">
        <f ca="1">NORMINV(RAND(),1,$B$5)</f>
        <v/>
      </c>
      <c r="C185" s="15" t="str">
        <f ca="1">NORMINV(RAND(),1,$B$6)</f>
        <v/>
      </c>
      <c r="D185" s="30" t="str">
        <f ca="1">IFERROR(IRR(F185:H185),"")</f>
        <v/>
      </c>
      <c r="E185" s="31" t="str">
        <f ca="1">IFERROR(NPV($B$7,F185:H185),"")</f>
        <v/>
      </c>
      <c r="F185" s="31" t="str">
        <f ca="1">$J$10*B185/C185</f>
        <v/>
      </c>
      <c r="G185" s="31" t="str">
        <f ca="1">$J$11*B185/C185</f>
        <v/>
      </c>
      <c r="H185" s="31" t="str">
        <f ca="1">$J$12*B185/C185</f>
        <v/>
      </c>
    </row>
    <row r="186" spans="1:8" x14ac:dyDescent="0.2">
      <c r="A186" s="10">
        <v>177</v>
      </c>
      <c r="B186" s="15" t="str">
        <f ca="1">NORMINV(RAND(),1,$B$5)</f>
        <v/>
      </c>
      <c r="C186" s="15" t="str">
        <f ca="1">NORMINV(RAND(),1,$B$6)</f>
        <v/>
      </c>
      <c r="D186" s="30" t="str">
        <f ca="1">IFERROR(IRR(F186:H186),"")</f>
        <v/>
      </c>
      <c r="E186" s="31" t="str">
        <f ca="1">IFERROR(NPV($B$7,F186:H186),"")</f>
        <v/>
      </c>
      <c r="F186" s="31" t="str">
        <f ca="1">$J$10*B186/C186</f>
        <v/>
      </c>
      <c r="G186" s="31" t="str">
        <f ca="1">$J$11*B186/C186</f>
        <v/>
      </c>
      <c r="H186" s="31" t="str">
        <f ca="1">$J$12*B186/C186</f>
        <v/>
      </c>
    </row>
    <row r="187" spans="1:8" x14ac:dyDescent="0.2">
      <c r="A187" s="10">
        <v>178</v>
      </c>
      <c r="B187" s="15" t="str">
        <f ca="1">NORMINV(RAND(),1,$B$5)</f>
        <v/>
      </c>
      <c r="C187" s="15" t="str">
        <f ca="1">NORMINV(RAND(),1,$B$6)</f>
        <v/>
      </c>
      <c r="D187" s="30" t="str">
        <f ca="1">IFERROR(IRR(F187:H187),"")</f>
        <v/>
      </c>
      <c r="E187" s="31" t="str">
        <f ca="1">IFERROR(NPV($B$7,F187:H187),"")</f>
        <v/>
      </c>
      <c r="F187" s="31" t="str">
        <f ca="1">$J$10*B187/C187</f>
        <v/>
      </c>
      <c r="G187" s="31" t="str">
        <f ca="1">$J$11*B187/C187</f>
        <v/>
      </c>
      <c r="H187" s="31" t="str">
        <f ca="1">$J$12*B187/C187</f>
        <v/>
      </c>
    </row>
    <row r="188" spans="1:8" x14ac:dyDescent="0.2">
      <c r="A188" s="10">
        <v>179</v>
      </c>
      <c r="B188" s="15" t="str">
        <f ca="1">NORMINV(RAND(),1,$B$5)</f>
        <v/>
      </c>
      <c r="C188" s="15" t="str">
        <f ca="1">NORMINV(RAND(),1,$B$6)</f>
        <v/>
      </c>
      <c r="D188" s="30" t="str">
        <f ca="1">IFERROR(IRR(F188:H188),"")</f>
        <v/>
      </c>
      <c r="E188" s="31" t="str">
        <f ca="1">IFERROR(NPV($B$7,F188:H188),"")</f>
        <v/>
      </c>
      <c r="F188" s="31" t="str">
        <f ca="1">$J$10*B188/C188</f>
        <v/>
      </c>
      <c r="G188" s="31" t="str">
        <f ca="1">$J$11*B188/C188</f>
        <v/>
      </c>
      <c r="H188" s="31" t="str">
        <f ca="1">$J$12*B188/C188</f>
        <v/>
      </c>
    </row>
    <row r="189" spans="1:8" x14ac:dyDescent="0.2">
      <c r="A189" s="10">
        <v>180</v>
      </c>
      <c r="B189" s="15" t="str">
        <f ca="1">NORMINV(RAND(),1,$B$5)</f>
        <v/>
      </c>
      <c r="C189" s="15" t="str">
        <f ca="1">NORMINV(RAND(),1,$B$6)</f>
        <v/>
      </c>
      <c r="D189" s="30" t="str">
        <f ca="1">IFERROR(IRR(F189:H189),"")</f>
        <v/>
      </c>
      <c r="E189" s="31" t="str">
        <f ca="1">IFERROR(NPV($B$7,F189:H189),"")</f>
        <v/>
      </c>
      <c r="F189" s="31" t="str">
        <f ca="1">$J$10*B189/C189</f>
        <v/>
      </c>
      <c r="G189" s="31" t="str">
        <f ca="1">$J$11*B189/C189</f>
        <v/>
      </c>
      <c r="H189" s="31" t="str">
        <f ca="1">$J$12*B189/C189</f>
        <v/>
      </c>
    </row>
    <row r="190" spans="1:8" x14ac:dyDescent="0.2">
      <c r="A190" s="10">
        <v>181</v>
      </c>
      <c r="B190" s="15" t="str">
        <f ca="1">NORMINV(RAND(),1,$B$5)</f>
        <v/>
      </c>
      <c r="C190" s="15" t="str">
        <f ca="1">NORMINV(RAND(),1,$B$6)</f>
        <v/>
      </c>
      <c r="D190" s="30" t="str">
        <f ca="1">IFERROR(IRR(F190:H190),"")</f>
        <v/>
      </c>
      <c r="E190" s="31" t="str">
        <f ca="1">IFERROR(NPV($B$7,F190:H190),"")</f>
        <v/>
      </c>
      <c r="F190" s="31" t="str">
        <f ca="1">$J$10*B190/C190</f>
        <v/>
      </c>
      <c r="G190" s="31" t="str">
        <f ca="1">$J$11*B190/C190</f>
        <v/>
      </c>
      <c r="H190" s="31" t="str">
        <f ca="1">$J$12*B190/C190</f>
        <v/>
      </c>
    </row>
    <row r="191" spans="1:8" x14ac:dyDescent="0.2">
      <c r="A191" s="10">
        <v>182</v>
      </c>
      <c r="B191" s="15" t="str">
        <f ca="1">NORMINV(RAND(),1,$B$5)</f>
        <v/>
      </c>
      <c r="C191" s="15" t="str">
        <f ca="1">NORMINV(RAND(),1,$B$6)</f>
        <v/>
      </c>
      <c r="D191" s="30" t="str">
        <f ca="1">IFERROR(IRR(F191:H191),"")</f>
        <v/>
      </c>
      <c r="E191" s="31" t="str">
        <f ca="1">IFERROR(NPV($B$7,F191:H191),"")</f>
        <v/>
      </c>
      <c r="F191" s="31" t="str">
        <f ca="1">$J$10*B191/C191</f>
        <v/>
      </c>
      <c r="G191" s="31" t="str">
        <f ca="1">$J$11*B191/C191</f>
        <v/>
      </c>
      <c r="H191" s="31" t="str">
        <f ca="1">$J$12*B191/C191</f>
        <v/>
      </c>
    </row>
    <row r="192" spans="1:8" x14ac:dyDescent="0.2">
      <c r="A192" s="10">
        <v>183</v>
      </c>
      <c r="B192" s="15" t="str">
        <f ca="1">NORMINV(RAND(),1,$B$5)</f>
        <v/>
      </c>
      <c r="C192" s="15" t="str">
        <f ca="1">NORMINV(RAND(),1,$B$6)</f>
        <v/>
      </c>
      <c r="D192" s="30" t="str">
        <f ca="1">IFERROR(IRR(F192:H192),"")</f>
        <v/>
      </c>
      <c r="E192" s="31" t="str">
        <f ca="1">IFERROR(NPV($B$7,F192:H192),"")</f>
        <v/>
      </c>
      <c r="F192" s="31" t="str">
        <f ca="1">$J$10*B192/C192</f>
        <v/>
      </c>
      <c r="G192" s="31" t="str">
        <f ca="1">$J$11*B192/C192</f>
        <v/>
      </c>
      <c r="H192" s="31" t="str">
        <f ca="1">$J$12*B192/C192</f>
        <v/>
      </c>
    </row>
    <row r="193" spans="1:8" x14ac:dyDescent="0.2">
      <c r="A193" s="10">
        <v>184</v>
      </c>
      <c r="B193" s="15" t="str">
        <f ca="1">NORMINV(RAND(),1,$B$5)</f>
        <v/>
      </c>
      <c r="C193" s="15" t="str">
        <f ca="1">NORMINV(RAND(),1,$B$6)</f>
        <v/>
      </c>
      <c r="D193" s="30" t="str">
        <f ca="1">IFERROR(IRR(F193:H193),"")</f>
        <v/>
      </c>
      <c r="E193" s="31" t="str">
        <f ca="1">IFERROR(NPV($B$7,F193:H193),"")</f>
        <v/>
      </c>
      <c r="F193" s="31" t="str">
        <f ca="1">$J$10*B193/C193</f>
        <v/>
      </c>
      <c r="G193" s="31" t="str">
        <f ca="1">$J$11*B193/C193</f>
        <v/>
      </c>
      <c r="H193" s="31" t="str">
        <f ca="1">$J$12*B193/C193</f>
        <v/>
      </c>
    </row>
    <row r="194" spans="1:8" x14ac:dyDescent="0.2">
      <c r="A194" s="10">
        <v>185</v>
      </c>
      <c r="B194" s="15" t="str">
        <f ca="1">NORMINV(RAND(),1,$B$5)</f>
        <v/>
      </c>
      <c r="C194" s="15" t="str">
        <f ca="1">NORMINV(RAND(),1,$B$6)</f>
        <v/>
      </c>
      <c r="D194" s="30" t="str">
        <f ca="1">IFERROR(IRR(F194:H194),"")</f>
        <v/>
      </c>
      <c r="E194" s="31" t="str">
        <f ca="1">IFERROR(NPV($B$7,F194:H194),"")</f>
        <v/>
      </c>
      <c r="F194" s="31" t="str">
        <f ca="1">$J$10*B194/C194</f>
        <v/>
      </c>
      <c r="G194" s="31" t="str">
        <f ca="1">$J$11*B194/C194</f>
        <v/>
      </c>
      <c r="H194" s="31" t="str">
        <f ca="1">$J$12*B194/C194</f>
        <v/>
      </c>
    </row>
    <row r="195" spans="1:8" x14ac:dyDescent="0.2">
      <c r="A195" s="10">
        <v>186</v>
      </c>
      <c r="B195" s="15" t="str">
        <f ca="1">NORMINV(RAND(),1,$B$5)</f>
        <v/>
      </c>
      <c r="C195" s="15" t="str">
        <f ca="1">NORMINV(RAND(),1,$B$6)</f>
        <v/>
      </c>
      <c r="D195" s="30" t="str">
        <f ca="1">IFERROR(IRR(F195:H195),"")</f>
        <v/>
      </c>
      <c r="E195" s="31" t="str">
        <f ca="1">IFERROR(NPV($B$7,F195:H195),"")</f>
        <v/>
      </c>
      <c r="F195" s="31" t="str">
        <f ca="1">$J$10*B195/C195</f>
        <v/>
      </c>
      <c r="G195" s="31" t="str">
        <f ca="1">$J$11*B195/C195</f>
        <v/>
      </c>
      <c r="H195" s="31" t="str">
        <f ca="1">$J$12*B195/C195</f>
        <v/>
      </c>
    </row>
    <row r="196" spans="1:8" x14ac:dyDescent="0.2">
      <c r="A196" s="10">
        <v>187</v>
      </c>
      <c r="B196" s="15" t="str">
        <f ca="1">NORMINV(RAND(),1,$B$5)</f>
        <v/>
      </c>
      <c r="C196" s="15" t="str">
        <f ca="1">NORMINV(RAND(),1,$B$6)</f>
        <v/>
      </c>
      <c r="D196" s="30" t="str">
        <f ca="1">IFERROR(IRR(F196:H196),"")</f>
        <v/>
      </c>
      <c r="E196" s="31" t="str">
        <f ca="1">IFERROR(NPV($B$7,F196:H196),"")</f>
        <v/>
      </c>
      <c r="F196" s="31" t="str">
        <f ca="1">$J$10*B196/C196</f>
        <v/>
      </c>
      <c r="G196" s="31" t="str">
        <f ca="1">$J$11*B196/C196</f>
        <v/>
      </c>
      <c r="H196" s="31" t="str">
        <f ca="1">$J$12*B196/C196</f>
        <v/>
      </c>
    </row>
    <row r="197" spans="1:8" x14ac:dyDescent="0.2">
      <c r="A197" s="10">
        <v>188</v>
      </c>
      <c r="B197" s="15" t="str">
        <f ca="1">NORMINV(RAND(),1,$B$5)</f>
        <v/>
      </c>
      <c r="C197" s="15" t="str">
        <f ca="1">NORMINV(RAND(),1,$B$6)</f>
        <v/>
      </c>
      <c r="D197" s="30" t="str">
        <f ca="1">IFERROR(IRR(F197:H197),"")</f>
        <v/>
      </c>
      <c r="E197" s="31" t="str">
        <f ca="1">IFERROR(NPV($B$7,F197:H197),"")</f>
        <v/>
      </c>
      <c r="F197" s="31" t="str">
        <f ca="1">$J$10*B197/C197</f>
        <v/>
      </c>
      <c r="G197" s="31" t="str">
        <f ca="1">$J$11*B197/C197</f>
        <v/>
      </c>
      <c r="H197" s="31" t="str">
        <f ca="1">$J$12*B197/C197</f>
        <v/>
      </c>
    </row>
    <row r="198" spans="1:8" x14ac:dyDescent="0.2">
      <c r="A198" s="10">
        <v>189</v>
      </c>
      <c r="B198" s="15" t="str">
        <f ca="1">NORMINV(RAND(),1,$B$5)</f>
        <v/>
      </c>
      <c r="C198" s="15" t="str">
        <f ca="1">NORMINV(RAND(),1,$B$6)</f>
        <v/>
      </c>
      <c r="D198" s="30" t="str">
        <f ca="1">IFERROR(IRR(F198:H198),"")</f>
        <v/>
      </c>
      <c r="E198" s="31" t="str">
        <f ca="1">IFERROR(NPV($B$7,F198:H198),"")</f>
        <v/>
      </c>
      <c r="F198" s="31" t="str">
        <f ca="1">$J$10*B198/C198</f>
        <v/>
      </c>
      <c r="G198" s="31" t="str">
        <f ca="1">$J$11*B198/C198</f>
        <v/>
      </c>
      <c r="H198" s="31" t="str">
        <f ca="1">$J$12*B198/C198</f>
        <v/>
      </c>
    </row>
    <row r="199" spans="1:8" x14ac:dyDescent="0.2">
      <c r="A199" s="10">
        <v>190</v>
      </c>
      <c r="B199" s="15" t="str">
        <f ca="1">NORMINV(RAND(),1,$B$5)</f>
        <v/>
      </c>
      <c r="C199" s="15" t="str">
        <f ca="1">NORMINV(RAND(),1,$B$6)</f>
        <v/>
      </c>
      <c r="D199" s="30" t="str">
        <f ca="1">IFERROR(IRR(F199:H199),"")</f>
        <v/>
      </c>
      <c r="E199" s="31" t="str">
        <f ca="1">IFERROR(NPV($B$7,F199:H199),"")</f>
        <v/>
      </c>
      <c r="F199" s="31" t="str">
        <f ca="1">$J$10*B199/C199</f>
        <v/>
      </c>
      <c r="G199" s="31" t="str">
        <f ca="1">$J$11*B199/C199</f>
        <v/>
      </c>
      <c r="H199" s="31" t="str">
        <f ca="1">$J$12*B199/C199</f>
        <v/>
      </c>
    </row>
    <row r="200" spans="1:8" x14ac:dyDescent="0.2">
      <c r="A200" s="10">
        <v>191</v>
      </c>
      <c r="B200" s="15" t="str">
        <f ca="1">NORMINV(RAND(),1,$B$5)</f>
        <v/>
      </c>
      <c r="C200" s="15" t="str">
        <f ca="1">NORMINV(RAND(),1,$B$6)</f>
        <v/>
      </c>
      <c r="D200" s="30" t="str">
        <f ca="1">IFERROR(IRR(F200:H200),"")</f>
        <v/>
      </c>
      <c r="E200" s="31" t="str">
        <f ca="1">IFERROR(NPV($B$7,F200:H200),"")</f>
        <v/>
      </c>
      <c r="F200" s="31" t="str">
        <f ca="1">$J$10*B200/C200</f>
        <v/>
      </c>
      <c r="G200" s="31" t="str">
        <f ca="1">$J$11*B200/C200</f>
        <v/>
      </c>
      <c r="H200" s="31" t="str">
        <f ca="1">$J$12*B200/C200</f>
        <v/>
      </c>
    </row>
    <row r="201" spans="1:8" x14ac:dyDescent="0.2">
      <c r="A201" s="10">
        <v>192</v>
      </c>
      <c r="B201" s="15" t="str">
        <f ca="1">NORMINV(RAND(),1,$B$5)</f>
        <v/>
      </c>
      <c r="C201" s="15" t="str">
        <f ca="1">NORMINV(RAND(),1,$B$6)</f>
        <v/>
      </c>
      <c r="D201" s="30" t="str">
        <f ca="1">IFERROR(IRR(F201:H201),"")</f>
        <v/>
      </c>
      <c r="E201" s="31" t="str">
        <f ca="1">IFERROR(NPV($B$7,F201:H201),"")</f>
        <v/>
      </c>
      <c r="F201" s="31" t="str">
        <f ca="1">$J$10*B201/C201</f>
        <v/>
      </c>
      <c r="G201" s="31" t="str">
        <f ca="1">$J$11*B201/C201</f>
        <v/>
      </c>
      <c r="H201" s="31" t="str">
        <f ca="1">$J$12*B201/C201</f>
        <v/>
      </c>
    </row>
    <row r="202" spans="1:8" x14ac:dyDescent="0.2">
      <c r="A202" s="10">
        <v>193</v>
      </c>
      <c r="B202" s="15" t="str">
        <f ca="1">NORMINV(RAND(),1,$B$5)</f>
        <v/>
      </c>
      <c r="C202" s="15" t="str">
        <f ca="1">NORMINV(RAND(),1,$B$6)</f>
        <v/>
      </c>
      <c r="D202" s="30" t="str">
        <f ca="1">IFERROR(IRR(F202:H202),"")</f>
        <v/>
      </c>
      <c r="E202" s="31" t="str">
        <f ca="1">IFERROR(NPV($B$7,F202:H202),"")</f>
        <v/>
      </c>
      <c r="F202" s="31" t="str">
        <f ca="1">$J$10*B202/C202</f>
        <v/>
      </c>
      <c r="G202" s="31" t="str">
        <f ca="1">$J$11*B202/C202</f>
        <v/>
      </c>
      <c r="H202" s="31" t="str">
        <f ca="1">$J$12*B202/C202</f>
        <v/>
      </c>
    </row>
    <row r="203" spans="1:8" x14ac:dyDescent="0.2">
      <c r="A203" s="10">
        <v>194</v>
      </c>
      <c r="B203" s="15" t="str">
        <f ca="1">NORMINV(RAND(),1,$B$5)</f>
        <v/>
      </c>
      <c r="C203" s="15" t="str">
        <f ca="1">NORMINV(RAND(),1,$B$6)</f>
        <v/>
      </c>
      <c r="D203" s="30" t="str">
        <f ca="1">IFERROR(IRR(F203:H203),"")</f>
        <v/>
      </c>
      <c r="E203" s="31" t="str">
        <f ca="1">IFERROR(NPV($B$7,F203:H203),"")</f>
        <v/>
      </c>
      <c r="F203" s="31" t="str">
        <f ca="1">$J$10*B203/C203</f>
        <v/>
      </c>
      <c r="G203" s="31" t="str">
        <f ca="1">$J$11*B203/C203</f>
        <v/>
      </c>
      <c r="H203" s="31" t="str">
        <f ca="1">$J$12*B203/C203</f>
        <v/>
      </c>
    </row>
    <row r="204" spans="1:8" x14ac:dyDescent="0.2">
      <c r="A204" s="10">
        <v>195</v>
      </c>
      <c r="B204" s="15" t="str">
        <f ca="1">NORMINV(RAND(),1,$B$5)</f>
        <v/>
      </c>
      <c r="C204" s="15" t="str">
        <f ca="1">NORMINV(RAND(),1,$B$6)</f>
        <v/>
      </c>
      <c r="D204" s="30" t="str">
        <f ca="1">IFERROR(IRR(F204:H204),"")</f>
        <v/>
      </c>
      <c r="E204" s="31" t="str">
        <f ca="1">IFERROR(NPV($B$7,F204:H204),"")</f>
        <v/>
      </c>
      <c r="F204" s="31" t="str">
        <f ca="1">$J$10*B204/C204</f>
        <v/>
      </c>
      <c r="G204" s="31" t="str">
        <f ca="1">$J$11*B204/C204</f>
        <v/>
      </c>
      <c r="H204" s="31" t="str">
        <f ca="1">$J$12*B204/C204</f>
        <v/>
      </c>
    </row>
    <row r="205" spans="1:8" x14ac:dyDescent="0.2">
      <c r="A205" s="10">
        <v>196</v>
      </c>
      <c r="B205" s="15" t="str">
        <f ca="1">NORMINV(RAND(),1,$B$5)</f>
        <v/>
      </c>
      <c r="C205" s="15" t="str">
        <f ca="1">NORMINV(RAND(),1,$B$6)</f>
        <v/>
      </c>
      <c r="D205" s="30" t="str">
        <f ca="1">IFERROR(IRR(F205:H205),"")</f>
        <v/>
      </c>
      <c r="E205" s="31" t="str">
        <f ca="1">IFERROR(NPV($B$7,F205:H205),"")</f>
        <v/>
      </c>
      <c r="F205" s="31" t="str">
        <f ca="1">$J$10*B205/C205</f>
        <v/>
      </c>
      <c r="G205" s="31" t="str">
        <f ca="1">$J$11*B205/C205</f>
        <v/>
      </c>
      <c r="H205" s="31" t="str">
        <f ca="1">$J$12*B205/C205</f>
        <v/>
      </c>
    </row>
    <row r="206" spans="1:8" x14ac:dyDescent="0.2">
      <c r="A206" s="10">
        <v>197</v>
      </c>
      <c r="B206" s="15" t="str">
        <f ca="1">NORMINV(RAND(),1,$B$5)</f>
        <v/>
      </c>
      <c r="C206" s="15" t="str">
        <f ca="1">NORMINV(RAND(),1,$B$6)</f>
        <v/>
      </c>
      <c r="D206" s="30" t="str">
        <f ca="1">IFERROR(IRR(F206:H206),"")</f>
        <v/>
      </c>
      <c r="E206" s="31" t="str">
        <f ca="1">IFERROR(NPV($B$7,F206:H206),"")</f>
        <v/>
      </c>
      <c r="F206" s="31" t="str">
        <f ca="1">$J$10*B206/C206</f>
        <v/>
      </c>
      <c r="G206" s="31" t="str">
        <f ca="1">$J$11*B206/C206</f>
        <v/>
      </c>
      <c r="H206" s="31" t="str">
        <f ca="1">$J$12*B206/C206</f>
        <v/>
      </c>
    </row>
    <row r="207" spans="1:8" x14ac:dyDescent="0.2">
      <c r="A207" s="10">
        <v>198</v>
      </c>
      <c r="B207" s="15" t="str">
        <f ca="1">NORMINV(RAND(),1,$B$5)</f>
        <v/>
      </c>
      <c r="C207" s="15" t="str">
        <f ca="1">NORMINV(RAND(),1,$B$6)</f>
        <v/>
      </c>
      <c r="D207" s="30" t="str">
        <f ca="1">IFERROR(IRR(F207:H207),"")</f>
        <v/>
      </c>
      <c r="E207" s="31" t="str">
        <f ca="1">IFERROR(NPV($B$7,F207:H207),"")</f>
        <v/>
      </c>
      <c r="F207" s="31" t="str">
        <f ca="1">$J$10*B207/C207</f>
        <v/>
      </c>
      <c r="G207" s="31" t="str">
        <f ca="1">$J$11*B207/C207</f>
        <v/>
      </c>
      <c r="H207" s="31" t="str">
        <f ca="1">$J$12*B207/C207</f>
        <v/>
      </c>
    </row>
    <row r="208" spans="1:8" x14ac:dyDescent="0.2">
      <c r="A208" s="10">
        <v>199</v>
      </c>
      <c r="B208" s="15" t="str">
        <f ca="1">NORMINV(RAND(),1,$B$5)</f>
        <v/>
      </c>
      <c r="C208" s="15" t="str">
        <f ca="1">NORMINV(RAND(),1,$B$6)</f>
        <v/>
      </c>
      <c r="D208" s="30" t="str">
        <f ca="1">IFERROR(IRR(F208:H208),"")</f>
        <v/>
      </c>
      <c r="E208" s="31" t="str">
        <f ca="1">IFERROR(NPV($B$7,F208:H208),"")</f>
        <v/>
      </c>
      <c r="F208" s="31" t="str">
        <f ca="1">$J$10*B208/C208</f>
        <v/>
      </c>
      <c r="G208" s="31" t="str">
        <f ca="1">$J$11*B208/C208</f>
        <v/>
      </c>
      <c r="H208" s="31" t="str">
        <f ca="1">$J$12*B208/C208</f>
        <v/>
      </c>
    </row>
    <row r="209" spans="1:8" x14ac:dyDescent="0.2">
      <c r="A209" s="10">
        <v>200</v>
      </c>
      <c r="B209" s="15" t="str">
        <f ca="1">NORMINV(RAND(),1,$B$5)</f>
        <v/>
      </c>
      <c r="C209" s="15" t="str">
        <f ca="1">NORMINV(RAND(),1,$B$6)</f>
        <v/>
      </c>
      <c r="D209" s="30" t="str">
        <f ca="1">IFERROR(IRR(F209:H209),"")</f>
        <v/>
      </c>
      <c r="E209" s="31" t="str">
        <f ca="1">IFERROR(NPV($B$7,F209:H209),"")</f>
        <v/>
      </c>
      <c r="F209" s="31" t="str">
        <f ca="1">$J$10*B209/C209</f>
        <v/>
      </c>
      <c r="G209" s="31" t="str">
        <f ca="1">$J$11*B209/C209</f>
        <v/>
      </c>
      <c r="H209" s="31" t="str">
        <f ca="1">$J$12*B209/C209</f>
        <v/>
      </c>
    </row>
    <row r="212" spans="1:8" x14ac:dyDescent="0.2">
      <c r="A212" s="1" t="s">
        <v>216</v>
      </c>
    </row>
    <row r="213" spans="1:8" ht="20.100000000000001" customHeight="1" x14ac:dyDescent="0.2">
      <c r="A213" s="7" t="s">
        <v>217</v>
      </c>
      <c r="B213" s="7" t="s">
        <v>218</v>
      </c>
      <c r="C213" s="7" t="s">
        <v>219</v>
      </c>
      <c r="D213" s="7" t="s">
        <v>220</v>
      </c>
    </row>
    <row r="214" spans="1:8" x14ac:dyDescent="0.2">
      <c r="A214" s="2" t="s">
        <v>174</v>
      </c>
      <c r="B214" s="30" t="str">
        <f ca="1">_xludf.PERCENTILE.INC(D10:D209,0.1)</f>
        <v/>
      </c>
      <c r="C214" s="30" t="str">
        <f ca="1">_xludf.PERCENTILE.INC(D10:D209,0.5)</f>
        <v/>
      </c>
      <c r="D214" s="30" t="str">
        <f ca="1">_xludf.PERCENTILE.INC(D10:D209,0.9)</f>
        <v/>
      </c>
    </row>
    <row r="215" spans="1:8" x14ac:dyDescent="0.2">
      <c r="A215" s="2" t="s">
        <v>178</v>
      </c>
      <c r="B215" s="31" t="str">
        <f ca="1">_xludf.PERCENTILE.INC(E10:E209,0.1)</f>
        <v/>
      </c>
      <c r="C215" s="31" t="str">
        <f ca="1">_xludf.PERCENTILE.INC(E10:E209,0.5)</f>
        <v/>
      </c>
      <c r="D215" s="31" t="str">
        <f ca="1">_xludf.PERCENTILE.INC(E10:E209,0.9)</f>
        <v/>
      </c>
    </row>
  </sheetData>
  <mergeCells count="1">
    <mergeCell ref="A1:J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"/>
  <sheetViews>
    <sheetView zoomScaleNormal="100" zoomScaleSheetLayoutView="100" workbookViewId="0"/>
  </sheetViews>
  <sheetFormatPr defaultRowHeight="15" x14ac:dyDescent="0.2"/>
  <sheetData>
    <row r="1" spans="1:4" x14ac:dyDescent="0.2">
      <c r="A1" t="s">
        <v>221</v>
      </c>
    </row>
    <row r="3" spans="1:4" x14ac:dyDescent="0.2">
      <c r="A3" t="s">
        <v>40</v>
      </c>
      <c r="B3" t="s">
        <v>222</v>
      </c>
      <c r="C3" t="s">
        <v>223</v>
      </c>
      <c r="D3" t="s">
        <v>224</v>
      </c>
    </row>
    <row r="4" spans="1:4" x14ac:dyDescent="0.2">
      <c r="A4" t="s">
        <v>163</v>
      </c>
      <c r="B4">
        <v>0.12</v>
      </c>
      <c r="C4">
        <v>0.15</v>
      </c>
      <c r="D4">
        <v>0.18</v>
      </c>
    </row>
    <row r="5" spans="1:4" x14ac:dyDescent="0.2">
      <c r="A5" t="s">
        <v>175</v>
      </c>
      <c r="B5">
        <v>0.12</v>
      </c>
      <c r="C5">
        <v>0.15</v>
      </c>
      <c r="D5">
        <v>0.18</v>
      </c>
    </row>
    <row r="6" spans="1:4" x14ac:dyDescent="0.2">
      <c r="A6" t="s">
        <v>225</v>
      </c>
      <c r="B6">
        <v>0.12</v>
      </c>
      <c r="C6">
        <v>0.15</v>
      </c>
      <c r="D6">
        <v>0.18</v>
      </c>
    </row>
    <row r="7" spans="1:4" x14ac:dyDescent="0.2">
      <c r="A7" t="s">
        <v>13</v>
      </c>
      <c r="B7">
        <v>0.12</v>
      </c>
      <c r="C7">
        <v>0.15</v>
      </c>
      <c r="D7">
        <v>0.18</v>
      </c>
    </row>
    <row r="8" spans="1:4" x14ac:dyDescent="0.2">
      <c r="A8" t="s">
        <v>226</v>
      </c>
      <c r="B8">
        <v>0.12</v>
      </c>
      <c r="C8">
        <v>0.15</v>
      </c>
      <c r="D8">
        <v>0.18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"/>
  <sheetViews>
    <sheetView zoomScaleNormal="100" zoomScaleSheetLayoutView="100" workbookViewId="0"/>
  </sheetViews>
  <sheetFormatPr defaultRowHeight="15" x14ac:dyDescent="0.2"/>
  <sheetData>
    <row r="1" spans="1:2" x14ac:dyDescent="0.2">
      <c r="A1" t="s">
        <v>227</v>
      </c>
    </row>
    <row r="3" spans="1:2" x14ac:dyDescent="0.2">
      <c r="A3" t="s">
        <v>217</v>
      </c>
      <c r="B3" t="s">
        <v>1</v>
      </c>
    </row>
    <row r="4" spans="1:2" x14ac:dyDescent="0.2">
      <c r="A4" t="s">
        <v>228</v>
      </c>
      <c r="B4">
        <v>0.18</v>
      </c>
    </row>
    <row r="5" spans="1:2" x14ac:dyDescent="0.2">
      <c r="A5" t="s">
        <v>229</v>
      </c>
      <c r="B5">
        <v>0.22</v>
      </c>
    </row>
    <row r="6" spans="1:2" x14ac:dyDescent="0.2">
      <c r="A6" t="s">
        <v>153</v>
      </c>
      <c r="B6">
        <v>1.35</v>
      </c>
    </row>
    <row r="7" spans="1:2" x14ac:dyDescent="0.2">
      <c r="A7" t="s">
        <v>178</v>
      </c>
      <c r="B7">
        <v>2500000</v>
      </c>
    </row>
    <row r="8" spans="1:2" x14ac:dyDescent="0.2">
      <c r="A8" t="s">
        <v>230</v>
      </c>
      <c r="B8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"/>
  <sheetViews>
    <sheetView zoomScaleNormal="100" zoomScaleSheetLayoutView="100" workbookViewId="0"/>
  </sheetViews>
  <sheetFormatPr defaultRowHeight="15" x14ac:dyDescent="0.2"/>
  <sheetData>
    <row r="1" spans="1:7" x14ac:dyDescent="0.2">
      <c r="A1" s="36" t="s">
        <v>77</v>
      </c>
      <c r="B1" s="36" t="s">
        <v>164</v>
      </c>
      <c r="C1" s="36" t="s">
        <v>231</v>
      </c>
      <c r="D1" s="36" t="s">
        <v>232</v>
      </c>
      <c r="E1" s="36" t="s">
        <v>233</v>
      </c>
      <c r="F1" s="36" t="s">
        <v>234</v>
      </c>
      <c r="G1" s="36" t="s">
        <v>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"/>
  <sheetViews>
    <sheetView zoomScaleNormal="100" zoomScaleSheetLayoutView="100" workbookViewId="0"/>
  </sheetViews>
  <sheetFormatPr defaultRowHeight="15" x14ac:dyDescent="0.2"/>
  <sheetData>
    <row r="1" spans="1:8" x14ac:dyDescent="0.2">
      <c r="A1" s="36" t="s">
        <v>77</v>
      </c>
      <c r="B1" s="36" t="s">
        <v>170</v>
      </c>
      <c r="C1" s="36" t="s">
        <v>236</v>
      </c>
      <c r="D1" s="36" t="s">
        <v>237</v>
      </c>
      <c r="E1" s="36" t="s">
        <v>238</v>
      </c>
      <c r="F1" s="36" t="s">
        <v>239</v>
      </c>
      <c r="G1" s="36" t="s">
        <v>172</v>
      </c>
      <c r="H1" s="36" t="s">
        <v>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"/>
  <sheetViews>
    <sheetView zoomScaleNormal="100" zoomScaleSheetLayoutView="100" workbookViewId="0"/>
  </sheetViews>
  <sheetFormatPr defaultRowHeight="15" x14ac:dyDescent="0.2"/>
  <sheetData>
    <row r="1" spans="1:4" x14ac:dyDescent="0.2">
      <c r="A1" s="36" t="s">
        <v>102</v>
      </c>
      <c r="B1" s="36" t="s">
        <v>240</v>
      </c>
      <c r="C1" s="36" t="s">
        <v>241</v>
      </c>
      <c r="D1" s="36" t="s">
        <v>242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"/>
  <sheetViews>
    <sheetView zoomScaleNormal="100" zoomScaleSheetLayoutView="100" workbookViewId="0"/>
  </sheetViews>
  <sheetFormatPr defaultRowHeight="15" x14ac:dyDescent="0.2"/>
  <sheetData>
    <row r="1" spans="1:2" x14ac:dyDescent="0.2">
      <c r="A1" s="36" t="s">
        <v>217</v>
      </c>
      <c r="B1" s="36" t="s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"/>
  <sheetViews>
    <sheetView zoomScaleNormal="100" zoomScaleSheetLayoutView="100" workbookViewId="0"/>
  </sheetViews>
  <sheetFormatPr defaultRowHeight="15" x14ac:dyDescent="0.2"/>
  <sheetData>
    <row r="1" spans="1:6" x14ac:dyDescent="0.2">
      <c r="A1" s="36" t="s">
        <v>77</v>
      </c>
      <c r="B1" s="36" t="s">
        <v>243</v>
      </c>
      <c r="C1" s="36" t="s">
        <v>244</v>
      </c>
      <c r="D1" s="36" t="s">
        <v>245</v>
      </c>
      <c r="E1" s="36" t="s">
        <v>246</v>
      </c>
      <c r="F1" s="36" t="s">
        <v>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"/>
  <sheetViews>
    <sheetView zoomScaleNormal="100" zoomScaleSheetLayoutView="100" workbookViewId="0"/>
  </sheetViews>
  <sheetFormatPr defaultRowHeight="15" x14ac:dyDescent="0.2"/>
  <sheetData>
    <row r="1" spans="1:4" x14ac:dyDescent="0.2">
      <c r="A1" s="36" t="s">
        <v>183</v>
      </c>
      <c r="B1" s="36" t="s">
        <v>1</v>
      </c>
      <c r="C1" s="36" t="s">
        <v>247</v>
      </c>
      <c r="D1" s="36" t="s">
        <v>201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27"/>
  <sheetViews>
    <sheetView zoomScaleNormal="100" zoomScaleSheetLayoutView="100" workbookViewId="0"/>
  </sheetViews>
  <sheetFormatPr defaultRowHeight="15" x14ac:dyDescent="0.2"/>
  <cols>
    <col min="1" max="1" width="16.0078125" customWidth="1"/>
    <col min="2" max="2" width="9.953125" customWidth="1"/>
    <col min="3" max="3" width="27.98046875" customWidth="1"/>
    <col min="4" max="4" width="29.99609375" customWidth="1"/>
    <col min="5" max="5" width="69.94921875" customWidth="1"/>
    <col min="6" max="6" width="34.97265625" customWidth="1"/>
    <col min="7" max="7" width="18.0234375" customWidth="1"/>
    <col min="8" max="8" width="13.98828125" customWidth="1"/>
    <col min="9" max="9" width="20.04296875" customWidth="1"/>
    <col min="10" max="10" width="11.97265625" customWidth="1"/>
    <col min="11" max="11" width="13.98828125" customWidth="1"/>
    <col min="12" max="12" width="34.97265625" customWidth="1"/>
    <col min="13" max="13" width="16.0078125" customWidth="1"/>
  </cols>
  <sheetData>
    <row r="1" spans="1:13" ht="27.75" x14ac:dyDescent="0.2">
      <c r="A1" s="37" t="s">
        <v>248</v>
      </c>
      <c r="B1" s="37" t="s">
        <v>249</v>
      </c>
      <c r="C1" s="37" t="s">
        <v>250</v>
      </c>
      <c r="D1" s="37" t="s">
        <v>251</v>
      </c>
      <c r="E1" s="37" t="s">
        <v>252</v>
      </c>
      <c r="F1" s="37" t="s">
        <v>253</v>
      </c>
      <c r="G1" s="37" t="s">
        <v>254</v>
      </c>
      <c r="H1" s="37" t="s">
        <v>255</v>
      </c>
      <c r="I1" s="37" t="s">
        <v>256</v>
      </c>
      <c r="J1" s="37" t="s">
        <v>201</v>
      </c>
      <c r="K1" s="37" t="s">
        <v>257</v>
      </c>
      <c r="L1" s="37" t="s">
        <v>258</v>
      </c>
      <c r="M1" s="37" t="s">
        <v>259</v>
      </c>
    </row>
    <row r="2" spans="1:13" x14ac:dyDescent="0.2">
      <c r="A2" s="38" t="s">
        <v>260</v>
      </c>
      <c r="B2" s="38" t="s">
        <v>261</v>
      </c>
      <c r="C2" s="38" t="s">
        <v>262</v>
      </c>
      <c r="D2" s="38" t="s">
        <v>263</v>
      </c>
      <c r="E2" s="39" t="s">
        <v>264</v>
      </c>
      <c r="F2" s="38" t="s">
        <v>265</v>
      </c>
      <c r="G2" s="38" t="s">
        <v>266</v>
      </c>
      <c r="H2" s="40">
        <v>2500</v>
      </c>
      <c r="I2" s="38" t="s">
        <v>267</v>
      </c>
      <c r="J2" s="38" t="s">
        <v>268</v>
      </c>
      <c r="K2" s="41">
        <v>44972</v>
      </c>
      <c r="L2" s="39" t="s">
        <v>269</v>
      </c>
      <c r="M2" s="38" t="s">
        <v>270</v>
      </c>
    </row>
    <row r="3" spans="1:13" x14ac:dyDescent="0.2">
      <c r="A3" s="38" t="s">
        <v>271</v>
      </c>
      <c r="B3" s="38" t="s">
        <v>272</v>
      </c>
      <c r="C3" s="38" t="s">
        <v>262</v>
      </c>
      <c r="D3" s="38" t="s">
        <v>273</v>
      </c>
      <c r="E3" s="39" t="s">
        <v>274</v>
      </c>
      <c r="F3" s="38" t="s">
        <v>265</v>
      </c>
      <c r="G3" s="38" t="s">
        <v>266</v>
      </c>
      <c r="H3" s="40">
        <v>4.5</v>
      </c>
      <c r="I3" s="38" t="s">
        <v>267</v>
      </c>
      <c r="J3" s="38" t="s">
        <v>268</v>
      </c>
      <c r="K3" s="41">
        <v>44986</v>
      </c>
      <c r="L3" s="39" t="s">
        <v>275</v>
      </c>
      <c r="M3" s="38" t="s">
        <v>270</v>
      </c>
    </row>
    <row r="4" spans="1:13" x14ac:dyDescent="0.2">
      <c r="A4" s="38" t="s">
        <v>276</v>
      </c>
      <c r="B4" s="38" t="s">
        <v>277</v>
      </c>
      <c r="C4" s="38" t="s">
        <v>262</v>
      </c>
      <c r="D4" s="38" t="s">
        <v>278</v>
      </c>
      <c r="E4" s="39" t="s">
        <v>279</v>
      </c>
      <c r="F4" s="38" t="s">
        <v>280</v>
      </c>
      <c r="G4" s="38" t="s">
        <v>266</v>
      </c>
      <c r="H4" s="40">
        <v>10</v>
      </c>
      <c r="I4" s="38" t="s">
        <v>267</v>
      </c>
      <c r="J4" s="38" t="s">
        <v>268</v>
      </c>
      <c r="K4" s="41">
        <v>44946</v>
      </c>
      <c r="L4" s="39" t="s">
        <v>281</v>
      </c>
      <c r="M4" s="38" t="s">
        <v>282</v>
      </c>
    </row>
    <row r="5" spans="1:13" x14ac:dyDescent="0.2">
      <c r="A5" s="38" t="s">
        <v>283</v>
      </c>
      <c r="B5" s="38" t="s">
        <v>284</v>
      </c>
      <c r="C5" s="38" t="s">
        <v>262</v>
      </c>
      <c r="D5" s="38" t="s">
        <v>285</v>
      </c>
      <c r="E5" s="39" t="s">
        <v>286</v>
      </c>
      <c r="F5" s="38" t="s">
        <v>265</v>
      </c>
      <c r="G5" s="38" t="s">
        <v>287</v>
      </c>
      <c r="H5" s="40">
        <v>8</v>
      </c>
      <c r="I5" s="38" t="s">
        <v>267</v>
      </c>
      <c r="J5" s="38" t="s">
        <v>268</v>
      </c>
      <c r="K5" s="41">
        <v>45026</v>
      </c>
      <c r="L5" s="39" t="s">
        <v>288</v>
      </c>
      <c r="M5" s="38" t="s">
        <v>289</v>
      </c>
    </row>
    <row r="6" spans="1:13" x14ac:dyDescent="0.2">
      <c r="A6" s="38" t="s">
        <v>290</v>
      </c>
      <c r="B6" s="38" t="s">
        <v>291</v>
      </c>
      <c r="C6" s="38" t="s">
        <v>262</v>
      </c>
      <c r="D6" s="38" t="s">
        <v>292</v>
      </c>
      <c r="E6" s="39" t="s">
        <v>293</v>
      </c>
      <c r="F6" s="38" t="s">
        <v>294</v>
      </c>
      <c r="G6" s="38" t="s">
        <v>287</v>
      </c>
      <c r="H6" s="40">
        <v>600</v>
      </c>
      <c r="I6" s="38" t="s">
        <v>267</v>
      </c>
      <c r="J6" s="38" t="s">
        <v>268</v>
      </c>
      <c r="K6" s="41">
        <v>44975</v>
      </c>
      <c r="L6" s="39" t="s">
        <v>295</v>
      </c>
      <c r="M6" s="38" t="s">
        <v>282</v>
      </c>
    </row>
    <row r="7" spans="1:13" x14ac:dyDescent="0.2">
      <c r="A7" s="38" t="s">
        <v>296</v>
      </c>
      <c r="B7" s="38" t="s">
        <v>297</v>
      </c>
      <c r="C7" s="38" t="s">
        <v>262</v>
      </c>
      <c r="D7" s="38" t="s">
        <v>298</v>
      </c>
      <c r="E7" s="39" t="s">
        <v>299</v>
      </c>
      <c r="F7" s="38" t="s">
        <v>265</v>
      </c>
      <c r="G7" s="38" t="s">
        <v>266</v>
      </c>
      <c r="H7" s="40">
        <v>3.2</v>
      </c>
      <c r="I7" s="38" t="s">
        <v>267</v>
      </c>
      <c r="J7" s="38" t="s">
        <v>268</v>
      </c>
      <c r="K7" s="41">
        <v>45051</v>
      </c>
      <c r="L7" s="39" t="s">
        <v>300</v>
      </c>
      <c r="M7" s="38" t="s">
        <v>270</v>
      </c>
    </row>
    <row r="8" spans="1:13" x14ac:dyDescent="0.2">
      <c r="A8" s="38" t="s">
        <v>301</v>
      </c>
      <c r="B8" s="38" t="s">
        <v>302</v>
      </c>
      <c r="C8" s="38" t="s">
        <v>262</v>
      </c>
      <c r="D8" s="38" t="s">
        <v>303</v>
      </c>
      <c r="E8" s="39" t="s">
        <v>304</v>
      </c>
      <c r="F8" s="38" t="s">
        <v>265</v>
      </c>
      <c r="G8" s="38" t="s">
        <v>266</v>
      </c>
      <c r="H8" s="40">
        <v>12</v>
      </c>
      <c r="I8" s="38" t="s">
        <v>267</v>
      </c>
      <c r="J8" s="38" t="s">
        <v>268</v>
      </c>
      <c r="K8" s="41">
        <v>45089</v>
      </c>
      <c r="L8" s="39" t="s">
        <v>305</v>
      </c>
      <c r="M8" s="38" t="s">
        <v>306</v>
      </c>
    </row>
    <row r="9" spans="1:13" x14ac:dyDescent="0.2">
      <c r="A9" s="38" t="s">
        <v>307</v>
      </c>
      <c r="B9" s="38" t="s">
        <v>308</v>
      </c>
      <c r="C9" s="38" t="s">
        <v>262</v>
      </c>
      <c r="D9" s="38" t="s">
        <v>309</v>
      </c>
      <c r="E9" s="39" t="s">
        <v>310</v>
      </c>
      <c r="F9" s="38" t="s">
        <v>294</v>
      </c>
      <c r="G9" s="38" t="s">
        <v>287</v>
      </c>
      <c r="H9" s="40">
        <v>5</v>
      </c>
      <c r="I9" s="38" t="s">
        <v>267</v>
      </c>
      <c r="J9" s="38" t="s">
        <v>268</v>
      </c>
      <c r="K9" s="41">
        <v>45108</v>
      </c>
      <c r="L9" s="39" t="s">
        <v>311</v>
      </c>
      <c r="M9" s="38" t="s">
        <v>282</v>
      </c>
    </row>
    <row r="10" spans="1:13" x14ac:dyDescent="0.2">
      <c r="A10" s="38" t="s">
        <v>312</v>
      </c>
      <c r="B10" s="38" t="s">
        <v>313</v>
      </c>
      <c r="C10" s="38" t="s">
        <v>262</v>
      </c>
      <c r="D10" s="38" t="s">
        <v>314</v>
      </c>
      <c r="E10" s="39" t="s">
        <v>315</v>
      </c>
      <c r="F10" s="38" t="s">
        <v>265</v>
      </c>
      <c r="G10" s="38" t="s">
        <v>287</v>
      </c>
      <c r="H10" s="40">
        <v>3.5</v>
      </c>
      <c r="I10" s="38" t="s">
        <v>267</v>
      </c>
      <c r="J10" s="38" t="s">
        <v>268</v>
      </c>
      <c r="K10" s="41">
        <v>45127</v>
      </c>
      <c r="L10" s="39" t="s">
        <v>316</v>
      </c>
      <c r="M10" s="38" t="s">
        <v>289</v>
      </c>
    </row>
    <row r="11" spans="1:13" x14ac:dyDescent="0.2">
      <c r="A11" s="38" t="s">
        <v>317</v>
      </c>
      <c r="B11" s="38" t="s">
        <v>318</v>
      </c>
      <c r="C11" s="38" t="s">
        <v>319</v>
      </c>
      <c r="D11" s="38" t="s">
        <v>320</v>
      </c>
      <c r="E11" s="39" t="s">
        <v>321</v>
      </c>
      <c r="F11" s="38" t="s">
        <v>322</v>
      </c>
      <c r="G11" s="38" t="s">
        <v>266</v>
      </c>
      <c r="H11" s="40">
        <v>300</v>
      </c>
      <c r="I11" s="38" t="s">
        <v>323</v>
      </c>
      <c r="J11" s="38" t="s">
        <v>268</v>
      </c>
      <c r="K11" s="41">
        <v>45838</v>
      </c>
      <c r="L11" s="39" t="s">
        <v>324</v>
      </c>
      <c r="M11" s="38" t="s">
        <v>325</v>
      </c>
    </row>
    <row r="12" spans="1:13" x14ac:dyDescent="0.2">
      <c r="A12" s="38" t="s">
        <v>326</v>
      </c>
      <c r="B12" s="38" t="s">
        <v>327</v>
      </c>
      <c r="C12" s="38" t="s">
        <v>319</v>
      </c>
      <c r="D12" s="38" t="s">
        <v>328</v>
      </c>
      <c r="E12" s="39" t="s">
        <v>329</v>
      </c>
      <c r="F12" s="38" t="s">
        <v>322</v>
      </c>
      <c r="G12" s="38" t="s">
        <v>266</v>
      </c>
      <c r="H12" s="40">
        <v>6</v>
      </c>
      <c r="I12" s="38" t="s">
        <v>323</v>
      </c>
      <c r="J12" s="38" t="s">
        <v>268</v>
      </c>
      <c r="K12" s="41">
        <v>45843</v>
      </c>
      <c r="L12" s="39" t="s">
        <v>330</v>
      </c>
      <c r="M12" s="38" t="s">
        <v>325</v>
      </c>
    </row>
    <row r="13" spans="1:13" x14ac:dyDescent="0.2">
      <c r="A13" s="38" t="s">
        <v>331</v>
      </c>
      <c r="B13" s="38" t="s">
        <v>332</v>
      </c>
      <c r="C13" s="38" t="s">
        <v>319</v>
      </c>
      <c r="D13" s="38" t="s">
        <v>333</v>
      </c>
      <c r="E13" s="39" t="s">
        <v>334</v>
      </c>
      <c r="F13" s="38" t="s">
        <v>322</v>
      </c>
      <c r="G13" s="38" t="s">
        <v>266</v>
      </c>
      <c r="H13" s="40">
        <v>9</v>
      </c>
      <c r="I13" s="38" t="s">
        <v>323</v>
      </c>
      <c r="J13" s="38" t="s">
        <v>268</v>
      </c>
      <c r="K13" s="41">
        <v>45848</v>
      </c>
      <c r="L13" s="39" t="s">
        <v>335</v>
      </c>
      <c r="M13" s="38" t="s">
        <v>325</v>
      </c>
    </row>
    <row r="14" spans="1:13" x14ac:dyDescent="0.2">
      <c r="A14" s="38" t="s">
        <v>336</v>
      </c>
      <c r="B14" s="38" t="s">
        <v>337</v>
      </c>
      <c r="C14" s="38" t="s">
        <v>319</v>
      </c>
      <c r="D14" s="38" t="s">
        <v>338</v>
      </c>
      <c r="E14" s="39" t="s">
        <v>339</v>
      </c>
      <c r="F14" s="38" t="s">
        <v>322</v>
      </c>
      <c r="G14" s="38" t="s">
        <v>266</v>
      </c>
      <c r="H14" s="40">
        <v>12</v>
      </c>
      <c r="I14" s="38" t="s">
        <v>267</v>
      </c>
      <c r="J14" s="38" t="s">
        <v>268</v>
      </c>
      <c r="K14" s="41">
        <v>45838</v>
      </c>
      <c r="L14" s="39" t="s">
        <v>340</v>
      </c>
      <c r="M14" s="38" t="s">
        <v>325</v>
      </c>
    </row>
    <row r="15" spans="1:13" x14ac:dyDescent="0.2">
      <c r="A15" s="38" t="s">
        <v>341</v>
      </c>
      <c r="B15" s="38" t="s">
        <v>342</v>
      </c>
      <c r="C15" s="38" t="s">
        <v>319</v>
      </c>
      <c r="D15" s="38" t="s">
        <v>343</v>
      </c>
      <c r="E15" s="39" t="s">
        <v>344</v>
      </c>
      <c r="F15" s="38" t="s">
        <v>322</v>
      </c>
      <c r="G15" s="38" t="s">
        <v>266</v>
      </c>
      <c r="H15" s="40">
        <v>3.5</v>
      </c>
      <c r="I15" s="38" t="s">
        <v>323</v>
      </c>
      <c r="J15" s="38" t="s">
        <v>268</v>
      </c>
      <c r="K15" s="41">
        <v>45853</v>
      </c>
      <c r="L15" s="39" t="s">
        <v>345</v>
      </c>
      <c r="M15" s="38" t="s">
        <v>325</v>
      </c>
    </row>
    <row r="16" spans="1:13" x14ac:dyDescent="0.2">
      <c r="A16" s="38" t="s">
        <v>346</v>
      </c>
      <c r="B16" s="38" t="s">
        <v>347</v>
      </c>
      <c r="C16" s="38" t="s">
        <v>319</v>
      </c>
      <c r="D16" s="38" t="s">
        <v>348</v>
      </c>
      <c r="E16" s="39" t="s">
        <v>349</v>
      </c>
      <c r="F16" s="38" t="s">
        <v>322</v>
      </c>
      <c r="G16" s="38" t="s">
        <v>287</v>
      </c>
      <c r="H16" s="40">
        <v>4</v>
      </c>
      <c r="I16" s="38" t="s">
        <v>267</v>
      </c>
      <c r="J16" s="38" t="s">
        <v>268</v>
      </c>
      <c r="K16" s="41">
        <v>45828</v>
      </c>
      <c r="L16" s="39" t="s">
        <v>350</v>
      </c>
      <c r="M16" s="38" t="s">
        <v>325</v>
      </c>
    </row>
    <row r="17" spans="1:13" x14ac:dyDescent="0.2">
      <c r="A17" s="38" t="s">
        <v>351</v>
      </c>
      <c r="B17" s="38" t="s">
        <v>352</v>
      </c>
      <c r="C17" s="38" t="s">
        <v>319</v>
      </c>
      <c r="D17" s="38" t="s">
        <v>353</v>
      </c>
      <c r="E17" s="39" t="s">
        <v>354</v>
      </c>
      <c r="F17" s="38" t="s">
        <v>322</v>
      </c>
      <c r="G17" s="38" t="s">
        <v>266</v>
      </c>
      <c r="H17" s="40">
        <v>15</v>
      </c>
      <c r="I17" s="38" t="s">
        <v>323</v>
      </c>
      <c r="J17" s="38" t="s">
        <v>355</v>
      </c>
      <c r="K17" s="38"/>
      <c r="L17" s="39" t="s">
        <v>356</v>
      </c>
      <c r="M17" s="38" t="s">
        <v>325</v>
      </c>
    </row>
    <row r="18" spans="1:13" x14ac:dyDescent="0.2">
      <c r="A18" s="38" t="s">
        <v>357</v>
      </c>
      <c r="B18" s="38" t="s">
        <v>358</v>
      </c>
      <c r="C18" s="38" t="s">
        <v>319</v>
      </c>
      <c r="D18" s="38" t="s">
        <v>359</v>
      </c>
      <c r="E18" s="39" t="s">
        <v>360</v>
      </c>
      <c r="F18" s="38" t="s">
        <v>322</v>
      </c>
      <c r="G18" s="38" t="s">
        <v>266</v>
      </c>
      <c r="H18" s="40">
        <v>25</v>
      </c>
      <c r="I18" s="38" t="s">
        <v>323</v>
      </c>
      <c r="J18" s="38" t="s">
        <v>355</v>
      </c>
      <c r="K18" s="38"/>
      <c r="L18" s="39" t="s">
        <v>361</v>
      </c>
      <c r="M18" s="38" t="s">
        <v>325</v>
      </c>
    </row>
    <row r="19" spans="1:13" x14ac:dyDescent="0.2">
      <c r="A19" s="38" t="s">
        <v>362</v>
      </c>
      <c r="B19" s="38" t="s">
        <v>363</v>
      </c>
      <c r="C19" s="38" t="s">
        <v>364</v>
      </c>
      <c r="D19" s="38" t="s">
        <v>365</v>
      </c>
      <c r="E19" s="39" t="s">
        <v>366</v>
      </c>
      <c r="F19" s="38" t="s">
        <v>367</v>
      </c>
      <c r="G19" s="38" t="s">
        <v>266</v>
      </c>
      <c r="H19" s="40">
        <v>4.5</v>
      </c>
      <c r="I19" s="38" t="s">
        <v>323</v>
      </c>
      <c r="J19" s="38" t="s">
        <v>368</v>
      </c>
      <c r="K19" s="41">
        <v>46341</v>
      </c>
      <c r="L19" s="39" t="s">
        <v>369</v>
      </c>
      <c r="M19" s="38" t="s">
        <v>370</v>
      </c>
    </row>
    <row r="20" spans="1:13" x14ac:dyDescent="0.2">
      <c r="A20" s="38" t="s">
        <v>371</v>
      </c>
      <c r="B20" s="38" t="s">
        <v>372</v>
      </c>
      <c r="C20" s="38" t="s">
        <v>364</v>
      </c>
      <c r="D20" s="38" t="s">
        <v>373</v>
      </c>
      <c r="E20" s="39" t="s">
        <v>374</v>
      </c>
      <c r="F20" s="38" t="s">
        <v>367</v>
      </c>
      <c r="G20" s="38" t="s">
        <v>266</v>
      </c>
      <c r="H20" s="40">
        <v>106.25</v>
      </c>
      <c r="I20" s="38" t="s">
        <v>323</v>
      </c>
      <c r="J20" s="38" t="s">
        <v>368</v>
      </c>
      <c r="K20" s="41">
        <v>46461</v>
      </c>
      <c r="L20" s="39" t="s">
        <v>375</v>
      </c>
      <c r="M20" s="38" t="s">
        <v>370</v>
      </c>
    </row>
    <row r="21" spans="1:13" x14ac:dyDescent="0.2">
      <c r="A21" s="38" t="s">
        <v>376</v>
      </c>
      <c r="B21" s="38" t="s">
        <v>377</v>
      </c>
      <c r="C21" s="38" t="s">
        <v>364</v>
      </c>
      <c r="D21" s="38" t="s">
        <v>378</v>
      </c>
      <c r="E21" s="39" t="s">
        <v>379</v>
      </c>
      <c r="F21" s="38" t="s">
        <v>367</v>
      </c>
      <c r="G21" s="38" t="s">
        <v>266</v>
      </c>
      <c r="H21" s="40">
        <v>52.08</v>
      </c>
      <c r="I21" s="38" t="s">
        <v>323</v>
      </c>
      <c r="J21" s="38" t="s">
        <v>368</v>
      </c>
      <c r="K21" s="41">
        <v>46478</v>
      </c>
      <c r="L21" s="39" t="s">
        <v>375</v>
      </c>
      <c r="M21" s="38" t="s">
        <v>370</v>
      </c>
    </row>
    <row r="22" spans="1:13" x14ac:dyDescent="0.2">
      <c r="A22" s="38" t="s">
        <v>380</v>
      </c>
      <c r="B22" s="38" t="s">
        <v>381</v>
      </c>
      <c r="C22" s="38" t="s">
        <v>364</v>
      </c>
      <c r="D22" s="38" t="s">
        <v>382</v>
      </c>
      <c r="E22" s="39" t="s">
        <v>383</v>
      </c>
      <c r="F22" s="38" t="s">
        <v>367</v>
      </c>
      <c r="G22" s="38" t="s">
        <v>266</v>
      </c>
      <c r="H22" s="40">
        <v>26.1</v>
      </c>
      <c r="I22" s="38" t="s">
        <v>323</v>
      </c>
      <c r="J22" s="38" t="s">
        <v>368</v>
      </c>
      <c r="K22" s="41">
        <v>46466</v>
      </c>
      <c r="L22" s="39" t="s">
        <v>375</v>
      </c>
      <c r="M22" s="38" t="s">
        <v>370</v>
      </c>
    </row>
    <row r="23" spans="1:13" x14ac:dyDescent="0.2">
      <c r="A23" s="38" t="s">
        <v>384</v>
      </c>
      <c r="B23" s="38" t="s">
        <v>385</v>
      </c>
      <c r="C23" s="38" t="s">
        <v>364</v>
      </c>
      <c r="D23" s="38" t="s">
        <v>386</v>
      </c>
      <c r="E23" s="39" t="s">
        <v>387</v>
      </c>
      <c r="F23" s="38" t="s">
        <v>367</v>
      </c>
      <c r="G23" s="38" t="s">
        <v>266</v>
      </c>
      <c r="H23" s="40">
        <v>95</v>
      </c>
      <c r="I23" s="38" t="s">
        <v>323</v>
      </c>
      <c r="J23" s="38" t="s">
        <v>368</v>
      </c>
      <c r="K23" s="41">
        <v>46507</v>
      </c>
      <c r="L23" s="39" t="s">
        <v>388</v>
      </c>
      <c r="M23" s="38" t="s">
        <v>370</v>
      </c>
    </row>
    <row r="24" spans="1:13" x14ac:dyDescent="0.2">
      <c r="A24" s="38" t="s">
        <v>389</v>
      </c>
      <c r="B24" s="38" t="s">
        <v>390</v>
      </c>
      <c r="C24" s="38" t="s">
        <v>364</v>
      </c>
      <c r="D24" s="38" t="s">
        <v>391</v>
      </c>
      <c r="E24" s="39" t="s">
        <v>392</v>
      </c>
      <c r="F24" s="38" t="s">
        <v>367</v>
      </c>
      <c r="G24" s="38" t="s">
        <v>266</v>
      </c>
      <c r="H24" s="40">
        <v>28</v>
      </c>
      <c r="I24" s="38" t="s">
        <v>323</v>
      </c>
      <c r="J24" s="38" t="s">
        <v>368</v>
      </c>
      <c r="K24" s="41">
        <v>46517</v>
      </c>
      <c r="L24" s="39" t="s">
        <v>393</v>
      </c>
      <c r="M24" s="38" t="s">
        <v>370</v>
      </c>
    </row>
    <row r="25" spans="1:13" x14ac:dyDescent="0.2">
      <c r="A25" s="38" t="s">
        <v>394</v>
      </c>
      <c r="B25" s="38" t="s">
        <v>395</v>
      </c>
      <c r="C25" s="38" t="s">
        <v>364</v>
      </c>
      <c r="D25" s="38" t="s">
        <v>396</v>
      </c>
      <c r="E25" s="39" t="s">
        <v>397</v>
      </c>
      <c r="F25" s="38" t="s">
        <v>367</v>
      </c>
      <c r="G25" s="38" t="s">
        <v>266</v>
      </c>
      <c r="H25" s="40">
        <v>18.5</v>
      </c>
      <c r="I25" s="38" t="s">
        <v>323</v>
      </c>
      <c r="J25" s="38" t="s">
        <v>368</v>
      </c>
      <c r="K25" s="41">
        <v>46471</v>
      </c>
      <c r="L25" s="39" t="s">
        <v>398</v>
      </c>
      <c r="M25" s="38" t="s">
        <v>370</v>
      </c>
    </row>
    <row r="26" spans="1:13" x14ac:dyDescent="0.2">
      <c r="A26" s="38" t="s">
        <v>399</v>
      </c>
      <c r="B26" s="38" t="s">
        <v>400</v>
      </c>
      <c r="C26" s="38" t="s">
        <v>364</v>
      </c>
      <c r="D26" s="38" t="s">
        <v>401</v>
      </c>
      <c r="E26" s="39" t="s">
        <v>402</v>
      </c>
      <c r="F26" s="38" t="s">
        <v>367</v>
      </c>
      <c r="G26" s="38" t="s">
        <v>266</v>
      </c>
      <c r="H26" s="40">
        <v>12</v>
      </c>
      <c r="I26" s="38" t="s">
        <v>323</v>
      </c>
      <c r="J26" s="38" t="s">
        <v>368</v>
      </c>
      <c r="K26" s="41">
        <v>46476</v>
      </c>
      <c r="L26" s="39" t="s">
        <v>403</v>
      </c>
      <c r="M26" s="38" t="s">
        <v>370</v>
      </c>
    </row>
    <row r="27" spans="1:13" x14ac:dyDescent="0.2">
      <c r="A27" s="38" t="s">
        <v>404</v>
      </c>
      <c r="B27" s="38" t="s">
        <v>405</v>
      </c>
      <c r="C27" s="38" t="s">
        <v>364</v>
      </c>
      <c r="D27" s="38" t="s">
        <v>406</v>
      </c>
      <c r="E27" s="39" t="s">
        <v>407</v>
      </c>
      <c r="F27" s="38" t="s">
        <v>367</v>
      </c>
      <c r="G27" s="38" t="s">
        <v>266</v>
      </c>
      <c r="H27" s="40">
        <v>36</v>
      </c>
      <c r="I27" s="38" t="s">
        <v>323</v>
      </c>
      <c r="J27" s="38" t="s">
        <v>368</v>
      </c>
      <c r="K27" s="41">
        <v>46487</v>
      </c>
      <c r="L27" s="39" t="s">
        <v>408</v>
      </c>
      <c r="M27" s="38" t="s">
        <v>370</v>
      </c>
    </row>
    <row r="28" spans="1:13" x14ac:dyDescent="0.2">
      <c r="A28" s="38" t="s">
        <v>409</v>
      </c>
      <c r="B28" s="38" t="s">
        <v>410</v>
      </c>
      <c r="C28" s="38" t="s">
        <v>411</v>
      </c>
      <c r="D28" s="38" t="s">
        <v>412</v>
      </c>
      <c r="E28" s="39" t="s">
        <v>413</v>
      </c>
      <c r="F28" s="38" t="s">
        <v>265</v>
      </c>
      <c r="G28" s="38" t="s">
        <v>266</v>
      </c>
      <c r="H28" s="40">
        <v>22</v>
      </c>
      <c r="I28" s="38" t="s">
        <v>267</v>
      </c>
      <c r="J28" s="38" t="s">
        <v>268</v>
      </c>
      <c r="K28" s="41">
        <v>46081</v>
      </c>
      <c r="L28" s="39" t="s">
        <v>414</v>
      </c>
      <c r="M28" s="38" t="s">
        <v>270</v>
      </c>
    </row>
    <row r="29" spans="1:13" x14ac:dyDescent="0.2">
      <c r="A29" s="38" t="s">
        <v>415</v>
      </c>
      <c r="B29" s="38" t="s">
        <v>416</v>
      </c>
      <c r="C29" s="38" t="s">
        <v>411</v>
      </c>
      <c r="D29" s="38" t="s">
        <v>417</v>
      </c>
      <c r="E29" s="39" t="s">
        <v>418</v>
      </c>
      <c r="F29" s="38" t="s">
        <v>265</v>
      </c>
      <c r="G29" s="38" t="s">
        <v>266</v>
      </c>
      <c r="H29" s="40">
        <v>48</v>
      </c>
      <c r="I29" s="38" t="s">
        <v>323</v>
      </c>
      <c r="J29" s="38" t="s">
        <v>419</v>
      </c>
      <c r="K29" s="41">
        <v>46203</v>
      </c>
      <c r="L29" s="39" t="s">
        <v>420</v>
      </c>
      <c r="M29" s="38" t="s">
        <v>270</v>
      </c>
    </row>
    <row r="30" spans="1:13" x14ac:dyDescent="0.2">
      <c r="A30" s="38" t="s">
        <v>421</v>
      </c>
      <c r="B30" s="38" t="s">
        <v>422</v>
      </c>
      <c r="C30" s="38" t="s">
        <v>411</v>
      </c>
      <c r="D30" s="38" t="s">
        <v>423</v>
      </c>
      <c r="E30" s="39" t="s">
        <v>424</v>
      </c>
      <c r="F30" s="38" t="s">
        <v>265</v>
      </c>
      <c r="G30" s="38" t="s">
        <v>266</v>
      </c>
      <c r="H30" s="40">
        <v>8.5</v>
      </c>
      <c r="I30" s="38" t="s">
        <v>323</v>
      </c>
      <c r="J30" s="38" t="s">
        <v>368</v>
      </c>
      <c r="K30" s="41">
        <v>46249</v>
      </c>
      <c r="L30" s="39" t="s">
        <v>425</v>
      </c>
      <c r="M30" s="38" t="s">
        <v>270</v>
      </c>
    </row>
    <row r="31" spans="1:13" x14ac:dyDescent="0.2">
      <c r="A31" s="38" t="s">
        <v>426</v>
      </c>
      <c r="B31" s="38" t="s">
        <v>427</v>
      </c>
      <c r="C31" s="38" t="s">
        <v>411</v>
      </c>
      <c r="D31" s="38" t="s">
        <v>428</v>
      </c>
      <c r="E31" s="39" t="s">
        <v>429</v>
      </c>
      <c r="F31" s="38" t="s">
        <v>265</v>
      </c>
      <c r="G31" s="38" t="s">
        <v>266</v>
      </c>
      <c r="H31" s="40">
        <v>35</v>
      </c>
      <c r="I31" s="38" t="s">
        <v>323</v>
      </c>
      <c r="J31" s="38" t="s">
        <v>368</v>
      </c>
      <c r="K31" s="41">
        <v>46296</v>
      </c>
      <c r="L31" s="39" t="s">
        <v>430</v>
      </c>
      <c r="M31" s="38" t="s">
        <v>270</v>
      </c>
    </row>
    <row r="32" spans="1:13" x14ac:dyDescent="0.2">
      <c r="A32" s="38" t="s">
        <v>431</v>
      </c>
      <c r="B32" s="38" t="s">
        <v>432</v>
      </c>
      <c r="C32" s="38" t="s">
        <v>411</v>
      </c>
      <c r="D32" s="38" t="s">
        <v>433</v>
      </c>
      <c r="E32" s="39" t="s">
        <v>434</v>
      </c>
      <c r="F32" s="38" t="s">
        <v>265</v>
      </c>
      <c r="G32" s="38" t="s">
        <v>266</v>
      </c>
      <c r="H32" s="40">
        <v>9.5</v>
      </c>
      <c r="I32" s="38" t="s">
        <v>323</v>
      </c>
      <c r="J32" s="38" t="s">
        <v>368</v>
      </c>
      <c r="K32" s="41">
        <v>46223</v>
      </c>
      <c r="L32" s="39" t="s">
        <v>435</v>
      </c>
      <c r="M32" s="38" t="s">
        <v>270</v>
      </c>
    </row>
    <row r="33" spans="1:13" x14ac:dyDescent="0.2">
      <c r="A33" s="38" t="s">
        <v>436</v>
      </c>
      <c r="B33" s="38" t="s">
        <v>437</v>
      </c>
      <c r="C33" s="38" t="s">
        <v>411</v>
      </c>
      <c r="D33" s="38" t="s">
        <v>438</v>
      </c>
      <c r="E33" s="39" t="s">
        <v>439</v>
      </c>
      <c r="F33" s="38" t="s">
        <v>265</v>
      </c>
      <c r="G33" s="38" t="s">
        <v>266</v>
      </c>
      <c r="H33" s="40">
        <v>6.8</v>
      </c>
      <c r="I33" s="38" t="s">
        <v>323</v>
      </c>
      <c r="J33" s="38" t="s">
        <v>368</v>
      </c>
      <c r="K33" s="41">
        <v>46157</v>
      </c>
      <c r="L33" s="39" t="s">
        <v>440</v>
      </c>
      <c r="M33" s="38" t="s">
        <v>270</v>
      </c>
    </row>
    <row r="34" spans="1:13" x14ac:dyDescent="0.2">
      <c r="A34" s="38" t="s">
        <v>441</v>
      </c>
      <c r="B34" s="38" t="s">
        <v>442</v>
      </c>
      <c r="C34" s="38" t="s">
        <v>411</v>
      </c>
      <c r="D34" s="38" t="s">
        <v>443</v>
      </c>
      <c r="E34" s="39" t="s">
        <v>444</v>
      </c>
      <c r="F34" s="38" t="s">
        <v>265</v>
      </c>
      <c r="G34" s="38" t="s">
        <v>266</v>
      </c>
      <c r="H34" s="40">
        <v>5.2</v>
      </c>
      <c r="I34" s="38" t="s">
        <v>323</v>
      </c>
      <c r="J34" s="38" t="s">
        <v>368</v>
      </c>
      <c r="K34" s="41">
        <v>46183</v>
      </c>
      <c r="L34" s="39" t="s">
        <v>300</v>
      </c>
      <c r="M34" s="38" t="s">
        <v>270</v>
      </c>
    </row>
    <row r="35" spans="1:13" x14ac:dyDescent="0.2">
      <c r="A35" s="38" t="s">
        <v>445</v>
      </c>
      <c r="B35" s="38" t="s">
        <v>446</v>
      </c>
      <c r="C35" s="38" t="s">
        <v>411</v>
      </c>
      <c r="D35" s="38" t="s">
        <v>447</v>
      </c>
      <c r="E35" s="39" t="s">
        <v>448</v>
      </c>
      <c r="F35" s="38" t="s">
        <v>265</v>
      </c>
      <c r="G35" s="38" t="s">
        <v>266</v>
      </c>
      <c r="H35" s="40">
        <v>3.9</v>
      </c>
      <c r="I35" s="38" t="s">
        <v>323</v>
      </c>
      <c r="J35" s="38" t="s">
        <v>368</v>
      </c>
      <c r="K35" s="41">
        <v>46193</v>
      </c>
      <c r="L35" s="39" t="s">
        <v>449</v>
      </c>
      <c r="M35" s="38" t="s">
        <v>270</v>
      </c>
    </row>
    <row r="36" spans="1:13" x14ac:dyDescent="0.2">
      <c r="A36" s="38" t="s">
        <v>450</v>
      </c>
      <c r="B36" s="38" t="s">
        <v>451</v>
      </c>
      <c r="C36" s="38" t="s">
        <v>411</v>
      </c>
      <c r="D36" s="38" t="s">
        <v>452</v>
      </c>
      <c r="E36" s="39" t="s">
        <v>453</v>
      </c>
      <c r="F36" s="38" t="s">
        <v>265</v>
      </c>
      <c r="G36" s="38" t="s">
        <v>266</v>
      </c>
      <c r="H36" s="40">
        <v>2.5</v>
      </c>
      <c r="I36" s="38" t="s">
        <v>267</v>
      </c>
      <c r="J36" s="38" t="s">
        <v>268</v>
      </c>
      <c r="K36" s="41">
        <v>46037</v>
      </c>
      <c r="L36" s="39" t="s">
        <v>454</v>
      </c>
      <c r="M36" s="38" t="s">
        <v>270</v>
      </c>
    </row>
    <row r="37" spans="1:13" x14ac:dyDescent="0.2">
      <c r="A37" s="38" t="s">
        <v>455</v>
      </c>
      <c r="B37" s="38" t="s">
        <v>456</v>
      </c>
      <c r="C37" s="38" t="s">
        <v>411</v>
      </c>
      <c r="D37" s="38" t="s">
        <v>457</v>
      </c>
      <c r="E37" s="39" t="s">
        <v>458</v>
      </c>
      <c r="F37" s="38" t="s">
        <v>265</v>
      </c>
      <c r="G37" s="38" t="s">
        <v>266</v>
      </c>
      <c r="H37" s="40">
        <v>4.2</v>
      </c>
      <c r="I37" s="38" t="s">
        <v>323</v>
      </c>
      <c r="J37" s="38" t="s">
        <v>368</v>
      </c>
      <c r="K37" s="41">
        <v>46208</v>
      </c>
      <c r="L37" s="39" t="s">
        <v>459</v>
      </c>
      <c r="M37" s="38" t="s">
        <v>270</v>
      </c>
    </row>
    <row r="38" spans="1:13" x14ac:dyDescent="0.2">
      <c r="A38" s="38" t="s">
        <v>460</v>
      </c>
      <c r="B38" s="38" t="s">
        <v>461</v>
      </c>
      <c r="C38" s="38" t="s">
        <v>411</v>
      </c>
      <c r="D38" s="38" t="s">
        <v>462</v>
      </c>
      <c r="E38" s="39" t="s">
        <v>463</v>
      </c>
      <c r="F38" s="38" t="s">
        <v>265</v>
      </c>
      <c r="G38" s="38" t="s">
        <v>266</v>
      </c>
      <c r="H38" s="40">
        <v>6</v>
      </c>
      <c r="I38" s="38" t="s">
        <v>323</v>
      </c>
      <c r="J38" s="38" t="s">
        <v>368</v>
      </c>
      <c r="K38" s="41">
        <v>46310</v>
      </c>
      <c r="L38" s="39" t="s">
        <v>464</v>
      </c>
      <c r="M38" s="38" t="s">
        <v>270</v>
      </c>
    </row>
    <row r="39" spans="1:13" x14ac:dyDescent="0.2">
      <c r="A39" s="38" t="s">
        <v>465</v>
      </c>
      <c r="B39" s="38" t="s">
        <v>466</v>
      </c>
      <c r="C39" s="38" t="s">
        <v>467</v>
      </c>
      <c r="D39" s="38" t="s">
        <v>468</v>
      </c>
      <c r="E39" s="39" t="s">
        <v>469</v>
      </c>
      <c r="F39" s="38" t="s">
        <v>367</v>
      </c>
      <c r="G39" s="38" t="s">
        <v>266</v>
      </c>
      <c r="H39" s="40">
        <v>42</v>
      </c>
      <c r="I39" s="38" t="s">
        <v>323</v>
      </c>
      <c r="J39" s="38" t="s">
        <v>368</v>
      </c>
      <c r="K39" s="41">
        <v>47016</v>
      </c>
      <c r="L39" s="39" t="s">
        <v>470</v>
      </c>
      <c r="M39" s="38" t="s">
        <v>370</v>
      </c>
    </row>
    <row r="40" spans="1:13" x14ac:dyDescent="0.2">
      <c r="A40" s="38" t="s">
        <v>471</v>
      </c>
      <c r="B40" s="38" t="s">
        <v>472</v>
      </c>
      <c r="C40" s="38" t="s">
        <v>467</v>
      </c>
      <c r="D40" s="38" t="s">
        <v>473</v>
      </c>
      <c r="E40" s="39" t="s">
        <v>474</v>
      </c>
      <c r="F40" s="38" t="s">
        <v>367</v>
      </c>
      <c r="G40" s="38" t="s">
        <v>266</v>
      </c>
      <c r="H40" s="40">
        <v>38</v>
      </c>
      <c r="I40" s="38" t="s">
        <v>323</v>
      </c>
      <c r="J40" s="38" t="s">
        <v>368</v>
      </c>
      <c r="K40" s="41">
        <v>47026</v>
      </c>
      <c r="L40" s="39" t="s">
        <v>475</v>
      </c>
      <c r="M40" s="38" t="s">
        <v>370</v>
      </c>
    </row>
    <row r="41" spans="1:13" x14ac:dyDescent="0.2">
      <c r="A41" s="38" t="s">
        <v>476</v>
      </c>
      <c r="B41" s="38" t="s">
        <v>477</v>
      </c>
      <c r="C41" s="38" t="s">
        <v>467</v>
      </c>
      <c r="D41" s="38" t="s">
        <v>478</v>
      </c>
      <c r="E41" s="39" t="s">
        <v>479</v>
      </c>
      <c r="F41" s="38" t="s">
        <v>367</v>
      </c>
      <c r="G41" s="38" t="s">
        <v>266</v>
      </c>
      <c r="H41" s="40">
        <v>24</v>
      </c>
      <c r="I41" s="38" t="s">
        <v>323</v>
      </c>
      <c r="J41" s="38" t="s">
        <v>368</v>
      </c>
      <c r="K41" s="41">
        <v>47031</v>
      </c>
      <c r="L41" s="39" t="s">
        <v>480</v>
      </c>
      <c r="M41" s="38" t="s">
        <v>370</v>
      </c>
    </row>
    <row r="42" spans="1:13" x14ac:dyDescent="0.2">
      <c r="A42" s="38" t="s">
        <v>481</v>
      </c>
      <c r="B42" s="38" t="s">
        <v>482</v>
      </c>
      <c r="C42" s="38" t="s">
        <v>467</v>
      </c>
      <c r="D42" s="38" t="s">
        <v>483</v>
      </c>
      <c r="E42" s="39" t="s">
        <v>484</v>
      </c>
      <c r="F42" s="38" t="s">
        <v>367</v>
      </c>
      <c r="G42" s="38" t="s">
        <v>485</v>
      </c>
      <c r="H42" s="40">
        <v>55</v>
      </c>
      <c r="I42" s="38" t="s">
        <v>323</v>
      </c>
      <c r="J42" s="38" t="s">
        <v>368</v>
      </c>
      <c r="K42" s="41">
        <v>47046</v>
      </c>
      <c r="L42" s="39" t="s">
        <v>486</v>
      </c>
      <c r="M42" s="38" t="s">
        <v>370</v>
      </c>
    </row>
    <row r="43" spans="1:13" x14ac:dyDescent="0.2">
      <c r="A43" s="38" t="s">
        <v>487</v>
      </c>
      <c r="B43" s="38" t="s">
        <v>488</v>
      </c>
      <c r="C43" s="38" t="s">
        <v>467</v>
      </c>
      <c r="D43" s="38" t="s">
        <v>489</v>
      </c>
      <c r="E43" s="39" t="s">
        <v>490</v>
      </c>
      <c r="F43" s="38" t="s">
        <v>367</v>
      </c>
      <c r="G43" s="38" t="s">
        <v>266</v>
      </c>
      <c r="H43" s="40">
        <v>33</v>
      </c>
      <c r="I43" s="38" t="s">
        <v>323</v>
      </c>
      <c r="J43" s="38" t="s">
        <v>368</v>
      </c>
      <c r="K43" s="41">
        <v>47051</v>
      </c>
      <c r="L43" s="39" t="s">
        <v>491</v>
      </c>
      <c r="M43" s="38" t="s">
        <v>370</v>
      </c>
    </row>
    <row r="44" spans="1:13" x14ac:dyDescent="0.2">
      <c r="A44" s="38" t="s">
        <v>492</v>
      </c>
      <c r="B44" s="38" t="s">
        <v>493</v>
      </c>
      <c r="C44" s="38" t="s">
        <v>467</v>
      </c>
      <c r="D44" s="38" t="s">
        <v>494</v>
      </c>
      <c r="E44" s="39" t="s">
        <v>495</v>
      </c>
      <c r="F44" s="38" t="s">
        <v>367</v>
      </c>
      <c r="G44" s="38" t="s">
        <v>266</v>
      </c>
      <c r="H44" s="40">
        <v>78</v>
      </c>
      <c r="I44" s="38" t="s">
        <v>323</v>
      </c>
      <c r="J44" s="38" t="s">
        <v>368</v>
      </c>
      <c r="K44" s="41">
        <v>47067</v>
      </c>
      <c r="L44" s="39" t="s">
        <v>496</v>
      </c>
      <c r="M44" s="38" t="s">
        <v>497</v>
      </c>
    </row>
    <row r="45" spans="1:13" x14ac:dyDescent="0.2">
      <c r="A45" s="38" t="s">
        <v>498</v>
      </c>
      <c r="B45" s="38" t="s">
        <v>499</v>
      </c>
      <c r="C45" s="38" t="s">
        <v>467</v>
      </c>
      <c r="D45" s="38" t="s">
        <v>500</v>
      </c>
      <c r="E45" s="39" t="s">
        <v>501</v>
      </c>
      <c r="F45" s="38" t="s">
        <v>367</v>
      </c>
      <c r="G45" s="38" t="s">
        <v>266</v>
      </c>
      <c r="H45" s="40">
        <v>96</v>
      </c>
      <c r="I45" s="38" t="s">
        <v>323</v>
      </c>
      <c r="J45" s="38" t="s">
        <v>368</v>
      </c>
      <c r="K45" s="41">
        <v>47082</v>
      </c>
      <c r="L45" s="39" t="s">
        <v>502</v>
      </c>
      <c r="M45" s="38" t="s">
        <v>370</v>
      </c>
    </row>
    <row r="46" spans="1:13" x14ac:dyDescent="0.2">
      <c r="A46" s="38" t="s">
        <v>503</v>
      </c>
      <c r="B46" s="38" t="s">
        <v>504</v>
      </c>
      <c r="C46" s="38" t="s">
        <v>467</v>
      </c>
      <c r="D46" s="38" t="s">
        <v>505</v>
      </c>
      <c r="E46" s="39" t="s">
        <v>506</v>
      </c>
      <c r="F46" s="38" t="s">
        <v>367</v>
      </c>
      <c r="G46" s="38" t="s">
        <v>266</v>
      </c>
      <c r="H46" s="40">
        <v>28</v>
      </c>
      <c r="I46" s="38" t="s">
        <v>323</v>
      </c>
      <c r="J46" s="38" t="s">
        <v>368</v>
      </c>
      <c r="K46" s="41">
        <v>47087</v>
      </c>
      <c r="L46" s="39" t="s">
        <v>507</v>
      </c>
      <c r="M46" s="38" t="s">
        <v>370</v>
      </c>
    </row>
    <row r="47" spans="1:13" x14ac:dyDescent="0.2">
      <c r="A47" s="38" t="s">
        <v>508</v>
      </c>
      <c r="B47" s="38" t="s">
        <v>509</v>
      </c>
      <c r="C47" s="38" t="s">
        <v>467</v>
      </c>
      <c r="D47" s="38" t="s">
        <v>510</v>
      </c>
      <c r="E47" s="39" t="s">
        <v>511</v>
      </c>
      <c r="F47" s="38" t="s">
        <v>367</v>
      </c>
      <c r="G47" s="38" t="s">
        <v>266</v>
      </c>
      <c r="H47" s="40">
        <v>9.5</v>
      </c>
      <c r="I47" s="38" t="s">
        <v>323</v>
      </c>
      <c r="J47" s="38" t="s">
        <v>368</v>
      </c>
      <c r="K47" s="41">
        <v>47092</v>
      </c>
      <c r="L47" s="39" t="s">
        <v>512</v>
      </c>
      <c r="M47" s="38" t="s">
        <v>370</v>
      </c>
    </row>
    <row r="48" spans="1:13" x14ac:dyDescent="0.2">
      <c r="A48" s="38" t="s">
        <v>513</v>
      </c>
      <c r="B48" s="38" t="s">
        <v>514</v>
      </c>
      <c r="C48" s="38" t="s">
        <v>467</v>
      </c>
      <c r="D48" s="38" t="s">
        <v>515</v>
      </c>
      <c r="E48" s="39" t="s">
        <v>516</v>
      </c>
      <c r="F48" s="38" t="s">
        <v>367</v>
      </c>
      <c r="G48" s="38" t="s">
        <v>266</v>
      </c>
      <c r="H48" s="40">
        <v>6.8</v>
      </c>
      <c r="I48" s="38" t="s">
        <v>323</v>
      </c>
      <c r="J48" s="38" t="s">
        <v>368</v>
      </c>
      <c r="K48" s="41">
        <v>47097</v>
      </c>
      <c r="L48" s="39" t="s">
        <v>517</v>
      </c>
      <c r="M48" s="38" t="s">
        <v>370</v>
      </c>
    </row>
    <row r="49" spans="1:13" x14ac:dyDescent="0.2">
      <c r="A49" s="38" t="s">
        <v>518</v>
      </c>
      <c r="B49" s="38" t="s">
        <v>519</v>
      </c>
      <c r="C49" s="38" t="s">
        <v>520</v>
      </c>
      <c r="D49" s="38" t="s">
        <v>521</v>
      </c>
      <c r="E49" s="39" t="s">
        <v>522</v>
      </c>
      <c r="F49" s="38" t="s">
        <v>523</v>
      </c>
      <c r="G49" s="38" t="s">
        <v>266</v>
      </c>
      <c r="H49" s="40">
        <v>320</v>
      </c>
      <c r="I49" s="38" t="s">
        <v>323</v>
      </c>
      <c r="J49" s="38" t="s">
        <v>355</v>
      </c>
      <c r="K49" s="41">
        <v>46767</v>
      </c>
      <c r="L49" s="39" t="s">
        <v>524</v>
      </c>
      <c r="M49" s="38" t="s">
        <v>525</v>
      </c>
    </row>
    <row r="50" spans="1:13" x14ac:dyDescent="0.2">
      <c r="A50" s="38" t="s">
        <v>526</v>
      </c>
      <c r="B50" s="38" t="s">
        <v>527</v>
      </c>
      <c r="C50" s="38" t="s">
        <v>520</v>
      </c>
      <c r="D50" s="38" t="s">
        <v>528</v>
      </c>
      <c r="E50" s="39" t="s">
        <v>529</v>
      </c>
      <c r="F50" s="38" t="s">
        <v>523</v>
      </c>
      <c r="G50" s="38" t="s">
        <v>266</v>
      </c>
      <c r="H50" s="40">
        <v>210</v>
      </c>
      <c r="I50" s="38" t="s">
        <v>323</v>
      </c>
      <c r="J50" s="38" t="s">
        <v>355</v>
      </c>
      <c r="K50" s="41">
        <v>46784</v>
      </c>
      <c r="L50" s="39" t="s">
        <v>530</v>
      </c>
      <c r="M50" s="38" t="s">
        <v>525</v>
      </c>
    </row>
    <row r="51" spans="1:13" x14ac:dyDescent="0.2">
      <c r="A51" s="38" t="s">
        <v>531</v>
      </c>
      <c r="B51" s="38" t="s">
        <v>532</v>
      </c>
      <c r="C51" s="38" t="s">
        <v>520</v>
      </c>
      <c r="D51" s="38" t="s">
        <v>533</v>
      </c>
      <c r="E51" s="39" t="s">
        <v>534</v>
      </c>
      <c r="F51" s="38" t="s">
        <v>523</v>
      </c>
      <c r="G51" s="38" t="s">
        <v>266</v>
      </c>
      <c r="H51" s="40">
        <v>650</v>
      </c>
      <c r="I51" s="38" t="s">
        <v>535</v>
      </c>
      <c r="J51" s="38" t="s">
        <v>355</v>
      </c>
      <c r="K51" s="41">
        <v>46813</v>
      </c>
      <c r="L51" s="39" t="s">
        <v>536</v>
      </c>
      <c r="M51" s="38" t="s">
        <v>525</v>
      </c>
    </row>
    <row r="52" spans="1:13" x14ac:dyDescent="0.2">
      <c r="A52" s="38" t="s">
        <v>537</v>
      </c>
      <c r="B52" s="38" t="s">
        <v>538</v>
      </c>
      <c r="C52" s="38" t="s">
        <v>520</v>
      </c>
      <c r="D52" s="38" t="s">
        <v>539</v>
      </c>
      <c r="E52" s="39" t="s">
        <v>540</v>
      </c>
      <c r="F52" s="38" t="s">
        <v>523</v>
      </c>
      <c r="G52" s="38" t="s">
        <v>266</v>
      </c>
      <c r="H52" s="40">
        <v>420</v>
      </c>
      <c r="I52" s="38" t="s">
        <v>541</v>
      </c>
      <c r="J52" s="38" t="s">
        <v>355</v>
      </c>
      <c r="K52" s="41">
        <v>46832</v>
      </c>
      <c r="L52" s="39" t="s">
        <v>542</v>
      </c>
      <c r="M52" s="38" t="s">
        <v>525</v>
      </c>
    </row>
    <row r="53" spans="1:13" x14ac:dyDescent="0.2">
      <c r="A53" s="38" t="s">
        <v>543</v>
      </c>
      <c r="B53" s="38" t="s">
        <v>544</v>
      </c>
      <c r="C53" s="38" t="s">
        <v>520</v>
      </c>
      <c r="D53" s="38" t="s">
        <v>545</v>
      </c>
      <c r="E53" s="39" t="s">
        <v>546</v>
      </c>
      <c r="F53" s="38" t="s">
        <v>523</v>
      </c>
      <c r="G53" s="38" t="s">
        <v>266</v>
      </c>
      <c r="H53" s="40">
        <v>180</v>
      </c>
      <c r="I53" s="38" t="s">
        <v>541</v>
      </c>
      <c r="J53" s="38" t="s">
        <v>355</v>
      </c>
      <c r="K53" s="41">
        <v>46853</v>
      </c>
      <c r="L53" s="39" t="s">
        <v>547</v>
      </c>
      <c r="M53" s="38" t="s">
        <v>525</v>
      </c>
    </row>
    <row r="54" spans="1:13" x14ac:dyDescent="0.2">
      <c r="A54" s="38" t="s">
        <v>548</v>
      </c>
      <c r="B54" s="38" t="s">
        <v>549</v>
      </c>
      <c r="C54" s="38" t="s">
        <v>520</v>
      </c>
      <c r="D54" s="38" t="s">
        <v>550</v>
      </c>
      <c r="E54" s="39" t="s">
        <v>551</v>
      </c>
      <c r="F54" s="38" t="s">
        <v>523</v>
      </c>
      <c r="G54" s="38" t="s">
        <v>266</v>
      </c>
      <c r="H54" s="40">
        <v>160</v>
      </c>
      <c r="I54" s="38" t="s">
        <v>541</v>
      </c>
      <c r="J54" s="38" t="s">
        <v>355</v>
      </c>
      <c r="K54" s="41">
        <v>46868</v>
      </c>
      <c r="L54" s="39" t="s">
        <v>552</v>
      </c>
      <c r="M54" s="38" t="s">
        <v>525</v>
      </c>
    </row>
    <row r="55" spans="1:13" x14ac:dyDescent="0.2">
      <c r="A55" s="38" t="s">
        <v>553</v>
      </c>
      <c r="B55" s="38" t="s">
        <v>554</v>
      </c>
      <c r="C55" s="38" t="s">
        <v>520</v>
      </c>
      <c r="D55" s="38" t="s">
        <v>555</v>
      </c>
      <c r="E55" s="39" t="s">
        <v>556</v>
      </c>
      <c r="F55" s="38" t="s">
        <v>523</v>
      </c>
      <c r="G55" s="38" t="s">
        <v>266</v>
      </c>
      <c r="H55" s="40">
        <v>220</v>
      </c>
      <c r="I55" s="38" t="s">
        <v>541</v>
      </c>
      <c r="J55" s="38" t="s">
        <v>355</v>
      </c>
      <c r="K55" s="41">
        <v>46883</v>
      </c>
      <c r="L55" s="39" t="s">
        <v>557</v>
      </c>
      <c r="M55" s="38" t="s">
        <v>525</v>
      </c>
    </row>
    <row r="56" spans="1:13" x14ac:dyDescent="0.2">
      <c r="A56" s="38" t="s">
        <v>558</v>
      </c>
      <c r="B56" s="38" t="s">
        <v>559</v>
      </c>
      <c r="C56" s="38" t="s">
        <v>520</v>
      </c>
      <c r="D56" s="38" t="s">
        <v>560</v>
      </c>
      <c r="E56" s="39" t="s">
        <v>561</v>
      </c>
      <c r="F56" s="38" t="s">
        <v>523</v>
      </c>
      <c r="G56" s="38" t="s">
        <v>266</v>
      </c>
      <c r="H56" s="40">
        <v>140</v>
      </c>
      <c r="I56" s="38" t="s">
        <v>541</v>
      </c>
      <c r="J56" s="38" t="s">
        <v>355</v>
      </c>
      <c r="K56" s="41">
        <v>46898</v>
      </c>
      <c r="L56" s="39" t="s">
        <v>562</v>
      </c>
      <c r="M56" s="38" t="s">
        <v>525</v>
      </c>
    </row>
    <row r="57" spans="1:13" x14ac:dyDescent="0.2">
      <c r="A57" s="38" t="s">
        <v>563</v>
      </c>
      <c r="B57" s="38" t="s">
        <v>564</v>
      </c>
      <c r="C57" s="38" t="s">
        <v>520</v>
      </c>
      <c r="D57" s="38" t="s">
        <v>565</v>
      </c>
      <c r="E57" s="39" t="s">
        <v>566</v>
      </c>
      <c r="F57" s="38" t="s">
        <v>523</v>
      </c>
      <c r="G57" s="38" t="s">
        <v>266</v>
      </c>
      <c r="H57" s="40">
        <v>65</v>
      </c>
      <c r="I57" s="38" t="s">
        <v>541</v>
      </c>
      <c r="J57" s="38" t="s">
        <v>355</v>
      </c>
      <c r="K57" s="41">
        <v>46909</v>
      </c>
      <c r="L57" s="39" t="s">
        <v>567</v>
      </c>
      <c r="M57" s="38" t="s">
        <v>525</v>
      </c>
    </row>
    <row r="58" spans="1:13" x14ac:dyDescent="0.2">
      <c r="A58" s="38" t="s">
        <v>568</v>
      </c>
      <c r="B58" s="38" t="s">
        <v>569</v>
      </c>
      <c r="C58" s="38" t="s">
        <v>520</v>
      </c>
      <c r="D58" s="38" t="s">
        <v>570</v>
      </c>
      <c r="E58" s="39" t="s">
        <v>571</v>
      </c>
      <c r="F58" s="38" t="s">
        <v>523</v>
      </c>
      <c r="G58" s="38" t="s">
        <v>266</v>
      </c>
      <c r="H58" s="40">
        <v>95</v>
      </c>
      <c r="I58" s="38" t="s">
        <v>541</v>
      </c>
      <c r="J58" s="38" t="s">
        <v>355</v>
      </c>
      <c r="K58" s="41">
        <v>46924</v>
      </c>
      <c r="L58" s="39" t="s">
        <v>572</v>
      </c>
      <c r="M58" s="38" t="s">
        <v>573</v>
      </c>
    </row>
    <row r="59" spans="1:13" x14ac:dyDescent="0.2">
      <c r="A59" s="38" t="s">
        <v>574</v>
      </c>
      <c r="B59" s="38" t="s">
        <v>575</v>
      </c>
      <c r="C59" s="38" t="s">
        <v>520</v>
      </c>
      <c r="D59" s="38" t="s">
        <v>576</v>
      </c>
      <c r="E59" s="39" t="s">
        <v>577</v>
      </c>
      <c r="F59" s="38" t="s">
        <v>523</v>
      </c>
      <c r="G59" s="38" t="s">
        <v>266</v>
      </c>
      <c r="H59" s="40">
        <v>180</v>
      </c>
      <c r="I59" s="38" t="s">
        <v>541</v>
      </c>
      <c r="J59" s="38" t="s">
        <v>355</v>
      </c>
      <c r="K59" s="41">
        <v>46935</v>
      </c>
      <c r="L59" s="39" t="s">
        <v>578</v>
      </c>
      <c r="M59" s="38" t="s">
        <v>573</v>
      </c>
    </row>
    <row r="60" spans="1:13" x14ac:dyDescent="0.2">
      <c r="A60" s="38" t="s">
        <v>579</v>
      </c>
      <c r="B60" s="38" t="s">
        <v>580</v>
      </c>
      <c r="C60" s="38" t="s">
        <v>520</v>
      </c>
      <c r="D60" s="38" t="s">
        <v>581</v>
      </c>
      <c r="E60" s="39" t="s">
        <v>582</v>
      </c>
      <c r="F60" s="38" t="s">
        <v>523</v>
      </c>
      <c r="G60" s="38" t="s">
        <v>266</v>
      </c>
      <c r="H60" s="40">
        <v>120</v>
      </c>
      <c r="I60" s="38" t="s">
        <v>541</v>
      </c>
      <c r="J60" s="38" t="s">
        <v>355</v>
      </c>
      <c r="K60" s="41">
        <v>46949</v>
      </c>
      <c r="L60" s="39" t="s">
        <v>583</v>
      </c>
      <c r="M60" s="38" t="s">
        <v>573</v>
      </c>
    </row>
    <row r="61" spans="1:13" x14ac:dyDescent="0.2">
      <c r="A61" s="38" t="s">
        <v>584</v>
      </c>
      <c r="B61" s="38" t="s">
        <v>585</v>
      </c>
      <c r="C61" s="38" t="s">
        <v>520</v>
      </c>
      <c r="D61" s="38" t="s">
        <v>586</v>
      </c>
      <c r="E61" s="39" t="s">
        <v>587</v>
      </c>
      <c r="F61" s="38" t="s">
        <v>523</v>
      </c>
      <c r="G61" s="38" t="s">
        <v>266</v>
      </c>
      <c r="H61" s="40">
        <v>480</v>
      </c>
      <c r="I61" s="38" t="s">
        <v>535</v>
      </c>
      <c r="J61" s="38" t="s">
        <v>355</v>
      </c>
      <c r="K61" s="41">
        <v>46966</v>
      </c>
      <c r="L61" s="39" t="s">
        <v>588</v>
      </c>
      <c r="M61" s="38" t="s">
        <v>573</v>
      </c>
    </row>
    <row r="62" spans="1:13" x14ac:dyDescent="0.2">
      <c r="A62" s="38" t="s">
        <v>589</v>
      </c>
      <c r="B62" s="38" t="s">
        <v>590</v>
      </c>
      <c r="C62" s="38" t="s">
        <v>520</v>
      </c>
      <c r="D62" s="38" t="s">
        <v>591</v>
      </c>
      <c r="E62" s="39" t="s">
        <v>592</v>
      </c>
      <c r="F62" s="38" t="s">
        <v>523</v>
      </c>
      <c r="G62" s="38" t="s">
        <v>266</v>
      </c>
      <c r="H62" s="40">
        <v>95</v>
      </c>
      <c r="I62" s="38" t="s">
        <v>541</v>
      </c>
      <c r="J62" s="38" t="s">
        <v>355</v>
      </c>
      <c r="K62" s="41">
        <v>46980</v>
      </c>
      <c r="L62" s="39" t="s">
        <v>593</v>
      </c>
      <c r="M62" s="38" t="s">
        <v>573</v>
      </c>
    </row>
    <row r="63" spans="1:13" x14ac:dyDescent="0.2">
      <c r="A63" s="38" t="s">
        <v>594</v>
      </c>
      <c r="B63" s="38" t="s">
        <v>595</v>
      </c>
      <c r="C63" s="38" t="s">
        <v>520</v>
      </c>
      <c r="D63" s="38" t="s">
        <v>596</v>
      </c>
      <c r="E63" s="39" t="s">
        <v>597</v>
      </c>
      <c r="F63" s="38" t="s">
        <v>523</v>
      </c>
      <c r="G63" s="38" t="s">
        <v>266</v>
      </c>
      <c r="H63" s="40">
        <v>220</v>
      </c>
      <c r="I63" s="38" t="s">
        <v>541</v>
      </c>
      <c r="J63" s="38" t="s">
        <v>355</v>
      </c>
      <c r="K63" s="41">
        <v>46997</v>
      </c>
      <c r="L63" s="39" t="s">
        <v>598</v>
      </c>
      <c r="M63" s="38" t="s">
        <v>573</v>
      </c>
    </row>
    <row r="64" spans="1:13" x14ac:dyDescent="0.2">
      <c r="A64" s="38" t="s">
        <v>599</v>
      </c>
      <c r="B64" s="38" t="s">
        <v>600</v>
      </c>
      <c r="C64" s="38" t="s">
        <v>520</v>
      </c>
      <c r="D64" s="38" t="s">
        <v>601</v>
      </c>
      <c r="E64" s="39" t="s">
        <v>602</v>
      </c>
      <c r="F64" s="38" t="s">
        <v>523</v>
      </c>
      <c r="G64" s="38" t="s">
        <v>475</v>
      </c>
      <c r="H64" s="40">
        <v>70</v>
      </c>
      <c r="I64" s="38" t="s">
        <v>541</v>
      </c>
      <c r="J64" s="38" t="s">
        <v>355</v>
      </c>
      <c r="K64" s="41">
        <v>47006</v>
      </c>
      <c r="L64" s="39" t="s">
        <v>562</v>
      </c>
      <c r="M64" s="38" t="s">
        <v>603</v>
      </c>
    </row>
    <row r="65" spans="1:13" x14ac:dyDescent="0.2">
      <c r="A65" s="38" t="s">
        <v>604</v>
      </c>
      <c r="B65" s="38" t="s">
        <v>605</v>
      </c>
      <c r="C65" s="38" t="s">
        <v>520</v>
      </c>
      <c r="D65" s="38" t="s">
        <v>606</v>
      </c>
      <c r="E65" s="39" t="s">
        <v>607</v>
      </c>
      <c r="F65" s="38" t="s">
        <v>523</v>
      </c>
      <c r="G65" s="38" t="s">
        <v>266</v>
      </c>
      <c r="H65" s="40">
        <v>45</v>
      </c>
      <c r="I65" s="38" t="s">
        <v>541</v>
      </c>
      <c r="J65" s="38" t="s">
        <v>355</v>
      </c>
      <c r="K65" s="41">
        <v>47016</v>
      </c>
      <c r="L65" s="39" t="s">
        <v>608</v>
      </c>
      <c r="M65" s="38" t="s">
        <v>603</v>
      </c>
    </row>
    <row r="66" spans="1:13" x14ac:dyDescent="0.2">
      <c r="A66" s="38" t="s">
        <v>609</v>
      </c>
      <c r="B66" s="38" t="s">
        <v>610</v>
      </c>
      <c r="C66" s="38" t="s">
        <v>520</v>
      </c>
      <c r="D66" s="38" t="s">
        <v>611</v>
      </c>
      <c r="E66" s="39" t="s">
        <v>612</v>
      </c>
      <c r="F66" s="38" t="s">
        <v>613</v>
      </c>
      <c r="G66" s="38" t="s">
        <v>287</v>
      </c>
      <c r="H66" s="40">
        <v>85</v>
      </c>
      <c r="I66" s="38" t="s">
        <v>541</v>
      </c>
      <c r="J66" s="38" t="s">
        <v>355</v>
      </c>
      <c r="K66" s="41">
        <v>47027</v>
      </c>
      <c r="L66" s="39" t="s">
        <v>614</v>
      </c>
      <c r="M66" s="38" t="s">
        <v>615</v>
      </c>
    </row>
    <row r="67" spans="1:13" x14ac:dyDescent="0.2">
      <c r="A67" s="38" t="s">
        <v>616</v>
      </c>
      <c r="B67" s="38" t="s">
        <v>617</v>
      </c>
      <c r="C67" s="38" t="s">
        <v>618</v>
      </c>
      <c r="D67" s="38" t="s">
        <v>619</v>
      </c>
      <c r="E67" s="39" t="s">
        <v>620</v>
      </c>
      <c r="F67" s="38" t="s">
        <v>523</v>
      </c>
      <c r="G67" s="38" t="s">
        <v>266</v>
      </c>
      <c r="H67" s="40">
        <v>95</v>
      </c>
      <c r="I67" s="38" t="s">
        <v>323</v>
      </c>
      <c r="J67" s="38" t="s">
        <v>368</v>
      </c>
      <c r="K67" s="41">
        <v>47041</v>
      </c>
      <c r="L67" s="39" t="s">
        <v>621</v>
      </c>
      <c r="M67" s="38" t="s">
        <v>525</v>
      </c>
    </row>
    <row r="68" spans="1:13" x14ac:dyDescent="0.2">
      <c r="A68" s="38" t="s">
        <v>622</v>
      </c>
      <c r="B68" s="38" t="s">
        <v>623</v>
      </c>
      <c r="C68" s="38" t="s">
        <v>618</v>
      </c>
      <c r="D68" s="38" t="s">
        <v>624</v>
      </c>
      <c r="E68" s="39" t="s">
        <v>625</v>
      </c>
      <c r="F68" s="38" t="s">
        <v>523</v>
      </c>
      <c r="G68" s="38" t="s">
        <v>266</v>
      </c>
      <c r="H68" s="40">
        <v>22</v>
      </c>
      <c r="I68" s="38" t="s">
        <v>323</v>
      </c>
      <c r="J68" s="38" t="s">
        <v>368</v>
      </c>
      <c r="K68" s="41">
        <v>47046</v>
      </c>
      <c r="L68" s="39" t="s">
        <v>626</v>
      </c>
      <c r="M68" s="38" t="s">
        <v>525</v>
      </c>
    </row>
    <row r="69" spans="1:13" x14ac:dyDescent="0.2">
      <c r="A69" s="38" t="s">
        <v>627</v>
      </c>
      <c r="B69" s="38" t="s">
        <v>628</v>
      </c>
      <c r="C69" s="38" t="s">
        <v>618</v>
      </c>
      <c r="D69" s="38" t="s">
        <v>629</v>
      </c>
      <c r="E69" s="39" t="s">
        <v>630</v>
      </c>
      <c r="F69" s="38" t="s">
        <v>523</v>
      </c>
      <c r="G69" s="38" t="s">
        <v>266</v>
      </c>
      <c r="H69" s="40">
        <v>145</v>
      </c>
      <c r="I69" s="38" t="s">
        <v>535</v>
      </c>
      <c r="J69" s="38" t="s">
        <v>368</v>
      </c>
      <c r="K69" s="41">
        <v>47062</v>
      </c>
      <c r="L69" s="39" t="s">
        <v>631</v>
      </c>
      <c r="M69" s="38" t="s">
        <v>525</v>
      </c>
    </row>
    <row r="70" spans="1:13" x14ac:dyDescent="0.2">
      <c r="A70" s="38" t="s">
        <v>632</v>
      </c>
      <c r="B70" s="38" t="s">
        <v>633</v>
      </c>
      <c r="C70" s="38" t="s">
        <v>618</v>
      </c>
      <c r="D70" s="38" t="s">
        <v>634</v>
      </c>
      <c r="E70" s="39" t="s">
        <v>635</v>
      </c>
      <c r="F70" s="38" t="s">
        <v>523</v>
      </c>
      <c r="G70" s="38" t="s">
        <v>266</v>
      </c>
      <c r="H70" s="40">
        <v>68</v>
      </c>
      <c r="I70" s="38" t="s">
        <v>323</v>
      </c>
      <c r="J70" s="38" t="s">
        <v>368</v>
      </c>
      <c r="K70" s="41">
        <v>47072</v>
      </c>
      <c r="L70" s="39" t="s">
        <v>636</v>
      </c>
      <c r="M70" s="38" t="s">
        <v>497</v>
      </c>
    </row>
    <row r="71" spans="1:13" x14ac:dyDescent="0.2">
      <c r="A71" s="38" t="s">
        <v>637</v>
      </c>
      <c r="B71" s="38" t="s">
        <v>638</v>
      </c>
      <c r="C71" s="38" t="s">
        <v>618</v>
      </c>
      <c r="D71" s="38" t="s">
        <v>639</v>
      </c>
      <c r="E71" s="39" t="s">
        <v>640</v>
      </c>
      <c r="F71" s="38" t="s">
        <v>523</v>
      </c>
      <c r="G71" s="38" t="s">
        <v>266</v>
      </c>
      <c r="H71" s="40">
        <v>35</v>
      </c>
      <c r="I71" s="38" t="s">
        <v>541</v>
      </c>
      <c r="J71" s="38" t="s">
        <v>368</v>
      </c>
      <c r="K71" s="41">
        <v>47077</v>
      </c>
      <c r="L71" s="39" t="s">
        <v>641</v>
      </c>
      <c r="M71" s="38" t="s">
        <v>525</v>
      </c>
    </row>
    <row r="72" spans="1:13" x14ac:dyDescent="0.2">
      <c r="A72" s="38" t="s">
        <v>642</v>
      </c>
      <c r="B72" s="38" t="s">
        <v>643</v>
      </c>
      <c r="C72" s="38" t="s">
        <v>618</v>
      </c>
      <c r="D72" s="38" t="s">
        <v>644</v>
      </c>
      <c r="E72" s="39" t="s">
        <v>645</v>
      </c>
      <c r="F72" s="38" t="s">
        <v>523</v>
      </c>
      <c r="G72" s="38" t="s">
        <v>266</v>
      </c>
      <c r="H72" s="40">
        <v>28</v>
      </c>
      <c r="I72" s="38" t="s">
        <v>541</v>
      </c>
      <c r="J72" s="38" t="s">
        <v>368</v>
      </c>
      <c r="K72" s="41">
        <v>47082</v>
      </c>
      <c r="L72" s="39" t="s">
        <v>542</v>
      </c>
      <c r="M72" s="38" t="s">
        <v>525</v>
      </c>
    </row>
    <row r="73" spans="1:13" x14ac:dyDescent="0.2">
      <c r="A73" s="38" t="s">
        <v>646</v>
      </c>
      <c r="B73" s="38" t="s">
        <v>647</v>
      </c>
      <c r="C73" s="38" t="s">
        <v>618</v>
      </c>
      <c r="D73" s="38" t="s">
        <v>648</v>
      </c>
      <c r="E73" s="39" t="s">
        <v>649</v>
      </c>
      <c r="F73" s="38" t="s">
        <v>523</v>
      </c>
      <c r="G73" s="38" t="s">
        <v>266</v>
      </c>
      <c r="H73" s="40">
        <v>55</v>
      </c>
      <c r="I73" s="38" t="s">
        <v>541</v>
      </c>
      <c r="J73" s="38" t="s">
        <v>368</v>
      </c>
      <c r="K73" s="41">
        <v>47088</v>
      </c>
      <c r="L73" s="39" t="s">
        <v>650</v>
      </c>
      <c r="M73" s="38" t="s">
        <v>573</v>
      </c>
    </row>
    <row r="74" spans="1:13" x14ac:dyDescent="0.2">
      <c r="A74" s="38" t="s">
        <v>651</v>
      </c>
      <c r="B74" s="38" t="s">
        <v>652</v>
      </c>
      <c r="C74" s="38" t="s">
        <v>618</v>
      </c>
      <c r="D74" s="38" t="s">
        <v>653</v>
      </c>
      <c r="E74" s="39" t="s">
        <v>654</v>
      </c>
      <c r="F74" s="38" t="s">
        <v>523</v>
      </c>
      <c r="G74" s="38" t="s">
        <v>266</v>
      </c>
      <c r="H74" s="40">
        <v>32</v>
      </c>
      <c r="I74" s="38" t="s">
        <v>541</v>
      </c>
      <c r="J74" s="38" t="s">
        <v>368</v>
      </c>
      <c r="K74" s="41">
        <v>47092</v>
      </c>
      <c r="L74" s="39" t="s">
        <v>655</v>
      </c>
      <c r="M74" s="38" t="s">
        <v>573</v>
      </c>
    </row>
    <row r="75" spans="1:13" x14ac:dyDescent="0.2">
      <c r="A75" s="38" t="s">
        <v>656</v>
      </c>
      <c r="B75" s="38" t="s">
        <v>657</v>
      </c>
      <c r="C75" s="38" t="s">
        <v>618</v>
      </c>
      <c r="D75" s="38" t="s">
        <v>658</v>
      </c>
      <c r="E75" s="39" t="s">
        <v>659</v>
      </c>
      <c r="F75" s="38" t="s">
        <v>613</v>
      </c>
      <c r="G75" s="38" t="s">
        <v>287</v>
      </c>
      <c r="H75" s="40">
        <v>24</v>
      </c>
      <c r="I75" s="38" t="s">
        <v>541</v>
      </c>
      <c r="J75" s="38" t="s">
        <v>368</v>
      </c>
      <c r="K75" s="41">
        <v>47097</v>
      </c>
      <c r="L75" s="39" t="s">
        <v>660</v>
      </c>
      <c r="M75" s="38" t="s">
        <v>615</v>
      </c>
    </row>
    <row r="76" spans="1:13" x14ac:dyDescent="0.2">
      <c r="A76" s="38" t="s">
        <v>661</v>
      </c>
      <c r="B76" s="38" t="s">
        <v>662</v>
      </c>
      <c r="C76" s="38" t="s">
        <v>618</v>
      </c>
      <c r="D76" s="38" t="s">
        <v>663</v>
      </c>
      <c r="E76" s="39" t="s">
        <v>664</v>
      </c>
      <c r="F76" s="38" t="s">
        <v>523</v>
      </c>
      <c r="G76" s="38" t="s">
        <v>266</v>
      </c>
      <c r="H76" s="40">
        <v>40</v>
      </c>
      <c r="I76" s="38" t="s">
        <v>267</v>
      </c>
      <c r="J76" s="38" t="s">
        <v>368</v>
      </c>
      <c r="K76" s="41">
        <v>47102</v>
      </c>
      <c r="L76" s="39" t="s">
        <v>665</v>
      </c>
      <c r="M76" s="38" t="s">
        <v>666</v>
      </c>
    </row>
    <row r="77" spans="1:13" x14ac:dyDescent="0.2">
      <c r="A77" s="38" t="s">
        <v>667</v>
      </c>
      <c r="B77" s="38" t="s">
        <v>668</v>
      </c>
      <c r="C77" s="38" t="s">
        <v>618</v>
      </c>
      <c r="D77" s="38" t="s">
        <v>669</v>
      </c>
      <c r="E77" s="39" t="s">
        <v>670</v>
      </c>
      <c r="F77" s="38" t="s">
        <v>523</v>
      </c>
      <c r="G77" s="38" t="s">
        <v>671</v>
      </c>
      <c r="H77" s="40">
        <v>38</v>
      </c>
      <c r="I77" s="38" t="s">
        <v>166</v>
      </c>
      <c r="J77" s="38" t="s">
        <v>368</v>
      </c>
      <c r="K77" s="41">
        <v>47107</v>
      </c>
      <c r="L77" s="39" t="s">
        <v>672</v>
      </c>
      <c r="M77" s="38" t="s">
        <v>673</v>
      </c>
    </row>
    <row r="78" spans="1:13" x14ac:dyDescent="0.2">
      <c r="A78" s="38" t="s">
        <v>674</v>
      </c>
      <c r="B78" s="38" t="s">
        <v>675</v>
      </c>
      <c r="C78" s="38" t="s">
        <v>618</v>
      </c>
      <c r="D78" s="38" t="s">
        <v>676</v>
      </c>
      <c r="E78" s="39" t="s">
        <v>677</v>
      </c>
      <c r="F78" s="38" t="s">
        <v>523</v>
      </c>
      <c r="G78" s="38" t="s">
        <v>287</v>
      </c>
      <c r="H78" s="40">
        <v>8.5</v>
      </c>
      <c r="I78" s="38" t="s">
        <v>541</v>
      </c>
      <c r="J78" s="38" t="s">
        <v>368</v>
      </c>
      <c r="K78" s="41">
        <v>47109</v>
      </c>
      <c r="L78" s="39" t="s">
        <v>678</v>
      </c>
      <c r="M78" s="38" t="s">
        <v>289</v>
      </c>
    </row>
    <row r="79" spans="1:13" x14ac:dyDescent="0.2">
      <c r="A79" s="38" t="s">
        <v>679</v>
      </c>
      <c r="B79" s="38" t="s">
        <v>680</v>
      </c>
      <c r="C79" s="38" t="s">
        <v>618</v>
      </c>
      <c r="D79" s="38" t="s">
        <v>681</v>
      </c>
      <c r="E79" s="39" t="s">
        <v>682</v>
      </c>
      <c r="F79" s="38" t="s">
        <v>523</v>
      </c>
      <c r="G79" s="38" t="s">
        <v>266</v>
      </c>
      <c r="H79" s="40">
        <v>12</v>
      </c>
      <c r="I79" s="38" t="s">
        <v>541</v>
      </c>
      <c r="J79" s="38" t="s">
        <v>368</v>
      </c>
      <c r="K79" s="41">
        <v>47115</v>
      </c>
      <c r="L79" s="39" t="s">
        <v>683</v>
      </c>
      <c r="M79" s="38" t="s">
        <v>289</v>
      </c>
    </row>
    <row r="80" spans="1:13" x14ac:dyDescent="0.2">
      <c r="A80" s="38" t="s">
        <v>684</v>
      </c>
      <c r="B80" s="38" t="s">
        <v>685</v>
      </c>
      <c r="C80" s="38" t="s">
        <v>686</v>
      </c>
      <c r="D80" s="38" t="s">
        <v>687</v>
      </c>
      <c r="E80" s="39" t="s">
        <v>688</v>
      </c>
      <c r="F80" s="38" t="s">
        <v>689</v>
      </c>
      <c r="G80" s="38" t="s">
        <v>266</v>
      </c>
      <c r="H80" s="40">
        <v>12</v>
      </c>
      <c r="I80" s="38" t="s">
        <v>323</v>
      </c>
      <c r="J80" s="38" t="s">
        <v>368</v>
      </c>
      <c r="K80" s="41">
        <v>46813</v>
      </c>
      <c r="L80" s="39" t="s">
        <v>690</v>
      </c>
      <c r="M80" s="38" t="s">
        <v>497</v>
      </c>
    </row>
    <row r="81" spans="1:13" x14ac:dyDescent="0.2">
      <c r="A81" s="38" t="s">
        <v>691</v>
      </c>
      <c r="B81" s="38" t="s">
        <v>692</v>
      </c>
      <c r="C81" s="38" t="s">
        <v>686</v>
      </c>
      <c r="D81" s="38" t="s">
        <v>693</v>
      </c>
      <c r="E81" s="39" t="s">
        <v>694</v>
      </c>
      <c r="F81" s="38" t="s">
        <v>367</v>
      </c>
      <c r="G81" s="38" t="s">
        <v>266</v>
      </c>
      <c r="H81" s="40">
        <v>35</v>
      </c>
      <c r="I81" s="38" t="s">
        <v>323</v>
      </c>
      <c r="J81" s="38" t="s">
        <v>368</v>
      </c>
      <c r="K81" s="41">
        <v>46844</v>
      </c>
      <c r="L81" s="39" t="s">
        <v>695</v>
      </c>
      <c r="M81" s="38" t="s">
        <v>370</v>
      </c>
    </row>
    <row r="82" spans="1:13" x14ac:dyDescent="0.2">
      <c r="A82" s="38" t="s">
        <v>696</v>
      </c>
      <c r="B82" s="38" t="s">
        <v>697</v>
      </c>
      <c r="C82" s="38" t="s">
        <v>686</v>
      </c>
      <c r="D82" s="38" t="s">
        <v>698</v>
      </c>
      <c r="E82" s="39" t="s">
        <v>699</v>
      </c>
      <c r="F82" s="38" t="s">
        <v>700</v>
      </c>
      <c r="G82" s="38" t="s">
        <v>266</v>
      </c>
      <c r="H82" s="40">
        <v>85</v>
      </c>
      <c r="I82" s="38" t="s">
        <v>323</v>
      </c>
      <c r="J82" s="38" t="s">
        <v>368</v>
      </c>
      <c r="K82" s="41">
        <v>46874</v>
      </c>
      <c r="L82" s="39" t="s">
        <v>496</v>
      </c>
      <c r="M82" s="38" t="s">
        <v>497</v>
      </c>
    </row>
    <row r="83" spans="1:13" x14ac:dyDescent="0.2">
      <c r="A83" s="38" t="s">
        <v>701</v>
      </c>
      <c r="B83" s="38" t="s">
        <v>702</v>
      </c>
      <c r="C83" s="38" t="s">
        <v>686</v>
      </c>
      <c r="D83" s="38" t="s">
        <v>703</v>
      </c>
      <c r="E83" s="39" t="s">
        <v>704</v>
      </c>
      <c r="F83" s="38" t="s">
        <v>700</v>
      </c>
      <c r="G83" s="38" t="s">
        <v>266</v>
      </c>
      <c r="H83" s="40">
        <v>48</v>
      </c>
      <c r="I83" s="38" t="s">
        <v>323</v>
      </c>
      <c r="J83" s="38" t="s">
        <v>368</v>
      </c>
      <c r="K83" s="41">
        <v>46888</v>
      </c>
      <c r="L83" s="39" t="s">
        <v>705</v>
      </c>
      <c r="M83" s="38" t="s">
        <v>497</v>
      </c>
    </row>
    <row r="84" spans="1:13" x14ac:dyDescent="0.2">
      <c r="A84" s="38" t="s">
        <v>706</v>
      </c>
      <c r="B84" s="38" t="s">
        <v>707</v>
      </c>
      <c r="C84" s="38" t="s">
        <v>686</v>
      </c>
      <c r="D84" s="38" t="s">
        <v>708</v>
      </c>
      <c r="E84" s="39" t="s">
        <v>709</v>
      </c>
      <c r="F84" s="38" t="s">
        <v>700</v>
      </c>
      <c r="G84" s="38" t="s">
        <v>266</v>
      </c>
      <c r="H84" s="40">
        <v>32</v>
      </c>
      <c r="I84" s="38" t="s">
        <v>323</v>
      </c>
      <c r="J84" s="38" t="s">
        <v>368</v>
      </c>
      <c r="K84" s="41">
        <v>46898</v>
      </c>
      <c r="L84" s="39" t="s">
        <v>710</v>
      </c>
      <c r="M84" s="38" t="s">
        <v>497</v>
      </c>
    </row>
    <row r="85" spans="1:13" x14ac:dyDescent="0.2">
      <c r="A85" s="38" t="s">
        <v>711</v>
      </c>
      <c r="B85" s="38" t="s">
        <v>712</v>
      </c>
      <c r="C85" s="38" t="s">
        <v>686</v>
      </c>
      <c r="D85" s="38" t="s">
        <v>713</v>
      </c>
      <c r="E85" s="39" t="s">
        <v>714</v>
      </c>
      <c r="F85" s="38" t="s">
        <v>700</v>
      </c>
      <c r="G85" s="38" t="s">
        <v>266</v>
      </c>
      <c r="H85" s="40">
        <v>27</v>
      </c>
      <c r="I85" s="38" t="s">
        <v>323</v>
      </c>
      <c r="J85" s="38" t="s">
        <v>368</v>
      </c>
      <c r="K85" s="41">
        <v>46905</v>
      </c>
      <c r="L85" s="39" t="s">
        <v>715</v>
      </c>
      <c r="M85" s="38" t="s">
        <v>497</v>
      </c>
    </row>
    <row r="86" spans="1:13" x14ac:dyDescent="0.2">
      <c r="A86" s="38" t="s">
        <v>716</v>
      </c>
      <c r="B86" s="38" t="s">
        <v>717</v>
      </c>
      <c r="C86" s="38" t="s">
        <v>686</v>
      </c>
      <c r="D86" s="38" t="s">
        <v>718</v>
      </c>
      <c r="E86" s="39" t="s">
        <v>719</v>
      </c>
      <c r="F86" s="38" t="s">
        <v>700</v>
      </c>
      <c r="G86" s="38" t="s">
        <v>266</v>
      </c>
      <c r="H86" s="40">
        <v>9.5</v>
      </c>
      <c r="I86" s="38" t="s">
        <v>323</v>
      </c>
      <c r="J86" s="38" t="s">
        <v>368</v>
      </c>
      <c r="K86" s="41">
        <v>46909</v>
      </c>
      <c r="L86" s="39" t="s">
        <v>512</v>
      </c>
      <c r="M86" s="38" t="s">
        <v>497</v>
      </c>
    </row>
    <row r="87" spans="1:13" x14ac:dyDescent="0.2">
      <c r="A87" s="38" t="s">
        <v>720</v>
      </c>
      <c r="B87" s="38" t="s">
        <v>721</v>
      </c>
      <c r="C87" s="38" t="s">
        <v>686</v>
      </c>
      <c r="D87" s="38" t="s">
        <v>722</v>
      </c>
      <c r="E87" s="39" t="s">
        <v>723</v>
      </c>
      <c r="F87" s="38" t="s">
        <v>700</v>
      </c>
      <c r="G87" s="38" t="s">
        <v>266</v>
      </c>
      <c r="H87" s="40">
        <v>18</v>
      </c>
      <c r="I87" s="38" t="s">
        <v>323</v>
      </c>
      <c r="J87" s="38" t="s">
        <v>368</v>
      </c>
      <c r="K87" s="41">
        <v>46919</v>
      </c>
      <c r="L87" s="39" t="s">
        <v>724</v>
      </c>
      <c r="M87" s="38" t="s">
        <v>497</v>
      </c>
    </row>
    <row r="88" spans="1:13" x14ac:dyDescent="0.2">
      <c r="A88" s="38" t="s">
        <v>725</v>
      </c>
      <c r="B88" s="38" t="s">
        <v>726</v>
      </c>
      <c r="C88" s="38" t="s">
        <v>686</v>
      </c>
      <c r="D88" s="38" t="s">
        <v>727</v>
      </c>
      <c r="E88" s="39" t="s">
        <v>728</v>
      </c>
      <c r="F88" s="38" t="s">
        <v>700</v>
      </c>
      <c r="G88" s="38" t="s">
        <v>266</v>
      </c>
      <c r="H88" s="40">
        <v>6.5</v>
      </c>
      <c r="I88" s="38" t="s">
        <v>323</v>
      </c>
      <c r="J88" s="38" t="s">
        <v>368</v>
      </c>
      <c r="K88" s="41">
        <v>46924</v>
      </c>
      <c r="L88" s="39" t="s">
        <v>729</v>
      </c>
      <c r="M88" s="38" t="s">
        <v>497</v>
      </c>
    </row>
    <row r="89" spans="1:13" x14ac:dyDescent="0.2">
      <c r="A89" s="38" t="s">
        <v>730</v>
      </c>
      <c r="B89" s="38" t="s">
        <v>731</v>
      </c>
      <c r="C89" s="38" t="s">
        <v>686</v>
      </c>
      <c r="D89" s="38" t="s">
        <v>732</v>
      </c>
      <c r="E89" s="39" t="s">
        <v>733</v>
      </c>
      <c r="F89" s="38" t="s">
        <v>700</v>
      </c>
      <c r="G89" s="38" t="s">
        <v>266</v>
      </c>
      <c r="H89" s="40">
        <v>22</v>
      </c>
      <c r="I89" s="38" t="s">
        <v>323</v>
      </c>
      <c r="J89" s="38" t="s">
        <v>368</v>
      </c>
      <c r="K89" s="41">
        <v>46929</v>
      </c>
      <c r="L89" s="39" t="s">
        <v>734</v>
      </c>
      <c r="M89" s="38" t="s">
        <v>289</v>
      </c>
    </row>
    <row r="90" spans="1:13" x14ac:dyDescent="0.2">
      <c r="A90" s="38" t="s">
        <v>735</v>
      </c>
      <c r="B90" s="38" t="s">
        <v>736</v>
      </c>
      <c r="C90" s="38" t="s">
        <v>737</v>
      </c>
      <c r="D90" s="38" t="s">
        <v>738</v>
      </c>
      <c r="E90" s="39" t="s">
        <v>739</v>
      </c>
      <c r="F90" s="38" t="s">
        <v>265</v>
      </c>
      <c r="G90" s="38" t="s">
        <v>266</v>
      </c>
      <c r="H90" s="40">
        <v>14</v>
      </c>
      <c r="I90" s="38" t="s">
        <v>267</v>
      </c>
      <c r="J90" s="38" t="s">
        <v>355</v>
      </c>
      <c r="K90" s="41">
        <v>46997</v>
      </c>
      <c r="L90" s="39" t="s">
        <v>740</v>
      </c>
      <c r="M90" s="38" t="s">
        <v>741</v>
      </c>
    </row>
    <row r="91" spans="1:13" x14ac:dyDescent="0.2">
      <c r="A91" s="38" t="s">
        <v>742</v>
      </c>
      <c r="B91" s="38" t="s">
        <v>743</v>
      </c>
      <c r="C91" s="38" t="s">
        <v>737</v>
      </c>
      <c r="D91" s="38" t="s">
        <v>744</v>
      </c>
      <c r="E91" s="39" t="s">
        <v>745</v>
      </c>
      <c r="F91" s="38" t="s">
        <v>265</v>
      </c>
      <c r="G91" s="38" t="s">
        <v>266</v>
      </c>
      <c r="H91" s="40">
        <v>12</v>
      </c>
      <c r="I91" s="38" t="s">
        <v>166</v>
      </c>
      <c r="J91" s="38" t="s">
        <v>355</v>
      </c>
      <c r="K91" s="41">
        <v>47011</v>
      </c>
      <c r="L91" s="39" t="s">
        <v>746</v>
      </c>
      <c r="M91" s="38" t="s">
        <v>741</v>
      </c>
    </row>
    <row r="92" spans="1:13" x14ac:dyDescent="0.2">
      <c r="A92" s="38" t="s">
        <v>747</v>
      </c>
      <c r="B92" s="38" t="s">
        <v>748</v>
      </c>
      <c r="C92" s="38" t="s">
        <v>737</v>
      </c>
      <c r="D92" s="38" t="s">
        <v>749</v>
      </c>
      <c r="E92" s="39" t="s">
        <v>750</v>
      </c>
      <c r="F92" s="38" t="s">
        <v>265</v>
      </c>
      <c r="G92" s="38" t="s">
        <v>266</v>
      </c>
      <c r="H92" s="40">
        <v>11.5</v>
      </c>
      <c r="I92" s="38" t="s">
        <v>166</v>
      </c>
      <c r="J92" s="38" t="s">
        <v>355</v>
      </c>
      <c r="K92" s="41">
        <v>47027</v>
      </c>
      <c r="L92" s="39" t="s">
        <v>751</v>
      </c>
      <c r="M92" s="38" t="s">
        <v>741</v>
      </c>
    </row>
    <row r="93" spans="1:13" x14ac:dyDescent="0.2">
      <c r="A93" s="38" t="s">
        <v>752</v>
      </c>
      <c r="B93" s="38" t="s">
        <v>753</v>
      </c>
      <c r="C93" s="38" t="s">
        <v>737</v>
      </c>
      <c r="D93" s="38" t="s">
        <v>754</v>
      </c>
      <c r="E93" s="39" t="s">
        <v>755</v>
      </c>
      <c r="F93" s="38" t="s">
        <v>265</v>
      </c>
      <c r="G93" s="38" t="s">
        <v>266</v>
      </c>
      <c r="H93" s="40">
        <v>18</v>
      </c>
      <c r="I93" s="38" t="s">
        <v>267</v>
      </c>
      <c r="J93" s="38" t="s">
        <v>355</v>
      </c>
      <c r="K93" s="41">
        <v>47036</v>
      </c>
      <c r="L93" s="39" t="s">
        <v>756</v>
      </c>
      <c r="M93" s="38" t="s">
        <v>741</v>
      </c>
    </row>
    <row r="94" spans="1:13" x14ac:dyDescent="0.2">
      <c r="A94" s="38" t="s">
        <v>757</v>
      </c>
      <c r="B94" s="38" t="s">
        <v>758</v>
      </c>
      <c r="C94" s="38" t="s">
        <v>737</v>
      </c>
      <c r="D94" s="38" t="s">
        <v>759</v>
      </c>
      <c r="E94" s="39" t="s">
        <v>760</v>
      </c>
      <c r="F94" s="38" t="s">
        <v>265</v>
      </c>
      <c r="G94" s="38" t="s">
        <v>266</v>
      </c>
      <c r="H94" s="40">
        <v>16</v>
      </c>
      <c r="I94" s="38" t="s">
        <v>267</v>
      </c>
      <c r="J94" s="38" t="s">
        <v>355</v>
      </c>
      <c r="K94" s="41">
        <v>47046</v>
      </c>
      <c r="L94" s="39" t="s">
        <v>761</v>
      </c>
      <c r="M94" s="38" t="s">
        <v>741</v>
      </c>
    </row>
    <row r="95" spans="1:13" x14ac:dyDescent="0.2">
      <c r="A95" s="38" t="s">
        <v>762</v>
      </c>
      <c r="B95" s="38" t="s">
        <v>763</v>
      </c>
      <c r="C95" s="38" t="s">
        <v>737</v>
      </c>
      <c r="D95" s="38" t="s">
        <v>764</v>
      </c>
      <c r="E95" s="39" t="s">
        <v>765</v>
      </c>
      <c r="F95" s="38" t="s">
        <v>265</v>
      </c>
      <c r="G95" s="38" t="s">
        <v>266</v>
      </c>
      <c r="H95" s="40">
        <v>22</v>
      </c>
      <c r="I95" s="38" t="s">
        <v>541</v>
      </c>
      <c r="J95" s="38" t="s">
        <v>355</v>
      </c>
      <c r="K95" s="41">
        <v>47058</v>
      </c>
      <c r="L95" s="39" t="s">
        <v>766</v>
      </c>
      <c r="M95" s="38" t="s">
        <v>741</v>
      </c>
    </row>
    <row r="96" spans="1:13" x14ac:dyDescent="0.2">
      <c r="A96" s="38" t="s">
        <v>767</v>
      </c>
      <c r="B96" s="38" t="s">
        <v>768</v>
      </c>
      <c r="C96" s="38" t="s">
        <v>737</v>
      </c>
      <c r="D96" s="38" t="s">
        <v>769</v>
      </c>
      <c r="E96" s="39" t="s">
        <v>770</v>
      </c>
      <c r="F96" s="38" t="s">
        <v>771</v>
      </c>
      <c r="G96" s="38" t="s">
        <v>266</v>
      </c>
      <c r="H96" s="40">
        <v>48</v>
      </c>
      <c r="I96" s="38" t="s">
        <v>541</v>
      </c>
      <c r="J96" s="38" t="s">
        <v>355</v>
      </c>
      <c r="K96" s="41">
        <v>47067</v>
      </c>
      <c r="L96" s="39" t="s">
        <v>772</v>
      </c>
      <c r="M96" s="38" t="s">
        <v>741</v>
      </c>
    </row>
    <row r="97" spans="1:13" x14ac:dyDescent="0.2">
      <c r="A97" s="38" t="s">
        <v>773</v>
      </c>
      <c r="B97" s="38" t="s">
        <v>774</v>
      </c>
      <c r="C97" s="38" t="s">
        <v>737</v>
      </c>
      <c r="D97" s="38" t="s">
        <v>775</v>
      </c>
      <c r="E97" s="39" t="s">
        <v>776</v>
      </c>
      <c r="F97" s="38" t="s">
        <v>265</v>
      </c>
      <c r="G97" s="38" t="s">
        <v>671</v>
      </c>
      <c r="H97" s="40">
        <v>9.5</v>
      </c>
      <c r="I97" s="38" t="s">
        <v>166</v>
      </c>
      <c r="J97" s="38" t="s">
        <v>355</v>
      </c>
      <c r="K97" s="41">
        <v>47077</v>
      </c>
      <c r="L97" s="39" t="s">
        <v>777</v>
      </c>
      <c r="M97" s="38" t="s">
        <v>741</v>
      </c>
    </row>
    <row r="98" spans="1:13" x14ac:dyDescent="0.2">
      <c r="A98" s="38" t="s">
        <v>778</v>
      </c>
      <c r="B98" s="38" t="s">
        <v>779</v>
      </c>
      <c r="C98" s="38" t="s">
        <v>737</v>
      </c>
      <c r="D98" s="38" t="s">
        <v>780</v>
      </c>
      <c r="E98" s="39" t="s">
        <v>781</v>
      </c>
      <c r="F98" s="38" t="s">
        <v>265</v>
      </c>
      <c r="G98" s="38" t="s">
        <v>287</v>
      </c>
      <c r="H98" s="40">
        <v>8</v>
      </c>
      <c r="I98" s="38" t="s">
        <v>267</v>
      </c>
      <c r="J98" s="38" t="s">
        <v>355</v>
      </c>
      <c r="K98" s="41">
        <v>47088</v>
      </c>
      <c r="L98" s="39" t="s">
        <v>782</v>
      </c>
      <c r="M98" s="38" t="s">
        <v>741</v>
      </c>
    </row>
    <row r="99" spans="1:13" x14ac:dyDescent="0.2">
      <c r="A99" s="38" t="s">
        <v>783</v>
      </c>
      <c r="B99" s="38" t="s">
        <v>784</v>
      </c>
      <c r="C99" s="38" t="s">
        <v>737</v>
      </c>
      <c r="D99" s="38" t="s">
        <v>785</v>
      </c>
      <c r="E99" s="39" t="s">
        <v>786</v>
      </c>
      <c r="F99" s="38" t="s">
        <v>265</v>
      </c>
      <c r="G99" s="38" t="s">
        <v>266</v>
      </c>
      <c r="H99" s="40">
        <v>13</v>
      </c>
      <c r="I99" s="38" t="s">
        <v>541</v>
      </c>
      <c r="J99" s="38" t="s">
        <v>355</v>
      </c>
      <c r="K99" s="41">
        <v>47092</v>
      </c>
      <c r="L99" s="39" t="s">
        <v>787</v>
      </c>
      <c r="M99" s="38" t="s">
        <v>741</v>
      </c>
    </row>
    <row r="100" spans="1:13" x14ac:dyDescent="0.2">
      <c r="A100" s="38" t="s">
        <v>788</v>
      </c>
      <c r="B100" s="38" t="s">
        <v>789</v>
      </c>
      <c r="C100" s="38" t="s">
        <v>737</v>
      </c>
      <c r="D100" s="38" t="s">
        <v>790</v>
      </c>
      <c r="E100" s="39" t="s">
        <v>791</v>
      </c>
      <c r="F100" s="38" t="s">
        <v>265</v>
      </c>
      <c r="G100" s="38" t="s">
        <v>287</v>
      </c>
      <c r="H100" s="40">
        <v>7.5</v>
      </c>
      <c r="I100" s="38" t="s">
        <v>541</v>
      </c>
      <c r="J100" s="38" t="s">
        <v>355</v>
      </c>
      <c r="K100" s="41">
        <v>47097</v>
      </c>
      <c r="L100" s="39" t="s">
        <v>792</v>
      </c>
      <c r="M100" s="38" t="s">
        <v>741</v>
      </c>
    </row>
    <row r="101" spans="1:13" x14ac:dyDescent="0.2">
      <c r="A101" s="38" t="s">
        <v>793</v>
      </c>
      <c r="B101" s="38" t="s">
        <v>794</v>
      </c>
      <c r="C101" s="38" t="s">
        <v>795</v>
      </c>
      <c r="D101" s="38" t="s">
        <v>796</v>
      </c>
      <c r="E101" s="39" t="s">
        <v>797</v>
      </c>
      <c r="F101" s="38" t="s">
        <v>798</v>
      </c>
      <c r="G101" s="38" t="s">
        <v>485</v>
      </c>
      <c r="H101" s="40">
        <v>85</v>
      </c>
      <c r="I101" s="38" t="s">
        <v>323</v>
      </c>
      <c r="J101" s="38" t="s">
        <v>355</v>
      </c>
      <c r="K101" s="41">
        <v>47027</v>
      </c>
      <c r="L101" s="39" t="s">
        <v>799</v>
      </c>
      <c r="M101" s="38" t="s">
        <v>289</v>
      </c>
    </row>
    <row r="102" spans="1:13" x14ac:dyDescent="0.2">
      <c r="A102" s="38" t="s">
        <v>800</v>
      </c>
      <c r="B102" s="38" t="s">
        <v>801</v>
      </c>
      <c r="C102" s="38" t="s">
        <v>795</v>
      </c>
      <c r="D102" s="38" t="s">
        <v>802</v>
      </c>
      <c r="E102" s="39" t="s">
        <v>803</v>
      </c>
      <c r="F102" s="38" t="s">
        <v>798</v>
      </c>
      <c r="G102" s="38" t="s">
        <v>804</v>
      </c>
      <c r="H102" s="40">
        <v>32</v>
      </c>
      <c r="I102" s="38" t="s">
        <v>541</v>
      </c>
      <c r="J102" s="38" t="s">
        <v>355</v>
      </c>
      <c r="K102" s="41">
        <v>47031</v>
      </c>
      <c r="L102" s="39" t="s">
        <v>805</v>
      </c>
      <c r="M102" s="38" t="s">
        <v>289</v>
      </c>
    </row>
    <row r="103" spans="1:13" x14ac:dyDescent="0.2">
      <c r="A103" s="38" t="s">
        <v>806</v>
      </c>
      <c r="B103" s="38" t="s">
        <v>807</v>
      </c>
      <c r="C103" s="38" t="s">
        <v>795</v>
      </c>
      <c r="D103" s="38" t="s">
        <v>808</v>
      </c>
      <c r="E103" s="39" t="s">
        <v>809</v>
      </c>
      <c r="F103" s="38" t="s">
        <v>798</v>
      </c>
      <c r="G103" s="38" t="s">
        <v>804</v>
      </c>
      <c r="H103" s="40">
        <v>18</v>
      </c>
      <c r="I103" s="38" t="s">
        <v>541</v>
      </c>
      <c r="J103" s="38" t="s">
        <v>355</v>
      </c>
      <c r="K103" s="41">
        <v>47036</v>
      </c>
      <c r="L103" s="39" t="s">
        <v>810</v>
      </c>
      <c r="M103" s="38" t="s">
        <v>289</v>
      </c>
    </row>
    <row r="104" spans="1:13" x14ac:dyDescent="0.2">
      <c r="A104" s="38" t="s">
        <v>811</v>
      </c>
      <c r="B104" s="38" t="s">
        <v>812</v>
      </c>
      <c r="C104" s="38" t="s">
        <v>795</v>
      </c>
      <c r="D104" s="38" t="s">
        <v>813</v>
      </c>
      <c r="E104" s="39" t="s">
        <v>814</v>
      </c>
      <c r="F104" s="38" t="s">
        <v>798</v>
      </c>
      <c r="G104" s="38" t="s">
        <v>287</v>
      </c>
      <c r="H104" s="40">
        <v>14</v>
      </c>
      <c r="I104" s="38" t="s">
        <v>541</v>
      </c>
      <c r="J104" s="38" t="s">
        <v>355</v>
      </c>
      <c r="K104" s="41">
        <v>47041</v>
      </c>
      <c r="L104" s="39" t="s">
        <v>815</v>
      </c>
      <c r="M104" s="38" t="s">
        <v>289</v>
      </c>
    </row>
    <row r="105" spans="1:13" x14ac:dyDescent="0.2">
      <c r="A105" s="38" t="s">
        <v>816</v>
      </c>
      <c r="B105" s="38" t="s">
        <v>817</v>
      </c>
      <c r="C105" s="38" t="s">
        <v>795</v>
      </c>
      <c r="D105" s="38" t="s">
        <v>818</v>
      </c>
      <c r="E105" s="39" t="s">
        <v>819</v>
      </c>
      <c r="F105" s="38" t="s">
        <v>820</v>
      </c>
      <c r="G105" s="38" t="s">
        <v>485</v>
      </c>
      <c r="H105" s="40">
        <v>52</v>
      </c>
      <c r="I105" s="38" t="s">
        <v>541</v>
      </c>
      <c r="J105" s="38" t="s">
        <v>355</v>
      </c>
      <c r="K105" s="41">
        <v>47046</v>
      </c>
      <c r="L105" s="39" t="s">
        <v>821</v>
      </c>
      <c r="M105" s="38" t="s">
        <v>615</v>
      </c>
    </row>
    <row r="106" spans="1:13" x14ac:dyDescent="0.2">
      <c r="A106" s="38" t="s">
        <v>822</v>
      </c>
      <c r="B106" s="38" t="s">
        <v>823</v>
      </c>
      <c r="C106" s="38" t="s">
        <v>795</v>
      </c>
      <c r="D106" s="38" t="s">
        <v>824</v>
      </c>
      <c r="E106" s="39" t="s">
        <v>825</v>
      </c>
      <c r="F106" s="38" t="s">
        <v>820</v>
      </c>
      <c r="G106" s="38" t="s">
        <v>826</v>
      </c>
      <c r="H106" s="40">
        <v>21</v>
      </c>
      <c r="I106" s="38" t="s">
        <v>541</v>
      </c>
      <c r="J106" s="38" t="s">
        <v>355</v>
      </c>
      <c r="K106" s="41">
        <v>47048</v>
      </c>
      <c r="L106" s="39" t="s">
        <v>827</v>
      </c>
      <c r="M106" s="38" t="s">
        <v>615</v>
      </c>
    </row>
    <row r="107" spans="1:13" x14ac:dyDescent="0.2">
      <c r="A107" s="38" t="s">
        <v>828</v>
      </c>
      <c r="B107" s="38" t="s">
        <v>829</v>
      </c>
      <c r="C107" s="38" t="s">
        <v>795</v>
      </c>
      <c r="D107" s="38" t="s">
        <v>830</v>
      </c>
      <c r="E107" s="39" t="s">
        <v>831</v>
      </c>
      <c r="F107" s="38" t="s">
        <v>820</v>
      </c>
      <c r="G107" s="38" t="s">
        <v>287</v>
      </c>
      <c r="H107" s="40">
        <v>9.5</v>
      </c>
      <c r="I107" s="38" t="s">
        <v>541</v>
      </c>
      <c r="J107" s="38" t="s">
        <v>355</v>
      </c>
      <c r="K107" s="41">
        <v>47051</v>
      </c>
      <c r="L107" s="39" t="s">
        <v>832</v>
      </c>
      <c r="M107" s="38" t="s">
        <v>615</v>
      </c>
    </row>
    <row r="108" spans="1:13" x14ac:dyDescent="0.2">
      <c r="A108" s="38" t="s">
        <v>833</v>
      </c>
      <c r="B108" s="38" t="s">
        <v>834</v>
      </c>
      <c r="C108" s="38" t="s">
        <v>795</v>
      </c>
      <c r="D108" s="38" t="s">
        <v>835</v>
      </c>
      <c r="E108" s="39" t="s">
        <v>836</v>
      </c>
      <c r="F108" s="38" t="s">
        <v>771</v>
      </c>
      <c r="G108" s="38" t="s">
        <v>671</v>
      </c>
      <c r="H108" s="40">
        <v>17</v>
      </c>
      <c r="I108" s="38" t="s">
        <v>541</v>
      </c>
      <c r="J108" s="38" t="s">
        <v>355</v>
      </c>
      <c r="K108" s="41">
        <v>47054</v>
      </c>
      <c r="L108" s="39" t="s">
        <v>837</v>
      </c>
      <c r="M108" s="38" t="s">
        <v>289</v>
      </c>
    </row>
    <row r="109" spans="1:13" x14ac:dyDescent="0.2">
      <c r="A109" s="38" t="s">
        <v>838</v>
      </c>
      <c r="B109" s="38" t="s">
        <v>839</v>
      </c>
      <c r="C109" s="38" t="s">
        <v>795</v>
      </c>
      <c r="D109" s="38" t="s">
        <v>840</v>
      </c>
      <c r="E109" s="39" t="s">
        <v>841</v>
      </c>
      <c r="F109" s="38" t="s">
        <v>842</v>
      </c>
      <c r="G109" s="38" t="s">
        <v>485</v>
      </c>
      <c r="H109" s="40">
        <v>12.5</v>
      </c>
      <c r="I109" s="38" t="s">
        <v>541</v>
      </c>
      <c r="J109" s="38" t="s">
        <v>355</v>
      </c>
      <c r="K109" s="41">
        <v>47058</v>
      </c>
      <c r="L109" s="39" t="s">
        <v>843</v>
      </c>
      <c r="M109" s="38" t="s">
        <v>497</v>
      </c>
    </row>
    <row r="110" spans="1:13" x14ac:dyDescent="0.2">
      <c r="A110" s="38" t="s">
        <v>844</v>
      </c>
      <c r="B110" s="38" t="s">
        <v>845</v>
      </c>
      <c r="C110" s="38" t="s">
        <v>795</v>
      </c>
      <c r="D110" s="38" t="s">
        <v>846</v>
      </c>
      <c r="E110" s="39" t="s">
        <v>847</v>
      </c>
      <c r="F110" s="38" t="s">
        <v>771</v>
      </c>
      <c r="G110" s="38" t="s">
        <v>485</v>
      </c>
      <c r="H110" s="40">
        <v>28</v>
      </c>
      <c r="I110" s="38" t="s">
        <v>541</v>
      </c>
      <c r="J110" s="38" t="s">
        <v>355</v>
      </c>
      <c r="K110" s="41">
        <v>47062</v>
      </c>
      <c r="L110" s="39" t="s">
        <v>848</v>
      </c>
      <c r="M110" s="38" t="s">
        <v>370</v>
      </c>
    </row>
    <row r="111" spans="1:13" x14ac:dyDescent="0.2">
      <c r="A111" s="38" t="s">
        <v>849</v>
      </c>
      <c r="B111" s="38" t="s">
        <v>850</v>
      </c>
      <c r="C111" s="38" t="s">
        <v>795</v>
      </c>
      <c r="D111" s="38" t="s">
        <v>851</v>
      </c>
      <c r="E111" s="39" t="s">
        <v>852</v>
      </c>
      <c r="F111" s="38" t="s">
        <v>820</v>
      </c>
      <c r="G111" s="38" t="s">
        <v>287</v>
      </c>
      <c r="H111" s="40">
        <v>16</v>
      </c>
      <c r="I111" s="38" t="s">
        <v>541</v>
      </c>
      <c r="J111" s="38" t="s">
        <v>355</v>
      </c>
      <c r="K111" s="41">
        <v>47067</v>
      </c>
      <c r="L111" s="39" t="s">
        <v>853</v>
      </c>
      <c r="M111" s="38" t="s">
        <v>615</v>
      </c>
    </row>
    <row r="112" spans="1:13" x14ac:dyDescent="0.2">
      <c r="A112" s="38" t="s">
        <v>854</v>
      </c>
      <c r="B112" s="38" t="s">
        <v>855</v>
      </c>
      <c r="C112" s="38" t="s">
        <v>795</v>
      </c>
      <c r="D112" s="38" t="s">
        <v>856</v>
      </c>
      <c r="E112" s="39" t="s">
        <v>857</v>
      </c>
      <c r="F112" s="38" t="s">
        <v>798</v>
      </c>
      <c r="G112" s="38" t="s">
        <v>287</v>
      </c>
      <c r="H112" s="40">
        <v>8.5</v>
      </c>
      <c r="I112" s="38" t="s">
        <v>541</v>
      </c>
      <c r="J112" s="38" t="s">
        <v>355</v>
      </c>
      <c r="K112" s="41">
        <v>47072</v>
      </c>
      <c r="L112" s="39" t="s">
        <v>858</v>
      </c>
      <c r="M112" s="38" t="s">
        <v>289</v>
      </c>
    </row>
    <row r="113" spans="1:13" x14ac:dyDescent="0.2">
      <c r="A113" s="38" t="s">
        <v>859</v>
      </c>
      <c r="B113" s="38" t="s">
        <v>860</v>
      </c>
      <c r="C113" s="38" t="s">
        <v>861</v>
      </c>
      <c r="D113" s="38" t="s">
        <v>862</v>
      </c>
      <c r="E113" s="39" t="s">
        <v>863</v>
      </c>
      <c r="F113" s="38" t="s">
        <v>771</v>
      </c>
      <c r="G113" s="38" t="s">
        <v>266</v>
      </c>
      <c r="H113" s="40">
        <v>95</v>
      </c>
      <c r="I113" s="38" t="s">
        <v>535</v>
      </c>
      <c r="J113" s="38" t="s">
        <v>355</v>
      </c>
      <c r="K113" s="41">
        <v>47077</v>
      </c>
      <c r="L113" s="39" t="s">
        <v>864</v>
      </c>
      <c r="M113" s="38" t="s">
        <v>865</v>
      </c>
    </row>
    <row r="114" spans="1:13" x14ac:dyDescent="0.2">
      <c r="A114" s="38" t="s">
        <v>866</v>
      </c>
      <c r="B114" s="38" t="s">
        <v>867</v>
      </c>
      <c r="C114" s="38" t="s">
        <v>861</v>
      </c>
      <c r="D114" s="38" t="s">
        <v>868</v>
      </c>
      <c r="E114" s="39" t="s">
        <v>869</v>
      </c>
      <c r="F114" s="38" t="s">
        <v>771</v>
      </c>
      <c r="G114" s="38" t="s">
        <v>598</v>
      </c>
      <c r="H114" s="40">
        <v>28</v>
      </c>
      <c r="I114" s="38" t="s">
        <v>541</v>
      </c>
      <c r="J114" s="38" t="s">
        <v>355</v>
      </c>
      <c r="K114" s="41">
        <v>47082</v>
      </c>
      <c r="L114" s="39" t="s">
        <v>870</v>
      </c>
      <c r="M114" s="38" t="s">
        <v>865</v>
      </c>
    </row>
    <row r="115" spans="1:13" x14ac:dyDescent="0.2">
      <c r="A115" s="38" t="s">
        <v>871</v>
      </c>
      <c r="B115" s="38" t="s">
        <v>872</v>
      </c>
      <c r="C115" s="38" t="s">
        <v>861</v>
      </c>
      <c r="D115" s="38" t="s">
        <v>873</v>
      </c>
      <c r="E115" s="39" t="s">
        <v>874</v>
      </c>
      <c r="F115" s="38" t="s">
        <v>771</v>
      </c>
      <c r="G115" s="38" t="s">
        <v>598</v>
      </c>
      <c r="H115" s="40">
        <v>22</v>
      </c>
      <c r="I115" s="38" t="s">
        <v>541</v>
      </c>
      <c r="J115" s="38" t="s">
        <v>355</v>
      </c>
      <c r="K115" s="41">
        <v>47085</v>
      </c>
      <c r="L115" s="39" t="s">
        <v>875</v>
      </c>
      <c r="M115" s="38" t="s">
        <v>865</v>
      </c>
    </row>
    <row r="116" spans="1:13" x14ac:dyDescent="0.2">
      <c r="A116" s="38" t="s">
        <v>876</v>
      </c>
      <c r="B116" s="38" t="s">
        <v>877</v>
      </c>
      <c r="C116" s="38" t="s">
        <v>861</v>
      </c>
      <c r="D116" s="38" t="s">
        <v>878</v>
      </c>
      <c r="E116" s="39" t="s">
        <v>879</v>
      </c>
      <c r="F116" s="38" t="s">
        <v>613</v>
      </c>
      <c r="G116" s="38" t="s">
        <v>598</v>
      </c>
      <c r="H116" s="40">
        <v>18</v>
      </c>
      <c r="I116" s="38" t="s">
        <v>541</v>
      </c>
      <c r="J116" s="38" t="s">
        <v>355</v>
      </c>
      <c r="K116" s="41">
        <v>47088</v>
      </c>
      <c r="L116" s="39" t="s">
        <v>880</v>
      </c>
      <c r="M116" s="38" t="s">
        <v>615</v>
      </c>
    </row>
    <row r="117" spans="1:13" x14ac:dyDescent="0.2">
      <c r="A117" s="38" t="s">
        <v>881</v>
      </c>
      <c r="B117" s="38" t="s">
        <v>882</v>
      </c>
      <c r="C117" s="38" t="s">
        <v>861</v>
      </c>
      <c r="D117" s="38" t="s">
        <v>883</v>
      </c>
      <c r="E117" s="39" t="s">
        <v>884</v>
      </c>
      <c r="F117" s="38" t="s">
        <v>771</v>
      </c>
      <c r="G117" s="38" t="s">
        <v>598</v>
      </c>
      <c r="H117" s="40">
        <v>12</v>
      </c>
      <c r="I117" s="38" t="s">
        <v>541</v>
      </c>
      <c r="J117" s="38" t="s">
        <v>355</v>
      </c>
      <c r="K117" s="41">
        <v>47092</v>
      </c>
      <c r="L117" s="39" t="s">
        <v>751</v>
      </c>
      <c r="M117" s="38" t="s">
        <v>865</v>
      </c>
    </row>
    <row r="118" spans="1:13" x14ac:dyDescent="0.2">
      <c r="A118" s="38" t="s">
        <v>885</v>
      </c>
      <c r="B118" s="38" t="s">
        <v>886</v>
      </c>
      <c r="C118" s="38" t="s">
        <v>887</v>
      </c>
      <c r="D118" s="38" t="s">
        <v>888</v>
      </c>
      <c r="E118" s="39" t="s">
        <v>889</v>
      </c>
      <c r="F118" s="38" t="s">
        <v>367</v>
      </c>
      <c r="G118" s="38" t="s">
        <v>890</v>
      </c>
      <c r="H118" s="40">
        <v>28</v>
      </c>
      <c r="I118" s="38" t="s">
        <v>541</v>
      </c>
      <c r="J118" s="38" t="s">
        <v>355</v>
      </c>
      <c r="K118" s="41">
        <v>47046</v>
      </c>
      <c r="L118" s="39" t="s">
        <v>891</v>
      </c>
      <c r="M118" s="38" t="s">
        <v>289</v>
      </c>
    </row>
    <row r="119" spans="1:13" x14ac:dyDescent="0.2">
      <c r="A119" s="38" t="s">
        <v>892</v>
      </c>
      <c r="B119" s="38" t="s">
        <v>893</v>
      </c>
      <c r="C119" s="38" t="s">
        <v>887</v>
      </c>
      <c r="D119" s="38" t="s">
        <v>894</v>
      </c>
      <c r="E119" s="39" t="s">
        <v>895</v>
      </c>
      <c r="F119" s="38" t="s">
        <v>771</v>
      </c>
      <c r="G119" s="38" t="s">
        <v>890</v>
      </c>
      <c r="H119" s="40">
        <v>14</v>
      </c>
      <c r="I119" s="38" t="s">
        <v>541</v>
      </c>
      <c r="J119" s="38" t="s">
        <v>355</v>
      </c>
      <c r="K119" s="41">
        <v>47051</v>
      </c>
      <c r="L119" s="39" t="s">
        <v>896</v>
      </c>
      <c r="M119" s="38" t="s">
        <v>289</v>
      </c>
    </row>
    <row r="120" spans="1:13" x14ac:dyDescent="0.2">
      <c r="A120" s="38" t="s">
        <v>897</v>
      </c>
      <c r="B120" s="38" t="s">
        <v>898</v>
      </c>
      <c r="C120" s="38" t="s">
        <v>887</v>
      </c>
      <c r="D120" s="38" t="s">
        <v>899</v>
      </c>
      <c r="E120" s="39" t="s">
        <v>900</v>
      </c>
      <c r="F120" s="38" t="s">
        <v>613</v>
      </c>
      <c r="G120" s="38" t="s">
        <v>890</v>
      </c>
      <c r="H120" s="40">
        <v>22</v>
      </c>
      <c r="I120" s="38" t="s">
        <v>541</v>
      </c>
      <c r="J120" s="38" t="s">
        <v>355</v>
      </c>
      <c r="K120" s="41">
        <v>47056</v>
      </c>
      <c r="L120" s="39" t="s">
        <v>901</v>
      </c>
      <c r="M120" s="38" t="s">
        <v>615</v>
      </c>
    </row>
    <row r="121" spans="1:13" x14ac:dyDescent="0.2">
      <c r="A121" s="38" t="s">
        <v>902</v>
      </c>
      <c r="B121" s="38" t="s">
        <v>903</v>
      </c>
      <c r="C121" s="38" t="s">
        <v>887</v>
      </c>
      <c r="D121" s="38" t="s">
        <v>904</v>
      </c>
      <c r="E121" s="39" t="s">
        <v>905</v>
      </c>
      <c r="F121" s="38" t="s">
        <v>798</v>
      </c>
      <c r="G121" s="38" t="s">
        <v>890</v>
      </c>
      <c r="H121" s="40">
        <v>18</v>
      </c>
      <c r="I121" s="38" t="s">
        <v>541</v>
      </c>
      <c r="J121" s="38" t="s">
        <v>355</v>
      </c>
      <c r="K121" s="41">
        <v>47062</v>
      </c>
      <c r="L121" s="39" t="s">
        <v>906</v>
      </c>
      <c r="M121" s="38" t="s">
        <v>289</v>
      </c>
    </row>
    <row r="122" spans="1:13" x14ac:dyDescent="0.2">
      <c r="A122" s="38" t="s">
        <v>907</v>
      </c>
      <c r="B122" s="38" t="s">
        <v>908</v>
      </c>
      <c r="C122" s="38" t="s">
        <v>887</v>
      </c>
      <c r="D122" s="38" t="s">
        <v>909</v>
      </c>
      <c r="E122" s="39" t="s">
        <v>910</v>
      </c>
      <c r="F122" s="38" t="s">
        <v>265</v>
      </c>
      <c r="G122" s="38" t="s">
        <v>890</v>
      </c>
      <c r="H122" s="40">
        <v>9.5</v>
      </c>
      <c r="I122" s="38" t="s">
        <v>267</v>
      </c>
      <c r="J122" s="38" t="s">
        <v>355</v>
      </c>
      <c r="K122" s="41">
        <v>47067</v>
      </c>
      <c r="L122" s="39" t="s">
        <v>911</v>
      </c>
      <c r="M122" s="38" t="s">
        <v>289</v>
      </c>
    </row>
    <row r="123" spans="1:13" x14ac:dyDescent="0.2">
      <c r="A123" s="38" t="s">
        <v>912</v>
      </c>
      <c r="B123" s="38" t="s">
        <v>913</v>
      </c>
      <c r="C123" s="38" t="s">
        <v>914</v>
      </c>
      <c r="D123" s="38" t="s">
        <v>915</v>
      </c>
      <c r="E123" s="39" t="s">
        <v>916</v>
      </c>
      <c r="F123" s="38" t="s">
        <v>798</v>
      </c>
      <c r="G123" s="38" t="s">
        <v>671</v>
      </c>
      <c r="H123" s="40">
        <v>16</v>
      </c>
      <c r="I123" s="38" t="s">
        <v>541</v>
      </c>
      <c r="J123" s="38" t="s">
        <v>355</v>
      </c>
      <c r="K123" s="41">
        <v>47046</v>
      </c>
      <c r="L123" s="39" t="s">
        <v>917</v>
      </c>
      <c r="M123" s="38" t="s">
        <v>289</v>
      </c>
    </row>
    <row r="124" spans="1:13" x14ac:dyDescent="0.2">
      <c r="A124" s="38" t="s">
        <v>918</v>
      </c>
      <c r="B124" s="38" t="s">
        <v>919</v>
      </c>
      <c r="C124" s="38" t="s">
        <v>914</v>
      </c>
      <c r="D124" s="38" t="s">
        <v>899</v>
      </c>
      <c r="E124" s="39" t="s">
        <v>920</v>
      </c>
      <c r="F124" s="38" t="s">
        <v>613</v>
      </c>
      <c r="G124" s="38" t="s">
        <v>671</v>
      </c>
      <c r="H124" s="40">
        <v>14</v>
      </c>
      <c r="I124" s="38" t="s">
        <v>541</v>
      </c>
      <c r="J124" s="38" t="s">
        <v>355</v>
      </c>
      <c r="K124" s="41">
        <v>47051</v>
      </c>
      <c r="L124" s="39" t="s">
        <v>901</v>
      </c>
      <c r="M124" s="38" t="s">
        <v>615</v>
      </c>
    </row>
    <row r="125" spans="1:13" x14ac:dyDescent="0.2">
      <c r="A125" s="38" t="s">
        <v>921</v>
      </c>
      <c r="B125" s="38" t="s">
        <v>922</v>
      </c>
      <c r="C125" s="38" t="s">
        <v>914</v>
      </c>
      <c r="D125" s="38" t="s">
        <v>923</v>
      </c>
      <c r="E125" s="39" t="s">
        <v>924</v>
      </c>
      <c r="F125" s="38" t="s">
        <v>771</v>
      </c>
      <c r="G125" s="38" t="s">
        <v>671</v>
      </c>
      <c r="H125" s="40">
        <v>22</v>
      </c>
      <c r="I125" s="38" t="s">
        <v>541</v>
      </c>
      <c r="J125" s="38" t="s">
        <v>355</v>
      </c>
      <c r="K125" s="41">
        <v>47058</v>
      </c>
      <c r="L125" s="39" t="s">
        <v>925</v>
      </c>
      <c r="M125" s="38" t="s">
        <v>289</v>
      </c>
    </row>
    <row r="126" spans="1:13" x14ac:dyDescent="0.2">
      <c r="A126" s="38" t="s">
        <v>926</v>
      </c>
      <c r="B126" s="38" t="s">
        <v>927</v>
      </c>
      <c r="C126" s="38" t="s">
        <v>914</v>
      </c>
      <c r="D126" s="38" t="s">
        <v>928</v>
      </c>
      <c r="E126" s="39" t="s">
        <v>929</v>
      </c>
      <c r="F126" s="38" t="s">
        <v>613</v>
      </c>
      <c r="G126" s="38" t="s">
        <v>671</v>
      </c>
      <c r="H126" s="40">
        <v>12.5</v>
      </c>
      <c r="I126" s="38" t="s">
        <v>541</v>
      </c>
      <c r="J126" s="38" t="s">
        <v>355</v>
      </c>
      <c r="K126" s="41">
        <v>47062</v>
      </c>
      <c r="L126" s="39" t="s">
        <v>930</v>
      </c>
      <c r="M126" s="38" t="s">
        <v>615</v>
      </c>
    </row>
    <row r="127" spans="1:13" x14ac:dyDescent="0.2">
      <c r="A127" s="38" t="s">
        <v>931</v>
      </c>
      <c r="B127" s="38" t="s">
        <v>932</v>
      </c>
      <c r="C127" s="38" t="s">
        <v>914</v>
      </c>
      <c r="D127" s="38" t="s">
        <v>933</v>
      </c>
      <c r="E127" s="39" t="s">
        <v>934</v>
      </c>
      <c r="F127" s="38" t="s">
        <v>771</v>
      </c>
      <c r="G127" s="38" t="s">
        <v>671</v>
      </c>
      <c r="H127" s="40">
        <v>6.8</v>
      </c>
      <c r="I127" s="38" t="s">
        <v>541</v>
      </c>
      <c r="J127" s="38" t="s">
        <v>355</v>
      </c>
      <c r="K127" s="41">
        <v>47067</v>
      </c>
      <c r="L127" s="39" t="s">
        <v>935</v>
      </c>
      <c r="M127" s="38" t="s">
        <v>289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Assumptions</vt:lpstr>
      <vt:lpstr>Scenario_Manager</vt:lpstr>
      <vt:lpstr>Production_Drivers</vt:lpstr>
      <vt:lpstr>Sales_Drivers</vt:lpstr>
      <vt:lpstr>Cost_Drivers</vt:lpstr>
      <vt:lpstr>CAPEX_Drivers</vt:lpstr>
      <vt:lpstr>Funding_Drivers</vt:lpstr>
      <vt:lpstr>Automation_Hub</vt:lpstr>
      <vt:lpstr>Dashboard_2.0</vt:lpstr>
      <vt:lpstr>CAPEX_Scurve</vt:lpstr>
      <vt:lpstr>Funding_Draw</vt:lpstr>
      <vt:lpstr>IDC</vt:lpstr>
      <vt:lpstr>Debt_Sculpt</vt:lpstr>
      <vt:lpstr>Financials</vt:lpstr>
      <vt:lpstr>DSCR</vt:lpstr>
      <vt:lpstr>NPV_IRR</vt:lpstr>
      <vt:lpstr>Sensitivity</vt:lpstr>
      <vt:lpstr>Dashboard</vt:lpstr>
      <vt:lpstr>Sources_Uses</vt:lpstr>
      <vt:lpstr>DSRA</vt:lpstr>
      <vt:lpstr>Covenants</vt:lpstr>
      <vt:lpstr>Monte_Carlo</vt:lpstr>
      <vt:lpstr>Sensitivity_Tornado</vt:lpstr>
      <vt:lpstr>Bank_Pack</vt:lpstr>
      <vt:lpstr>CFADS_Module</vt:lpstr>
      <vt:lpstr>Debt_Sculpt_DSCR</vt:lpstr>
      <vt:lpstr>S_Curve_Drawdown</vt:lpstr>
      <vt:lpstr>LLCR_PLCR</vt:lpstr>
      <vt:lpstr>Equity_Waterfall</vt:lpstr>
      <vt:lpstr>Credit_Committee_Pack</vt:lpstr>
      <vt:lpstr>CAPEX_Master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Danijela Đurović</dc:creator>
  <dcterms:created xsi:type="dcterms:W3CDTF">2026-05-09T22:26:20Z</dcterms:created>
</cp:coreProperties>
</file>