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dex" sheetId="2" state="visible" r:id="rId4"/>
    <sheet name="Assumptions" sheetId="3" state="visible" r:id="rId5"/>
    <sheet name="Civil_Packages_Master" sheetId="4" state="visible" r:id="rId6"/>
    <sheet name="Category_Summary" sheetId="5" state="visible" r:id="rId7"/>
    <sheet name="CAPEX_Check" sheetId="6" state="visible" r:id="rId8"/>
    <sheet name="Phasing_Link" sheetId="7" state="visible" r:id="rId9"/>
    <sheet name="Asset_Register_Link" sheetId="8" state="visible" r:id="rId10"/>
    <sheet name="Ecosystem_Link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D3" authorId="0">
      <text>
        <r>
          <rPr>
            <sz val="10"/>
            <rFont val="Arial"/>
            <family val="2"/>
          </rPr>
          <t xml:space="preserve">User-provided benchmark: ~€730–€920/m²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3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User-provided overall CAPEX reference: ~€58.275M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3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<sst xmlns="http://schemas.openxmlformats.org/spreadsheetml/2006/main" count="295" uniqueCount="205">
  <si>
    <t xml:space="preserve">ARS CAPEX Civil Packages – Harmonized Workbook</t>
  </si>
  <si>
    <t xml:space="preserve">Project</t>
  </si>
  <si>
    <t xml:space="preserve">ARS Metal Industries</t>
  </si>
  <si>
    <t xml:space="preserve">Module</t>
  </si>
  <si>
    <t xml:space="preserve">CAPEX_Master</t>
  </si>
  <si>
    <t xml:space="preserve">Sub-Module</t>
  </si>
  <si>
    <t xml:space="preserve">Civil_Packages</t>
  </si>
  <si>
    <t xml:space="preserve">Version</t>
  </si>
  <si>
    <t xml:space="preserve">v1.1 Harmonized</t>
  </si>
  <si>
    <t xml:space="preserve">Prepared for</t>
  </si>
  <si>
    <t xml:space="preserve">Internal use / investor preparation</t>
  </si>
  <si>
    <t xml:space="preserve">Model status</t>
  </si>
  <si>
    <t xml:space="preserve">Remediated working model; not a full project finance model</t>
  </si>
  <si>
    <t xml:space="preserve">Civil CAPEX</t>
  </si>
  <si>
    <t xml:space="preserve">Total Project CAPEX</t>
  </si>
  <si>
    <t xml:space="preserve">Civil Share</t>
  </si>
  <si>
    <t xml:space="preserve">Notes</t>
  </si>
  <si>
    <t xml:space="preserve">Workbook harmonized after formula audit: fixed control totals, live-linked category summary, direct phasing link, stronger checks, and MAREL ecosystem bridge.</t>
  </si>
  <si>
    <t xml:space="preserve">Section</t>
  </si>
  <si>
    <t xml:space="preserve">Go to sheet</t>
  </si>
  <si>
    <t xml:space="preserve">Description</t>
  </si>
  <si>
    <t xml:space="preserve">Cover</t>
  </si>
  <si>
    <t xml:space="preserve">Workbook cover and status</t>
  </si>
  <si>
    <t xml:space="preserve">Assumptions</t>
  </si>
  <si>
    <t xml:space="preserve">Key numeric drivers and validation assumptions</t>
  </si>
  <si>
    <t xml:space="preserve">Civil Packages</t>
  </si>
  <si>
    <t xml:space="preserve">Civil_Packages_Master</t>
  </si>
  <si>
    <t xml:space="preserve">Detailed civil packages and formulas</t>
  </si>
  <si>
    <t xml:space="preserve">Category Summary</t>
  </si>
  <si>
    <t xml:space="preserve">Category_Summary</t>
  </si>
  <si>
    <t xml:space="preserve">Live-linked summary by category</t>
  </si>
  <si>
    <t xml:space="preserve">CAPEX Checks</t>
  </si>
  <si>
    <t xml:space="preserve">CAPEX_Check</t>
  </si>
  <si>
    <t xml:space="preserve">Independent control checks</t>
  </si>
  <si>
    <t xml:space="preserve">Phasing</t>
  </si>
  <si>
    <t xml:space="preserve">Phasing_Link</t>
  </si>
  <si>
    <t xml:space="preserve">CAPEX phasing linked to verified total</t>
  </si>
  <si>
    <t xml:space="preserve">Asset Register</t>
  </si>
  <si>
    <t xml:space="preserve">Asset_Register_Link</t>
  </si>
  <si>
    <t xml:space="preserve">Cost and depreciation bridge</t>
  </si>
  <si>
    <t xml:space="preserve">Ecosystem</t>
  </si>
  <si>
    <t xml:space="preserve">Ecosystem_Link</t>
  </si>
  <si>
    <t xml:space="preserve">Civil CAPEX positioning within MAREL ecosystem</t>
  </si>
  <si>
    <t xml:space="preserve">Metric</t>
  </si>
  <si>
    <t xml:space="preserve">Value</t>
  </si>
  <si>
    <t xml:space="preserve">Unit</t>
  </si>
  <si>
    <t xml:space="preserve">Comment</t>
  </si>
  <si>
    <t xml:space="preserve">Area estimate</t>
  </si>
  <si>
    <t xml:space="preserve">m²</t>
  </si>
  <si>
    <t xml:space="preserve">Midpoint estimate</t>
  </si>
  <si>
    <t xml:space="preserve">Low cost benchmark</t>
  </si>
  <si>
    <t xml:space="preserve">EUR/m²</t>
  </si>
  <si>
    <t xml:space="preserve">Benchmark range from user source</t>
  </si>
  <si>
    <t xml:space="preserve">High cost benchmark</t>
  </si>
  <si>
    <t xml:space="preserve">Civil CAPEX total</t>
  </si>
  <si>
    <t xml:space="preserve">EUR</t>
  </si>
  <si>
    <t xml:space="preserve">Verified detailed total</t>
  </si>
  <si>
    <t xml:space="preserve">Total project CAPEX</t>
  </si>
  <si>
    <t xml:space="preserve">From user-provided total project CAPEX</t>
  </si>
  <si>
    <t xml:space="preserve">Civil share of total</t>
  </si>
  <si>
    <t xml:space="preserve">%</t>
  </si>
  <si>
    <t xml:space="preserve">Civil CAPEX / total project CAPEX</t>
  </si>
  <si>
    <t xml:space="preserve">Contingency amount</t>
  </si>
  <si>
    <t xml:space="preserve">Package 19</t>
  </si>
  <si>
    <t xml:space="preserve">Contingency base</t>
  </si>
  <si>
    <t xml:space="preserve">Civil CAPEX excluding contingency</t>
  </si>
  <si>
    <t xml:space="preserve">CONT group code</t>
  </si>
  <si>
    <t xml:space="preserve">CONT</t>
  </si>
  <si>
    <t xml:space="preserve">code</t>
  </si>
  <si>
    <t xml:space="preserve">Helper code for SUMIFS</t>
  </si>
  <si>
    <t xml:space="preserve">Actual contingency %</t>
  </si>
  <si>
    <t xml:space="preserve">Compared against base excluding contingency</t>
  </si>
  <si>
    <t xml:space="preserve">Target contingency min</t>
  </si>
  <si>
    <t xml:space="preserve">Management target</t>
  </si>
  <si>
    <t xml:space="preserve">Target contingency max</t>
  </si>
  <si>
    <t xml:space="preserve">Coverage flag</t>
  </si>
  <si>
    <t xml:space="preserve">Should be within target range</t>
  </si>
  <si>
    <t xml:space="preserve">Phasing 2026</t>
  </si>
  <si>
    <t xml:space="preserve">Input</t>
  </si>
  <si>
    <t xml:space="preserve">Phasing 2027</t>
  </si>
  <si>
    <t xml:space="preserve">Phasing 2028</t>
  </si>
  <si>
    <t xml:space="preserve">Phasing total</t>
  </si>
  <si>
    <t xml:space="preserve">Must equal 100%</t>
  </si>
  <si>
    <t xml:space="preserve">Package ID</t>
  </si>
  <si>
    <t xml:space="preserve">Unit Cost</t>
  </si>
  <si>
    <t xml:space="preserve">Qty</t>
  </si>
  <si>
    <t xml:space="preserve">CAPEX</t>
  </si>
  <si>
    <t xml:space="preserve">Zone</t>
  </si>
  <si>
    <t xml:space="preserve">Function</t>
  </si>
  <si>
    <t xml:space="preserve">Criticality</t>
  </si>
  <si>
    <t xml:space="preserve">Lifetime (yrs)</t>
  </si>
  <si>
    <t xml:space="preserve">Maintenance %</t>
  </si>
  <si>
    <t xml:space="preserve">Category Code</t>
  </si>
  <si>
    <t xml:space="preserve">Projektovanje i dozvole</t>
  </si>
  <si>
    <t xml:space="preserve">Whole</t>
  </si>
  <si>
    <t xml:space="preserve">Planning</t>
  </si>
  <si>
    <t xml:space="preserve">High</t>
  </si>
  <si>
    <t xml:space="preserve">PLAN_PREP</t>
  </si>
  <si>
    <t xml:space="preserve">Zemljani radovi</t>
  </si>
  <si>
    <t xml:space="preserve">Site</t>
  </si>
  <si>
    <t xml:space="preserve">Site prep</t>
  </si>
  <si>
    <t xml:space="preserve">Critical</t>
  </si>
  <si>
    <t xml:space="preserve">Temelji</t>
  </si>
  <si>
    <t xml:space="preserve">Foundations</t>
  </si>
  <si>
    <t xml:space="preserve">Structure</t>
  </si>
  <si>
    <t xml:space="preserve">FOUND_FLOOR</t>
  </si>
  <si>
    <t xml:space="preserve">Industrijski pod</t>
  </si>
  <si>
    <t xml:space="preserve">Production</t>
  </si>
  <si>
    <t xml:space="preserve">Heavy floor</t>
  </si>
  <si>
    <t xml:space="preserve">Čelična konstrukcija</t>
  </si>
  <si>
    <t xml:space="preserve">Hall</t>
  </si>
  <si>
    <t xml:space="preserve">STRUCT_ENV</t>
  </si>
  <si>
    <t xml:space="preserve">Krovni sistem</t>
  </si>
  <si>
    <t xml:space="preserve">Roof</t>
  </si>
  <si>
    <t xml:space="preserve">Roofing</t>
  </si>
  <si>
    <t xml:space="preserve">Fasada</t>
  </si>
  <si>
    <t xml:space="preserve">Envelope</t>
  </si>
  <si>
    <t xml:space="preserve">Cladding</t>
  </si>
  <si>
    <t xml:space="preserve">Industrijska vrata</t>
  </si>
  <si>
    <t xml:space="preserve">Access</t>
  </si>
  <si>
    <t xml:space="preserve">Medium</t>
  </si>
  <si>
    <t xml:space="preserve">DOORS_INT</t>
  </si>
  <si>
    <t xml:space="preserve">Prozori / glazing</t>
  </si>
  <si>
    <t xml:space="preserve">Office</t>
  </si>
  <si>
    <t xml:space="preserve">Daylight</t>
  </si>
  <si>
    <t xml:space="preserve">Elektro instalacije</t>
  </si>
  <si>
    <t xml:space="preserve">Electrical</t>
  </si>
  <si>
    <t xml:space="preserve">ELEC_MECH</t>
  </si>
  <si>
    <t xml:space="preserve">HVAC</t>
  </si>
  <si>
    <t xml:space="preserve">Climate</t>
  </si>
  <si>
    <t xml:space="preserve">Fire protection</t>
  </si>
  <si>
    <t xml:space="preserve">Safety</t>
  </si>
  <si>
    <t xml:space="preserve">SAFETY_UTIL</t>
  </si>
  <si>
    <t xml:space="preserve">Vodovod / sanitarije</t>
  </si>
  <si>
    <t xml:space="preserve">Plumbing</t>
  </si>
  <si>
    <t xml:space="preserve">Utility connection</t>
  </si>
  <si>
    <t xml:space="preserve">Utilities</t>
  </si>
  <si>
    <t xml:space="preserve">Crane rails</t>
  </si>
  <si>
    <t xml:space="preserve">Assembly</t>
  </si>
  <si>
    <t xml:space="preserve">Crane prep</t>
  </si>
  <si>
    <t xml:space="preserve">SPECIAL_EXT</t>
  </si>
  <si>
    <t xml:space="preserve">Office fit-out</t>
  </si>
  <si>
    <t xml:space="preserve">Interiors</t>
  </si>
  <si>
    <t xml:space="preserve">External works</t>
  </si>
  <si>
    <t xml:space="preserve">Roads/yard</t>
  </si>
  <si>
    <t xml:space="preserve">Security systems</t>
  </si>
  <si>
    <t xml:space="preserve">CCTV/access</t>
  </si>
  <si>
    <t xml:space="preserve">IT_SEC</t>
  </si>
  <si>
    <t xml:space="preserve">Contingency</t>
  </si>
  <si>
    <t xml:space="preserve">Risk buffer</t>
  </si>
  <si>
    <t xml:space="preserve">TOTAL</t>
  </si>
  <si>
    <t xml:space="preserve">Category Label</t>
  </si>
  <si>
    <t xml:space="preserve">Packages</t>
  </si>
  <si>
    <t xml:space="preserve">Planning &amp; Prep</t>
  </si>
  <si>
    <t xml:space="preserve">1-2</t>
  </si>
  <si>
    <t xml:space="preserve">Foundations &amp; Flooring</t>
  </si>
  <si>
    <t xml:space="preserve">3-4</t>
  </si>
  <si>
    <t xml:space="preserve">Structure &amp; Envelope</t>
  </si>
  <si>
    <t xml:space="preserve">5-7</t>
  </si>
  <si>
    <t xml:space="preserve">Doors, Windows &amp; Interiors</t>
  </si>
  <si>
    <t xml:space="preserve">8-9,16</t>
  </si>
  <si>
    <t xml:space="preserve">Electrical &amp; Mechanical</t>
  </si>
  <si>
    <t xml:space="preserve">10-11</t>
  </si>
  <si>
    <t xml:space="preserve">Safety &amp; Utilities</t>
  </si>
  <si>
    <t xml:space="preserve">12-14</t>
  </si>
  <si>
    <t xml:space="preserve">Specialized Prep &amp; Externals</t>
  </si>
  <si>
    <t xml:space="preserve">15,17</t>
  </si>
  <si>
    <t xml:space="preserve">IT / Security</t>
  </si>
  <si>
    <t xml:space="preserve">18</t>
  </si>
  <si>
    <t xml:space="preserve">19</t>
  </si>
  <si>
    <t xml:space="preserve">Check</t>
  </si>
  <si>
    <t xml:space="preserve">Formula / Source</t>
  </si>
  <si>
    <t xml:space="preserve">Result</t>
  </si>
  <si>
    <t xml:space="preserve">Status</t>
  </si>
  <si>
    <t xml:space="preserve">Detailed CAPEX total</t>
  </si>
  <si>
    <t xml:space="preserve">Category summary total</t>
  </si>
  <si>
    <t xml:space="preserve">Difference: detail vs summary</t>
  </si>
  <si>
    <t xml:space="preserve">Difference: detail vs phasing</t>
  </si>
  <si>
    <t xml:space="preserve">Phasing % total</t>
  </si>
  <si>
    <t xml:space="preserve">Audit note</t>
  </si>
  <si>
    <t xml:space="preserve">Control totals now reference explicit ranges / verified totals only.</t>
  </si>
  <si>
    <t xml:space="preserve">Year</t>
  </si>
  <si>
    <t xml:space="preserve">% of Civil CAPEX</t>
  </si>
  <si>
    <t xml:space="preserve">Amount</t>
  </si>
  <si>
    <t xml:space="preserve">Asset Class</t>
  </si>
  <si>
    <t xml:space="preserve">Useful Life (yrs)</t>
  </si>
  <si>
    <t xml:space="preserve">Annual Depreciation</t>
  </si>
  <si>
    <t xml:space="preserve">Intangible / Predevelopment</t>
  </si>
  <si>
    <t xml:space="preserve">Land Improvements</t>
  </si>
  <si>
    <t xml:space="preserve">Buildings</t>
  </si>
  <si>
    <t xml:space="preserve">Infrastructure</t>
  </si>
  <si>
    <t xml:space="preserve">Building Fixtures</t>
  </si>
  <si>
    <t xml:space="preserve">Mechanical</t>
  </si>
  <si>
    <t xml:space="preserve">Safety Systems</t>
  </si>
  <si>
    <t xml:space="preserve">TOTAL DEPRECIABLE BASE</t>
  </si>
  <si>
    <t xml:space="preserve">MAREL ecosystem view</t>
  </si>
  <si>
    <t xml:space="preserve">This workbook</t>
  </si>
  <si>
    <t xml:space="preserve">Non-civil CAPEX</t>
  </si>
  <si>
    <t xml:space="preserve">Implied remainder of project CAPEX</t>
  </si>
  <si>
    <t xml:space="preserve">Total industrial asset / project CAPEX</t>
  </si>
  <si>
    <t xml:space="preserve">User-provided project CAPEX</t>
  </si>
  <si>
    <t xml:space="preserve">Civil share</t>
  </si>
  <si>
    <t xml:space="preserve">Civil as % of total project CAPEX</t>
  </si>
  <si>
    <t xml:space="preserve">Readiness flag</t>
  </si>
  <si>
    <t xml:space="preserve">High-level linkage check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</si>
</sst>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_);[RED]\(#,##0\)"/>
    <numFmt numFmtId="166" formatCode="0.0%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2"/>
      <color theme="10"/>
      <name val="Calibri"/>
      <family val="2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0"/>
      <name val="Arial"/>
      <family val="2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ategorySummary" displayName="tblCategorySummary" ref="A1:D10" headerRowCount="1" totalsRowCount="0" totalsRowShown="0">
  <autoFilter ref="A1:D10"/>
  <tableColumns count="4">
    <tableColumn id="1" name="Category Code"/>
    <tableColumn id="2" name="Category Label"/>
    <tableColumn id="3" name="Packages"/>
    <tableColumn id="4" name="CAPEX"/>
  </tableColumns>
</table>
</file>

<file path=xl/tables/table2.xml><?xml version="1.0" encoding="utf-8"?>
<table xmlns="http://schemas.openxmlformats.org/spreadsheetml/2006/main" id="2" name="tblCivilPackages" displayName="tblCivilPackages" ref="A1:K20" headerRowCount="1" totalsRowCount="0" totalsRowShown="0">
  <autoFilter ref="A1:K20"/>
  <tableColumns count="11">
    <tableColumn id="1" name="Package ID"/>
    <tableColumn id="2" name="Description"/>
    <tableColumn id="3" name="Unit Cost"/>
    <tableColumn id="4" name="Qty"/>
    <tableColumn id="5" name="CAPEX"/>
    <tableColumn id="6" name="Zone"/>
    <tableColumn id="7" name="Function"/>
    <tableColumn id="8" name="Criticality"/>
    <tableColumn id="9" name="Lifetime (yrs)"/>
    <tableColumn id="10" name="Maintenance %"/>
    <tableColumn id="11" name="Category Co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ARS_CAPEX_Civil_Packages_v1.1_Harmonized.xlsx" TargetMode="External"/><Relationship Id="rId2" Type="http://schemas.openxmlformats.org/officeDocument/2006/relationships/hyperlink" Target="../ARS_CAPEX_Civil_Packages_v1.1_Harmonized.xlsx" TargetMode="External"/><Relationship Id="rId3" Type="http://schemas.openxmlformats.org/officeDocument/2006/relationships/hyperlink" Target="../ARS_CAPEX_Civil_Packages_v1.1_Harmonized.xlsx" TargetMode="External"/><Relationship Id="rId4" Type="http://schemas.openxmlformats.org/officeDocument/2006/relationships/hyperlink" Target="../ARS_CAPEX_Civil_Packages_v1.1_Harmonized.xlsx" TargetMode="External"/><Relationship Id="rId5" Type="http://schemas.openxmlformats.org/officeDocument/2006/relationships/hyperlink" Target="../ARS_CAPEX_Civil_Packages_v1.1_Harmonized.xlsx" TargetMode="External"/><Relationship Id="rId6" Type="http://schemas.openxmlformats.org/officeDocument/2006/relationships/hyperlink" Target="../ARS_CAPEX_Civil_Packages_v1.1_Harmonized.xlsx" TargetMode="External"/><Relationship Id="rId7" Type="http://schemas.openxmlformats.org/officeDocument/2006/relationships/hyperlink" Target="../ARS_CAPEX_Civil_Packages_v1.1_Harmonized.xlsx" TargetMode="External"/><Relationship Id="rId8" Type="http://schemas.openxmlformats.org/officeDocument/2006/relationships/hyperlink" Target="../ARS_CAPEX_Civil_Packages_v1.1_Harmonized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</cols>
  <sheetData>
    <row r="1" customFormat="false" ht="19.5" hidden="false" customHeight="true" outlineLevel="0" collapsed="false">
      <c r="A1" s="1" t="s">
        <v>0</v>
      </c>
      <c r="B1" s="2"/>
    </row>
    <row r="2" customFormat="false" ht="19.5" hidden="false" customHeight="true" outlineLevel="0" collapsed="false">
      <c r="A2" s="2"/>
      <c r="B2" s="2"/>
    </row>
    <row r="3" customFormat="false" ht="19.5" hidden="false" customHeight="true" outlineLevel="0" collapsed="false">
      <c r="A3" s="3" t="s">
        <v>1</v>
      </c>
      <c r="B3" s="2" t="s">
        <v>2</v>
      </c>
    </row>
    <row r="4" customFormat="false" ht="19.5" hidden="false" customHeight="true" outlineLevel="0" collapsed="false">
      <c r="A4" s="3" t="s">
        <v>3</v>
      </c>
      <c r="B4" s="2" t="s">
        <v>4</v>
      </c>
    </row>
    <row r="5" customFormat="false" ht="19.5" hidden="false" customHeight="true" outlineLevel="0" collapsed="false">
      <c r="A5" s="3" t="s">
        <v>5</v>
      </c>
      <c r="B5" s="2" t="s">
        <v>6</v>
      </c>
    </row>
    <row r="6" customFormat="false" ht="19.5" hidden="false" customHeight="true" outlineLevel="0" collapsed="false">
      <c r="A6" s="3" t="s">
        <v>7</v>
      </c>
      <c r="B6" s="2" t="s">
        <v>8</v>
      </c>
    </row>
    <row r="7" customFormat="false" ht="19.5" hidden="false" customHeight="true" outlineLevel="0" collapsed="false">
      <c r="A7" s="3" t="s">
        <v>9</v>
      </c>
      <c r="B7" s="2" t="s">
        <v>10</v>
      </c>
    </row>
    <row r="8" customFormat="false" ht="19.5" hidden="false" customHeight="true" outlineLevel="0" collapsed="false">
      <c r="A8" s="3" t="s">
        <v>11</v>
      </c>
      <c r="B8" s="2" t="s">
        <v>12</v>
      </c>
    </row>
    <row r="9" customFormat="false" ht="19.5" hidden="false" customHeight="true" outlineLevel="0" collapsed="false">
      <c r="A9" s="3" t="s">
        <v>13</v>
      </c>
      <c r="B9" s="4" t="n">
        <v>18255000</v>
      </c>
    </row>
    <row r="10" customFormat="false" ht="19.5" hidden="false" customHeight="true" outlineLevel="0" collapsed="false">
      <c r="A10" s="3" t="s">
        <v>14</v>
      </c>
      <c r="B10" s="4" t="n">
        <v>58275000</v>
      </c>
    </row>
    <row r="11" customFormat="false" ht="19.5" hidden="false" customHeight="true" outlineLevel="0" collapsed="false">
      <c r="A11" s="3" t="s">
        <v>15</v>
      </c>
      <c r="B11" s="5" t="e">
        <f aca="false">B8/B9</f>
        <v>#VALUE!</v>
      </c>
    </row>
    <row r="12" customFormat="false" ht="19.5" hidden="false" customHeight="true" outlineLevel="0" collapsed="false">
      <c r="A12" s="3" t="s">
        <v>16</v>
      </c>
      <c r="B1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70"/>
  </cols>
  <sheetData>
    <row r="1" customFormat="false" ht="19.5" hidden="false" customHeight="true" outlineLevel="0" collapsed="false">
      <c r="A1" s="6" t="s">
        <v>18</v>
      </c>
      <c r="B1" s="6" t="s">
        <v>19</v>
      </c>
      <c r="C1" s="6" t="s">
        <v>20</v>
      </c>
    </row>
    <row r="2" customFormat="false" ht="19.5" hidden="false" customHeight="true" outlineLevel="0" collapsed="false">
      <c r="A2" s="2" t="s">
        <v>21</v>
      </c>
      <c r="B2" s="7" t="s">
        <v>21</v>
      </c>
      <c r="C2" s="2" t="s">
        <v>22</v>
      </c>
    </row>
    <row r="3" customFormat="false" ht="19.5" hidden="false" customHeight="true" outlineLevel="0" collapsed="false">
      <c r="A3" s="2" t="s">
        <v>23</v>
      </c>
      <c r="B3" s="7" t="s">
        <v>23</v>
      </c>
      <c r="C3" s="2" t="s">
        <v>24</v>
      </c>
    </row>
    <row r="4" customFormat="false" ht="19.5" hidden="false" customHeight="true" outlineLevel="0" collapsed="false">
      <c r="A4" s="2" t="s">
        <v>25</v>
      </c>
      <c r="B4" s="7" t="s">
        <v>26</v>
      </c>
      <c r="C4" s="2" t="s">
        <v>27</v>
      </c>
    </row>
    <row r="5" customFormat="false" ht="19.5" hidden="false" customHeight="true" outlineLevel="0" collapsed="false">
      <c r="A5" s="2" t="s">
        <v>28</v>
      </c>
      <c r="B5" s="7" t="s">
        <v>29</v>
      </c>
      <c r="C5" s="2" t="s">
        <v>30</v>
      </c>
    </row>
    <row r="6" customFormat="false" ht="19.5" hidden="false" customHeight="true" outlineLevel="0" collapsed="false">
      <c r="A6" s="2" t="s">
        <v>31</v>
      </c>
      <c r="B6" s="7" t="s">
        <v>32</v>
      </c>
      <c r="C6" s="2" t="s">
        <v>33</v>
      </c>
    </row>
    <row r="7" customFormat="false" ht="19.5" hidden="false" customHeight="true" outlineLevel="0" collapsed="false">
      <c r="A7" s="2" t="s">
        <v>34</v>
      </c>
      <c r="B7" s="7" t="s">
        <v>35</v>
      </c>
      <c r="C7" s="2" t="s">
        <v>36</v>
      </c>
    </row>
    <row r="8" customFormat="false" ht="19.5" hidden="false" customHeight="true" outlineLevel="0" collapsed="false">
      <c r="A8" s="2" t="s">
        <v>37</v>
      </c>
      <c r="B8" s="7" t="s">
        <v>38</v>
      </c>
      <c r="C8" s="2" t="s">
        <v>39</v>
      </c>
    </row>
    <row r="9" customFormat="false" ht="19.5" hidden="false" customHeight="true" outlineLevel="0" collapsed="false">
      <c r="A9" s="2" t="s">
        <v>40</v>
      </c>
      <c r="B9" s="7" t="s">
        <v>41</v>
      </c>
      <c r="C9" s="2" t="s">
        <v>42</v>
      </c>
    </row>
  </sheetData>
  <hyperlinks>
    <hyperlink ref="B2" r:id="rId1" location="'Cover'!A1" display="Cover"/>
    <hyperlink ref="B3" r:id="rId2" location="'Assumptions'!A1" display="Assumptions"/>
    <hyperlink ref="B4" r:id="rId3" location="'Civil_Packages_Master'!A1" display="Civil_Packages_Master"/>
    <hyperlink ref="B5" r:id="rId4" location="'Category_Summary'!A1" display="Category_Summary"/>
    <hyperlink ref="B6" r:id="rId5" location="'CAPEX_Check'!A1" display="CAPEX_Check"/>
    <hyperlink ref="B7" r:id="rId6" location="'Phasing_Link'!A1" display="Phasing_Link"/>
    <hyperlink ref="B8" r:id="rId7" location="'Asset_Register_Link'!A1" display="Asset_Register_Link"/>
    <hyperlink ref="B9" r:id="rId8" location="'Ecosystem_Link'!A1" display="Ecosystem_Li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19.5" hidden="false" customHeight="true" outlineLevel="0" collapsed="false">
      <c r="A1" s="6" t="s">
        <v>43</v>
      </c>
      <c r="B1" s="6" t="s">
        <v>44</v>
      </c>
      <c r="C1" s="6" t="s">
        <v>45</v>
      </c>
      <c r="D1" s="6" t="s">
        <v>46</v>
      </c>
    </row>
    <row r="2" customFormat="false" ht="19.5" hidden="false" customHeight="true" outlineLevel="0" collapsed="false">
      <c r="A2" s="2" t="s">
        <v>47</v>
      </c>
      <c r="B2" s="8" t="n">
        <v>25000</v>
      </c>
      <c r="C2" s="2" t="s">
        <v>48</v>
      </c>
      <c r="D2" s="2" t="s">
        <v>49</v>
      </c>
    </row>
    <row r="3" customFormat="false" ht="19.5" hidden="false" customHeight="true" outlineLevel="0" collapsed="false">
      <c r="A3" s="2" t="s">
        <v>50</v>
      </c>
      <c r="B3" s="9" t="n">
        <v>730</v>
      </c>
      <c r="C3" s="2" t="s">
        <v>51</v>
      </c>
      <c r="D3" s="2" t="s">
        <v>52</v>
      </c>
    </row>
    <row r="4" customFormat="false" ht="19.5" hidden="false" customHeight="true" outlineLevel="0" collapsed="false">
      <c r="A4" s="2" t="s">
        <v>53</v>
      </c>
      <c r="B4" s="9" t="n">
        <v>920</v>
      </c>
      <c r="C4" s="2" t="s">
        <v>51</v>
      </c>
      <c r="D4" s="2" t="s">
        <v>52</v>
      </c>
    </row>
    <row r="5" customFormat="false" ht="19.5" hidden="false" customHeight="true" outlineLevel="0" collapsed="false">
      <c r="A5" s="2" t="s">
        <v>54</v>
      </c>
      <c r="B5" s="10" t="n">
        <f aca="false">Civil_Packages_Master!E21</f>
        <v>18255000</v>
      </c>
      <c r="C5" s="2" t="s">
        <v>55</v>
      </c>
      <c r="D5" s="2" t="s">
        <v>56</v>
      </c>
    </row>
    <row r="6" customFormat="false" ht="19.5" hidden="false" customHeight="true" outlineLevel="0" collapsed="false">
      <c r="A6" s="2" t="s">
        <v>57</v>
      </c>
      <c r="B6" s="9" t="n">
        <v>58275000</v>
      </c>
      <c r="C6" s="2" t="s">
        <v>55</v>
      </c>
      <c r="D6" s="2" t="s">
        <v>58</v>
      </c>
    </row>
    <row r="7" customFormat="false" ht="19.5" hidden="false" customHeight="true" outlineLevel="0" collapsed="false">
      <c r="A7" s="2" t="s">
        <v>59</v>
      </c>
      <c r="B7" s="11" t="n">
        <f aca="false">B5/B6</f>
        <v>0.313256113256113</v>
      </c>
      <c r="C7" s="2" t="s">
        <v>60</v>
      </c>
      <c r="D7" s="2" t="s">
        <v>61</v>
      </c>
    </row>
    <row r="8" customFormat="false" ht="19.5" hidden="false" customHeight="true" outlineLevel="0" collapsed="false">
      <c r="A8" s="2" t="s">
        <v>62</v>
      </c>
      <c r="B8" s="10" t="n">
        <f aca="false">SUMIFS(Civil_Packages_Master!$E$2:$E$20,Civil_Packages_Master!$K$2:$K$20,$A$10)</f>
        <v>0</v>
      </c>
      <c r="C8" s="2" t="s">
        <v>55</v>
      </c>
      <c r="D8" s="2" t="s">
        <v>63</v>
      </c>
    </row>
    <row r="9" customFormat="false" ht="19.5" hidden="false" customHeight="true" outlineLevel="0" collapsed="false">
      <c r="A9" s="2" t="s">
        <v>64</v>
      </c>
      <c r="B9" s="10" t="n">
        <f aca="false">B5-B8</f>
        <v>18255000</v>
      </c>
      <c r="C9" s="2" t="s">
        <v>55</v>
      </c>
      <c r="D9" s="2" t="s">
        <v>65</v>
      </c>
    </row>
    <row r="10" customFormat="false" ht="19.5" hidden="false" customHeight="true" outlineLevel="0" collapsed="false">
      <c r="A10" s="2" t="s">
        <v>66</v>
      </c>
      <c r="B10" s="12" t="s">
        <v>67</v>
      </c>
      <c r="C10" s="2" t="s">
        <v>68</v>
      </c>
      <c r="D10" s="2" t="s">
        <v>69</v>
      </c>
    </row>
    <row r="11" customFormat="false" ht="19.5" hidden="false" customHeight="true" outlineLevel="0" collapsed="false">
      <c r="A11" s="2" t="s">
        <v>70</v>
      </c>
      <c r="B11" s="11" t="n">
        <f aca="false">IFERROR(B8/B9,0)</f>
        <v>0</v>
      </c>
      <c r="C11" s="2" t="s">
        <v>60</v>
      </c>
      <c r="D11" s="2" t="s">
        <v>71</v>
      </c>
    </row>
    <row r="12" customFormat="false" ht="19.5" hidden="false" customHeight="true" outlineLevel="0" collapsed="false">
      <c r="A12" s="2" t="s">
        <v>72</v>
      </c>
      <c r="B12" s="13" t="n">
        <v>0.1</v>
      </c>
      <c r="C12" s="2" t="s">
        <v>60</v>
      </c>
      <c r="D12" s="2" t="s">
        <v>73</v>
      </c>
    </row>
    <row r="13" customFormat="false" ht="19.5" hidden="false" customHeight="true" outlineLevel="0" collapsed="false">
      <c r="A13" s="2" t="s">
        <v>74</v>
      </c>
      <c r="B13" s="13" t="n">
        <v>0.15</v>
      </c>
      <c r="C13" s="2" t="s">
        <v>60</v>
      </c>
      <c r="D13" s="2" t="s">
        <v>73</v>
      </c>
    </row>
    <row r="14" customFormat="false" ht="19.5" hidden="false" customHeight="true" outlineLevel="0" collapsed="false">
      <c r="A14" s="2" t="s">
        <v>75</v>
      </c>
      <c r="B14" s="14" t="str">
        <f aca="false">IF(AND(B11&gt;=B12,B11&lt;=B13),"OK","OUTSIDE TARGET")</f>
        <v>OUTSIDE TARGET</v>
      </c>
      <c r="C14" s="2"/>
      <c r="D14" s="2" t="s">
        <v>76</v>
      </c>
    </row>
    <row r="15" customFormat="false" ht="19.5" hidden="false" customHeight="true" outlineLevel="0" collapsed="false">
      <c r="A15" s="2" t="s">
        <v>77</v>
      </c>
      <c r="B15" s="13" t="n">
        <v>0.2</v>
      </c>
      <c r="C15" s="2" t="s">
        <v>60</v>
      </c>
      <c r="D15" s="2" t="s">
        <v>78</v>
      </c>
    </row>
    <row r="16" customFormat="false" ht="19.5" hidden="false" customHeight="true" outlineLevel="0" collapsed="false">
      <c r="A16" s="2" t="s">
        <v>79</v>
      </c>
      <c r="B16" s="13" t="n">
        <v>0.45</v>
      </c>
      <c r="C16" s="2" t="s">
        <v>60</v>
      </c>
      <c r="D16" s="2" t="s">
        <v>78</v>
      </c>
    </row>
    <row r="17" customFormat="false" ht="19.5" hidden="false" customHeight="true" outlineLevel="0" collapsed="false">
      <c r="A17" s="2" t="s">
        <v>80</v>
      </c>
      <c r="B17" s="13" t="n">
        <v>0.35</v>
      </c>
      <c r="C17" s="2" t="s">
        <v>60</v>
      </c>
      <c r="D17" s="2" t="s">
        <v>78</v>
      </c>
    </row>
    <row r="18" customFormat="false" ht="19.5" hidden="false" customHeight="true" outlineLevel="0" collapsed="false">
      <c r="A18" s="2" t="s">
        <v>81</v>
      </c>
      <c r="B18" s="15" t="n">
        <f aca="false">SUM(B15:B17)</f>
        <v>1</v>
      </c>
      <c r="C18" s="2" t="s">
        <v>60</v>
      </c>
      <c r="D18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6"/>
  </cols>
  <sheetData>
    <row r="1" customFormat="false" ht="19.5" hidden="false" customHeight="true" outlineLevel="0" collapsed="false">
      <c r="A1" s="6" t="s">
        <v>83</v>
      </c>
      <c r="B1" s="6" t="s">
        <v>20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</row>
    <row r="2" customFormat="false" ht="19.5" hidden="false" customHeight="true" outlineLevel="0" collapsed="false">
      <c r="A2" s="2" t="n">
        <v>1</v>
      </c>
      <c r="B2" s="2" t="s">
        <v>93</v>
      </c>
      <c r="C2" s="9" t="n">
        <v>625000</v>
      </c>
      <c r="D2" s="8" t="n">
        <v>1</v>
      </c>
      <c r="E2" s="10" t="n">
        <f aca="false">C2*D2</f>
        <v>625000</v>
      </c>
      <c r="F2" s="2" t="s">
        <v>94</v>
      </c>
      <c r="G2" s="2" t="s">
        <v>95</v>
      </c>
      <c r="H2" s="2" t="s">
        <v>96</v>
      </c>
      <c r="I2" s="2" t="n">
        <v>5</v>
      </c>
      <c r="J2" s="5" t="n">
        <v>0.01</v>
      </c>
      <c r="K2" s="2" t="s">
        <v>97</v>
      </c>
    </row>
    <row r="3" customFormat="false" ht="19.5" hidden="false" customHeight="true" outlineLevel="0" collapsed="false">
      <c r="A3" s="2" t="n">
        <v>2</v>
      </c>
      <c r="B3" s="2" t="s">
        <v>98</v>
      </c>
      <c r="C3" s="9" t="n">
        <v>800000</v>
      </c>
      <c r="D3" s="8" t="n">
        <v>1</v>
      </c>
      <c r="E3" s="10" t="n">
        <f aca="false">C3*D3</f>
        <v>800000</v>
      </c>
      <c r="F3" s="2" t="s">
        <v>99</v>
      </c>
      <c r="G3" s="2" t="s">
        <v>100</v>
      </c>
      <c r="H3" s="2" t="s">
        <v>101</v>
      </c>
      <c r="I3" s="2" t="n">
        <v>40</v>
      </c>
      <c r="J3" s="5" t="n">
        <v>0.005</v>
      </c>
      <c r="K3" s="2" t="s">
        <v>97</v>
      </c>
    </row>
    <row r="4" customFormat="false" ht="19.5" hidden="false" customHeight="true" outlineLevel="0" collapsed="false">
      <c r="A4" s="2" t="n">
        <v>3</v>
      </c>
      <c r="B4" s="2" t="s">
        <v>102</v>
      </c>
      <c r="C4" s="9" t="n">
        <v>1450000</v>
      </c>
      <c r="D4" s="8" t="n">
        <v>1</v>
      </c>
      <c r="E4" s="10" t="n">
        <f aca="false">C4*D4</f>
        <v>1450000</v>
      </c>
      <c r="F4" s="2" t="s">
        <v>103</v>
      </c>
      <c r="G4" s="2" t="s">
        <v>104</v>
      </c>
      <c r="H4" s="2" t="s">
        <v>101</v>
      </c>
      <c r="I4" s="2" t="n">
        <v>50</v>
      </c>
      <c r="J4" s="5" t="n">
        <v>0.005</v>
      </c>
      <c r="K4" s="2" t="s">
        <v>105</v>
      </c>
    </row>
    <row r="5" customFormat="false" ht="19.5" hidden="false" customHeight="true" outlineLevel="0" collapsed="false">
      <c r="A5" s="2" t="n">
        <v>4</v>
      </c>
      <c r="B5" s="2" t="s">
        <v>106</v>
      </c>
      <c r="C5" s="9" t="n">
        <v>1750000</v>
      </c>
      <c r="D5" s="8" t="n">
        <v>1</v>
      </c>
      <c r="E5" s="10" t="n">
        <f aca="false">C5*D5</f>
        <v>1750000</v>
      </c>
      <c r="F5" s="2" t="s">
        <v>107</v>
      </c>
      <c r="G5" s="2" t="s">
        <v>108</v>
      </c>
      <c r="H5" s="2" t="s">
        <v>101</v>
      </c>
      <c r="I5" s="2" t="n">
        <v>30</v>
      </c>
      <c r="J5" s="5" t="n">
        <v>0.01</v>
      </c>
      <c r="K5" s="2" t="s">
        <v>105</v>
      </c>
    </row>
    <row r="6" customFormat="false" ht="19.5" hidden="false" customHeight="true" outlineLevel="0" collapsed="false">
      <c r="A6" s="2" t="n">
        <v>5</v>
      </c>
      <c r="B6" s="2" t="s">
        <v>109</v>
      </c>
      <c r="C6" s="9" t="n">
        <v>2800000</v>
      </c>
      <c r="D6" s="8" t="n">
        <v>1</v>
      </c>
      <c r="E6" s="10" t="n">
        <f aca="false">C6*D6</f>
        <v>2800000</v>
      </c>
      <c r="F6" s="2" t="s">
        <v>110</v>
      </c>
      <c r="G6" s="2" t="s">
        <v>104</v>
      </c>
      <c r="H6" s="2" t="s">
        <v>101</v>
      </c>
      <c r="I6" s="2" t="n">
        <v>40</v>
      </c>
      <c r="J6" s="5" t="n">
        <v>0.015</v>
      </c>
      <c r="K6" s="2" t="s">
        <v>111</v>
      </c>
    </row>
    <row r="7" customFormat="false" ht="19.5" hidden="false" customHeight="true" outlineLevel="0" collapsed="false">
      <c r="A7" s="2" t="n">
        <v>6</v>
      </c>
      <c r="B7" s="2" t="s">
        <v>112</v>
      </c>
      <c r="C7" s="9" t="n">
        <v>1075000</v>
      </c>
      <c r="D7" s="8" t="n">
        <v>1</v>
      </c>
      <c r="E7" s="10" t="n">
        <f aca="false">C7*D7</f>
        <v>1075000</v>
      </c>
      <c r="F7" s="2" t="s">
        <v>113</v>
      </c>
      <c r="G7" s="2" t="s">
        <v>114</v>
      </c>
      <c r="H7" s="2" t="s">
        <v>96</v>
      </c>
      <c r="I7" s="2" t="n">
        <v>25</v>
      </c>
      <c r="J7" s="5" t="n">
        <v>0.01</v>
      </c>
      <c r="K7" s="2" t="s">
        <v>111</v>
      </c>
    </row>
    <row r="8" customFormat="false" ht="19.5" hidden="false" customHeight="true" outlineLevel="0" collapsed="false">
      <c r="A8" s="2" t="n">
        <v>7</v>
      </c>
      <c r="B8" s="2" t="s">
        <v>115</v>
      </c>
      <c r="C8" s="9" t="n">
        <v>1150000</v>
      </c>
      <c r="D8" s="8" t="n">
        <v>1</v>
      </c>
      <c r="E8" s="10" t="n">
        <f aca="false">C8*D8</f>
        <v>1150000</v>
      </c>
      <c r="F8" s="2" t="s">
        <v>116</v>
      </c>
      <c r="G8" s="2" t="s">
        <v>117</v>
      </c>
      <c r="H8" s="2" t="s">
        <v>96</v>
      </c>
      <c r="I8" s="2" t="n">
        <v>30</v>
      </c>
      <c r="J8" s="5" t="n">
        <v>0.01</v>
      </c>
      <c r="K8" s="2" t="s">
        <v>111</v>
      </c>
    </row>
    <row r="9" customFormat="false" ht="19.5" hidden="false" customHeight="true" outlineLevel="0" collapsed="false">
      <c r="A9" s="2" t="n">
        <v>8</v>
      </c>
      <c r="B9" s="2" t="s">
        <v>118</v>
      </c>
      <c r="C9" s="9" t="n">
        <v>525000</v>
      </c>
      <c r="D9" s="8" t="n">
        <v>1</v>
      </c>
      <c r="E9" s="10" t="n">
        <f aca="false">C9*D9</f>
        <v>525000</v>
      </c>
      <c r="F9" s="2" t="s">
        <v>116</v>
      </c>
      <c r="G9" s="2" t="s">
        <v>119</v>
      </c>
      <c r="H9" s="2" t="s">
        <v>120</v>
      </c>
      <c r="I9" s="2" t="n">
        <v>20</v>
      </c>
      <c r="J9" s="5" t="n">
        <v>0.01</v>
      </c>
      <c r="K9" s="2" t="s">
        <v>121</v>
      </c>
    </row>
    <row r="10" customFormat="false" ht="19.5" hidden="false" customHeight="true" outlineLevel="0" collapsed="false">
      <c r="A10" s="2" t="n">
        <v>9</v>
      </c>
      <c r="B10" s="2" t="s">
        <v>122</v>
      </c>
      <c r="C10" s="9" t="n">
        <v>390000</v>
      </c>
      <c r="D10" s="8" t="n">
        <v>1</v>
      </c>
      <c r="E10" s="10" t="n">
        <f aca="false">C10*D10</f>
        <v>390000</v>
      </c>
      <c r="F10" s="2" t="s">
        <v>123</v>
      </c>
      <c r="G10" s="2" t="s">
        <v>124</v>
      </c>
      <c r="H10" s="2" t="s">
        <v>120</v>
      </c>
      <c r="I10" s="2" t="n">
        <v>25</v>
      </c>
      <c r="J10" s="5" t="n">
        <v>0.01</v>
      </c>
      <c r="K10" s="2" t="s">
        <v>121</v>
      </c>
    </row>
    <row r="11" customFormat="false" ht="19.5" hidden="false" customHeight="true" outlineLevel="0" collapsed="false">
      <c r="A11" s="2" t="n">
        <v>10</v>
      </c>
      <c r="B11" s="2" t="s">
        <v>125</v>
      </c>
      <c r="C11" s="9" t="n">
        <v>1200000</v>
      </c>
      <c r="D11" s="8" t="n">
        <v>1</v>
      </c>
      <c r="E11" s="10" t="n">
        <f aca="false">C11*D11</f>
        <v>1200000</v>
      </c>
      <c r="F11" s="2" t="s">
        <v>94</v>
      </c>
      <c r="G11" s="2" t="s">
        <v>126</v>
      </c>
      <c r="H11" s="2" t="s">
        <v>101</v>
      </c>
      <c r="I11" s="2" t="n">
        <v>25</v>
      </c>
      <c r="J11" s="5" t="n">
        <v>0.02</v>
      </c>
      <c r="K11" s="2" t="s">
        <v>127</v>
      </c>
    </row>
    <row r="12" customFormat="false" ht="19.5" hidden="false" customHeight="true" outlineLevel="0" collapsed="false">
      <c r="A12" s="2" t="n">
        <v>11</v>
      </c>
      <c r="B12" s="2" t="s">
        <v>128</v>
      </c>
      <c r="C12" s="9" t="n">
        <v>875000</v>
      </c>
      <c r="D12" s="8" t="n">
        <v>1</v>
      </c>
      <c r="E12" s="10" t="n">
        <f aca="false">C12*D12</f>
        <v>875000</v>
      </c>
      <c r="F12" s="2" t="s">
        <v>94</v>
      </c>
      <c r="G12" s="2" t="s">
        <v>129</v>
      </c>
      <c r="H12" s="2" t="s">
        <v>96</v>
      </c>
      <c r="I12" s="2" t="n">
        <v>20</v>
      </c>
      <c r="J12" s="5" t="n">
        <v>0.02</v>
      </c>
      <c r="K12" s="2" t="s">
        <v>127</v>
      </c>
    </row>
    <row r="13" customFormat="false" ht="19.5" hidden="false" customHeight="true" outlineLevel="0" collapsed="false">
      <c r="A13" s="2" t="n">
        <v>12</v>
      </c>
      <c r="B13" s="2" t="s">
        <v>130</v>
      </c>
      <c r="C13" s="9" t="n">
        <v>925000</v>
      </c>
      <c r="D13" s="8" t="n">
        <v>1</v>
      </c>
      <c r="E13" s="10" t="n">
        <f aca="false">C13*D13</f>
        <v>925000</v>
      </c>
      <c r="F13" s="2" t="s">
        <v>94</v>
      </c>
      <c r="G13" s="2" t="s">
        <v>131</v>
      </c>
      <c r="H13" s="2" t="s">
        <v>101</v>
      </c>
      <c r="I13" s="2" t="n">
        <v>25</v>
      </c>
      <c r="J13" s="5" t="n">
        <v>0.02</v>
      </c>
      <c r="K13" s="2" t="s">
        <v>132</v>
      </c>
    </row>
    <row r="14" customFormat="false" ht="19.5" hidden="false" customHeight="true" outlineLevel="0" collapsed="false">
      <c r="A14" s="2" t="n">
        <v>13</v>
      </c>
      <c r="B14" s="2" t="s">
        <v>133</v>
      </c>
      <c r="C14" s="9" t="n">
        <v>375000</v>
      </c>
      <c r="D14" s="8" t="n">
        <v>1</v>
      </c>
      <c r="E14" s="10" t="n">
        <f aca="false">C14*D14</f>
        <v>375000</v>
      </c>
      <c r="F14" s="2" t="s">
        <v>94</v>
      </c>
      <c r="G14" s="2" t="s">
        <v>134</v>
      </c>
      <c r="H14" s="2" t="s">
        <v>120</v>
      </c>
      <c r="I14" s="2" t="n">
        <v>25</v>
      </c>
      <c r="J14" s="5" t="n">
        <v>0.01</v>
      </c>
      <c r="K14" s="2" t="s">
        <v>132</v>
      </c>
    </row>
    <row r="15" customFormat="false" ht="19.5" hidden="false" customHeight="true" outlineLevel="0" collapsed="false">
      <c r="A15" s="2" t="n">
        <v>14</v>
      </c>
      <c r="B15" s="2" t="s">
        <v>135</v>
      </c>
      <c r="C15" s="9" t="n">
        <v>375000</v>
      </c>
      <c r="D15" s="8" t="n">
        <v>1</v>
      </c>
      <c r="E15" s="10" t="n">
        <f aca="false">C15*D15</f>
        <v>375000</v>
      </c>
      <c r="F15" s="2" t="s">
        <v>99</v>
      </c>
      <c r="G15" s="2" t="s">
        <v>136</v>
      </c>
      <c r="H15" s="2" t="s">
        <v>96</v>
      </c>
      <c r="I15" s="2" t="n">
        <v>30</v>
      </c>
      <c r="J15" s="5" t="n">
        <v>0.01</v>
      </c>
      <c r="K15" s="2" t="s">
        <v>132</v>
      </c>
    </row>
    <row r="16" customFormat="false" ht="19.5" hidden="false" customHeight="true" outlineLevel="0" collapsed="false">
      <c r="A16" s="2" t="n">
        <v>15</v>
      </c>
      <c r="B16" s="2" t="s">
        <v>137</v>
      </c>
      <c r="C16" s="9" t="n">
        <v>575000</v>
      </c>
      <c r="D16" s="8" t="n">
        <v>1</v>
      </c>
      <c r="E16" s="10" t="n">
        <f aca="false">C16*D16</f>
        <v>575000</v>
      </c>
      <c r="F16" s="2" t="s">
        <v>138</v>
      </c>
      <c r="G16" s="2" t="s">
        <v>139</v>
      </c>
      <c r="H16" s="2" t="s">
        <v>101</v>
      </c>
      <c r="I16" s="2" t="n">
        <v>30</v>
      </c>
      <c r="J16" s="5" t="n">
        <v>0.015</v>
      </c>
      <c r="K16" s="2" t="s">
        <v>140</v>
      </c>
    </row>
    <row r="17" customFormat="false" ht="19.5" hidden="false" customHeight="true" outlineLevel="0" collapsed="false">
      <c r="A17" s="2" t="n">
        <v>16</v>
      </c>
      <c r="B17" s="2" t="s">
        <v>141</v>
      </c>
      <c r="C17" s="9" t="n">
        <v>650000</v>
      </c>
      <c r="D17" s="8" t="n">
        <v>1</v>
      </c>
      <c r="E17" s="10" t="n">
        <f aca="false">C17*D17</f>
        <v>650000</v>
      </c>
      <c r="F17" s="2" t="s">
        <v>123</v>
      </c>
      <c r="G17" s="2" t="s">
        <v>142</v>
      </c>
      <c r="H17" s="2" t="s">
        <v>120</v>
      </c>
      <c r="I17" s="2" t="n">
        <v>20</v>
      </c>
      <c r="J17" s="5" t="n">
        <v>0.01</v>
      </c>
      <c r="K17" s="2" t="s">
        <v>121</v>
      </c>
    </row>
    <row r="18" customFormat="false" ht="19.5" hidden="false" customHeight="true" outlineLevel="0" collapsed="false">
      <c r="A18" s="2" t="n">
        <v>17</v>
      </c>
      <c r="B18" s="2" t="s">
        <v>143</v>
      </c>
      <c r="C18" s="9" t="n">
        <v>1000000</v>
      </c>
      <c r="D18" s="8" t="n">
        <v>1</v>
      </c>
      <c r="E18" s="10" t="n">
        <f aca="false">C18*D18</f>
        <v>1000000</v>
      </c>
      <c r="F18" s="2" t="s">
        <v>99</v>
      </c>
      <c r="G18" s="2" t="s">
        <v>144</v>
      </c>
      <c r="H18" s="2" t="s">
        <v>96</v>
      </c>
      <c r="I18" s="2" t="n">
        <v>30</v>
      </c>
      <c r="J18" s="5" t="n">
        <v>0.01</v>
      </c>
      <c r="K18" s="2" t="s">
        <v>140</v>
      </c>
    </row>
    <row r="19" customFormat="false" ht="19.5" hidden="false" customHeight="true" outlineLevel="0" collapsed="false">
      <c r="A19" s="2" t="n">
        <v>18</v>
      </c>
      <c r="B19" s="2" t="s">
        <v>145</v>
      </c>
      <c r="C19" s="9" t="n">
        <v>315000</v>
      </c>
      <c r="D19" s="8" t="n">
        <v>1</v>
      </c>
      <c r="E19" s="10" t="n">
        <f aca="false">C19*D19</f>
        <v>315000</v>
      </c>
      <c r="F19" s="2" t="s">
        <v>94</v>
      </c>
      <c r="G19" s="2" t="s">
        <v>146</v>
      </c>
      <c r="H19" s="2" t="s">
        <v>120</v>
      </c>
      <c r="I19" s="2" t="n">
        <v>15</v>
      </c>
      <c r="J19" s="5" t="n">
        <v>0.01</v>
      </c>
      <c r="K19" s="2" t="s">
        <v>147</v>
      </c>
    </row>
    <row r="20" customFormat="false" ht="19.5" hidden="false" customHeight="true" outlineLevel="0" collapsed="false">
      <c r="A20" s="2" t="n">
        <v>19</v>
      </c>
      <c r="B20" s="2" t="s">
        <v>148</v>
      </c>
      <c r="C20" s="9" t="n">
        <v>1400000</v>
      </c>
      <c r="D20" s="8" t="n">
        <v>1</v>
      </c>
      <c r="E20" s="10" t="n">
        <f aca="false">C20*D20</f>
        <v>1400000</v>
      </c>
      <c r="F20" s="2" t="s">
        <v>94</v>
      </c>
      <c r="G20" s="2" t="s">
        <v>149</v>
      </c>
      <c r="H20" s="2" t="s">
        <v>96</v>
      </c>
      <c r="I20" s="2"/>
      <c r="J20" s="5"/>
      <c r="K20" s="2" t="s">
        <v>67</v>
      </c>
    </row>
    <row r="21" customFormat="false" ht="19.5" hidden="false" customHeight="true" outlineLevel="0" collapsed="false">
      <c r="A21" s="2"/>
      <c r="B21" s="2"/>
      <c r="C21" s="2"/>
      <c r="D21" s="3" t="s">
        <v>150</v>
      </c>
      <c r="E21" s="16" t="n">
        <f aca="false">SUM(E2:E20)</f>
        <v>18255000</v>
      </c>
      <c r="F21" s="2"/>
      <c r="G21" s="2"/>
      <c r="H21" s="2"/>
      <c r="I21" s="2"/>
      <c r="J21" s="2"/>
      <c r="K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5"/>
  </cols>
  <sheetData>
    <row r="1" customFormat="false" ht="19.5" hidden="false" customHeight="true" outlineLevel="0" collapsed="false">
      <c r="A1" s="6" t="s">
        <v>92</v>
      </c>
      <c r="B1" s="6" t="s">
        <v>151</v>
      </c>
      <c r="C1" s="6" t="s">
        <v>152</v>
      </c>
      <c r="D1" s="6" t="s">
        <v>86</v>
      </c>
    </row>
    <row r="2" customFormat="false" ht="19.5" hidden="false" customHeight="true" outlineLevel="0" collapsed="false">
      <c r="A2" s="2" t="s">
        <v>97</v>
      </c>
      <c r="B2" s="2" t="s">
        <v>153</v>
      </c>
      <c r="C2" s="2" t="s">
        <v>154</v>
      </c>
      <c r="D2" s="17" t="n">
        <f aca="false">SUMIFS(Civil_Packages_Master!$E$2:$E$20,Civil_Packages_Master!$K$2:$K$20,A2)</f>
        <v>1425000</v>
      </c>
    </row>
    <row r="3" customFormat="false" ht="19.5" hidden="false" customHeight="true" outlineLevel="0" collapsed="false">
      <c r="A3" s="2" t="s">
        <v>105</v>
      </c>
      <c r="B3" s="2" t="s">
        <v>155</v>
      </c>
      <c r="C3" s="2" t="s">
        <v>156</v>
      </c>
      <c r="D3" s="17" t="n">
        <f aca="false">SUMIFS(Civil_Packages_Master!$E$2:$E$20,Civil_Packages_Master!$K$2:$K$20,A3)</f>
        <v>3200000</v>
      </c>
    </row>
    <row r="4" customFormat="false" ht="19.5" hidden="false" customHeight="true" outlineLevel="0" collapsed="false">
      <c r="A4" s="2" t="s">
        <v>111</v>
      </c>
      <c r="B4" s="2" t="s">
        <v>157</v>
      </c>
      <c r="C4" s="2" t="s">
        <v>158</v>
      </c>
      <c r="D4" s="17" t="n">
        <f aca="false">SUMIFS(Civil_Packages_Master!$E$2:$E$20,Civil_Packages_Master!$K$2:$K$20,A4)</f>
        <v>5025000</v>
      </c>
    </row>
    <row r="5" customFormat="false" ht="19.5" hidden="false" customHeight="true" outlineLevel="0" collapsed="false">
      <c r="A5" s="2" t="s">
        <v>121</v>
      </c>
      <c r="B5" s="2" t="s">
        <v>159</v>
      </c>
      <c r="C5" s="2" t="s">
        <v>160</v>
      </c>
      <c r="D5" s="17" t="n">
        <f aca="false">SUMIFS(Civil_Packages_Master!$E$2:$E$20,Civil_Packages_Master!$K$2:$K$20,A5)</f>
        <v>1565000</v>
      </c>
    </row>
    <row r="6" customFormat="false" ht="19.5" hidden="false" customHeight="true" outlineLevel="0" collapsed="false">
      <c r="A6" s="2" t="s">
        <v>127</v>
      </c>
      <c r="B6" s="2" t="s">
        <v>161</v>
      </c>
      <c r="C6" s="2" t="s">
        <v>162</v>
      </c>
      <c r="D6" s="17" t="n">
        <f aca="false">SUMIFS(Civil_Packages_Master!$E$2:$E$20,Civil_Packages_Master!$K$2:$K$20,A6)</f>
        <v>2075000</v>
      </c>
    </row>
    <row r="7" customFormat="false" ht="19.5" hidden="false" customHeight="true" outlineLevel="0" collapsed="false">
      <c r="A7" s="2" t="s">
        <v>132</v>
      </c>
      <c r="B7" s="2" t="s">
        <v>163</v>
      </c>
      <c r="C7" s="2" t="s">
        <v>164</v>
      </c>
      <c r="D7" s="17" t="n">
        <f aca="false">SUMIFS(Civil_Packages_Master!$E$2:$E$20,Civil_Packages_Master!$K$2:$K$20,A7)</f>
        <v>1675000</v>
      </c>
    </row>
    <row r="8" customFormat="false" ht="19.5" hidden="false" customHeight="true" outlineLevel="0" collapsed="false">
      <c r="A8" s="2" t="s">
        <v>140</v>
      </c>
      <c r="B8" s="2" t="s">
        <v>165</v>
      </c>
      <c r="C8" s="2" t="s">
        <v>166</v>
      </c>
      <c r="D8" s="17" t="n">
        <f aca="false">SUMIFS(Civil_Packages_Master!$E$2:$E$20,Civil_Packages_Master!$K$2:$K$20,A8)</f>
        <v>1575000</v>
      </c>
    </row>
    <row r="9" customFormat="false" ht="19.5" hidden="false" customHeight="true" outlineLevel="0" collapsed="false">
      <c r="A9" s="2" t="s">
        <v>147</v>
      </c>
      <c r="B9" s="2" t="s">
        <v>167</v>
      </c>
      <c r="C9" s="2" t="s">
        <v>168</v>
      </c>
      <c r="D9" s="17" t="n">
        <f aca="false">SUMIFS(Civil_Packages_Master!$E$2:$E$20,Civil_Packages_Master!$K$2:$K$20,A9)</f>
        <v>315000</v>
      </c>
    </row>
    <row r="10" customFormat="false" ht="19.5" hidden="false" customHeight="true" outlineLevel="0" collapsed="false">
      <c r="A10" s="2" t="s">
        <v>67</v>
      </c>
      <c r="B10" s="2" t="s">
        <v>148</v>
      </c>
      <c r="C10" s="2" t="s">
        <v>169</v>
      </c>
      <c r="D10" s="17" t="n">
        <f aca="false">SUMIFS(Civil_Packages_Master!$E$2:$E$20,Civil_Packages_Master!$K$2:$K$20,A10)</f>
        <v>1400000</v>
      </c>
    </row>
    <row r="11" customFormat="false" ht="19.5" hidden="false" customHeight="true" outlineLevel="0" collapsed="false">
      <c r="A11" s="2"/>
      <c r="B11" s="2"/>
      <c r="C11" s="3" t="s">
        <v>150</v>
      </c>
      <c r="D11" s="18" t="n">
        <f aca="false">SUM(D2:D10)</f>
        <v>18255000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6"/>
  </cols>
  <sheetData>
    <row r="1" customFormat="false" ht="19.5" hidden="false" customHeight="true" outlineLevel="0" collapsed="false">
      <c r="A1" s="6" t="s">
        <v>170</v>
      </c>
      <c r="B1" s="6" t="s">
        <v>171</v>
      </c>
      <c r="C1" s="6" t="s">
        <v>172</v>
      </c>
      <c r="D1" s="6" t="s">
        <v>173</v>
      </c>
    </row>
    <row r="2" customFormat="false" ht="19.5" hidden="false" customHeight="true" outlineLevel="0" collapsed="false">
      <c r="A2" s="2" t="s">
        <v>174</v>
      </c>
      <c r="B2" s="2" t="n">
        <f aca="false">Civil_Packages_Master!E21</f>
        <v>18255000</v>
      </c>
      <c r="C2" s="4" t="n">
        <f aca="false">Civil_Packages_Master!E21</f>
        <v>18255000</v>
      </c>
      <c r="D2" s="2" t="str">
        <f aca="false">IF(C2&gt;0,"OK","ERROR")</f>
        <v>OK</v>
      </c>
    </row>
    <row r="3" customFormat="false" ht="19.5" hidden="false" customHeight="true" outlineLevel="0" collapsed="false">
      <c r="A3" s="2" t="s">
        <v>175</v>
      </c>
      <c r="B3" s="2" t="n">
        <f aca="false">Category_Summary!D11</f>
        <v>18255000</v>
      </c>
      <c r="C3" s="4" t="n">
        <f aca="false">Category_Summary!D11</f>
        <v>18255000</v>
      </c>
      <c r="D3" s="2" t="str">
        <f aca="false">IF(C3&gt;0,"OK","ERROR")</f>
        <v>OK</v>
      </c>
    </row>
    <row r="4" customFormat="false" ht="19.5" hidden="false" customHeight="true" outlineLevel="0" collapsed="false">
      <c r="A4" s="2" t="s">
        <v>176</v>
      </c>
      <c r="B4" s="2" t="n">
        <f aca="false">C2-C3</f>
        <v>0</v>
      </c>
      <c r="C4" s="4" t="n">
        <f aca="false">C2-C3</f>
        <v>0</v>
      </c>
      <c r="D4" s="2" t="str">
        <f aca="false">IF(ABS(C4)&lt;0.5,"OK","CHECK")</f>
        <v>OK</v>
      </c>
    </row>
    <row r="5" customFormat="false" ht="19.5" hidden="false" customHeight="true" outlineLevel="0" collapsed="false">
      <c r="A5" s="2" t="s">
        <v>81</v>
      </c>
      <c r="B5" s="2" t="n">
        <f aca="false">SUM(Phasing_Link!C2:C4)</f>
        <v>18255000</v>
      </c>
      <c r="C5" s="4" t="n">
        <f aca="false">SUM(Phasing_Link!C2:C4)</f>
        <v>18255000</v>
      </c>
      <c r="D5" s="2" t="str">
        <f aca="false">IF(C5&gt;0,"OK","ERROR")</f>
        <v>OK</v>
      </c>
    </row>
    <row r="6" customFormat="false" ht="19.5" hidden="false" customHeight="true" outlineLevel="0" collapsed="false">
      <c r="A6" s="2" t="s">
        <v>177</v>
      </c>
      <c r="B6" s="2" t="n">
        <f aca="false">C2-C5</f>
        <v>0</v>
      </c>
      <c r="C6" s="4" t="n">
        <f aca="false">C2-C5</f>
        <v>0</v>
      </c>
      <c r="D6" s="2" t="str">
        <f aca="false">IF(ABS(C6)&lt;0.5,"OK","CHECK")</f>
        <v>OK</v>
      </c>
    </row>
    <row r="7" customFormat="false" ht="19.5" hidden="false" customHeight="true" outlineLevel="0" collapsed="false">
      <c r="A7" s="2" t="s">
        <v>178</v>
      </c>
      <c r="B7" s="2" t="n">
        <f aca="false">Assumptions!B18</f>
        <v>1</v>
      </c>
      <c r="C7" s="5" t="n">
        <f aca="false">Assumptions!B18</f>
        <v>1</v>
      </c>
      <c r="D7" s="2" t="str">
        <f aca="false">IF(ABS(C7-1)&lt;0.00001,"OK","CHECK")</f>
        <v>OK</v>
      </c>
    </row>
    <row r="8" customFormat="false" ht="19.5" hidden="false" customHeight="true" outlineLevel="0" collapsed="false">
      <c r="A8" s="2" t="s">
        <v>70</v>
      </c>
      <c r="B8" s="2" t="n">
        <f aca="false">Assumptions!B11</f>
        <v>0</v>
      </c>
      <c r="C8" s="5" t="n">
        <f aca="false">Assumptions!B11</f>
        <v>0</v>
      </c>
      <c r="D8" s="2" t="str">
        <f aca="false">IF(AND(C8&gt;=Assumptions!B12,C8&lt;=Assumptions!B13),"OK","OUTSIDE TARGET")</f>
        <v>OUTSIDE TARGET</v>
      </c>
    </row>
    <row r="9" customFormat="false" ht="19.5" hidden="false" customHeight="true" outlineLevel="0" collapsed="false">
      <c r="A9" s="2" t="s">
        <v>179</v>
      </c>
      <c r="B9" s="2" t="s">
        <v>180</v>
      </c>
      <c r="C9" s="2"/>
      <c r="D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9.5" hidden="false" customHeight="true" outlineLevel="0" collapsed="false">
      <c r="A1" s="6" t="s">
        <v>181</v>
      </c>
      <c r="B1" s="6" t="s">
        <v>182</v>
      </c>
      <c r="C1" s="6" t="s">
        <v>183</v>
      </c>
    </row>
    <row r="2" customFormat="false" ht="19.5" hidden="false" customHeight="true" outlineLevel="0" collapsed="false">
      <c r="A2" s="2" t="n">
        <v>2026</v>
      </c>
      <c r="B2" s="19" t="n">
        <f aca="false">Assumptions!B15</f>
        <v>0.2</v>
      </c>
      <c r="C2" s="10" t="n">
        <f aca="false">Civil_Packages_Master!$E$21*B2</f>
        <v>3651000</v>
      </c>
    </row>
    <row r="3" customFormat="false" ht="19.5" hidden="false" customHeight="true" outlineLevel="0" collapsed="false">
      <c r="A3" s="2" t="n">
        <v>2027</v>
      </c>
      <c r="B3" s="19" t="n">
        <f aca="false">Assumptions!B16</f>
        <v>0.45</v>
      </c>
      <c r="C3" s="10" t="n">
        <f aca="false">Civil_Packages_Master!$E$21*B3</f>
        <v>8214750</v>
      </c>
    </row>
    <row r="4" customFormat="false" ht="19.5" hidden="false" customHeight="true" outlineLevel="0" collapsed="false">
      <c r="A4" s="2" t="n">
        <v>2028</v>
      </c>
      <c r="B4" s="19" t="n">
        <f aca="false">Assumptions!B17</f>
        <v>0.35</v>
      </c>
      <c r="C4" s="10" t="n">
        <f aca="false">Civil_Packages_Master!$E$21*B4</f>
        <v>6389250</v>
      </c>
    </row>
    <row r="5" customFormat="false" ht="19.5" hidden="false" customHeight="true" outlineLevel="0" collapsed="false">
      <c r="A5" s="3" t="s">
        <v>150</v>
      </c>
      <c r="B5" s="20" t="n">
        <f aca="false">SUM(B2:B4)</f>
        <v>1</v>
      </c>
      <c r="C5" s="18" t="n">
        <f aca="false">SUM(C2:C4)</f>
        <v>18255000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9.5" hidden="false" customHeight="true" outlineLevel="0" collapsed="false">
      <c r="A1" s="6" t="s">
        <v>83</v>
      </c>
      <c r="B1" s="6" t="s">
        <v>20</v>
      </c>
      <c r="C1" s="6" t="s">
        <v>86</v>
      </c>
      <c r="D1" s="6" t="s">
        <v>184</v>
      </c>
      <c r="E1" s="6" t="s">
        <v>185</v>
      </c>
      <c r="F1" s="6" t="s">
        <v>186</v>
      </c>
    </row>
    <row r="2" customFormat="false" ht="19.5" hidden="false" customHeight="true" outlineLevel="0" collapsed="false">
      <c r="A2" s="2" t="n">
        <v>1</v>
      </c>
      <c r="B2" s="2" t="str">
        <f aca="false">Civil_Packages_Master!B2</f>
        <v>Projektovanje i dozvole</v>
      </c>
      <c r="C2" s="4" t="n">
        <f aca="false">Civil_Packages_Master!E2</f>
        <v>625000</v>
      </c>
      <c r="D2" s="2" t="s">
        <v>187</v>
      </c>
      <c r="E2" s="2" t="n">
        <f aca="false">Civil_Packages_Master!I2</f>
        <v>5</v>
      </c>
      <c r="F2" s="4" t="n">
        <f aca="false">IFERROR(C2/E2,"")</f>
        <v>125000</v>
      </c>
    </row>
    <row r="3" customFormat="false" ht="19.5" hidden="false" customHeight="true" outlineLevel="0" collapsed="false">
      <c r="A3" s="2" t="n">
        <v>2</v>
      </c>
      <c r="B3" s="2" t="str">
        <f aca="false">Civil_Packages_Master!B3</f>
        <v>Zemljani radovi</v>
      </c>
      <c r="C3" s="4" t="n">
        <f aca="false">Civil_Packages_Master!E3</f>
        <v>800000</v>
      </c>
      <c r="D3" s="2" t="s">
        <v>188</v>
      </c>
      <c r="E3" s="2" t="n">
        <f aca="false">Civil_Packages_Master!I3</f>
        <v>40</v>
      </c>
      <c r="F3" s="4" t="n">
        <f aca="false">IFERROR(C3/E3,"")</f>
        <v>20000</v>
      </c>
    </row>
    <row r="4" customFormat="false" ht="19.5" hidden="false" customHeight="true" outlineLevel="0" collapsed="false">
      <c r="A4" s="2" t="n">
        <v>3</v>
      </c>
      <c r="B4" s="2" t="str">
        <f aca="false">Civil_Packages_Master!B4</f>
        <v>Temelji</v>
      </c>
      <c r="C4" s="4" t="n">
        <f aca="false">Civil_Packages_Master!E4</f>
        <v>1450000</v>
      </c>
      <c r="D4" s="2" t="s">
        <v>189</v>
      </c>
      <c r="E4" s="2" t="n">
        <f aca="false">Civil_Packages_Master!I4</f>
        <v>50</v>
      </c>
      <c r="F4" s="4" t="n">
        <f aca="false">IFERROR(C4/E4,"")</f>
        <v>29000</v>
      </c>
    </row>
    <row r="5" customFormat="false" ht="19.5" hidden="false" customHeight="true" outlineLevel="0" collapsed="false">
      <c r="A5" s="2" t="n">
        <v>4</v>
      </c>
      <c r="B5" s="2" t="str">
        <f aca="false">Civil_Packages_Master!B5</f>
        <v>Industrijski pod</v>
      </c>
      <c r="C5" s="4" t="n">
        <f aca="false">Civil_Packages_Master!E5</f>
        <v>1750000</v>
      </c>
      <c r="D5" s="2" t="s">
        <v>190</v>
      </c>
      <c r="E5" s="2" t="n">
        <f aca="false">Civil_Packages_Master!I5</f>
        <v>30</v>
      </c>
      <c r="F5" s="4" t="n">
        <f aca="false">IFERROR(C5/E5,"")</f>
        <v>58333.3333333333</v>
      </c>
    </row>
    <row r="6" customFormat="false" ht="19.5" hidden="false" customHeight="true" outlineLevel="0" collapsed="false">
      <c r="A6" s="2" t="n">
        <v>5</v>
      </c>
      <c r="B6" s="2" t="str">
        <f aca="false">Civil_Packages_Master!B6</f>
        <v>Čelična konstrukcija</v>
      </c>
      <c r="C6" s="4" t="n">
        <f aca="false">Civil_Packages_Master!E6</f>
        <v>2800000</v>
      </c>
      <c r="D6" s="2" t="s">
        <v>189</v>
      </c>
      <c r="E6" s="2" t="n">
        <f aca="false">Civil_Packages_Master!I6</f>
        <v>40</v>
      </c>
      <c r="F6" s="4" t="n">
        <f aca="false">IFERROR(C6/E6,"")</f>
        <v>70000</v>
      </c>
    </row>
    <row r="7" customFormat="false" ht="19.5" hidden="false" customHeight="true" outlineLevel="0" collapsed="false">
      <c r="A7" s="2" t="n">
        <v>6</v>
      </c>
      <c r="B7" s="2" t="str">
        <f aca="false">Civil_Packages_Master!B7</f>
        <v>Krovni sistem</v>
      </c>
      <c r="C7" s="4" t="n">
        <f aca="false">Civil_Packages_Master!E7</f>
        <v>1075000</v>
      </c>
      <c r="D7" s="2" t="s">
        <v>189</v>
      </c>
      <c r="E7" s="2" t="n">
        <f aca="false">Civil_Packages_Master!I7</f>
        <v>25</v>
      </c>
      <c r="F7" s="4" t="n">
        <f aca="false">IFERROR(C7/E7,"")</f>
        <v>43000</v>
      </c>
    </row>
    <row r="8" customFormat="false" ht="19.5" hidden="false" customHeight="true" outlineLevel="0" collapsed="false">
      <c r="A8" s="2" t="n">
        <v>7</v>
      </c>
      <c r="B8" s="2" t="str">
        <f aca="false">Civil_Packages_Master!B8</f>
        <v>Fasada</v>
      </c>
      <c r="C8" s="4" t="n">
        <f aca="false">Civil_Packages_Master!E8</f>
        <v>1150000</v>
      </c>
      <c r="D8" s="2" t="s">
        <v>189</v>
      </c>
      <c r="E8" s="2" t="n">
        <f aca="false">Civil_Packages_Master!I8</f>
        <v>30</v>
      </c>
      <c r="F8" s="4" t="n">
        <f aca="false">IFERROR(C8/E8,"")</f>
        <v>38333.3333333333</v>
      </c>
    </row>
    <row r="9" customFormat="false" ht="19.5" hidden="false" customHeight="true" outlineLevel="0" collapsed="false">
      <c r="A9" s="2" t="n">
        <v>8</v>
      </c>
      <c r="B9" s="2" t="str">
        <f aca="false">Civil_Packages_Master!B9</f>
        <v>Industrijska vrata</v>
      </c>
      <c r="C9" s="4" t="n">
        <f aca="false">Civil_Packages_Master!E9</f>
        <v>525000</v>
      </c>
      <c r="D9" s="2" t="s">
        <v>191</v>
      </c>
      <c r="E9" s="2" t="n">
        <f aca="false">Civil_Packages_Master!I9</f>
        <v>20</v>
      </c>
      <c r="F9" s="4" t="n">
        <f aca="false">IFERROR(C9/E9,"")</f>
        <v>26250</v>
      </c>
    </row>
    <row r="10" customFormat="false" ht="19.5" hidden="false" customHeight="true" outlineLevel="0" collapsed="false">
      <c r="A10" s="2" t="n">
        <v>9</v>
      </c>
      <c r="B10" s="2" t="str">
        <f aca="false">Civil_Packages_Master!B10</f>
        <v>Prozori / glazing</v>
      </c>
      <c r="C10" s="4" t="n">
        <f aca="false">Civil_Packages_Master!E10</f>
        <v>390000</v>
      </c>
      <c r="D10" s="2" t="s">
        <v>191</v>
      </c>
      <c r="E10" s="2" t="n">
        <f aca="false">Civil_Packages_Master!I10</f>
        <v>25</v>
      </c>
      <c r="F10" s="4" t="n">
        <f aca="false">IFERROR(C10/E10,"")</f>
        <v>15600</v>
      </c>
    </row>
    <row r="11" customFormat="false" ht="19.5" hidden="false" customHeight="true" outlineLevel="0" collapsed="false">
      <c r="A11" s="2" t="n">
        <v>10</v>
      </c>
      <c r="B11" s="2" t="str">
        <f aca="false">Civil_Packages_Master!B11</f>
        <v>Elektro instalacije</v>
      </c>
      <c r="C11" s="4" t="n">
        <f aca="false">Civil_Packages_Master!E11</f>
        <v>1200000</v>
      </c>
      <c r="D11" s="2" t="s">
        <v>126</v>
      </c>
      <c r="E11" s="2" t="n">
        <f aca="false">Civil_Packages_Master!I11</f>
        <v>25</v>
      </c>
      <c r="F11" s="4" t="n">
        <f aca="false">IFERROR(C11/E11,"")</f>
        <v>48000</v>
      </c>
    </row>
    <row r="12" customFormat="false" ht="19.5" hidden="false" customHeight="true" outlineLevel="0" collapsed="false">
      <c r="A12" s="2" t="n">
        <v>11</v>
      </c>
      <c r="B12" s="2" t="str">
        <f aca="false">Civil_Packages_Master!B12</f>
        <v>HVAC</v>
      </c>
      <c r="C12" s="4" t="n">
        <f aca="false">Civil_Packages_Master!E12</f>
        <v>875000</v>
      </c>
      <c r="D12" s="2" t="s">
        <v>192</v>
      </c>
      <c r="E12" s="2" t="n">
        <f aca="false">Civil_Packages_Master!I12</f>
        <v>20</v>
      </c>
      <c r="F12" s="4" t="n">
        <f aca="false">IFERROR(C12/E12,"")</f>
        <v>43750</v>
      </c>
    </row>
    <row r="13" customFormat="false" ht="19.5" hidden="false" customHeight="true" outlineLevel="0" collapsed="false">
      <c r="A13" s="2" t="n">
        <v>12</v>
      </c>
      <c r="B13" s="2" t="str">
        <f aca="false">Civil_Packages_Master!B13</f>
        <v>Fire protection</v>
      </c>
      <c r="C13" s="4" t="n">
        <f aca="false">Civil_Packages_Master!E13</f>
        <v>925000</v>
      </c>
      <c r="D13" s="2" t="s">
        <v>193</v>
      </c>
      <c r="E13" s="2" t="n">
        <f aca="false">Civil_Packages_Master!I13</f>
        <v>25</v>
      </c>
      <c r="F13" s="4" t="n">
        <f aca="false">IFERROR(C13/E13,"")</f>
        <v>37000</v>
      </c>
    </row>
    <row r="14" customFormat="false" ht="19.5" hidden="false" customHeight="true" outlineLevel="0" collapsed="false">
      <c r="A14" s="2" t="n">
        <v>13</v>
      </c>
      <c r="B14" s="2" t="str">
        <f aca="false">Civil_Packages_Master!B14</f>
        <v>Vodovod / sanitarije</v>
      </c>
      <c r="C14" s="4" t="n">
        <f aca="false">Civil_Packages_Master!E14</f>
        <v>375000</v>
      </c>
      <c r="D14" s="2" t="s">
        <v>134</v>
      </c>
      <c r="E14" s="2" t="n">
        <f aca="false">Civil_Packages_Master!I14</f>
        <v>25</v>
      </c>
      <c r="F14" s="4" t="n">
        <f aca="false">IFERROR(C14/E14,"")</f>
        <v>15000</v>
      </c>
    </row>
    <row r="15" customFormat="false" ht="19.5" hidden="false" customHeight="true" outlineLevel="0" collapsed="false">
      <c r="A15" s="2" t="n">
        <v>14</v>
      </c>
      <c r="B15" s="2" t="str">
        <f aca="false">Civil_Packages_Master!B15</f>
        <v>Utility connection</v>
      </c>
      <c r="C15" s="4" t="n">
        <f aca="false">Civil_Packages_Master!E15</f>
        <v>375000</v>
      </c>
      <c r="D15" s="2" t="s">
        <v>136</v>
      </c>
      <c r="E15" s="2" t="n">
        <f aca="false">Civil_Packages_Master!I15</f>
        <v>30</v>
      </c>
      <c r="F15" s="4" t="n">
        <f aca="false">IFERROR(C15/E15,"")</f>
        <v>12500</v>
      </c>
    </row>
    <row r="16" customFormat="false" ht="19.5" hidden="false" customHeight="true" outlineLevel="0" collapsed="false">
      <c r="A16" s="2" t="n">
        <v>15</v>
      </c>
      <c r="B16" s="2" t="str">
        <f aca="false">Civil_Packages_Master!B16</f>
        <v>Crane rails</v>
      </c>
      <c r="C16" s="4" t="n">
        <f aca="false">Civil_Packages_Master!E16</f>
        <v>575000</v>
      </c>
      <c r="D16" s="2" t="s">
        <v>190</v>
      </c>
      <c r="E16" s="2" t="n">
        <f aca="false">Civil_Packages_Master!I16</f>
        <v>30</v>
      </c>
      <c r="F16" s="4" t="n">
        <f aca="false">IFERROR(C16/E16,"")</f>
        <v>19166.6666666667</v>
      </c>
    </row>
    <row r="17" customFormat="false" ht="19.5" hidden="false" customHeight="true" outlineLevel="0" collapsed="false">
      <c r="A17" s="2" t="n">
        <v>16</v>
      </c>
      <c r="B17" s="2" t="str">
        <f aca="false">Civil_Packages_Master!B17</f>
        <v>Office fit-out</v>
      </c>
      <c r="C17" s="4" t="n">
        <f aca="false">Civil_Packages_Master!E17</f>
        <v>650000</v>
      </c>
      <c r="D17" s="2" t="s">
        <v>142</v>
      </c>
      <c r="E17" s="2" t="n">
        <f aca="false">Civil_Packages_Master!I17</f>
        <v>20</v>
      </c>
      <c r="F17" s="4" t="n">
        <f aca="false">IFERROR(C17/E17,"")</f>
        <v>32500</v>
      </c>
    </row>
    <row r="18" customFormat="false" ht="19.5" hidden="false" customHeight="true" outlineLevel="0" collapsed="false">
      <c r="A18" s="2" t="n">
        <v>17</v>
      </c>
      <c r="B18" s="2" t="str">
        <f aca="false">Civil_Packages_Master!B18</f>
        <v>External works</v>
      </c>
      <c r="C18" s="4" t="n">
        <f aca="false">Civil_Packages_Master!E18</f>
        <v>1000000</v>
      </c>
      <c r="D18" s="2" t="s">
        <v>188</v>
      </c>
      <c r="E18" s="2" t="n">
        <f aca="false">Civil_Packages_Master!I18</f>
        <v>30</v>
      </c>
      <c r="F18" s="4" t="n">
        <f aca="false">IFERROR(C18/E18,"")</f>
        <v>33333.3333333333</v>
      </c>
    </row>
    <row r="19" customFormat="false" ht="19.5" hidden="false" customHeight="true" outlineLevel="0" collapsed="false">
      <c r="A19" s="2" t="n">
        <v>18</v>
      </c>
      <c r="B19" s="2" t="str">
        <f aca="false">Civil_Packages_Master!B19</f>
        <v>Security systems</v>
      </c>
      <c r="C19" s="4" t="n">
        <f aca="false">Civil_Packages_Master!E19</f>
        <v>315000</v>
      </c>
      <c r="D19" s="2" t="s">
        <v>167</v>
      </c>
      <c r="E19" s="2" t="n">
        <f aca="false">Civil_Packages_Master!I19</f>
        <v>15</v>
      </c>
      <c r="F19" s="4" t="n">
        <f aca="false">IFERROR(C19/E19,"")</f>
        <v>21000</v>
      </c>
    </row>
    <row r="20" customFormat="false" ht="19.5" hidden="false" customHeight="true" outlineLevel="0" collapsed="false">
      <c r="A20" s="3" t="s">
        <v>194</v>
      </c>
      <c r="B20" s="2"/>
      <c r="C20" s="18" t="n">
        <f aca="false">SUM(C2:C19)</f>
        <v>16855000</v>
      </c>
      <c r="D20" s="2"/>
      <c r="E20" s="2"/>
      <c r="F20" s="18" t="n">
        <f aca="false">SUM(F2:F19)</f>
        <v>687766.666666667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9.5" hidden="false" customHeight="true" outlineLevel="0" collapsed="false">
      <c r="A1" s="6" t="s">
        <v>43</v>
      </c>
      <c r="B1" s="6" t="s">
        <v>44</v>
      </c>
      <c r="C1" s="6" t="s">
        <v>46</v>
      </c>
    </row>
    <row r="2" customFormat="false" ht="19.5" hidden="false" customHeight="true" outlineLevel="0" collapsed="false">
      <c r="A2" s="2" t="s">
        <v>195</v>
      </c>
      <c r="B2" s="2"/>
      <c r="C2" s="2"/>
    </row>
    <row r="3" customFormat="false" ht="19.5" hidden="false" customHeight="true" outlineLevel="0" collapsed="false">
      <c r="A3" s="2" t="s">
        <v>13</v>
      </c>
      <c r="B3" s="4" t="n">
        <f aca="false">Civil_Packages_Master!E21</f>
        <v>18255000</v>
      </c>
      <c r="C3" s="2" t="s">
        <v>196</v>
      </c>
    </row>
    <row r="4" customFormat="false" ht="19.5" hidden="false" customHeight="true" outlineLevel="0" collapsed="false">
      <c r="A4" s="2" t="s">
        <v>197</v>
      </c>
      <c r="B4" s="4" t="n">
        <f aca="false">Assumptions!B6-Assumptions!B5</f>
        <v>40020000</v>
      </c>
      <c r="C4" s="2" t="s">
        <v>198</v>
      </c>
    </row>
    <row r="5" customFormat="false" ht="19.5" hidden="false" customHeight="true" outlineLevel="0" collapsed="false">
      <c r="A5" s="2" t="s">
        <v>199</v>
      </c>
      <c r="B5" s="4" t="n">
        <f aca="false">Assumptions!B6</f>
        <v>58275000</v>
      </c>
      <c r="C5" s="2" t="s">
        <v>200</v>
      </c>
    </row>
    <row r="6" customFormat="false" ht="19.5" hidden="false" customHeight="true" outlineLevel="0" collapsed="false">
      <c r="A6" s="2" t="s">
        <v>201</v>
      </c>
      <c r="B6" s="5" t="n">
        <f aca="false">Assumptions!B7</f>
        <v>0.313256113256113</v>
      </c>
      <c r="C6" s="2" t="s">
        <v>202</v>
      </c>
    </row>
    <row r="7" customFormat="false" ht="19.5" hidden="false" customHeight="true" outlineLevel="0" collapsed="false">
      <c r="A7" s="2" t="s">
        <v>203</v>
      </c>
      <c r="B7" s="2" t="str">
        <f aca="false">IF(AND(CAPEX_Check!D4="OK",CAPEX_Check!D6="OK"),"CORE CAPEX LINKED","REVIEW REQUIRED")</f>
        <v>CORE CAPEX LINKED</v>
      </c>
      <c r="C7" s="2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2026-03-13T10:19:15Z</dcterms:created>
  <dc:creator>openpyxl</dc:creator>
  <dc:description/>
  <dc:language>en-US</dc:language>
  <cp:lastModifiedBy/>
  <dcterms:modified xsi:type="dcterms:W3CDTF">2026-03-13T10:19:15Z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