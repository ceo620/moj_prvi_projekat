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_Lista" sheetId="1" state="visible" r:id="rId3"/>
    <sheet name="Pozicije" sheetId="2" state="visible" r:id="rId4"/>
    <sheet name="Sheet11_Zarade" sheetId="3" state="visible" r:id="rId5"/>
    <sheet name="Sheet3_Sati" sheetId="4" state="visible" r:id="rId6"/>
    <sheet name="Sheet27_Projekti" sheetId="5" state="visible" r:id="rId7"/>
    <sheet name="Sheet31_Analitika" sheetId="6" state="visible" r:id="rId8"/>
    <sheet name="Sheet35_Dashboard" sheetId="7" state="visible" r:id="rId9"/>
    <sheet name="Error_Checks" sheetId="8" state="visible" r:id="rId10"/>
  </sheets>
  <definedNames>
    <definedName function="false" hidden="false" name="ListaProjekata" vbProcedure="false">Sheet27_Projekti!$A$2:$A$16</definedName>
    <definedName function="false" hidden="false" name="ListaRadnikaID" vbProcedure="false">Master_Lista!$A$2:$A$151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<sst xmlns="http://schemas.openxmlformats.org/spreadsheetml/2006/main" count="1260" uniqueCount="393">
  <si>
    <t xml:space="preserve">Employee_ID</t>
  </si>
  <si>
    <t xml:space="preserve">Ime Radnika</t>
  </si>
  <si>
    <t xml:space="preserve">EMP001</t>
  </si>
  <si>
    <t xml:space="preserve">Branko Vasic</t>
  </si>
  <si>
    <t xml:space="preserve">EMP002</t>
  </si>
  <si>
    <t xml:space="preserve">Filip Antic</t>
  </si>
  <si>
    <t xml:space="preserve">EMP003</t>
  </si>
  <si>
    <t xml:space="preserve">Luka Filipovic</t>
  </si>
  <si>
    <t xml:space="preserve">EMP004</t>
  </si>
  <si>
    <t xml:space="preserve">Tomas Obradovic</t>
  </si>
  <si>
    <t xml:space="preserve">EMP005</t>
  </si>
  <si>
    <t xml:space="preserve">Jelena Nikolic</t>
  </si>
  <si>
    <t xml:space="preserve">EMP006</t>
  </si>
  <si>
    <t xml:space="preserve">Goran Zivkovic</t>
  </si>
  <si>
    <t xml:space="preserve">EMP007</t>
  </si>
  <si>
    <t xml:space="preserve">Filip Kostic</t>
  </si>
  <si>
    <t xml:space="preserve">EMP008</t>
  </si>
  <si>
    <t xml:space="preserve">Lidija Tomic</t>
  </si>
  <si>
    <t xml:space="preserve">EMP009</t>
  </si>
  <si>
    <t xml:space="preserve">Petar Lazic</t>
  </si>
  <si>
    <t xml:space="preserve">EMP010</t>
  </si>
  <si>
    <t xml:space="preserve">Branko Babic</t>
  </si>
  <si>
    <t xml:space="preserve">EMP011</t>
  </si>
  <si>
    <t xml:space="preserve">Uros Djordjevic</t>
  </si>
  <si>
    <t xml:space="preserve">EMP012</t>
  </si>
  <si>
    <t xml:space="preserve">EMP013</t>
  </si>
  <si>
    <t xml:space="preserve">Cedomir Vasic</t>
  </si>
  <si>
    <t xml:space="preserve">EMP014</t>
  </si>
  <si>
    <t xml:space="preserve">Nikola Jankovic</t>
  </si>
  <si>
    <t xml:space="preserve">EMP015</t>
  </si>
  <si>
    <t xml:space="preserve">Petar Antic</t>
  </si>
  <si>
    <t xml:space="preserve">EMP016</t>
  </si>
  <si>
    <t xml:space="preserve">Stefan Cvetkovic</t>
  </si>
  <si>
    <t xml:space="preserve">EMP017</t>
  </si>
  <si>
    <t xml:space="preserve">Cedomir Markovic</t>
  </si>
  <si>
    <t xml:space="preserve">EMP018</t>
  </si>
  <si>
    <t xml:space="preserve">Sanja Grujic</t>
  </si>
  <si>
    <t xml:space="preserve">EMP019</t>
  </si>
  <si>
    <t xml:space="preserve">Jovan Tomic</t>
  </si>
  <si>
    <t xml:space="preserve">EMP020</t>
  </si>
  <si>
    <t xml:space="preserve">Luka Kostic</t>
  </si>
  <si>
    <t xml:space="preserve">EMP021</t>
  </si>
  <si>
    <t xml:space="preserve">Lidija Obradovic</t>
  </si>
  <si>
    <t xml:space="preserve">EMP022</t>
  </si>
  <si>
    <t xml:space="preserve">Aleksandar Lazic</t>
  </si>
  <si>
    <t xml:space="preserve">EMP023</t>
  </si>
  <si>
    <t xml:space="preserve">Petra Lazic</t>
  </si>
  <si>
    <t xml:space="preserve">EMP024</t>
  </si>
  <si>
    <t xml:space="preserve">Una Kostic</t>
  </si>
  <si>
    <t xml:space="preserve">EMP025</t>
  </si>
  <si>
    <t xml:space="preserve">Radoslav Vasic</t>
  </si>
  <si>
    <t xml:space="preserve">EMP026</t>
  </si>
  <si>
    <t xml:space="preserve">Ognjen Kostic</t>
  </si>
  <si>
    <t xml:space="preserve">EMP027</t>
  </si>
  <si>
    <t xml:space="preserve">Branko Jankovic</t>
  </si>
  <si>
    <t xml:space="preserve">EMP028</t>
  </si>
  <si>
    <t xml:space="preserve">Aleksandar Cvetkovic</t>
  </si>
  <si>
    <t xml:space="preserve">EMP029</t>
  </si>
  <si>
    <t xml:space="preserve">Ognjen Jankovic</t>
  </si>
  <si>
    <t xml:space="preserve">EMP030</t>
  </si>
  <si>
    <t xml:space="preserve">Uros Pavlovic</t>
  </si>
  <si>
    <t xml:space="preserve">EMP031</t>
  </si>
  <si>
    <t xml:space="preserve">Stefan Nikolic</t>
  </si>
  <si>
    <t xml:space="preserve">EMP032</t>
  </si>
  <si>
    <t xml:space="preserve">Uros Obradovic</t>
  </si>
  <si>
    <t xml:space="preserve">EMP033</t>
  </si>
  <si>
    <t xml:space="preserve">Uros Tomic</t>
  </si>
  <si>
    <t xml:space="preserve">EMP034</t>
  </si>
  <si>
    <t xml:space="preserve">Stefan Antic</t>
  </si>
  <si>
    <t xml:space="preserve">EMP035</t>
  </si>
  <si>
    <t xml:space="preserve">Olga Markovic</t>
  </si>
  <si>
    <t xml:space="preserve">EMP036</t>
  </si>
  <si>
    <t xml:space="preserve">Olga Zivkovic</t>
  </si>
  <si>
    <t xml:space="preserve">EMP037</t>
  </si>
  <si>
    <t xml:space="preserve">Filip Tomic</t>
  </si>
  <si>
    <t xml:space="preserve">EMP038</t>
  </si>
  <si>
    <t xml:space="preserve">Cedomir Simic</t>
  </si>
  <si>
    <t xml:space="preserve">EMP039</t>
  </si>
  <si>
    <t xml:space="preserve">Radoslav Kostic</t>
  </si>
  <si>
    <t xml:space="preserve">EMP040</t>
  </si>
  <si>
    <t xml:space="preserve">Zorica Vasic</t>
  </si>
  <si>
    <t xml:space="preserve">EMP041</t>
  </si>
  <si>
    <t xml:space="preserve">Lidija Ilic</t>
  </si>
  <si>
    <t xml:space="preserve">EMP042</t>
  </si>
  <si>
    <t xml:space="preserve">EMP043</t>
  </si>
  <si>
    <t xml:space="preserve">Stefan Filipovic</t>
  </si>
  <si>
    <t xml:space="preserve">EMP044</t>
  </si>
  <si>
    <t xml:space="preserve">Radmila Ilic</t>
  </si>
  <si>
    <t xml:space="preserve">EMP045</t>
  </si>
  <si>
    <t xml:space="preserve">Ognjen Markovic</t>
  </si>
  <si>
    <t xml:space="preserve">EMP046</t>
  </si>
  <si>
    <t xml:space="preserve">Ognjen Urosevic</t>
  </si>
  <si>
    <t xml:space="preserve">EMP047</t>
  </si>
  <si>
    <t xml:space="preserve">Aleksandar Zivkovic</t>
  </si>
  <si>
    <t xml:space="preserve">EMP048</t>
  </si>
  <si>
    <t xml:space="preserve">Jelena Urosevic</t>
  </si>
  <si>
    <t xml:space="preserve">EMP049</t>
  </si>
  <si>
    <t xml:space="preserve">EMP050</t>
  </si>
  <si>
    <t xml:space="preserve">Petar Djordjevic</t>
  </si>
  <si>
    <t xml:space="preserve">EMP051</t>
  </si>
  <si>
    <t xml:space="preserve">Elena Nikolic</t>
  </si>
  <si>
    <t xml:space="preserve">EMP052</t>
  </si>
  <si>
    <t xml:space="preserve">EMP053</t>
  </si>
  <si>
    <t xml:space="preserve">Radoslav Urosevic</t>
  </si>
  <si>
    <t xml:space="preserve">EMP054</t>
  </si>
  <si>
    <t xml:space="preserve">Uros Markovic</t>
  </si>
  <si>
    <t xml:space="preserve">EMP055</t>
  </si>
  <si>
    <t xml:space="preserve">Kosta Lazic</t>
  </si>
  <si>
    <t xml:space="preserve">EMP056</t>
  </si>
  <si>
    <t xml:space="preserve">Kosta Urosevic</t>
  </si>
  <si>
    <t xml:space="preserve">EMP057</t>
  </si>
  <si>
    <t xml:space="preserve">Vuk Markovic</t>
  </si>
  <si>
    <t xml:space="preserve">EMP058</t>
  </si>
  <si>
    <t xml:space="preserve">Milan Grujic</t>
  </si>
  <si>
    <t xml:space="preserve">EMP059</t>
  </si>
  <si>
    <t xml:space="preserve">Vesna Simic</t>
  </si>
  <si>
    <t xml:space="preserve">EMP060</t>
  </si>
  <si>
    <t xml:space="preserve">Cedomir Jankovic</t>
  </si>
  <si>
    <t xml:space="preserve">EMP061</t>
  </si>
  <si>
    <t xml:space="preserve">Vesna Filipovic</t>
  </si>
  <si>
    <t xml:space="preserve">EMP062</t>
  </si>
  <si>
    <t xml:space="preserve">Ana Pavlovic</t>
  </si>
  <si>
    <t xml:space="preserve">EMP063</t>
  </si>
  <si>
    <t xml:space="preserve">Dragan Cvetkovic</t>
  </si>
  <si>
    <t xml:space="preserve">EMP064</t>
  </si>
  <si>
    <t xml:space="preserve">Branko Cvetkovic</t>
  </si>
  <si>
    <t xml:space="preserve">EMP065</t>
  </si>
  <si>
    <t xml:space="preserve">Nikola Cvetkovic</t>
  </si>
  <si>
    <t xml:space="preserve">EMP066</t>
  </si>
  <si>
    <t xml:space="preserve">Filip Zivkovic</t>
  </si>
  <si>
    <t xml:space="preserve">EMP067</t>
  </si>
  <si>
    <t xml:space="preserve">Petar Pavlovic</t>
  </si>
  <si>
    <t xml:space="preserve">EMP068</t>
  </si>
  <si>
    <t xml:space="preserve">Branko Kostic</t>
  </si>
  <si>
    <t xml:space="preserve">EMP069</t>
  </si>
  <si>
    <t xml:space="preserve">Jovan Lazic</t>
  </si>
  <si>
    <t xml:space="preserve">EMP070</t>
  </si>
  <si>
    <t xml:space="preserve">Radoslav Tomic</t>
  </si>
  <si>
    <t xml:space="preserve">EMP071</t>
  </si>
  <si>
    <t xml:space="preserve">Tomas Nikolic</t>
  </si>
  <si>
    <t xml:space="preserve">EMP072</t>
  </si>
  <si>
    <t xml:space="preserve">Ivan Cvetkovic</t>
  </si>
  <si>
    <t xml:space="preserve">EMP073</t>
  </si>
  <si>
    <t xml:space="preserve">EMP074</t>
  </si>
  <si>
    <t xml:space="preserve">Sanja Tomic</t>
  </si>
  <si>
    <t xml:space="preserve">EMP075</t>
  </si>
  <si>
    <t xml:space="preserve">Milan Nikolic</t>
  </si>
  <si>
    <t xml:space="preserve">EMP076</t>
  </si>
  <si>
    <t xml:space="preserve">Aleksandar Radovic</t>
  </si>
  <si>
    <t xml:space="preserve">EMP077</t>
  </si>
  <si>
    <t xml:space="preserve">Ana Babic</t>
  </si>
  <si>
    <t xml:space="preserve">EMP078</t>
  </si>
  <si>
    <t xml:space="preserve">Natasa Tomic</t>
  </si>
  <si>
    <t xml:space="preserve">EMP079</t>
  </si>
  <si>
    <t xml:space="preserve">Dragan Djordjevic</t>
  </si>
  <si>
    <t xml:space="preserve">EMP080</t>
  </si>
  <si>
    <t xml:space="preserve">Kosta Vasic</t>
  </si>
  <si>
    <t xml:space="preserve">EMP081</t>
  </si>
  <si>
    <t xml:space="preserve">Kosta Zivkovic</t>
  </si>
  <si>
    <t xml:space="preserve">EMP082</t>
  </si>
  <si>
    <t xml:space="preserve">Stefan Zivkovic</t>
  </si>
  <si>
    <t xml:space="preserve">EMP083</t>
  </si>
  <si>
    <t xml:space="preserve">Filip Babic</t>
  </si>
  <si>
    <t xml:space="preserve">EMP084</t>
  </si>
  <si>
    <t xml:space="preserve">Tomas Simic</t>
  </si>
  <si>
    <t xml:space="preserve">EMP085</t>
  </si>
  <si>
    <t xml:space="preserve">Danica Obradovic</t>
  </si>
  <si>
    <t xml:space="preserve">EMP086</t>
  </si>
  <si>
    <t xml:space="preserve">Ana Lazic</t>
  </si>
  <si>
    <t xml:space="preserve">EMP087</t>
  </si>
  <si>
    <t xml:space="preserve">Ognjen Cvetkovic</t>
  </si>
  <si>
    <t xml:space="preserve">EMP088</t>
  </si>
  <si>
    <t xml:space="preserve">Katarina Tomic</t>
  </si>
  <si>
    <t xml:space="preserve">EMP089</t>
  </si>
  <si>
    <t xml:space="preserve">Ivan Nikolic</t>
  </si>
  <si>
    <t xml:space="preserve">EMP090</t>
  </si>
  <si>
    <t xml:space="preserve">Elena Grujic</t>
  </si>
  <si>
    <t xml:space="preserve">EMP091</t>
  </si>
  <si>
    <t xml:space="preserve">EMP092</t>
  </si>
  <si>
    <t xml:space="preserve">Filip Filipovic</t>
  </si>
  <si>
    <t xml:space="preserve">EMP093</t>
  </si>
  <si>
    <t xml:space="preserve">Nikola Lazic</t>
  </si>
  <si>
    <t xml:space="preserve">EMP094</t>
  </si>
  <si>
    <t xml:space="preserve">Nikola Pavlovic</t>
  </si>
  <si>
    <t xml:space="preserve">EMP095</t>
  </si>
  <si>
    <t xml:space="preserve">Tamara Babic</t>
  </si>
  <si>
    <t xml:space="preserve">EMP096</t>
  </si>
  <si>
    <t xml:space="preserve">Petar Markovic</t>
  </si>
  <si>
    <t xml:space="preserve">EMP097</t>
  </si>
  <si>
    <t xml:space="preserve">Goran Pavlovic</t>
  </si>
  <si>
    <t xml:space="preserve">EMP098</t>
  </si>
  <si>
    <t xml:space="preserve">Danica Cvetkovic</t>
  </si>
  <si>
    <t xml:space="preserve">EMP099</t>
  </si>
  <si>
    <t xml:space="preserve">Petra Pavlovic</t>
  </si>
  <si>
    <t xml:space="preserve">EMP100</t>
  </si>
  <si>
    <t xml:space="preserve">EMP101</t>
  </si>
  <si>
    <t xml:space="preserve">Biljana Lazic</t>
  </si>
  <si>
    <t xml:space="preserve">EMP102</t>
  </si>
  <si>
    <t xml:space="preserve">Kosta Cvetkovic</t>
  </si>
  <si>
    <t xml:space="preserve">EMP103</t>
  </si>
  <si>
    <t xml:space="preserve">Radmila Radovic</t>
  </si>
  <si>
    <t xml:space="preserve">EMP104</t>
  </si>
  <si>
    <t xml:space="preserve">Sanja Djordjevic</t>
  </si>
  <si>
    <t xml:space="preserve">EMP105</t>
  </si>
  <si>
    <t xml:space="preserve">Aleksandar Babic</t>
  </si>
  <si>
    <t xml:space="preserve">EMP106</t>
  </si>
  <si>
    <t xml:space="preserve">Ivana Jankovic</t>
  </si>
  <si>
    <t xml:space="preserve">EMP107</t>
  </si>
  <si>
    <t xml:space="preserve">EMP108</t>
  </si>
  <si>
    <t xml:space="preserve">Jovan Radovic</t>
  </si>
  <si>
    <t xml:space="preserve">EMP109</t>
  </si>
  <si>
    <t xml:space="preserve">Goran Nikolic</t>
  </si>
  <si>
    <t xml:space="preserve">EMP110</t>
  </si>
  <si>
    <t xml:space="preserve">Cedomir Urosevic</t>
  </si>
  <si>
    <t xml:space="preserve">EMP111</t>
  </si>
  <si>
    <t xml:space="preserve">Ivan Grujic</t>
  </si>
  <si>
    <t xml:space="preserve">EMP112</t>
  </si>
  <si>
    <t xml:space="preserve">Cedomir Obradovic</t>
  </si>
  <si>
    <t xml:space="preserve">EMP113</t>
  </si>
  <si>
    <t xml:space="preserve">Zoran Markovic</t>
  </si>
  <si>
    <t xml:space="preserve">EMP114</t>
  </si>
  <si>
    <t xml:space="preserve">Petar Tomic</t>
  </si>
  <si>
    <t xml:space="preserve">EMP115</t>
  </si>
  <si>
    <t xml:space="preserve">Vuk Grujic</t>
  </si>
  <si>
    <t xml:space="preserve">EMP116</t>
  </si>
  <si>
    <t xml:space="preserve">Ana Urosevic</t>
  </si>
  <si>
    <t xml:space="preserve">EMP117</t>
  </si>
  <si>
    <t xml:space="preserve">Radoslav Zivkovic</t>
  </si>
  <si>
    <t xml:space="preserve">EMP118</t>
  </si>
  <si>
    <t xml:space="preserve">EMP119</t>
  </si>
  <si>
    <t xml:space="preserve">Ivana Ilic</t>
  </si>
  <si>
    <t xml:space="preserve">EMP120</t>
  </si>
  <si>
    <t xml:space="preserve">Ivan Obradovic</t>
  </si>
  <si>
    <t xml:space="preserve">EMP121</t>
  </si>
  <si>
    <t xml:space="preserve">Vesna Kostic</t>
  </si>
  <si>
    <t xml:space="preserve">EMP122</t>
  </si>
  <si>
    <t xml:space="preserve">Luka Ilic</t>
  </si>
  <si>
    <t xml:space="preserve">EMP123</t>
  </si>
  <si>
    <t xml:space="preserve">Petra Filipovic</t>
  </si>
  <si>
    <t xml:space="preserve">EMP124</t>
  </si>
  <si>
    <t xml:space="preserve">Cedomir Babic</t>
  </si>
  <si>
    <t xml:space="preserve">EMP125</t>
  </si>
  <si>
    <t xml:space="preserve">Petar Ilic</t>
  </si>
  <si>
    <t xml:space="preserve">EMP126</t>
  </si>
  <si>
    <t xml:space="preserve">Aleksandar Grujic</t>
  </si>
  <si>
    <t xml:space="preserve">EMP127</t>
  </si>
  <si>
    <t xml:space="preserve">Radmila Jankovic</t>
  </si>
  <si>
    <t xml:space="preserve">EMP128</t>
  </si>
  <si>
    <t xml:space="preserve">Jelena Tomic</t>
  </si>
  <si>
    <t xml:space="preserve">EMP129</t>
  </si>
  <si>
    <t xml:space="preserve">Kosta Pavlovic</t>
  </si>
  <si>
    <t xml:space="preserve">EMP130</t>
  </si>
  <si>
    <t xml:space="preserve">Goran Urosevic</t>
  </si>
  <si>
    <t xml:space="preserve">EMP131</t>
  </si>
  <si>
    <t xml:space="preserve">Dragan Kostic</t>
  </si>
  <si>
    <t xml:space="preserve">EMP132</t>
  </si>
  <si>
    <t xml:space="preserve">EMP133</t>
  </si>
  <si>
    <t xml:space="preserve">Milan Jankovic</t>
  </si>
  <si>
    <t xml:space="preserve">EMP134</t>
  </si>
  <si>
    <t xml:space="preserve">Radoslav Antic</t>
  </si>
  <si>
    <t xml:space="preserve">EMP135</t>
  </si>
  <si>
    <t xml:space="preserve">Tomas Radovic</t>
  </si>
  <si>
    <t xml:space="preserve">EMP136</t>
  </si>
  <si>
    <t xml:space="preserve">Petar Vasic</t>
  </si>
  <si>
    <t xml:space="preserve">EMP137</t>
  </si>
  <si>
    <t xml:space="preserve">Petar Babic</t>
  </si>
  <si>
    <t xml:space="preserve">EMP138</t>
  </si>
  <si>
    <t xml:space="preserve">EMP139</t>
  </si>
  <si>
    <t xml:space="preserve">Petar Cvetkovic</t>
  </si>
  <si>
    <t xml:space="preserve">EMP140</t>
  </si>
  <si>
    <t xml:space="preserve">Tamara Urosevic</t>
  </si>
  <si>
    <t xml:space="preserve">EMP141</t>
  </si>
  <si>
    <t xml:space="preserve">Tomas Urosevic</t>
  </si>
  <si>
    <t xml:space="preserve">EMP142</t>
  </si>
  <si>
    <t xml:space="preserve">Filip Vasic</t>
  </si>
  <si>
    <t xml:space="preserve">EMP143</t>
  </si>
  <si>
    <t xml:space="preserve">Ivan Babic</t>
  </si>
  <si>
    <t xml:space="preserve">EMP144</t>
  </si>
  <si>
    <t xml:space="preserve">EMP145</t>
  </si>
  <si>
    <t xml:space="preserve">Filip Pavlovic</t>
  </si>
  <si>
    <t xml:space="preserve">EMP146</t>
  </si>
  <si>
    <t xml:space="preserve">Jovan Urosevic</t>
  </si>
  <si>
    <t xml:space="preserve">EMP147</t>
  </si>
  <si>
    <t xml:space="preserve">Elena Ilic</t>
  </si>
  <si>
    <t xml:space="preserve">EMP148</t>
  </si>
  <si>
    <t xml:space="preserve">Dragan Tomic</t>
  </si>
  <si>
    <t xml:space="preserve">EMP149</t>
  </si>
  <si>
    <t xml:space="preserve">EMP150</t>
  </si>
  <si>
    <t xml:space="preserve">Filip Lazic</t>
  </si>
  <si>
    <t xml:space="preserve">Pozicija</t>
  </si>
  <si>
    <t xml:space="preserve">Satnica (€ / h)</t>
  </si>
  <si>
    <t xml:space="preserve">Elektromonter</t>
  </si>
  <si>
    <t xml:space="preserve">Vodeći monter</t>
  </si>
  <si>
    <t xml:space="preserve">Inženjer na gradilištu</t>
  </si>
  <si>
    <t xml:space="preserve">Projekt menadžer</t>
  </si>
  <si>
    <t xml:space="preserve">Bravar</t>
  </si>
  <si>
    <t xml:space="preserve">Zavarivač</t>
  </si>
  <si>
    <t xml:space="preserve">CNC operater</t>
  </si>
  <si>
    <t xml:space="preserve">Kontrola kvaliteta</t>
  </si>
  <si>
    <t xml:space="preserve">Mašinski inženjer</t>
  </si>
  <si>
    <t xml:space="preserve">Elektro inženjer</t>
  </si>
  <si>
    <t xml:space="preserve">Operater prese</t>
  </si>
  <si>
    <t xml:space="preserve">Slikar</t>
  </si>
  <si>
    <t xml:space="preserve">Magacioner</t>
  </si>
  <si>
    <t xml:space="preserve">Tehničar održavanja</t>
  </si>
  <si>
    <t xml:space="preserve">Menadžer kvaliteta</t>
  </si>
  <si>
    <t xml:space="preserve">Logističar</t>
  </si>
  <si>
    <t xml:space="preserve">Administrator</t>
  </si>
  <si>
    <t xml:space="preserve">Finansijski analitičar</t>
  </si>
  <si>
    <t xml:space="preserve">Bruto Plata (€ / mj.)</t>
  </si>
  <si>
    <t xml:space="preserve">Napomena</t>
  </si>
  <si>
    <t xml:space="preserve">Employee Contrib</t>
  </si>
  <si>
    <t xml:space="preserve">Taxable</t>
  </si>
  <si>
    <t xml:space="preserve">PIT</t>
  </si>
  <si>
    <t xml:space="preserve">Surtax</t>
  </si>
  <si>
    <t xml:space="preserve">Neto Plata</t>
  </si>
  <si>
    <t xml:space="preserve">Employer Contrib</t>
  </si>
  <si>
    <t xml:space="preserve">Total Cost</t>
  </si>
  <si>
    <t xml:space="preserve">Projekat</t>
  </si>
  <si>
    <t xml:space="preserve">Sati</t>
  </si>
  <si>
    <t xml:space="preserve">Datum</t>
  </si>
  <si>
    <t xml:space="preserve">Bruto Teret</t>
  </si>
  <si>
    <t xml:space="preserve">Finansijski Teret</t>
  </si>
  <si>
    <t xml:space="preserve">Status kontrole</t>
  </si>
  <si>
    <t xml:space="preserve">Duplikat dnevnog unosa</t>
  </si>
  <si>
    <t xml:space="preserve">P008</t>
  </si>
  <si>
    <t xml:space="preserve">P011</t>
  </si>
  <si>
    <t xml:space="preserve">P009</t>
  </si>
  <si>
    <t xml:space="preserve">P012</t>
  </si>
  <si>
    <t xml:space="preserve">P004</t>
  </si>
  <si>
    <t xml:space="preserve">P013</t>
  </si>
  <si>
    <t xml:space="preserve">P010</t>
  </si>
  <si>
    <t xml:space="preserve">P007</t>
  </si>
  <si>
    <t xml:space="preserve">P006</t>
  </si>
  <si>
    <t xml:space="preserve">P014</t>
  </si>
  <si>
    <t xml:space="preserve">P005</t>
  </si>
  <si>
    <t xml:space="preserve">P001</t>
  </si>
  <si>
    <t xml:space="preserve">P003</t>
  </si>
  <si>
    <t xml:space="preserve">P015</t>
  </si>
  <si>
    <t xml:space="preserve">P002</t>
  </si>
  <si>
    <t xml:space="preserve">Sifra Projekta</t>
  </si>
  <si>
    <t xml:space="preserve">Naziv Projekta</t>
  </si>
  <si>
    <t xml:space="preserve">Status</t>
  </si>
  <si>
    <t xml:space="preserve">Trafo Tank 110kV</t>
  </si>
  <si>
    <t xml:space="preserve">Aktivan</t>
  </si>
  <si>
    <t xml:space="preserve">Trafo Tank 220kV</t>
  </si>
  <si>
    <t xml:space="preserve">Kotlovi Specijalni</t>
  </si>
  <si>
    <t xml:space="preserve">Metalne Konstrukcije</t>
  </si>
  <si>
    <t xml:space="preserve">Planirano</t>
  </si>
  <si>
    <t xml:space="preserve">Montaža Postrojenja</t>
  </si>
  <si>
    <t xml:space="preserve">Trafo Tank 500kV</t>
  </si>
  <si>
    <t xml:space="preserve">Održavanje Transformatora</t>
  </si>
  <si>
    <t xml:space="preserve">Proizvodnja Rashladnih Sistema</t>
  </si>
  <si>
    <t xml:space="preserve">Testiranje Kvaliteta</t>
  </si>
  <si>
    <t xml:space="preserve">Logistika Isporuka</t>
  </si>
  <si>
    <t xml:space="preserve">Razvoj Novih Modela</t>
  </si>
  <si>
    <t xml:space="preserve">Obuka Radnika</t>
  </si>
  <si>
    <t xml:space="preserve">Nadogradnja Postrojenja</t>
  </si>
  <si>
    <t xml:space="preserve">Kontrola Zaliha</t>
  </si>
  <si>
    <t xml:space="preserve">Eko Projekat</t>
  </si>
  <si>
    <t xml:space="preserve">Ukupni Sati</t>
  </si>
  <si>
    <t xml:space="preserve">Ukupan Trošak</t>
  </si>
  <si>
    <t xml:space="preserve">Prosječan Trošak / h</t>
  </si>
  <si>
    <t xml:space="preserve">Broj Unosa</t>
  </si>
  <si>
    <t xml:space="preserve">Efikasnost</t>
  </si>
  <si>
    <t xml:space="preserve">Prosjek po Unosu</t>
  </si>
  <si>
    <t xml:space="preserve">EXECUTIVE SUMMARY - EFIKASNOST 2026 (v3.1 clean)</t>
  </si>
  <si>
    <t xml:space="preserve">Ukupan Trošak Rada:</t>
  </si>
  <si>
    <t xml:space="preserve">Kontrolni pragovi</t>
  </si>
  <si>
    <t xml:space="preserve">Ukupno Evidentiranih Sati:</t>
  </si>
  <si>
    <t xml:space="preserve">Max sati / dan</t>
  </si>
  <si>
    <t xml:space="preserve">Prosječan Trošak po Satu:</t>
  </si>
  <si>
    <t xml:space="preserve">Flag prag</t>
  </si>
  <si>
    <t xml:space="preserve">Broj Evidentiranih Unosa:</t>
  </si>
  <si>
    <t xml:space="preserve">Valuta</t>
  </si>
  <si>
    <t xml:space="preserve">EUR</t>
  </si>
  <si>
    <t xml:space="preserve">Najskuplji Projekat:</t>
  </si>
  <si>
    <t xml:space="preserve">Period</t>
  </si>
  <si>
    <t xml:space="preserve">2026</t>
  </si>
  <si>
    <t xml:space="preserve">Najopterećeniji Radnik (ID):</t>
  </si>
  <si>
    <t xml:space="preserve">Sumnjivi unosi (&gt;12h):</t>
  </si>
  <si>
    <t xml:space="preserve">Duplikati ID+Datum+Projekat:</t>
  </si>
  <si>
    <t xml:space="preserve">v3.1 CLEAN - ERROR CHECKS</t>
  </si>
  <si>
    <t xml:space="preserve">Check</t>
  </si>
  <si>
    <t xml:space="preserve">Value</t>
  </si>
  <si>
    <t xml:space="preserve">Target</t>
  </si>
  <si>
    <t xml:space="preserve">Result</t>
  </si>
  <si>
    <t xml:space="preserve">Ukupni sati &gt; 0</t>
  </si>
  <si>
    <t xml:space="preserve">&gt;0</t>
  </si>
  <si>
    <t xml:space="preserve">Ukupan trošak &gt; 0</t>
  </si>
  <si>
    <t xml:space="preserve">Sumnjivi unosi (&gt;12h)</t>
  </si>
  <si>
    <t xml:space="preserve">Duplikati ID+Datum+Projekat</t>
  </si>
  <si>
    <t xml:space="preserve">Nevalidni ID lookup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</si>
</sst>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;[RED]\(#,##0.00&quot; €)&quot;;\-"/>
    <numFmt numFmtId="166" formatCode="0.0"/>
    <numFmt numFmtId="167" formatCode="dd\.mm\.yyyy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DEBF7"/>
        <bgColor rgb="FFE2F0D9"/>
      </patternFill>
    </fill>
    <fill>
      <patternFill patternType="solid">
        <fgColor rgb="FF1F4E78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CE4D6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7F7F7F"/>
      <rgbColor rgb="FF5B9BD5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000"/>
      <rgbColor rgb="FFFF9900"/>
      <rgbColor rgb="FFFF6600"/>
      <rgbColor rgb="FF666666"/>
      <rgbColor rgb="FF70AD47"/>
      <rgbColor rgb="FF002060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B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</cols>
  <sheetData>
    <row r="1" customFormat="false" ht="21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21</v>
      </c>
    </row>
    <row r="14" customFormat="false" ht="15" hidden="false" customHeight="false" outlineLevel="0" collapsed="false">
      <c r="A14" s="2" t="s">
        <v>25</v>
      </c>
      <c r="B14" s="3" t="s">
        <v>26</v>
      </c>
    </row>
    <row r="15" customFormat="false" ht="15" hidden="false" customHeight="false" outlineLevel="0" collapsed="false">
      <c r="A15" s="2" t="s">
        <v>27</v>
      </c>
      <c r="B15" s="3" t="s">
        <v>28</v>
      </c>
    </row>
    <row r="16" customFormat="false" ht="15" hidden="false" customHeight="false" outlineLevel="0" collapsed="false">
      <c r="A16" s="2" t="s">
        <v>29</v>
      </c>
      <c r="B16" s="3" t="s">
        <v>30</v>
      </c>
    </row>
    <row r="17" customFormat="false" ht="15" hidden="false" customHeight="false" outlineLevel="0" collapsed="false">
      <c r="A17" s="2" t="s">
        <v>31</v>
      </c>
      <c r="B17" s="3" t="s">
        <v>32</v>
      </c>
    </row>
    <row r="18" customFormat="false" ht="15" hidden="false" customHeight="false" outlineLevel="0" collapsed="false">
      <c r="A18" s="2" t="s">
        <v>33</v>
      </c>
      <c r="B18" s="3" t="s">
        <v>34</v>
      </c>
    </row>
    <row r="19" customFormat="false" ht="15" hidden="false" customHeight="false" outlineLevel="0" collapsed="false">
      <c r="A19" s="2" t="s">
        <v>35</v>
      </c>
      <c r="B19" s="3" t="s">
        <v>36</v>
      </c>
    </row>
    <row r="20" customFormat="false" ht="15" hidden="false" customHeight="false" outlineLevel="0" collapsed="false">
      <c r="A20" s="2" t="s">
        <v>37</v>
      </c>
      <c r="B20" s="3" t="s">
        <v>38</v>
      </c>
    </row>
    <row r="21" customFormat="false" ht="15" hidden="false" customHeight="false" outlineLevel="0" collapsed="false">
      <c r="A21" s="2" t="s">
        <v>39</v>
      </c>
      <c r="B21" s="3" t="s">
        <v>40</v>
      </c>
    </row>
    <row r="22" customFormat="false" ht="15" hidden="false" customHeight="false" outlineLevel="0" collapsed="false">
      <c r="A22" s="2" t="s">
        <v>41</v>
      </c>
      <c r="B22" s="3" t="s">
        <v>42</v>
      </c>
    </row>
    <row r="23" customFormat="false" ht="15" hidden="false" customHeight="false" outlineLevel="0" collapsed="false">
      <c r="A23" s="2" t="s">
        <v>43</v>
      </c>
      <c r="B23" s="3" t="s">
        <v>44</v>
      </c>
    </row>
    <row r="24" customFormat="false" ht="15" hidden="false" customHeight="false" outlineLevel="0" collapsed="false">
      <c r="A24" s="2" t="s">
        <v>45</v>
      </c>
      <c r="B24" s="3" t="s">
        <v>46</v>
      </c>
    </row>
    <row r="25" customFormat="false" ht="15" hidden="false" customHeight="false" outlineLevel="0" collapsed="false">
      <c r="A25" s="2" t="s">
        <v>47</v>
      </c>
      <c r="B25" s="3" t="s">
        <v>48</v>
      </c>
    </row>
    <row r="26" customFormat="false" ht="15" hidden="false" customHeight="false" outlineLevel="0" collapsed="false">
      <c r="A26" s="2" t="s">
        <v>49</v>
      </c>
      <c r="B26" s="3" t="s">
        <v>50</v>
      </c>
    </row>
    <row r="27" customFormat="false" ht="15" hidden="false" customHeight="false" outlineLevel="0" collapsed="false">
      <c r="A27" s="2" t="s">
        <v>51</v>
      </c>
      <c r="B27" s="3" t="s">
        <v>52</v>
      </c>
    </row>
    <row r="28" customFormat="false" ht="15" hidden="false" customHeight="false" outlineLevel="0" collapsed="false">
      <c r="A28" s="2" t="s">
        <v>53</v>
      </c>
      <c r="B28" s="3" t="s">
        <v>54</v>
      </c>
    </row>
    <row r="29" customFormat="false" ht="15" hidden="false" customHeight="false" outlineLevel="0" collapsed="false">
      <c r="A29" s="2" t="s">
        <v>55</v>
      </c>
      <c r="B29" s="3" t="s">
        <v>56</v>
      </c>
    </row>
    <row r="30" customFormat="false" ht="15" hidden="false" customHeight="false" outlineLevel="0" collapsed="false">
      <c r="A30" s="2" t="s">
        <v>57</v>
      </c>
      <c r="B30" s="3" t="s">
        <v>58</v>
      </c>
    </row>
    <row r="31" customFormat="false" ht="15" hidden="false" customHeight="false" outlineLevel="0" collapsed="false">
      <c r="A31" s="2" t="s">
        <v>59</v>
      </c>
      <c r="B31" s="3" t="s">
        <v>60</v>
      </c>
    </row>
    <row r="32" customFormat="false" ht="15" hidden="false" customHeight="false" outlineLevel="0" collapsed="false">
      <c r="A32" s="2" t="s">
        <v>61</v>
      </c>
      <c r="B32" s="3" t="s">
        <v>62</v>
      </c>
    </row>
    <row r="33" customFormat="false" ht="15" hidden="false" customHeight="false" outlineLevel="0" collapsed="false">
      <c r="A33" s="2" t="s">
        <v>63</v>
      </c>
      <c r="B33" s="3" t="s">
        <v>64</v>
      </c>
    </row>
    <row r="34" customFormat="false" ht="15" hidden="false" customHeight="false" outlineLevel="0" collapsed="false">
      <c r="A34" s="2" t="s">
        <v>65</v>
      </c>
      <c r="B34" s="3" t="s">
        <v>66</v>
      </c>
    </row>
    <row r="35" customFormat="false" ht="15" hidden="false" customHeight="false" outlineLevel="0" collapsed="false">
      <c r="A35" s="2" t="s">
        <v>67</v>
      </c>
      <c r="B35" s="3" t="s">
        <v>68</v>
      </c>
    </row>
    <row r="36" customFormat="false" ht="15" hidden="false" customHeight="false" outlineLevel="0" collapsed="false">
      <c r="A36" s="2" t="s">
        <v>69</v>
      </c>
      <c r="B36" s="3" t="s">
        <v>70</v>
      </c>
    </row>
    <row r="37" customFormat="false" ht="15" hidden="false" customHeight="false" outlineLevel="0" collapsed="false">
      <c r="A37" s="2" t="s">
        <v>71</v>
      </c>
      <c r="B37" s="3" t="s">
        <v>72</v>
      </c>
    </row>
    <row r="38" customFormat="false" ht="15" hidden="false" customHeight="false" outlineLevel="0" collapsed="false">
      <c r="A38" s="2" t="s">
        <v>73</v>
      </c>
      <c r="B38" s="3" t="s">
        <v>74</v>
      </c>
    </row>
    <row r="39" customFormat="false" ht="15" hidden="false" customHeight="false" outlineLevel="0" collapsed="false">
      <c r="A39" s="2" t="s">
        <v>75</v>
      </c>
      <c r="B39" s="3" t="s">
        <v>76</v>
      </c>
    </row>
    <row r="40" customFormat="false" ht="15" hidden="false" customHeight="false" outlineLevel="0" collapsed="false">
      <c r="A40" s="2" t="s">
        <v>77</v>
      </c>
      <c r="B40" s="3" t="s">
        <v>78</v>
      </c>
    </row>
    <row r="41" customFormat="false" ht="15" hidden="false" customHeight="false" outlineLevel="0" collapsed="false">
      <c r="A41" s="2" t="s">
        <v>79</v>
      </c>
      <c r="B41" s="3" t="s">
        <v>80</v>
      </c>
    </row>
    <row r="42" customFormat="false" ht="15" hidden="false" customHeight="false" outlineLevel="0" collapsed="false">
      <c r="A42" s="2" t="s">
        <v>81</v>
      </c>
      <c r="B42" s="3" t="s">
        <v>82</v>
      </c>
    </row>
    <row r="43" customFormat="false" ht="15" hidden="false" customHeight="false" outlineLevel="0" collapsed="false">
      <c r="A43" s="2" t="s">
        <v>83</v>
      </c>
      <c r="B43" s="3" t="s">
        <v>5</v>
      </c>
    </row>
    <row r="44" customFormat="false" ht="15" hidden="false" customHeight="false" outlineLevel="0" collapsed="false">
      <c r="A44" s="2" t="s">
        <v>84</v>
      </c>
      <c r="B44" s="3" t="s">
        <v>85</v>
      </c>
    </row>
    <row r="45" customFormat="false" ht="15" hidden="false" customHeight="false" outlineLevel="0" collapsed="false">
      <c r="A45" s="2" t="s">
        <v>86</v>
      </c>
      <c r="B45" s="3" t="s">
        <v>87</v>
      </c>
    </row>
    <row r="46" customFormat="false" ht="15" hidden="false" customHeight="false" outlineLevel="0" collapsed="false">
      <c r="A46" s="2" t="s">
        <v>88</v>
      </c>
      <c r="B46" s="3" t="s">
        <v>89</v>
      </c>
    </row>
    <row r="47" customFormat="false" ht="15" hidden="false" customHeight="false" outlineLevel="0" collapsed="false">
      <c r="A47" s="2" t="s">
        <v>90</v>
      </c>
      <c r="B47" s="3" t="s">
        <v>91</v>
      </c>
    </row>
    <row r="48" customFormat="false" ht="15" hidden="false" customHeight="false" outlineLevel="0" collapsed="false">
      <c r="A48" s="2" t="s">
        <v>92</v>
      </c>
      <c r="B48" s="3" t="s">
        <v>93</v>
      </c>
    </row>
    <row r="49" customFormat="false" ht="15" hidden="false" customHeight="false" outlineLevel="0" collapsed="false">
      <c r="A49" s="2" t="s">
        <v>94</v>
      </c>
      <c r="B49" s="3" t="s">
        <v>95</v>
      </c>
    </row>
    <row r="50" customFormat="false" ht="15" hidden="false" customHeight="false" outlineLevel="0" collapsed="false">
      <c r="A50" s="2" t="s">
        <v>96</v>
      </c>
      <c r="B50" s="3" t="s">
        <v>26</v>
      </c>
    </row>
    <row r="51" customFormat="false" ht="15" hidden="false" customHeight="false" outlineLevel="0" collapsed="false">
      <c r="A51" s="2" t="s">
        <v>97</v>
      </c>
      <c r="B51" s="3" t="s">
        <v>98</v>
      </c>
    </row>
    <row r="52" customFormat="false" ht="15" hidden="false" customHeight="false" outlineLevel="0" collapsed="false">
      <c r="A52" s="2" t="s">
        <v>99</v>
      </c>
      <c r="B52" s="3" t="s">
        <v>100</v>
      </c>
    </row>
    <row r="53" customFormat="false" ht="15" hidden="false" customHeight="false" outlineLevel="0" collapsed="false">
      <c r="A53" s="2" t="s">
        <v>101</v>
      </c>
      <c r="B53" s="3" t="s">
        <v>50</v>
      </c>
    </row>
    <row r="54" customFormat="false" ht="15" hidden="false" customHeight="false" outlineLevel="0" collapsed="false">
      <c r="A54" s="2" t="s">
        <v>102</v>
      </c>
      <c r="B54" s="3" t="s">
        <v>103</v>
      </c>
    </row>
    <row r="55" customFormat="false" ht="15" hidden="false" customHeight="false" outlineLevel="0" collapsed="false">
      <c r="A55" s="2" t="s">
        <v>104</v>
      </c>
      <c r="B55" s="3" t="s">
        <v>105</v>
      </c>
    </row>
    <row r="56" customFormat="false" ht="15" hidden="false" customHeight="false" outlineLevel="0" collapsed="false">
      <c r="A56" s="2" t="s">
        <v>106</v>
      </c>
      <c r="B56" s="3" t="s">
        <v>107</v>
      </c>
    </row>
    <row r="57" customFormat="false" ht="15" hidden="false" customHeight="false" outlineLevel="0" collapsed="false">
      <c r="A57" s="2" t="s">
        <v>108</v>
      </c>
      <c r="B57" s="3" t="s">
        <v>109</v>
      </c>
    </row>
    <row r="58" customFormat="false" ht="15" hidden="false" customHeight="false" outlineLevel="0" collapsed="false">
      <c r="A58" s="2" t="s">
        <v>110</v>
      </c>
      <c r="B58" s="3" t="s">
        <v>111</v>
      </c>
    </row>
    <row r="59" customFormat="false" ht="15" hidden="false" customHeight="false" outlineLevel="0" collapsed="false">
      <c r="A59" s="2" t="s">
        <v>112</v>
      </c>
      <c r="B59" s="3" t="s">
        <v>113</v>
      </c>
    </row>
    <row r="60" customFormat="false" ht="15" hidden="false" customHeight="false" outlineLevel="0" collapsed="false">
      <c r="A60" s="2" t="s">
        <v>114</v>
      </c>
      <c r="B60" s="3" t="s">
        <v>115</v>
      </c>
    </row>
    <row r="61" customFormat="false" ht="15" hidden="false" customHeight="false" outlineLevel="0" collapsed="false">
      <c r="A61" s="2" t="s">
        <v>116</v>
      </c>
      <c r="B61" s="3" t="s">
        <v>117</v>
      </c>
    </row>
    <row r="62" customFormat="false" ht="15" hidden="false" customHeight="false" outlineLevel="0" collapsed="false">
      <c r="A62" s="2" t="s">
        <v>118</v>
      </c>
      <c r="B62" s="3" t="s">
        <v>119</v>
      </c>
    </row>
    <row r="63" customFormat="false" ht="15" hidden="false" customHeight="false" outlineLevel="0" collapsed="false">
      <c r="A63" s="2" t="s">
        <v>120</v>
      </c>
      <c r="B63" s="3" t="s">
        <v>121</v>
      </c>
    </row>
    <row r="64" customFormat="false" ht="15" hidden="false" customHeight="false" outlineLevel="0" collapsed="false">
      <c r="A64" s="2" t="s">
        <v>122</v>
      </c>
      <c r="B64" s="3" t="s">
        <v>123</v>
      </c>
    </row>
    <row r="65" customFormat="false" ht="15" hidden="false" customHeight="false" outlineLevel="0" collapsed="false">
      <c r="A65" s="2" t="s">
        <v>124</v>
      </c>
      <c r="B65" s="3" t="s">
        <v>125</v>
      </c>
    </row>
    <row r="66" customFormat="false" ht="15" hidden="false" customHeight="false" outlineLevel="0" collapsed="false">
      <c r="A66" s="2" t="s">
        <v>126</v>
      </c>
      <c r="B66" s="3" t="s">
        <v>127</v>
      </c>
    </row>
    <row r="67" customFormat="false" ht="15" hidden="false" customHeight="false" outlineLevel="0" collapsed="false">
      <c r="A67" s="2" t="s">
        <v>128</v>
      </c>
      <c r="B67" s="3" t="s">
        <v>129</v>
      </c>
    </row>
    <row r="68" customFormat="false" ht="15" hidden="false" customHeight="false" outlineLevel="0" collapsed="false">
      <c r="A68" s="2" t="s">
        <v>130</v>
      </c>
      <c r="B68" s="3" t="s">
        <v>131</v>
      </c>
    </row>
    <row r="69" customFormat="false" ht="15" hidden="false" customHeight="false" outlineLevel="0" collapsed="false">
      <c r="A69" s="2" t="s">
        <v>132</v>
      </c>
      <c r="B69" s="3" t="s">
        <v>133</v>
      </c>
    </row>
    <row r="70" customFormat="false" ht="15" hidden="false" customHeight="false" outlineLevel="0" collapsed="false">
      <c r="A70" s="2" t="s">
        <v>134</v>
      </c>
      <c r="B70" s="3" t="s">
        <v>135</v>
      </c>
    </row>
    <row r="71" customFormat="false" ht="15" hidden="false" customHeight="false" outlineLevel="0" collapsed="false">
      <c r="A71" s="2" t="s">
        <v>136</v>
      </c>
      <c r="B71" s="3" t="s">
        <v>137</v>
      </c>
    </row>
    <row r="72" customFormat="false" ht="15" hidden="false" customHeight="false" outlineLevel="0" collapsed="false">
      <c r="A72" s="2" t="s">
        <v>138</v>
      </c>
      <c r="B72" s="3" t="s">
        <v>139</v>
      </c>
    </row>
    <row r="73" customFormat="false" ht="15" hidden="false" customHeight="false" outlineLevel="0" collapsed="false">
      <c r="A73" s="2" t="s">
        <v>140</v>
      </c>
      <c r="B73" s="3" t="s">
        <v>141</v>
      </c>
    </row>
    <row r="74" customFormat="false" ht="15" hidden="false" customHeight="false" outlineLevel="0" collapsed="false">
      <c r="A74" s="2" t="s">
        <v>142</v>
      </c>
      <c r="B74" s="3" t="s">
        <v>34</v>
      </c>
    </row>
    <row r="75" customFormat="false" ht="15" hidden="false" customHeight="false" outlineLevel="0" collapsed="false">
      <c r="A75" s="2" t="s">
        <v>143</v>
      </c>
      <c r="B75" s="3" t="s">
        <v>144</v>
      </c>
    </row>
    <row r="76" customFormat="false" ht="15" hidden="false" customHeight="false" outlineLevel="0" collapsed="false">
      <c r="A76" s="2" t="s">
        <v>145</v>
      </c>
      <c r="B76" s="3" t="s">
        <v>146</v>
      </c>
    </row>
    <row r="77" customFormat="false" ht="15" hidden="false" customHeight="false" outlineLevel="0" collapsed="false">
      <c r="A77" s="2" t="s">
        <v>147</v>
      </c>
      <c r="B77" s="3" t="s">
        <v>148</v>
      </c>
    </row>
    <row r="78" customFormat="false" ht="15" hidden="false" customHeight="false" outlineLevel="0" collapsed="false">
      <c r="A78" s="2" t="s">
        <v>149</v>
      </c>
      <c r="B78" s="3" t="s">
        <v>150</v>
      </c>
    </row>
    <row r="79" customFormat="false" ht="15" hidden="false" customHeight="false" outlineLevel="0" collapsed="false">
      <c r="A79" s="2" t="s">
        <v>151</v>
      </c>
      <c r="B79" s="3" t="s">
        <v>152</v>
      </c>
    </row>
    <row r="80" customFormat="false" ht="15" hidden="false" customHeight="false" outlineLevel="0" collapsed="false">
      <c r="A80" s="2" t="s">
        <v>153</v>
      </c>
      <c r="B80" s="3" t="s">
        <v>154</v>
      </c>
    </row>
    <row r="81" customFormat="false" ht="15" hidden="false" customHeight="false" outlineLevel="0" collapsed="false">
      <c r="A81" s="2" t="s">
        <v>155</v>
      </c>
      <c r="B81" s="3" t="s">
        <v>156</v>
      </c>
    </row>
    <row r="82" customFormat="false" ht="15" hidden="false" customHeight="false" outlineLevel="0" collapsed="false">
      <c r="A82" s="2" t="s">
        <v>157</v>
      </c>
      <c r="B82" s="3" t="s">
        <v>158</v>
      </c>
    </row>
    <row r="83" customFormat="false" ht="15" hidden="false" customHeight="false" outlineLevel="0" collapsed="false">
      <c r="A83" s="2" t="s">
        <v>159</v>
      </c>
      <c r="B83" s="3" t="s">
        <v>160</v>
      </c>
    </row>
    <row r="84" customFormat="false" ht="15" hidden="false" customHeight="false" outlineLevel="0" collapsed="false">
      <c r="A84" s="2" t="s">
        <v>161</v>
      </c>
      <c r="B84" s="3" t="s">
        <v>162</v>
      </c>
    </row>
    <row r="85" customFormat="false" ht="15" hidden="false" customHeight="false" outlineLevel="0" collapsed="false">
      <c r="A85" s="2" t="s">
        <v>163</v>
      </c>
      <c r="B85" s="3" t="s">
        <v>164</v>
      </c>
    </row>
    <row r="86" customFormat="false" ht="15" hidden="false" customHeight="false" outlineLevel="0" collapsed="false">
      <c r="A86" s="2" t="s">
        <v>165</v>
      </c>
      <c r="B86" s="3" t="s">
        <v>166</v>
      </c>
    </row>
    <row r="87" customFormat="false" ht="15" hidden="false" customHeight="false" outlineLevel="0" collapsed="false">
      <c r="A87" s="2" t="s">
        <v>167</v>
      </c>
      <c r="B87" s="3" t="s">
        <v>168</v>
      </c>
    </row>
    <row r="88" customFormat="false" ht="15" hidden="false" customHeight="false" outlineLevel="0" collapsed="false">
      <c r="A88" s="2" t="s">
        <v>169</v>
      </c>
      <c r="B88" s="3" t="s">
        <v>170</v>
      </c>
    </row>
    <row r="89" customFormat="false" ht="15" hidden="false" customHeight="false" outlineLevel="0" collapsed="false">
      <c r="A89" s="2" t="s">
        <v>171</v>
      </c>
      <c r="B89" s="3" t="s">
        <v>172</v>
      </c>
    </row>
    <row r="90" customFormat="false" ht="15" hidden="false" customHeight="false" outlineLevel="0" collapsed="false">
      <c r="A90" s="2" t="s">
        <v>173</v>
      </c>
      <c r="B90" s="3" t="s">
        <v>174</v>
      </c>
    </row>
    <row r="91" customFormat="false" ht="15" hidden="false" customHeight="false" outlineLevel="0" collapsed="false">
      <c r="A91" s="2" t="s">
        <v>175</v>
      </c>
      <c r="B91" s="3" t="s">
        <v>176</v>
      </c>
    </row>
    <row r="92" customFormat="false" ht="15" hidden="false" customHeight="false" outlineLevel="0" collapsed="false">
      <c r="A92" s="2" t="s">
        <v>177</v>
      </c>
      <c r="B92" s="3" t="s">
        <v>34</v>
      </c>
    </row>
    <row r="93" customFormat="false" ht="15" hidden="false" customHeight="false" outlineLevel="0" collapsed="false">
      <c r="A93" s="2" t="s">
        <v>178</v>
      </c>
      <c r="B93" s="3" t="s">
        <v>179</v>
      </c>
    </row>
    <row r="94" customFormat="false" ht="15" hidden="false" customHeight="false" outlineLevel="0" collapsed="false">
      <c r="A94" s="2" t="s">
        <v>180</v>
      </c>
      <c r="B94" s="3" t="s">
        <v>181</v>
      </c>
    </row>
    <row r="95" customFormat="false" ht="15" hidden="false" customHeight="false" outlineLevel="0" collapsed="false">
      <c r="A95" s="2" t="s">
        <v>182</v>
      </c>
      <c r="B95" s="3" t="s">
        <v>183</v>
      </c>
    </row>
    <row r="96" customFormat="false" ht="15" hidden="false" customHeight="false" outlineLevel="0" collapsed="false">
      <c r="A96" s="2" t="s">
        <v>184</v>
      </c>
      <c r="B96" s="3" t="s">
        <v>185</v>
      </c>
    </row>
    <row r="97" customFormat="false" ht="15" hidden="false" customHeight="false" outlineLevel="0" collapsed="false">
      <c r="A97" s="2" t="s">
        <v>186</v>
      </c>
      <c r="B97" s="3" t="s">
        <v>187</v>
      </c>
    </row>
    <row r="98" customFormat="false" ht="15" hidden="false" customHeight="false" outlineLevel="0" collapsed="false">
      <c r="A98" s="2" t="s">
        <v>188</v>
      </c>
      <c r="B98" s="3" t="s">
        <v>189</v>
      </c>
    </row>
    <row r="99" customFormat="false" ht="15" hidden="false" customHeight="false" outlineLevel="0" collapsed="false">
      <c r="A99" s="2" t="s">
        <v>190</v>
      </c>
      <c r="B99" s="3" t="s">
        <v>191</v>
      </c>
    </row>
    <row r="100" customFormat="false" ht="15" hidden="false" customHeight="false" outlineLevel="0" collapsed="false">
      <c r="A100" s="2" t="s">
        <v>192</v>
      </c>
      <c r="B100" s="3" t="s">
        <v>193</v>
      </c>
    </row>
    <row r="101" customFormat="false" ht="15" hidden="false" customHeight="false" outlineLevel="0" collapsed="false">
      <c r="A101" s="2" t="s">
        <v>194</v>
      </c>
      <c r="B101" s="3" t="s">
        <v>66</v>
      </c>
    </row>
    <row r="102" customFormat="false" ht="15" hidden="false" customHeight="false" outlineLevel="0" collapsed="false">
      <c r="A102" s="2" t="s">
        <v>195</v>
      </c>
      <c r="B102" s="3" t="s">
        <v>196</v>
      </c>
    </row>
    <row r="103" customFormat="false" ht="15" hidden="false" customHeight="false" outlineLevel="0" collapsed="false">
      <c r="A103" s="2" t="s">
        <v>197</v>
      </c>
      <c r="B103" s="3" t="s">
        <v>198</v>
      </c>
    </row>
    <row r="104" customFormat="false" ht="15" hidden="false" customHeight="false" outlineLevel="0" collapsed="false">
      <c r="A104" s="2" t="s">
        <v>199</v>
      </c>
      <c r="B104" s="3" t="s">
        <v>200</v>
      </c>
    </row>
    <row r="105" customFormat="false" ht="15" hidden="false" customHeight="false" outlineLevel="0" collapsed="false">
      <c r="A105" s="2" t="s">
        <v>201</v>
      </c>
      <c r="B105" s="3" t="s">
        <v>202</v>
      </c>
    </row>
    <row r="106" customFormat="false" ht="15" hidden="false" customHeight="false" outlineLevel="0" collapsed="false">
      <c r="A106" s="2" t="s">
        <v>203</v>
      </c>
      <c r="B106" s="3" t="s">
        <v>204</v>
      </c>
    </row>
    <row r="107" customFormat="false" ht="15" hidden="false" customHeight="false" outlineLevel="0" collapsed="false">
      <c r="A107" s="2" t="s">
        <v>205</v>
      </c>
      <c r="B107" s="3" t="s">
        <v>206</v>
      </c>
    </row>
    <row r="108" customFormat="false" ht="15" hidden="false" customHeight="false" outlineLevel="0" collapsed="false">
      <c r="A108" s="2" t="s">
        <v>207</v>
      </c>
      <c r="B108" s="3" t="s">
        <v>95</v>
      </c>
    </row>
    <row r="109" customFormat="false" ht="15" hidden="false" customHeight="false" outlineLevel="0" collapsed="false">
      <c r="A109" s="2" t="s">
        <v>208</v>
      </c>
      <c r="B109" s="3" t="s">
        <v>209</v>
      </c>
    </row>
    <row r="110" customFormat="false" ht="15" hidden="false" customHeight="false" outlineLevel="0" collapsed="false">
      <c r="A110" s="2" t="s">
        <v>210</v>
      </c>
      <c r="B110" s="3" t="s">
        <v>211</v>
      </c>
    </row>
    <row r="111" customFormat="false" ht="15" hidden="false" customHeight="false" outlineLevel="0" collapsed="false">
      <c r="A111" s="2" t="s">
        <v>212</v>
      </c>
      <c r="B111" s="3" t="s">
        <v>213</v>
      </c>
    </row>
    <row r="112" customFormat="false" ht="15" hidden="false" customHeight="false" outlineLevel="0" collapsed="false">
      <c r="A112" s="2" t="s">
        <v>214</v>
      </c>
      <c r="B112" s="3" t="s">
        <v>215</v>
      </c>
    </row>
    <row r="113" customFormat="false" ht="15" hidden="false" customHeight="false" outlineLevel="0" collapsed="false">
      <c r="A113" s="2" t="s">
        <v>216</v>
      </c>
      <c r="B113" s="3" t="s">
        <v>217</v>
      </c>
    </row>
    <row r="114" customFormat="false" ht="15" hidden="false" customHeight="false" outlineLevel="0" collapsed="false">
      <c r="A114" s="2" t="s">
        <v>218</v>
      </c>
      <c r="B114" s="3" t="s">
        <v>219</v>
      </c>
    </row>
    <row r="115" customFormat="false" ht="15" hidden="false" customHeight="false" outlineLevel="0" collapsed="false">
      <c r="A115" s="2" t="s">
        <v>220</v>
      </c>
      <c r="B115" s="3" t="s">
        <v>221</v>
      </c>
    </row>
    <row r="116" customFormat="false" ht="15" hidden="false" customHeight="false" outlineLevel="0" collapsed="false">
      <c r="A116" s="2" t="s">
        <v>222</v>
      </c>
      <c r="B116" s="3" t="s">
        <v>223</v>
      </c>
    </row>
    <row r="117" customFormat="false" ht="15" hidden="false" customHeight="false" outlineLevel="0" collapsed="false">
      <c r="A117" s="2" t="s">
        <v>224</v>
      </c>
      <c r="B117" s="3" t="s">
        <v>225</v>
      </c>
    </row>
    <row r="118" customFormat="false" ht="15" hidden="false" customHeight="false" outlineLevel="0" collapsed="false">
      <c r="A118" s="2" t="s">
        <v>226</v>
      </c>
      <c r="B118" s="3" t="s">
        <v>227</v>
      </c>
    </row>
    <row r="119" customFormat="false" ht="15" hidden="false" customHeight="false" outlineLevel="0" collapsed="false">
      <c r="A119" s="2" t="s">
        <v>228</v>
      </c>
      <c r="B119" s="3" t="s">
        <v>156</v>
      </c>
    </row>
    <row r="120" customFormat="false" ht="15" hidden="false" customHeight="false" outlineLevel="0" collapsed="false">
      <c r="A120" s="2" t="s">
        <v>229</v>
      </c>
      <c r="B120" s="3" t="s">
        <v>230</v>
      </c>
    </row>
    <row r="121" customFormat="false" ht="15" hidden="false" customHeight="false" outlineLevel="0" collapsed="false">
      <c r="A121" s="2" t="s">
        <v>231</v>
      </c>
      <c r="B121" s="3" t="s">
        <v>232</v>
      </c>
    </row>
    <row r="122" customFormat="false" ht="15" hidden="false" customHeight="false" outlineLevel="0" collapsed="false">
      <c r="A122" s="2" t="s">
        <v>233</v>
      </c>
      <c r="B122" s="3" t="s">
        <v>234</v>
      </c>
    </row>
    <row r="123" customFormat="false" ht="15" hidden="false" customHeight="false" outlineLevel="0" collapsed="false">
      <c r="A123" s="2" t="s">
        <v>235</v>
      </c>
      <c r="B123" s="3" t="s">
        <v>236</v>
      </c>
    </row>
    <row r="124" customFormat="false" ht="15" hidden="false" customHeight="false" outlineLevel="0" collapsed="false">
      <c r="A124" s="2" t="s">
        <v>237</v>
      </c>
      <c r="B124" s="3" t="s">
        <v>238</v>
      </c>
    </row>
    <row r="125" customFormat="false" ht="15" hidden="false" customHeight="false" outlineLevel="0" collapsed="false">
      <c r="A125" s="2" t="s">
        <v>239</v>
      </c>
      <c r="B125" s="3" t="s">
        <v>240</v>
      </c>
    </row>
    <row r="126" customFormat="false" ht="15" hidden="false" customHeight="false" outlineLevel="0" collapsed="false">
      <c r="A126" s="2" t="s">
        <v>241</v>
      </c>
      <c r="B126" s="3" t="s">
        <v>242</v>
      </c>
    </row>
    <row r="127" customFormat="false" ht="15" hidden="false" customHeight="false" outlineLevel="0" collapsed="false">
      <c r="A127" s="2" t="s">
        <v>243</v>
      </c>
      <c r="B127" s="3" t="s">
        <v>244</v>
      </c>
    </row>
    <row r="128" customFormat="false" ht="15" hidden="false" customHeight="false" outlineLevel="0" collapsed="false">
      <c r="A128" s="2" t="s">
        <v>245</v>
      </c>
      <c r="B128" s="3" t="s">
        <v>246</v>
      </c>
    </row>
    <row r="129" customFormat="false" ht="15" hidden="false" customHeight="false" outlineLevel="0" collapsed="false">
      <c r="A129" s="2" t="s">
        <v>247</v>
      </c>
      <c r="B129" s="3" t="s">
        <v>248</v>
      </c>
    </row>
    <row r="130" customFormat="false" ht="15" hidden="false" customHeight="false" outlineLevel="0" collapsed="false">
      <c r="A130" s="2" t="s">
        <v>249</v>
      </c>
      <c r="B130" s="3" t="s">
        <v>250</v>
      </c>
    </row>
    <row r="131" customFormat="false" ht="15" hidden="false" customHeight="false" outlineLevel="0" collapsed="false">
      <c r="A131" s="2" t="s">
        <v>251</v>
      </c>
      <c r="B131" s="3" t="s">
        <v>252</v>
      </c>
    </row>
    <row r="132" customFormat="false" ht="15" hidden="false" customHeight="false" outlineLevel="0" collapsed="false">
      <c r="A132" s="2" t="s">
        <v>253</v>
      </c>
      <c r="B132" s="3" t="s">
        <v>254</v>
      </c>
    </row>
    <row r="133" customFormat="false" ht="15" hidden="false" customHeight="false" outlineLevel="0" collapsed="false">
      <c r="A133" s="2" t="s">
        <v>255</v>
      </c>
      <c r="B133" s="3" t="s">
        <v>30</v>
      </c>
    </row>
    <row r="134" customFormat="false" ht="15" hidden="false" customHeight="false" outlineLevel="0" collapsed="false">
      <c r="A134" s="2" t="s">
        <v>256</v>
      </c>
      <c r="B134" s="3" t="s">
        <v>257</v>
      </c>
    </row>
    <row r="135" customFormat="false" ht="15" hidden="false" customHeight="false" outlineLevel="0" collapsed="false">
      <c r="A135" s="2" t="s">
        <v>258</v>
      </c>
      <c r="B135" s="3" t="s">
        <v>259</v>
      </c>
    </row>
    <row r="136" customFormat="false" ht="15" hidden="false" customHeight="false" outlineLevel="0" collapsed="false">
      <c r="A136" s="2" t="s">
        <v>260</v>
      </c>
      <c r="B136" s="3" t="s">
        <v>261</v>
      </c>
    </row>
    <row r="137" customFormat="false" ht="15" hidden="false" customHeight="false" outlineLevel="0" collapsed="false">
      <c r="A137" s="2" t="s">
        <v>262</v>
      </c>
      <c r="B137" s="3" t="s">
        <v>263</v>
      </c>
    </row>
    <row r="138" customFormat="false" ht="15" hidden="false" customHeight="false" outlineLevel="0" collapsed="false">
      <c r="A138" s="2" t="s">
        <v>264</v>
      </c>
      <c r="B138" s="3" t="s">
        <v>265</v>
      </c>
    </row>
    <row r="139" customFormat="false" ht="15" hidden="false" customHeight="false" outlineLevel="0" collapsed="false">
      <c r="A139" s="2" t="s">
        <v>266</v>
      </c>
      <c r="B139" s="3" t="s">
        <v>225</v>
      </c>
    </row>
    <row r="140" customFormat="false" ht="15" hidden="false" customHeight="false" outlineLevel="0" collapsed="false">
      <c r="A140" s="2" t="s">
        <v>267</v>
      </c>
      <c r="B140" s="3" t="s">
        <v>268</v>
      </c>
    </row>
    <row r="141" customFormat="false" ht="15" hidden="false" customHeight="false" outlineLevel="0" collapsed="false">
      <c r="A141" s="2" t="s">
        <v>269</v>
      </c>
      <c r="B141" s="3" t="s">
        <v>270</v>
      </c>
    </row>
    <row r="142" customFormat="false" ht="15" hidden="false" customHeight="false" outlineLevel="0" collapsed="false">
      <c r="A142" s="2" t="s">
        <v>271</v>
      </c>
      <c r="B142" s="3" t="s">
        <v>272</v>
      </c>
    </row>
    <row r="143" customFormat="false" ht="15" hidden="false" customHeight="false" outlineLevel="0" collapsed="false">
      <c r="A143" s="2" t="s">
        <v>273</v>
      </c>
      <c r="B143" s="3" t="s">
        <v>274</v>
      </c>
    </row>
    <row r="144" customFormat="false" ht="15" hidden="false" customHeight="false" outlineLevel="0" collapsed="false">
      <c r="A144" s="2" t="s">
        <v>275</v>
      </c>
      <c r="B144" s="3" t="s">
        <v>276</v>
      </c>
    </row>
    <row r="145" customFormat="false" ht="15" hidden="false" customHeight="false" outlineLevel="0" collapsed="false">
      <c r="A145" s="2" t="s">
        <v>277</v>
      </c>
      <c r="B145" s="3" t="s">
        <v>26</v>
      </c>
    </row>
    <row r="146" customFormat="false" ht="15" hidden="false" customHeight="false" outlineLevel="0" collapsed="false">
      <c r="A146" s="2" t="s">
        <v>278</v>
      </c>
      <c r="B146" s="3" t="s">
        <v>279</v>
      </c>
    </row>
    <row r="147" customFormat="false" ht="15" hidden="false" customHeight="false" outlineLevel="0" collapsed="false">
      <c r="A147" s="2" t="s">
        <v>280</v>
      </c>
      <c r="B147" s="3" t="s">
        <v>281</v>
      </c>
    </row>
    <row r="148" customFormat="false" ht="15" hidden="false" customHeight="false" outlineLevel="0" collapsed="false">
      <c r="A148" s="2" t="s">
        <v>282</v>
      </c>
      <c r="B148" s="3" t="s">
        <v>283</v>
      </c>
    </row>
    <row r="149" customFormat="false" ht="15" hidden="false" customHeight="false" outlineLevel="0" collapsed="false">
      <c r="A149" s="2" t="s">
        <v>284</v>
      </c>
      <c r="B149" s="3" t="s">
        <v>285</v>
      </c>
    </row>
    <row r="150" customFormat="false" ht="15" hidden="false" customHeight="false" outlineLevel="0" collapsed="false">
      <c r="A150" s="2" t="s">
        <v>286</v>
      </c>
      <c r="B150" s="3" t="s">
        <v>254</v>
      </c>
    </row>
    <row r="151" customFormat="false" ht="15" hidden="false" customHeight="false" outlineLevel="0" collapsed="false">
      <c r="A151" s="2" t="s">
        <v>287</v>
      </c>
      <c r="B151" s="3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1.75" hidden="false" customHeight="true" outlineLevel="0" collapsed="false">
      <c r="A1" s="1" t="s">
        <v>289</v>
      </c>
      <c r="B1" s="1" t="s">
        <v>290</v>
      </c>
    </row>
    <row r="2" customFormat="false" ht="15" hidden="false" customHeight="false" outlineLevel="0" collapsed="false">
      <c r="A2" s="3" t="s">
        <v>291</v>
      </c>
      <c r="B2" s="4" t="n">
        <v>8.5</v>
      </c>
    </row>
    <row r="3" customFormat="false" ht="15" hidden="false" customHeight="false" outlineLevel="0" collapsed="false">
      <c r="A3" s="3" t="s">
        <v>292</v>
      </c>
      <c r="B3" s="4" t="n">
        <v>11</v>
      </c>
    </row>
    <row r="4" customFormat="false" ht="15" hidden="false" customHeight="false" outlineLevel="0" collapsed="false">
      <c r="A4" s="3" t="s">
        <v>293</v>
      </c>
      <c r="B4" s="4" t="n">
        <v>18</v>
      </c>
    </row>
    <row r="5" customFormat="false" ht="15" hidden="false" customHeight="false" outlineLevel="0" collapsed="false">
      <c r="A5" s="3" t="s">
        <v>294</v>
      </c>
      <c r="B5" s="4" t="n">
        <v>28</v>
      </c>
    </row>
    <row r="6" customFormat="false" ht="15" hidden="false" customHeight="false" outlineLevel="0" collapsed="false">
      <c r="A6" s="3" t="s">
        <v>295</v>
      </c>
      <c r="B6" s="4" t="n">
        <v>9</v>
      </c>
    </row>
    <row r="7" customFormat="false" ht="15" hidden="false" customHeight="false" outlineLevel="0" collapsed="false">
      <c r="A7" s="3" t="s">
        <v>296</v>
      </c>
      <c r="B7" s="4" t="n">
        <v>10</v>
      </c>
    </row>
    <row r="8" customFormat="false" ht="15" hidden="false" customHeight="false" outlineLevel="0" collapsed="false">
      <c r="A8" s="3" t="s">
        <v>297</v>
      </c>
      <c r="B8" s="4" t="n">
        <v>12</v>
      </c>
    </row>
    <row r="9" customFormat="false" ht="15" hidden="false" customHeight="false" outlineLevel="0" collapsed="false">
      <c r="A9" s="3" t="s">
        <v>298</v>
      </c>
      <c r="B9" s="4" t="n">
        <v>14</v>
      </c>
    </row>
    <row r="10" customFormat="false" ht="15" hidden="false" customHeight="false" outlineLevel="0" collapsed="false">
      <c r="A10" s="3" t="s">
        <v>299</v>
      </c>
      <c r="B10" s="4" t="n">
        <v>20</v>
      </c>
    </row>
    <row r="11" customFormat="false" ht="15" hidden="false" customHeight="false" outlineLevel="0" collapsed="false">
      <c r="A11" s="3" t="s">
        <v>300</v>
      </c>
      <c r="B11" s="4" t="n">
        <v>22</v>
      </c>
    </row>
    <row r="12" customFormat="false" ht="15" hidden="false" customHeight="false" outlineLevel="0" collapsed="false">
      <c r="A12" s="3" t="s">
        <v>301</v>
      </c>
      <c r="B12" s="4" t="n">
        <v>9.5</v>
      </c>
    </row>
    <row r="13" customFormat="false" ht="15" hidden="false" customHeight="false" outlineLevel="0" collapsed="false">
      <c r="A13" s="3" t="s">
        <v>302</v>
      </c>
      <c r="B13" s="4" t="n">
        <v>8</v>
      </c>
    </row>
    <row r="14" customFormat="false" ht="15" hidden="false" customHeight="false" outlineLevel="0" collapsed="false">
      <c r="A14" s="3" t="s">
        <v>303</v>
      </c>
      <c r="B14" s="4" t="n">
        <v>7.5</v>
      </c>
    </row>
    <row r="15" customFormat="false" ht="15" hidden="false" customHeight="false" outlineLevel="0" collapsed="false">
      <c r="A15" s="3" t="s">
        <v>304</v>
      </c>
      <c r="B15" s="4" t="n">
        <v>10.5</v>
      </c>
    </row>
    <row r="16" customFormat="false" ht="15" hidden="false" customHeight="false" outlineLevel="0" collapsed="false">
      <c r="A16" s="3" t="s">
        <v>305</v>
      </c>
      <c r="B16" s="4" t="n">
        <v>25</v>
      </c>
    </row>
    <row r="17" customFormat="false" ht="15" hidden="false" customHeight="false" outlineLevel="0" collapsed="false">
      <c r="A17" s="3" t="s">
        <v>306</v>
      </c>
      <c r="B17" s="4" t="n">
        <v>15</v>
      </c>
    </row>
    <row r="18" customFormat="false" ht="15" hidden="false" customHeight="false" outlineLevel="0" collapsed="false">
      <c r="A18" s="3" t="s">
        <v>307</v>
      </c>
      <c r="B18" s="4" t="n">
        <v>12.5</v>
      </c>
    </row>
    <row r="19" customFormat="false" ht="15" hidden="false" customHeight="false" outlineLevel="0" collapsed="false">
      <c r="A19" s="3" t="s">
        <v>308</v>
      </c>
      <c r="B19" s="4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M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8" min="6" style="0" width="16"/>
    <col collapsed="false" customWidth="true" hidden="false" outlineLevel="0" max="11" min="9" style="0" width="14"/>
    <col collapsed="false" customWidth="true" hidden="false" outlineLevel="0" max="13" min="12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289</v>
      </c>
      <c r="D1" s="1" t="s">
        <v>290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</row>
    <row r="2" customFormat="false" ht="15" hidden="false" customHeight="false" outlineLevel="0" collapsed="false">
      <c r="A2" s="0" t="s">
        <v>2</v>
      </c>
      <c r="B2" s="0" t="str">
        <f aca="false">INDEX(Master_Lista!$B$2:$B$151,MATCH(A2,Master_Lista!$A$2:$A$151,0))</f>
        <v>Branko Vasic</v>
      </c>
      <c r="C2" s="0" t="s">
        <v>291</v>
      </c>
      <c r="D2" s="5" t="n">
        <f aca="false">IFERROR(INDEX(Pozicije!$B$2:$B$19,MATCH(C2,Pozicije!$A$2:$A$19,0)),0)</f>
        <v>8.5</v>
      </c>
      <c r="E2" s="5" t="n">
        <f aca="false">ROUND(D2*176*0.98,2)</f>
        <v>1466.08</v>
      </c>
      <c r="G2" s="5" t="n">
        <f aca="false">E2*10.5%</f>
        <v>153.9384</v>
      </c>
      <c r="H2" s="5" t="n">
        <f aca="false">E2-G2</f>
        <v>1312.1416</v>
      </c>
      <c r="I2" s="5" t="n">
        <f aca="false">IF(H2&lt;=700,0,IF(H2&lt;=1000,9%*(H2-700),9%*300+15%*(H2-1000)))</f>
        <v>73.82124</v>
      </c>
      <c r="J2" s="5" t="n">
        <f aca="false">I2*15%</f>
        <v>11.073186</v>
      </c>
      <c r="K2" s="5" t="n">
        <f aca="false">H2-I2-J2</f>
        <v>1227.247174</v>
      </c>
      <c r="L2" s="5" t="n">
        <f aca="false">E2*0.5%</f>
        <v>7.3304</v>
      </c>
      <c r="M2" s="5" t="n">
        <f aca="false">E2+L2</f>
        <v>1473.4104</v>
      </c>
    </row>
    <row r="3" customFormat="false" ht="15" hidden="false" customHeight="false" outlineLevel="0" collapsed="false">
      <c r="A3" s="0" t="s">
        <v>4</v>
      </c>
      <c r="B3" s="0" t="str">
        <f aca="false">INDEX(Master_Lista!$B$2:$B$151,MATCH(A3,Master_Lista!$A$2:$A$151,0))</f>
        <v>Filip Antic</v>
      </c>
      <c r="C3" s="0" t="s">
        <v>292</v>
      </c>
      <c r="D3" s="5" t="n">
        <f aca="false">IFERROR(INDEX(Pozicije!$B$2:$B$19,MATCH(C3,Pozicije!$A$2:$A$19,0)),0)</f>
        <v>11</v>
      </c>
      <c r="E3" s="5" t="n">
        <f aca="false">ROUND(D3*176*1,2)</f>
        <v>1936</v>
      </c>
      <c r="G3" s="5" t="n">
        <f aca="false">E3*10.5%</f>
        <v>203.28</v>
      </c>
      <c r="H3" s="5" t="n">
        <f aca="false">E3-G3</f>
        <v>1732.72</v>
      </c>
      <c r="I3" s="5" t="n">
        <f aca="false">IF(H3&lt;=700,0,IF(H3&lt;=1000,9%*(H3-700),9%*300+15%*(H3-1000)))</f>
        <v>136.908</v>
      </c>
      <c r="J3" s="5" t="n">
        <f aca="false">I3*15%</f>
        <v>20.5362</v>
      </c>
      <c r="K3" s="5" t="n">
        <f aca="false">H3-I3-J3</f>
        <v>1575.2758</v>
      </c>
      <c r="L3" s="5" t="n">
        <f aca="false">E3*0.5%</f>
        <v>9.68</v>
      </c>
      <c r="M3" s="5" t="n">
        <f aca="false">E3+L3</f>
        <v>1945.68</v>
      </c>
    </row>
    <row r="4" customFormat="false" ht="15" hidden="false" customHeight="false" outlineLevel="0" collapsed="false">
      <c r="A4" s="0" t="s">
        <v>6</v>
      </c>
      <c r="B4" s="0" t="str">
        <f aca="false">INDEX(Master_Lista!$B$2:$B$151,MATCH(A4,Master_Lista!$A$2:$A$151,0))</f>
        <v>Luka Filipovic</v>
      </c>
      <c r="C4" s="0" t="s">
        <v>293</v>
      </c>
      <c r="D4" s="5" t="n">
        <f aca="false">IFERROR(INDEX(Pozicije!$B$2:$B$19,MATCH(C4,Pozicije!$A$2:$A$19,0)),0)</f>
        <v>18</v>
      </c>
      <c r="E4" s="5" t="n">
        <f aca="false">ROUND(D4*176*1.02,2)</f>
        <v>3231.36</v>
      </c>
      <c r="G4" s="5" t="n">
        <f aca="false">E4*10.5%</f>
        <v>339.2928</v>
      </c>
      <c r="H4" s="5" t="n">
        <f aca="false">E4-G4</f>
        <v>2892.0672</v>
      </c>
      <c r="I4" s="5" t="n">
        <f aca="false">IF(H4&lt;=700,0,IF(H4&lt;=1000,9%*(H4-700),9%*300+15%*(H4-1000)))</f>
        <v>310.81008</v>
      </c>
      <c r="J4" s="5" t="n">
        <f aca="false">I4*15%</f>
        <v>46.621512</v>
      </c>
      <c r="K4" s="5" t="n">
        <f aca="false">H4-I4-J4</f>
        <v>2534.635608</v>
      </c>
      <c r="L4" s="5" t="n">
        <f aca="false">E4*0.5%</f>
        <v>16.1568</v>
      </c>
      <c r="M4" s="5" t="n">
        <f aca="false">E4+L4</f>
        <v>3247.5168</v>
      </c>
    </row>
    <row r="5" customFormat="false" ht="15" hidden="false" customHeight="false" outlineLevel="0" collapsed="false">
      <c r="A5" s="0" t="s">
        <v>8</v>
      </c>
      <c r="B5" s="0" t="str">
        <f aca="false">INDEX(Master_Lista!$B$2:$B$151,MATCH(A5,Master_Lista!$A$2:$A$151,0))</f>
        <v>Tomas Obradovic</v>
      </c>
      <c r="C5" s="0" t="s">
        <v>294</v>
      </c>
      <c r="D5" s="5" t="n">
        <f aca="false">IFERROR(INDEX(Pozicije!$B$2:$B$19,MATCH(C5,Pozicije!$A$2:$A$19,0)),0)</f>
        <v>28</v>
      </c>
      <c r="E5" s="5" t="n">
        <f aca="false">ROUND(D5*176*1.04,2)</f>
        <v>5125.12</v>
      </c>
      <c r="G5" s="5" t="n">
        <f aca="false">E5*10.5%</f>
        <v>538.1376</v>
      </c>
      <c r="H5" s="5" t="n">
        <f aca="false">E5-G5</f>
        <v>4586.9824</v>
      </c>
      <c r="I5" s="5" t="n">
        <f aca="false">IF(H5&lt;=700,0,IF(H5&lt;=1000,9%*(H5-700),9%*300+15%*(H5-1000)))</f>
        <v>565.04736</v>
      </c>
      <c r="J5" s="5" t="n">
        <f aca="false">I5*15%</f>
        <v>84.757104</v>
      </c>
      <c r="K5" s="5" t="n">
        <f aca="false">H5-I5-J5</f>
        <v>3937.177936</v>
      </c>
      <c r="L5" s="5" t="n">
        <f aca="false">E5*0.5%</f>
        <v>25.6256</v>
      </c>
      <c r="M5" s="5" t="n">
        <f aca="false">E5+L5</f>
        <v>5150.7456</v>
      </c>
    </row>
    <row r="6" customFormat="false" ht="15" hidden="false" customHeight="false" outlineLevel="0" collapsed="false">
      <c r="A6" s="0" t="s">
        <v>10</v>
      </c>
      <c r="B6" s="0" t="str">
        <f aca="false">INDEX(Master_Lista!$B$2:$B$151,MATCH(A6,Master_Lista!$A$2:$A$151,0))</f>
        <v>Jelena Nikolic</v>
      </c>
      <c r="C6" s="0" t="s">
        <v>295</v>
      </c>
      <c r="D6" s="5" t="n">
        <f aca="false">IFERROR(INDEX(Pozicije!$B$2:$B$19,MATCH(C6,Pozicije!$A$2:$A$19,0)),0)</f>
        <v>9</v>
      </c>
      <c r="E6" s="5" t="n">
        <f aca="false">ROUND(D6*176*1.06,2)</f>
        <v>1679.04</v>
      </c>
      <c r="G6" s="5" t="n">
        <f aca="false">E6*10.5%</f>
        <v>176.2992</v>
      </c>
      <c r="H6" s="5" t="n">
        <f aca="false">E6-G6</f>
        <v>1502.7408</v>
      </c>
      <c r="I6" s="5" t="n">
        <f aca="false">IF(H6&lt;=700,0,IF(H6&lt;=1000,9%*(H6-700),9%*300+15%*(H6-1000)))</f>
        <v>102.41112</v>
      </c>
      <c r="J6" s="5" t="n">
        <f aca="false">I6*15%</f>
        <v>15.361668</v>
      </c>
      <c r="K6" s="5" t="n">
        <f aca="false">H6-I6-J6</f>
        <v>1384.968012</v>
      </c>
      <c r="L6" s="5" t="n">
        <f aca="false">E6*0.5%</f>
        <v>8.3952</v>
      </c>
      <c r="M6" s="5" t="n">
        <f aca="false">E6+L6</f>
        <v>1687.4352</v>
      </c>
    </row>
    <row r="7" customFormat="false" ht="15" hidden="false" customHeight="false" outlineLevel="0" collapsed="false">
      <c r="A7" s="0" t="s">
        <v>12</v>
      </c>
      <c r="B7" s="0" t="str">
        <f aca="false">INDEX(Master_Lista!$B$2:$B$151,MATCH(A7,Master_Lista!$A$2:$A$151,0))</f>
        <v>Goran Zivkovic</v>
      </c>
      <c r="C7" s="0" t="s">
        <v>296</v>
      </c>
      <c r="D7" s="5" t="n">
        <f aca="false">IFERROR(INDEX(Pozicije!$B$2:$B$19,MATCH(C7,Pozicije!$A$2:$A$19,0)),0)</f>
        <v>10</v>
      </c>
      <c r="E7" s="5" t="n">
        <f aca="false">ROUND(D7*176*0.98,2)</f>
        <v>1724.8</v>
      </c>
      <c r="G7" s="5" t="n">
        <f aca="false">E7*10.5%</f>
        <v>181.104</v>
      </c>
      <c r="H7" s="5" t="n">
        <f aca="false">E7-G7</f>
        <v>1543.696</v>
      </c>
      <c r="I7" s="5" t="n">
        <f aca="false">IF(H7&lt;=700,0,IF(H7&lt;=1000,9%*(H7-700),9%*300+15%*(H7-1000)))</f>
        <v>108.5544</v>
      </c>
      <c r="J7" s="5" t="n">
        <f aca="false">I7*15%</f>
        <v>16.28316</v>
      </c>
      <c r="K7" s="5" t="n">
        <f aca="false">H7-I7-J7</f>
        <v>1418.85844</v>
      </c>
      <c r="L7" s="5" t="n">
        <f aca="false">E7*0.5%</f>
        <v>8.624</v>
      </c>
      <c r="M7" s="5" t="n">
        <f aca="false">E7+L7</f>
        <v>1733.424</v>
      </c>
    </row>
    <row r="8" customFormat="false" ht="15" hidden="false" customHeight="false" outlineLevel="0" collapsed="false">
      <c r="A8" s="0" t="s">
        <v>14</v>
      </c>
      <c r="B8" s="0" t="str">
        <f aca="false">INDEX(Master_Lista!$B$2:$B$151,MATCH(A8,Master_Lista!$A$2:$A$151,0))</f>
        <v>Filip Kostic</v>
      </c>
      <c r="C8" s="0" t="s">
        <v>297</v>
      </c>
      <c r="D8" s="5" t="n">
        <f aca="false">IFERROR(INDEX(Pozicije!$B$2:$B$19,MATCH(C8,Pozicije!$A$2:$A$19,0)),0)</f>
        <v>12</v>
      </c>
      <c r="E8" s="5" t="n">
        <f aca="false">ROUND(D8*176*1,2)</f>
        <v>2112</v>
      </c>
      <c r="G8" s="5" t="n">
        <f aca="false">E8*10.5%</f>
        <v>221.76</v>
      </c>
      <c r="H8" s="5" t="n">
        <f aca="false">E8-G8</f>
        <v>1890.24</v>
      </c>
      <c r="I8" s="5" t="n">
        <f aca="false">IF(H8&lt;=700,0,IF(H8&lt;=1000,9%*(H8-700),9%*300+15%*(H8-1000)))</f>
        <v>160.536</v>
      </c>
      <c r="J8" s="5" t="n">
        <f aca="false">I8*15%</f>
        <v>24.0804</v>
      </c>
      <c r="K8" s="5" t="n">
        <f aca="false">H8-I8-J8</f>
        <v>1705.6236</v>
      </c>
      <c r="L8" s="5" t="n">
        <f aca="false">E8*0.5%</f>
        <v>10.56</v>
      </c>
      <c r="M8" s="5" t="n">
        <f aca="false">E8+L8</f>
        <v>2122.56</v>
      </c>
    </row>
    <row r="9" customFormat="false" ht="15" hidden="false" customHeight="false" outlineLevel="0" collapsed="false">
      <c r="A9" s="0" t="s">
        <v>16</v>
      </c>
      <c r="B9" s="0" t="str">
        <f aca="false">INDEX(Master_Lista!$B$2:$B$151,MATCH(A9,Master_Lista!$A$2:$A$151,0))</f>
        <v>Lidija Tomic</v>
      </c>
      <c r="C9" s="0" t="s">
        <v>298</v>
      </c>
      <c r="D9" s="5" t="n">
        <f aca="false">IFERROR(INDEX(Pozicije!$B$2:$B$19,MATCH(C9,Pozicije!$A$2:$A$19,0)),0)</f>
        <v>14</v>
      </c>
      <c r="E9" s="5" t="n">
        <f aca="false">ROUND(D9*176*1.02,2)</f>
        <v>2513.28</v>
      </c>
      <c r="G9" s="5" t="n">
        <f aca="false">E9*10.5%</f>
        <v>263.8944</v>
      </c>
      <c r="H9" s="5" t="n">
        <f aca="false">E9-G9</f>
        <v>2249.3856</v>
      </c>
      <c r="I9" s="5" t="n">
        <f aca="false">IF(H9&lt;=700,0,IF(H9&lt;=1000,9%*(H9-700),9%*300+15%*(H9-1000)))</f>
        <v>214.40784</v>
      </c>
      <c r="J9" s="5" t="n">
        <f aca="false">I9*15%</f>
        <v>32.161176</v>
      </c>
      <c r="K9" s="5" t="n">
        <f aca="false">H9-I9-J9</f>
        <v>2002.816584</v>
      </c>
      <c r="L9" s="5" t="n">
        <f aca="false">E9*0.5%</f>
        <v>12.5664</v>
      </c>
      <c r="M9" s="5" t="n">
        <f aca="false">E9+L9</f>
        <v>2525.8464</v>
      </c>
    </row>
    <row r="10" customFormat="false" ht="15" hidden="false" customHeight="false" outlineLevel="0" collapsed="false">
      <c r="A10" s="0" t="s">
        <v>18</v>
      </c>
      <c r="B10" s="0" t="str">
        <f aca="false">INDEX(Master_Lista!$B$2:$B$151,MATCH(A10,Master_Lista!$A$2:$A$151,0))</f>
        <v>Petar Lazic</v>
      </c>
      <c r="C10" s="0" t="s">
        <v>299</v>
      </c>
      <c r="D10" s="5" t="n">
        <f aca="false">IFERROR(INDEX(Pozicije!$B$2:$B$19,MATCH(C10,Pozicije!$A$2:$A$19,0)),0)</f>
        <v>20</v>
      </c>
      <c r="E10" s="5" t="n">
        <f aca="false">ROUND(D10*176*1.04,2)</f>
        <v>3660.8</v>
      </c>
      <c r="G10" s="5" t="n">
        <f aca="false">E10*10.5%</f>
        <v>384.384</v>
      </c>
      <c r="H10" s="5" t="n">
        <f aca="false">E10-G10</f>
        <v>3276.416</v>
      </c>
      <c r="I10" s="5" t="n">
        <f aca="false">IF(H10&lt;=700,0,IF(H10&lt;=1000,9%*(H10-700),9%*300+15%*(H10-1000)))</f>
        <v>368.4624</v>
      </c>
      <c r="J10" s="5" t="n">
        <f aca="false">I10*15%</f>
        <v>55.26936</v>
      </c>
      <c r="K10" s="5" t="n">
        <f aca="false">H10-I10-J10</f>
        <v>2852.68424</v>
      </c>
      <c r="L10" s="5" t="n">
        <f aca="false">E10*0.5%</f>
        <v>18.304</v>
      </c>
      <c r="M10" s="5" t="n">
        <f aca="false">E10+L10</f>
        <v>3679.104</v>
      </c>
    </row>
    <row r="11" customFormat="false" ht="15" hidden="false" customHeight="false" outlineLevel="0" collapsed="false">
      <c r="A11" s="0" t="s">
        <v>20</v>
      </c>
      <c r="B11" s="0" t="str">
        <f aca="false">INDEX(Master_Lista!$B$2:$B$151,MATCH(A11,Master_Lista!$A$2:$A$151,0))</f>
        <v>Branko Babic</v>
      </c>
      <c r="C11" s="0" t="s">
        <v>300</v>
      </c>
      <c r="D11" s="5" t="n">
        <f aca="false">IFERROR(INDEX(Pozicije!$B$2:$B$19,MATCH(C11,Pozicije!$A$2:$A$19,0)),0)</f>
        <v>22</v>
      </c>
      <c r="E11" s="5" t="n">
        <f aca="false">ROUND(D11*176*1.06,2)</f>
        <v>4104.32</v>
      </c>
      <c r="G11" s="5" t="n">
        <f aca="false">E11*10.5%</f>
        <v>430.9536</v>
      </c>
      <c r="H11" s="5" t="n">
        <f aca="false">E11-G11</f>
        <v>3673.3664</v>
      </c>
      <c r="I11" s="5" t="n">
        <f aca="false">IF(H11&lt;=700,0,IF(H11&lt;=1000,9%*(H11-700),9%*300+15%*(H11-1000)))</f>
        <v>428.00496</v>
      </c>
      <c r="J11" s="5" t="n">
        <f aca="false">I11*15%</f>
        <v>64.200744</v>
      </c>
      <c r="K11" s="5" t="n">
        <f aca="false">H11-I11-J11</f>
        <v>3181.160696</v>
      </c>
      <c r="L11" s="5" t="n">
        <f aca="false">E11*0.5%</f>
        <v>20.5216</v>
      </c>
      <c r="M11" s="5" t="n">
        <f aca="false">E11+L11</f>
        <v>4124.8416</v>
      </c>
    </row>
    <row r="12" customFormat="false" ht="15" hidden="false" customHeight="false" outlineLevel="0" collapsed="false">
      <c r="A12" s="0" t="s">
        <v>22</v>
      </c>
      <c r="B12" s="0" t="str">
        <f aca="false">INDEX(Master_Lista!$B$2:$B$151,MATCH(A12,Master_Lista!$A$2:$A$151,0))</f>
        <v>Uros Djordjevic</v>
      </c>
      <c r="C12" s="0" t="s">
        <v>301</v>
      </c>
      <c r="D12" s="5" t="n">
        <f aca="false">IFERROR(INDEX(Pozicije!$B$2:$B$19,MATCH(C12,Pozicije!$A$2:$A$19,0)),0)</f>
        <v>9.5</v>
      </c>
      <c r="E12" s="5" t="n">
        <f aca="false">ROUND(D12*176*0.98,2)</f>
        <v>1638.56</v>
      </c>
      <c r="G12" s="5" t="n">
        <f aca="false">E12*10.5%</f>
        <v>172.0488</v>
      </c>
      <c r="H12" s="5" t="n">
        <f aca="false">E12-G12</f>
        <v>1466.5112</v>
      </c>
      <c r="I12" s="5" t="n">
        <f aca="false">IF(H12&lt;=700,0,IF(H12&lt;=1000,9%*(H12-700),9%*300+15%*(H12-1000)))</f>
        <v>96.97668</v>
      </c>
      <c r="J12" s="5" t="n">
        <f aca="false">I12*15%</f>
        <v>14.546502</v>
      </c>
      <c r="K12" s="5" t="n">
        <f aca="false">H12-I12-J12</f>
        <v>1354.988018</v>
      </c>
      <c r="L12" s="5" t="n">
        <f aca="false">E12*0.5%</f>
        <v>8.1928</v>
      </c>
      <c r="M12" s="5" t="n">
        <f aca="false">E12+L12</f>
        <v>1646.7528</v>
      </c>
    </row>
    <row r="13" customFormat="false" ht="15" hidden="false" customHeight="false" outlineLevel="0" collapsed="false">
      <c r="A13" s="0" t="s">
        <v>24</v>
      </c>
      <c r="B13" s="0" t="str">
        <f aca="false">INDEX(Master_Lista!$B$2:$B$151,MATCH(A13,Master_Lista!$A$2:$A$151,0))</f>
        <v>Branko Babic</v>
      </c>
      <c r="C13" s="0" t="s">
        <v>302</v>
      </c>
      <c r="D13" s="5" t="n">
        <f aca="false">IFERROR(INDEX(Pozicije!$B$2:$B$19,MATCH(C13,Pozicije!$A$2:$A$19,0)),0)</f>
        <v>8</v>
      </c>
      <c r="E13" s="5" t="n">
        <f aca="false">ROUND(D13*176*1,2)</f>
        <v>1408</v>
      </c>
      <c r="G13" s="5" t="n">
        <f aca="false">E13*10.5%</f>
        <v>147.84</v>
      </c>
      <c r="H13" s="5" t="n">
        <f aca="false">E13-G13</f>
        <v>1260.16</v>
      </c>
      <c r="I13" s="5" t="n">
        <f aca="false">IF(H13&lt;=700,0,IF(H13&lt;=1000,9%*(H13-700),9%*300+15%*(H13-1000)))</f>
        <v>66.024</v>
      </c>
      <c r="J13" s="5" t="n">
        <f aca="false">I13*15%</f>
        <v>9.9036</v>
      </c>
      <c r="K13" s="5" t="n">
        <f aca="false">H13-I13-J13</f>
        <v>1184.2324</v>
      </c>
      <c r="L13" s="5" t="n">
        <f aca="false">E13*0.5%</f>
        <v>7.04</v>
      </c>
      <c r="M13" s="5" t="n">
        <f aca="false">E13+L13</f>
        <v>1415.04</v>
      </c>
    </row>
    <row r="14" customFormat="false" ht="15" hidden="false" customHeight="false" outlineLevel="0" collapsed="false">
      <c r="A14" s="0" t="s">
        <v>25</v>
      </c>
      <c r="B14" s="0" t="str">
        <f aca="false">INDEX(Master_Lista!$B$2:$B$151,MATCH(A14,Master_Lista!$A$2:$A$151,0))</f>
        <v>Cedomir Vasic</v>
      </c>
      <c r="C14" s="0" t="s">
        <v>303</v>
      </c>
      <c r="D14" s="5" t="n">
        <f aca="false">IFERROR(INDEX(Pozicije!$B$2:$B$19,MATCH(C14,Pozicije!$A$2:$A$19,0)),0)</f>
        <v>7.5</v>
      </c>
      <c r="E14" s="5" t="n">
        <f aca="false">ROUND(D14*176*1.02,2)</f>
        <v>1346.4</v>
      </c>
      <c r="G14" s="5" t="n">
        <f aca="false">E14*10.5%</f>
        <v>141.372</v>
      </c>
      <c r="H14" s="5" t="n">
        <f aca="false">E14-G14</f>
        <v>1205.028</v>
      </c>
      <c r="I14" s="5" t="n">
        <f aca="false">IF(H14&lt;=700,0,IF(H14&lt;=1000,9%*(H14-700),9%*300+15%*(H14-1000)))</f>
        <v>57.7542</v>
      </c>
      <c r="J14" s="5" t="n">
        <f aca="false">I14*15%</f>
        <v>8.66313</v>
      </c>
      <c r="K14" s="5" t="n">
        <f aca="false">H14-I14-J14</f>
        <v>1138.61067</v>
      </c>
      <c r="L14" s="5" t="n">
        <f aca="false">E14*0.5%</f>
        <v>6.732</v>
      </c>
      <c r="M14" s="5" t="n">
        <f aca="false">E14+L14</f>
        <v>1353.132</v>
      </c>
    </row>
    <row r="15" customFormat="false" ht="15" hidden="false" customHeight="false" outlineLevel="0" collapsed="false">
      <c r="A15" s="0" t="s">
        <v>27</v>
      </c>
      <c r="B15" s="0" t="str">
        <f aca="false">INDEX(Master_Lista!$B$2:$B$151,MATCH(A15,Master_Lista!$A$2:$A$151,0))</f>
        <v>Nikola Jankovic</v>
      </c>
      <c r="C15" s="0" t="s">
        <v>304</v>
      </c>
      <c r="D15" s="5" t="n">
        <f aca="false">IFERROR(INDEX(Pozicije!$B$2:$B$19,MATCH(C15,Pozicije!$A$2:$A$19,0)),0)</f>
        <v>10.5</v>
      </c>
      <c r="E15" s="5" t="n">
        <f aca="false">ROUND(D15*176*1.04,2)</f>
        <v>1921.92</v>
      </c>
      <c r="G15" s="5" t="n">
        <f aca="false">E15*10.5%</f>
        <v>201.8016</v>
      </c>
      <c r="H15" s="5" t="n">
        <f aca="false">E15-G15</f>
        <v>1720.1184</v>
      </c>
      <c r="I15" s="5" t="n">
        <f aca="false">IF(H15&lt;=700,0,IF(H15&lt;=1000,9%*(H15-700),9%*300+15%*(H15-1000)))</f>
        <v>135.01776</v>
      </c>
      <c r="J15" s="5" t="n">
        <f aca="false">I15*15%</f>
        <v>20.252664</v>
      </c>
      <c r="K15" s="5" t="n">
        <f aca="false">H15-I15-J15</f>
        <v>1564.847976</v>
      </c>
      <c r="L15" s="5" t="n">
        <f aca="false">E15*0.5%</f>
        <v>9.6096</v>
      </c>
      <c r="M15" s="5" t="n">
        <f aca="false">E15+L15</f>
        <v>1931.5296</v>
      </c>
    </row>
    <row r="16" customFormat="false" ht="15" hidden="false" customHeight="false" outlineLevel="0" collapsed="false">
      <c r="A16" s="0" t="s">
        <v>29</v>
      </c>
      <c r="B16" s="0" t="str">
        <f aca="false">INDEX(Master_Lista!$B$2:$B$151,MATCH(A16,Master_Lista!$A$2:$A$151,0))</f>
        <v>Petar Antic</v>
      </c>
      <c r="C16" s="0" t="s">
        <v>305</v>
      </c>
      <c r="D16" s="5" t="n">
        <f aca="false">IFERROR(INDEX(Pozicije!$B$2:$B$19,MATCH(C16,Pozicije!$A$2:$A$19,0)),0)</f>
        <v>25</v>
      </c>
      <c r="E16" s="5" t="n">
        <f aca="false">ROUND(D16*176*1.06,2)</f>
        <v>4664</v>
      </c>
      <c r="G16" s="5" t="n">
        <f aca="false">E16*10.5%</f>
        <v>489.72</v>
      </c>
      <c r="H16" s="5" t="n">
        <f aca="false">E16-G16</f>
        <v>4174.28</v>
      </c>
      <c r="I16" s="5" t="n">
        <f aca="false">IF(H16&lt;=700,0,IF(H16&lt;=1000,9%*(H16-700),9%*300+15%*(H16-1000)))</f>
        <v>503.142</v>
      </c>
      <c r="J16" s="5" t="n">
        <f aca="false">I16*15%</f>
        <v>75.4713</v>
      </c>
      <c r="K16" s="5" t="n">
        <f aca="false">H16-I16-J16</f>
        <v>3595.6667</v>
      </c>
      <c r="L16" s="5" t="n">
        <f aca="false">E16*0.5%</f>
        <v>23.32</v>
      </c>
      <c r="M16" s="5" t="n">
        <f aca="false">E16+L16</f>
        <v>4687.32</v>
      </c>
    </row>
    <row r="17" customFormat="false" ht="15" hidden="false" customHeight="false" outlineLevel="0" collapsed="false">
      <c r="A17" s="0" t="s">
        <v>31</v>
      </c>
      <c r="B17" s="0" t="str">
        <f aca="false">INDEX(Master_Lista!$B$2:$B$151,MATCH(A17,Master_Lista!$A$2:$A$151,0))</f>
        <v>Stefan Cvetkovic</v>
      </c>
      <c r="C17" s="0" t="s">
        <v>306</v>
      </c>
      <c r="D17" s="5" t="n">
        <f aca="false">IFERROR(INDEX(Pozicije!$B$2:$B$19,MATCH(C17,Pozicije!$A$2:$A$19,0)),0)</f>
        <v>15</v>
      </c>
      <c r="E17" s="5" t="n">
        <f aca="false">ROUND(D17*176*0.98,2)</f>
        <v>2587.2</v>
      </c>
      <c r="G17" s="5" t="n">
        <f aca="false">E17*10.5%</f>
        <v>271.656</v>
      </c>
      <c r="H17" s="5" t="n">
        <f aca="false">E17-G17</f>
        <v>2315.544</v>
      </c>
      <c r="I17" s="5" t="n">
        <f aca="false">IF(H17&lt;=700,0,IF(H17&lt;=1000,9%*(H17-700),9%*300+15%*(H17-1000)))</f>
        <v>224.3316</v>
      </c>
      <c r="J17" s="5" t="n">
        <f aca="false">I17*15%</f>
        <v>33.64974</v>
      </c>
      <c r="K17" s="5" t="n">
        <f aca="false">H17-I17-J17</f>
        <v>2057.56266</v>
      </c>
      <c r="L17" s="5" t="n">
        <f aca="false">E17*0.5%</f>
        <v>12.936</v>
      </c>
      <c r="M17" s="5" t="n">
        <f aca="false">E17+L17</f>
        <v>2600.136</v>
      </c>
    </row>
    <row r="18" customFormat="false" ht="15" hidden="false" customHeight="false" outlineLevel="0" collapsed="false">
      <c r="A18" s="0" t="s">
        <v>33</v>
      </c>
      <c r="B18" s="0" t="str">
        <f aca="false">INDEX(Master_Lista!$B$2:$B$151,MATCH(A18,Master_Lista!$A$2:$A$151,0))</f>
        <v>Cedomir Markovic</v>
      </c>
      <c r="C18" s="0" t="s">
        <v>307</v>
      </c>
      <c r="D18" s="5" t="n">
        <f aca="false">IFERROR(INDEX(Pozicije!$B$2:$B$19,MATCH(C18,Pozicije!$A$2:$A$19,0)),0)</f>
        <v>12.5</v>
      </c>
      <c r="E18" s="5" t="n">
        <f aca="false">ROUND(D18*176*1,2)</f>
        <v>2200</v>
      </c>
      <c r="G18" s="5" t="n">
        <f aca="false">E18*10.5%</f>
        <v>231</v>
      </c>
      <c r="H18" s="5" t="n">
        <f aca="false">E18-G18</f>
        <v>1969</v>
      </c>
      <c r="I18" s="5" t="n">
        <f aca="false">IF(H18&lt;=700,0,IF(H18&lt;=1000,9%*(H18-700),9%*300+15%*(H18-1000)))</f>
        <v>172.35</v>
      </c>
      <c r="J18" s="5" t="n">
        <f aca="false">I18*15%</f>
        <v>25.8525</v>
      </c>
      <c r="K18" s="5" t="n">
        <f aca="false">H18-I18-J18</f>
        <v>1770.7975</v>
      </c>
      <c r="L18" s="5" t="n">
        <f aca="false">E18*0.5%</f>
        <v>11</v>
      </c>
      <c r="M18" s="5" t="n">
        <f aca="false">E18+L18</f>
        <v>2211</v>
      </c>
    </row>
    <row r="19" customFormat="false" ht="15" hidden="false" customHeight="false" outlineLevel="0" collapsed="false">
      <c r="A19" s="0" t="s">
        <v>35</v>
      </c>
      <c r="B19" s="0" t="str">
        <f aca="false">INDEX(Master_Lista!$B$2:$B$151,MATCH(A19,Master_Lista!$A$2:$A$151,0))</f>
        <v>Sanja Grujic</v>
      </c>
      <c r="C19" s="0" t="s">
        <v>308</v>
      </c>
      <c r="D19" s="5" t="n">
        <f aca="false">IFERROR(INDEX(Pozicije!$B$2:$B$19,MATCH(C19,Pozicije!$A$2:$A$19,0)),0)</f>
        <v>16</v>
      </c>
      <c r="E19" s="5" t="n">
        <f aca="false">ROUND(D19*176*1.02,2)</f>
        <v>2872.32</v>
      </c>
      <c r="G19" s="5" t="n">
        <f aca="false">E19*10.5%</f>
        <v>301.5936</v>
      </c>
      <c r="H19" s="5" t="n">
        <f aca="false">E19-G19</f>
        <v>2570.7264</v>
      </c>
      <c r="I19" s="5" t="n">
        <f aca="false">IF(H19&lt;=700,0,IF(H19&lt;=1000,9%*(H19-700),9%*300+15%*(H19-1000)))</f>
        <v>262.60896</v>
      </c>
      <c r="J19" s="5" t="n">
        <f aca="false">I19*15%</f>
        <v>39.391344</v>
      </c>
      <c r="K19" s="5" t="n">
        <f aca="false">H19-I19-J19</f>
        <v>2268.726096</v>
      </c>
      <c r="L19" s="5" t="n">
        <f aca="false">E19*0.5%</f>
        <v>14.3616</v>
      </c>
      <c r="M19" s="5" t="n">
        <f aca="false">E19+L19</f>
        <v>2886.6816</v>
      </c>
    </row>
    <row r="20" customFormat="false" ht="15" hidden="false" customHeight="false" outlineLevel="0" collapsed="false">
      <c r="A20" s="0" t="s">
        <v>37</v>
      </c>
      <c r="B20" s="0" t="str">
        <f aca="false">INDEX(Master_Lista!$B$2:$B$151,MATCH(A20,Master_Lista!$A$2:$A$151,0))</f>
        <v>Jovan Tomic</v>
      </c>
      <c r="C20" s="0" t="s">
        <v>291</v>
      </c>
      <c r="D20" s="5" t="n">
        <f aca="false">IFERROR(INDEX(Pozicije!$B$2:$B$19,MATCH(C20,Pozicije!$A$2:$A$19,0)),0)</f>
        <v>8.5</v>
      </c>
      <c r="E20" s="5" t="n">
        <f aca="false">ROUND(D20*176*1.04,2)</f>
        <v>1555.84</v>
      </c>
      <c r="G20" s="5" t="n">
        <f aca="false">E20*10.5%</f>
        <v>163.3632</v>
      </c>
      <c r="H20" s="5" t="n">
        <f aca="false">E20-G20</f>
        <v>1392.4768</v>
      </c>
      <c r="I20" s="5" t="n">
        <f aca="false">IF(H20&lt;=700,0,IF(H20&lt;=1000,9%*(H20-700),9%*300+15%*(H20-1000)))</f>
        <v>85.87152</v>
      </c>
      <c r="J20" s="5" t="n">
        <f aca="false">I20*15%</f>
        <v>12.880728</v>
      </c>
      <c r="K20" s="5" t="n">
        <f aca="false">H20-I20-J20</f>
        <v>1293.724552</v>
      </c>
      <c r="L20" s="5" t="n">
        <f aca="false">E20*0.5%</f>
        <v>7.7792</v>
      </c>
      <c r="M20" s="5" t="n">
        <f aca="false">E20+L20</f>
        <v>1563.6192</v>
      </c>
    </row>
    <row r="21" customFormat="false" ht="15" hidden="false" customHeight="false" outlineLevel="0" collapsed="false">
      <c r="A21" s="0" t="s">
        <v>39</v>
      </c>
      <c r="B21" s="0" t="str">
        <f aca="false">INDEX(Master_Lista!$B$2:$B$151,MATCH(A21,Master_Lista!$A$2:$A$151,0))</f>
        <v>Luka Kostic</v>
      </c>
      <c r="C21" s="0" t="s">
        <v>292</v>
      </c>
      <c r="D21" s="5" t="n">
        <f aca="false">IFERROR(INDEX(Pozicije!$B$2:$B$19,MATCH(C21,Pozicije!$A$2:$A$19,0)),0)</f>
        <v>11</v>
      </c>
      <c r="E21" s="5" t="n">
        <f aca="false">ROUND(D21*176*1.06,2)</f>
        <v>2052.16</v>
      </c>
      <c r="G21" s="5" t="n">
        <f aca="false">E21*10.5%</f>
        <v>215.4768</v>
      </c>
      <c r="H21" s="5" t="n">
        <f aca="false">E21-G21</f>
        <v>1836.6832</v>
      </c>
      <c r="I21" s="5" t="n">
        <f aca="false">IF(H21&lt;=700,0,IF(H21&lt;=1000,9%*(H21-700),9%*300+15%*(H21-1000)))</f>
        <v>152.50248</v>
      </c>
      <c r="J21" s="5" t="n">
        <f aca="false">I21*15%</f>
        <v>22.875372</v>
      </c>
      <c r="K21" s="5" t="n">
        <f aca="false">H21-I21-J21</f>
        <v>1661.305348</v>
      </c>
      <c r="L21" s="5" t="n">
        <f aca="false">E21*0.5%</f>
        <v>10.2608</v>
      </c>
      <c r="M21" s="5" t="n">
        <f aca="false">E21+L21</f>
        <v>2062.4208</v>
      </c>
    </row>
    <row r="22" customFormat="false" ht="15" hidden="false" customHeight="false" outlineLevel="0" collapsed="false">
      <c r="A22" s="0" t="s">
        <v>41</v>
      </c>
      <c r="B22" s="0" t="str">
        <f aca="false">INDEX(Master_Lista!$B$2:$B$151,MATCH(A22,Master_Lista!$A$2:$A$151,0))</f>
        <v>Lidija Obradovic</v>
      </c>
      <c r="C22" s="0" t="s">
        <v>293</v>
      </c>
      <c r="D22" s="5" t="n">
        <f aca="false">IFERROR(INDEX(Pozicije!$B$2:$B$19,MATCH(C22,Pozicije!$A$2:$A$19,0)),0)</f>
        <v>18</v>
      </c>
      <c r="E22" s="5" t="n">
        <f aca="false">ROUND(D22*176*0.98,2)</f>
        <v>3104.64</v>
      </c>
      <c r="G22" s="5" t="n">
        <f aca="false">E22*10.5%</f>
        <v>325.9872</v>
      </c>
      <c r="H22" s="5" t="n">
        <f aca="false">E22-G22</f>
        <v>2778.6528</v>
      </c>
      <c r="I22" s="5" t="n">
        <f aca="false">IF(H22&lt;=700,0,IF(H22&lt;=1000,9%*(H22-700),9%*300+15%*(H22-1000)))</f>
        <v>293.79792</v>
      </c>
      <c r="J22" s="5" t="n">
        <f aca="false">I22*15%</f>
        <v>44.069688</v>
      </c>
      <c r="K22" s="5" t="n">
        <f aca="false">H22-I22-J22</f>
        <v>2440.785192</v>
      </c>
      <c r="L22" s="5" t="n">
        <f aca="false">E22*0.5%</f>
        <v>15.5232</v>
      </c>
      <c r="M22" s="5" t="n">
        <f aca="false">E22+L22</f>
        <v>3120.1632</v>
      </c>
    </row>
    <row r="23" customFormat="false" ht="15" hidden="false" customHeight="false" outlineLevel="0" collapsed="false">
      <c r="A23" s="0" t="s">
        <v>43</v>
      </c>
      <c r="B23" s="0" t="str">
        <f aca="false">INDEX(Master_Lista!$B$2:$B$151,MATCH(A23,Master_Lista!$A$2:$A$151,0))</f>
        <v>Aleksandar Lazic</v>
      </c>
      <c r="C23" s="0" t="s">
        <v>294</v>
      </c>
      <c r="D23" s="5" t="n">
        <f aca="false">IFERROR(INDEX(Pozicije!$B$2:$B$19,MATCH(C23,Pozicije!$A$2:$A$19,0)),0)</f>
        <v>28</v>
      </c>
      <c r="E23" s="5" t="n">
        <f aca="false">ROUND(D23*176*1,2)</f>
        <v>4928</v>
      </c>
      <c r="G23" s="5" t="n">
        <f aca="false">E23*10.5%</f>
        <v>517.44</v>
      </c>
      <c r="H23" s="5" t="n">
        <f aca="false">E23-G23</f>
        <v>4410.56</v>
      </c>
      <c r="I23" s="5" t="n">
        <f aca="false">IF(H23&lt;=700,0,IF(H23&lt;=1000,9%*(H23-700),9%*300+15%*(H23-1000)))</f>
        <v>538.584</v>
      </c>
      <c r="J23" s="5" t="n">
        <f aca="false">I23*15%</f>
        <v>80.7876</v>
      </c>
      <c r="K23" s="5" t="n">
        <f aca="false">H23-I23-J23</f>
        <v>3791.1884</v>
      </c>
      <c r="L23" s="5" t="n">
        <f aca="false">E23*0.5%</f>
        <v>24.64</v>
      </c>
      <c r="M23" s="5" t="n">
        <f aca="false">E23+L23</f>
        <v>4952.64</v>
      </c>
    </row>
    <row r="24" customFormat="false" ht="15" hidden="false" customHeight="false" outlineLevel="0" collapsed="false">
      <c r="A24" s="0" t="s">
        <v>45</v>
      </c>
      <c r="B24" s="0" t="str">
        <f aca="false">INDEX(Master_Lista!$B$2:$B$151,MATCH(A24,Master_Lista!$A$2:$A$151,0))</f>
        <v>Petra Lazic</v>
      </c>
      <c r="C24" s="0" t="s">
        <v>295</v>
      </c>
      <c r="D24" s="5" t="n">
        <f aca="false">IFERROR(INDEX(Pozicije!$B$2:$B$19,MATCH(C24,Pozicije!$A$2:$A$19,0)),0)</f>
        <v>9</v>
      </c>
      <c r="E24" s="5" t="n">
        <f aca="false">ROUND(D24*176*1.02,2)</f>
        <v>1615.68</v>
      </c>
      <c r="G24" s="5" t="n">
        <f aca="false">E24*10.5%</f>
        <v>169.6464</v>
      </c>
      <c r="H24" s="5" t="n">
        <f aca="false">E24-G24</f>
        <v>1446.0336</v>
      </c>
      <c r="I24" s="5" t="n">
        <f aca="false">IF(H24&lt;=700,0,IF(H24&lt;=1000,9%*(H24-700),9%*300+15%*(H24-1000)))</f>
        <v>93.90504</v>
      </c>
      <c r="J24" s="5" t="n">
        <f aca="false">I24*15%</f>
        <v>14.085756</v>
      </c>
      <c r="K24" s="5" t="n">
        <f aca="false">H24-I24-J24</f>
        <v>1338.042804</v>
      </c>
      <c r="L24" s="5" t="n">
        <f aca="false">E24*0.5%</f>
        <v>8.0784</v>
      </c>
      <c r="M24" s="5" t="n">
        <f aca="false">E24+L24</f>
        <v>1623.7584</v>
      </c>
    </row>
    <row r="25" customFormat="false" ht="15" hidden="false" customHeight="false" outlineLevel="0" collapsed="false">
      <c r="A25" s="0" t="s">
        <v>47</v>
      </c>
      <c r="B25" s="0" t="str">
        <f aca="false">INDEX(Master_Lista!$B$2:$B$151,MATCH(A25,Master_Lista!$A$2:$A$151,0))</f>
        <v>Una Kostic</v>
      </c>
      <c r="C25" s="0" t="s">
        <v>296</v>
      </c>
      <c r="D25" s="5" t="n">
        <f aca="false">IFERROR(INDEX(Pozicije!$B$2:$B$19,MATCH(C25,Pozicije!$A$2:$A$19,0)),0)</f>
        <v>10</v>
      </c>
      <c r="E25" s="5" t="n">
        <f aca="false">ROUND(D25*176*1.04,2)</f>
        <v>1830.4</v>
      </c>
      <c r="G25" s="5" t="n">
        <f aca="false">E25*10.5%</f>
        <v>192.192</v>
      </c>
      <c r="H25" s="5" t="n">
        <f aca="false">E25-G25</f>
        <v>1638.208</v>
      </c>
      <c r="I25" s="5" t="n">
        <f aca="false">IF(H25&lt;=700,0,IF(H25&lt;=1000,9%*(H25-700),9%*300+15%*(H25-1000)))</f>
        <v>122.7312</v>
      </c>
      <c r="J25" s="5" t="n">
        <f aca="false">I25*15%</f>
        <v>18.40968</v>
      </c>
      <c r="K25" s="5" t="n">
        <f aca="false">H25-I25-J25</f>
        <v>1497.06712</v>
      </c>
      <c r="L25" s="5" t="n">
        <f aca="false">E25*0.5%</f>
        <v>9.152</v>
      </c>
      <c r="M25" s="5" t="n">
        <f aca="false">E25+L25</f>
        <v>1839.552</v>
      </c>
    </row>
    <row r="26" customFormat="false" ht="15" hidden="false" customHeight="false" outlineLevel="0" collapsed="false">
      <c r="A26" s="0" t="s">
        <v>49</v>
      </c>
      <c r="B26" s="0" t="str">
        <f aca="false">INDEX(Master_Lista!$B$2:$B$151,MATCH(A26,Master_Lista!$A$2:$A$151,0))</f>
        <v>Radoslav Vasic</v>
      </c>
      <c r="C26" s="0" t="s">
        <v>297</v>
      </c>
      <c r="D26" s="5" t="n">
        <f aca="false">IFERROR(INDEX(Pozicije!$B$2:$B$19,MATCH(C26,Pozicije!$A$2:$A$19,0)),0)</f>
        <v>12</v>
      </c>
      <c r="E26" s="5" t="n">
        <f aca="false">ROUND(D26*176*1.06,2)</f>
        <v>2238.72</v>
      </c>
      <c r="G26" s="5" t="n">
        <f aca="false">E26*10.5%</f>
        <v>235.0656</v>
      </c>
      <c r="H26" s="5" t="n">
        <f aca="false">E26-G26</f>
        <v>2003.6544</v>
      </c>
      <c r="I26" s="5" t="n">
        <f aca="false">IF(H26&lt;=700,0,IF(H26&lt;=1000,9%*(H26-700),9%*300+15%*(H26-1000)))</f>
        <v>177.54816</v>
      </c>
      <c r="J26" s="5" t="n">
        <f aca="false">I26*15%</f>
        <v>26.632224</v>
      </c>
      <c r="K26" s="5" t="n">
        <f aca="false">H26-I26-J26</f>
        <v>1799.474016</v>
      </c>
      <c r="L26" s="5" t="n">
        <f aca="false">E26*0.5%</f>
        <v>11.1936</v>
      </c>
      <c r="M26" s="5" t="n">
        <f aca="false">E26+L26</f>
        <v>2249.9136</v>
      </c>
    </row>
    <row r="27" customFormat="false" ht="15" hidden="false" customHeight="false" outlineLevel="0" collapsed="false">
      <c r="A27" s="0" t="s">
        <v>51</v>
      </c>
      <c r="B27" s="0" t="str">
        <f aca="false">INDEX(Master_Lista!$B$2:$B$151,MATCH(A27,Master_Lista!$A$2:$A$151,0))</f>
        <v>Ognjen Kostic</v>
      </c>
      <c r="C27" s="0" t="s">
        <v>298</v>
      </c>
      <c r="D27" s="5" t="n">
        <f aca="false">IFERROR(INDEX(Pozicije!$B$2:$B$19,MATCH(C27,Pozicije!$A$2:$A$19,0)),0)</f>
        <v>14</v>
      </c>
      <c r="E27" s="5" t="n">
        <f aca="false">ROUND(D27*176*0.98,2)</f>
        <v>2414.72</v>
      </c>
      <c r="G27" s="5" t="n">
        <f aca="false">E27*10.5%</f>
        <v>253.5456</v>
      </c>
      <c r="H27" s="5" t="n">
        <f aca="false">E27-G27</f>
        <v>2161.1744</v>
      </c>
      <c r="I27" s="5" t="n">
        <f aca="false">IF(H27&lt;=700,0,IF(H27&lt;=1000,9%*(H27-700),9%*300+15%*(H27-1000)))</f>
        <v>201.17616</v>
      </c>
      <c r="J27" s="5" t="n">
        <f aca="false">I27*15%</f>
        <v>30.176424</v>
      </c>
      <c r="K27" s="5" t="n">
        <f aca="false">H27-I27-J27</f>
        <v>1929.821816</v>
      </c>
      <c r="L27" s="5" t="n">
        <f aca="false">E27*0.5%</f>
        <v>12.0736</v>
      </c>
      <c r="M27" s="5" t="n">
        <f aca="false">E27+L27</f>
        <v>2426.7936</v>
      </c>
    </row>
    <row r="28" customFormat="false" ht="15" hidden="false" customHeight="false" outlineLevel="0" collapsed="false">
      <c r="A28" s="0" t="s">
        <v>53</v>
      </c>
      <c r="B28" s="0" t="str">
        <f aca="false">INDEX(Master_Lista!$B$2:$B$151,MATCH(A28,Master_Lista!$A$2:$A$151,0))</f>
        <v>Branko Jankovic</v>
      </c>
      <c r="C28" s="0" t="s">
        <v>299</v>
      </c>
      <c r="D28" s="5" t="n">
        <f aca="false">IFERROR(INDEX(Pozicije!$B$2:$B$19,MATCH(C28,Pozicije!$A$2:$A$19,0)),0)</f>
        <v>20</v>
      </c>
      <c r="E28" s="5" t="n">
        <f aca="false">ROUND(D28*176*1,2)</f>
        <v>3520</v>
      </c>
      <c r="G28" s="5" t="n">
        <f aca="false">E28*10.5%</f>
        <v>369.6</v>
      </c>
      <c r="H28" s="5" t="n">
        <f aca="false">E28-G28</f>
        <v>3150.4</v>
      </c>
      <c r="I28" s="5" t="n">
        <f aca="false">IF(H28&lt;=700,0,IF(H28&lt;=1000,9%*(H28-700),9%*300+15%*(H28-1000)))</f>
        <v>349.56</v>
      </c>
      <c r="J28" s="5" t="n">
        <f aca="false">I28*15%</f>
        <v>52.434</v>
      </c>
      <c r="K28" s="5" t="n">
        <f aca="false">H28-I28-J28</f>
        <v>2748.406</v>
      </c>
      <c r="L28" s="5" t="n">
        <f aca="false">E28*0.5%</f>
        <v>17.6</v>
      </c>
      <c r="M28" s="5" t="n">
        <f aca="false">E28+L28</f>
        <v>3537.6</v>
      </c>
    </row>
    <row r="29" customFormat="false" ht="15" hidden="false" customHeight="false" outlineLevel="0" collapsed="false">
      <c r="A29" s="0" t="s">
        <v>55</v>
      </c>
      <c r="B29" s="0" t="str">
        <f aca="false">INDEX(Master_Lista!$B$2:$B$151,MATCH(A29,Master_Lista!$A$2:$A$151,0))</f>
        <v>Aleksandar Cvetkovic</v>
      </c>
      <c r="C29" s="0" t="s">
        <v>300</v>
      </c>
      <c r="D29" s="5" t="n">
        <f aca="false">IFERROR(INDEX(Pozicije!$B$2:$B$19,MATCH(C29,Pozicije!$A$2:$A$19,0)),0)</f>
        <v>22</v>
      </c>
      <c r="E29" s="5" t="n">
        <f aca="false">ROUND(D29*176*1.02,2)</f>
        <v>3949.44</v>
      </c>
      <c r="G29" s="5" t="n">
        <f aca="false">E29*10.5%</f>
        <v>414.6912</v>
      </c>
      <c r="H29" s="5" t="n">
        <f aca="false">E29-G29</f>
        <v>3534.7488</v>
      </c>
      <c r="I29" s="5" t="n">
        <f aca="false">IF(H29&lt;=700,0,IF(H29&lt;=1000,9%*(H29-700),9%*300+15%*(H29-1000)))</f>
        <v>407.21232</v>
      </c>
      <c r="J29" s="5" t="n">
        <f aca="false">I29*15%</f>
        <v>61.081848</v>
      </c>
      <c r="K29" s="5" t="n">
        <f aca="false">H29-I29-J29</f>
        <v>3066.454632</v>
      </c>
      <c r="L29" s="5" t="n">
        <f aca="false">E29*0.5%</f>
        <v>19.7472</v>
      </c>
      <c r="M29" s="5" t="n">
        <f aca="false">E29+L29</f>
        <v>3969.1872</v>
      </c>
    </row>
    <row r="30" customFormat="false" ht="15" hidden="false" customHeight="false" outlineLevel="0" collapsed="false">
      <c r="A30" s="0" t="s">
        <v>57</v>
      </c>
      <c r="B30" s="0" t="str">
        <f aca="false">INDEX(Master_Lista!$B$2:$B$151,MATCH(A30,Master_Lista!$A$2:$A$151,0))</f>
        <v>Ognjen Jankovic</v>
      </c>
      <c r="C30" s="0" t="s">
        <v>301</v>
      </c>
      <c r="D30" s="5" t="n">
        <f aca="false">IFERROR(INDEX(Pozicije!$B$2:$B$19,MATCH(C30,Pozicije!$A$2:$A$19,0)),0)</f>
        <v>9.5</v>
      </c>
      <c r="E30" s="5" t="n">
        <f aca="false">ROUND(D30*176*1.04,2)</f>
        <v>1738.88</v>
      </c>
      <c r="G30" s="5" t="n">
        <f aca="false">E30*10.5%</f>
        <v>182.5824</v>
      </c>
      <c r="H30" s="5" t="n">
        <f aca="false">E30-G30</f>
        <v>1556.2976</v>
      </c>
      <c r="I30" s="5" t="n">
        <f aca="false">IF(H30&lt;=700,0,IF(H30&lt;=1000,9%*(H30-700),9%*300+15%*(H30-1000)))</f>
        <v>110.44464</v>
      </c>
      <c r="J30" s="5" t="n">
        <f aca="false">I30*15%</f>
        <v>16.566696</v>
      </c>
      <c r="K30" s="5" t="n">
        <f aca="false">H30-I30-J30</f>
        <v>1429.286264</v>
      </c>
      <c r="L30" s="5" t="n">
        <f aca="false">E30*0.5%</f>
        <v>8.6944</v>
      </c>
      <c r="M30" s="5" t="n">
        <f aca="false">E30+L30</f>
        <v>1747.5744</v>
      </c>
    </row>
    <row r="31" customFormat="false" ht="15" hidden="false" customHeight="false" outlineLevel="0" collapsed="false">
      <c r="A31" s="0" t="s">
        <v>59</v>
      </c>
      <c r="B31" s="0" t="str">
        <f aca="false">INDEX(Master_Lista!$B$2:$B$151,MATCH(A31,Master_Lista!$A$2:$A$151,0))</f>
        <v>Uros Pavlovic</v>
      </c>
      <c r="C31" s="0" t="s">
        <v>302</v>
      </c>
      <c r="D31" s="5" t="n">
        <f aca="false">IFERROR(INDEX(Pozicije!$B$2:$B$19,MATCH(C31,Pozicije!$A$2:$A$19,0)),0)</f>
        <v>8</v>
      </c>
      <c r="E31" s="5" t="n">
        <f aca="false">ROUND(D31*176*1.06,2)</f>
        <v>1492.48</v>
      </c>
      <c r="G31" s="5" t="n">
        <f aca="false">E31*10.5%</f>
        <v>156.7104</v>
      </c>
      <c r="H31" s="5" t="n">
        <f aca="false">E31-G31</f>
        <v>1335.7696</v>
      </c>
      <c r="I31" s="5" t="n">
        <f aca="false">IF(H31&lt;=700,0,IF(H31&lt;=1000,9%*(H31-700),9%*300+15%*(H31-1000)))</f>
        <v>77.36544</v>
      </c>
      <c r="J31" s="5" t="n">
        <f aca="false">I31*15%</f>
        <v>11.604816</v>
      </c>
      <c r="K31" s="5" t="n">
        <f aca="false">H31-I31-J31</f>
        <v>1246.799344</v>
      </c>
      <c r="L31" s="5" t="n">
        <f aca="false">E31*0.5%</f>
        <v>7.4624</v>
      </c>
      <c r="M31" s="5" t="n">
        <f aca="false">E31+L31</f>
        <v>1499.9424</v>
      </c>
    </row>
    <row r="32" customFormat="false" ht="15" hidden="false" customHeight="false" outlineLevel="0" collapsed="false">
      <c r="A32" s="0" t="s">
        <v>61</v>
      </c>
      <c r="B32" s="0" t="str">
        <f aca="false">INDEX(Master_Lista!$B$2:$B$151,MATCH(A32,Master_Lista!$A$2:$A$151,0))</f>
        <v>Stefan Nikolic</v>
      </c>
      <c r="C32" s="0" t="s">
        <v>303</v>
      </c>
      <c r="D32" s="5" t="n">
        <f aca="false">IFERROR(INDEX(Pozicije!$B$2:$B$19,MATCH(C32,Pozicije!$A$2:$A$19,0)),0)</f>
        <v>7.5</v>
      </c>
      <c r="E32" s="5" t="n">
        <f aca="false">ROUND(D32*176*0.98,2)</f>
        <v>1293.6</v>
      </c>
      <c r="G32" s="5" t="n">
        <f aca="false">E32*10.5%</f>
        <v>135.828</v>
      </c>
      <c r="H32" s="5" t="n">
        <f aca="false">E32-G32</f>
        <v>1157.772</v>
      </c>
      <c r="I32" s="5" t="n">
        <f aca="false">IF(H32&lt;=700,0,IF(H32&lt;=1000,9%*(H32-700),9%*300+15%*(H32-1000)))</f>
        <v>50.6658</v>
      </c>
      <c r="J32" s="5" t="n">
        <f aca="false">I32*15%</f>
        <v>7.59987</v>
      </c>
      <c r="K32" s="5" t="n">
        <f aca="false">H32-I32-J32</f>
        <v>1099.50633</v>
      </c>
      <c r="L32" s="5" t="n">
        <f aca="false">E32*0.5%</f>
        <v>6.468</v>
      </c>
      <c r="M32" s="5" t="n">
        <f aca="false">E32+L32</f>
        <v>1300.068</v>
      </c>
    </row>
    <row r="33" customFormat="false" ht="15" hidden="false" customHeight="false" outlineLevel="0" collapsed="false">
      <c r="A33" s="0" t="s">
        <v>63</v>
      </c>
      <c r="B33" s="0" t="str">
        <f aca="false">INDEX(Master_Lista!$B$2:$B$151,MATCH(A33,Master_Lista!$A$2:$A$151,0))</f>
        <v>Uros Obradovic</v>
      </c>
      <c r="C33" s="0" t="s">
        <v>304</v>
      </c>
      <c r="D33" s="5" t="n">
        <f aca="false">IFERROR(INDEX(Pozicije!$B$2:$B$19,MATCH(C33,Pozicije!$A$2:$A$19,0)),0)</f>
        <v>10.5</v>
      </c>
      <c r="E33" s="5" t="n">
        <f aca="false">ROUND(D33*176*1,2)</f>
        <v>1848</v>
      </c>
      <c r="G33" s="5" t="n">
        <f aca="false">E33*10.5%</f>
        <v>194.04</v>
      </c>
      <c r="H33" s="5" t="n">
        <f aca="false">E33-G33</f>
        <v>1653.96</v>
      </c>
      <c r="I33" s="5" t="n">
        <f aca="false">IF(H33&lt;=700,0,IF(H33&lt;=1000,9%*(H33-700),9%*300+15%*(H33-1000)))</f>
        <v>125.094</v>
      </c>
      <c r="J33" s="5" t="n">
        <f aca="false">I33*15%</f>
        <v>18.7641</v>
      </c>
      <c r="K33" s="5" t="n">
        <f aca="false">H33-I33-J33</f>
        <v>1510.1019</v>
      </c>
      <c r="L33" s="5" t="n">
        <f aca="false">E33*0.5%</f>
        <v>9.24</v>
      </c>
      <c r="M33" s="5" t="n">
        <f aca="false">E33+L33</f>
        <v>1857.24</v>
      </c>
    </row>
    <row r="34" customFormat="false" ht="15" hidden="false" customHeight="false" outlineLevel="0" collapsed="false">
      <c r="A34" s="0" t="s">
        <v>65</v>
      </c>
      <c r="B34" s="0" t="str">
        <f aca="false">INDEX(Master_Lista!$B$2:$B$151,MATCH(A34,Master_Lista!$A$2:$A$151,0))</f>
        <v>Uros Tomic</v>
      </c>
      <c r="C34" s="0" t="s">
        <v>305</v>
      </c>
      <c r="D34" s="5" t="n">
        <f aca="false">IFERROR(INDEX(Pozicije!$B$2:$B$19,MATCH(C34,Pozicije!$A$2:$A$19,0)),0)</f>
        <v>25</v>
      </c>
      <c r="E34" s="5" t="n">
        <f aca="false">ROUND(D34*176*1.02,2)</f>
        <v>4488</v>
      </c>
      <c r="G34" s="5" t="n">
        <f aca="false">E34*10.5%</f>
        <v>471.24</v>
      </c>
      <c r="H34" s="5" t="n">
        <f aca="false">E34-G34</f>
        <v>4016.76</v>
      </c>
      <c r="I34" s="5" t="n">
        <f aca="false">IF(H34&lt;=700,0,IF(H34&lt;=1000,9%*(H34-700),9%*300+15%*(H34-1000)))</f>
        <v>479.514</v>
      </c>
      <c r="J34" s="5" t="n">
        <f aca="false">I34*15%</f>
        <v>71.9271</v>
      </c>
      <c r="K34" s="5" t="n">
        <f aca="false">H34-I34-J34</f>
        <v>3465.3189</v>
      </c>
      <c r="L34" s="5" t="n">
        <f aca="false">E34*0.5%</f>
        <v>22.44</v>
      </c>
      <c r="M34" s="5" t="n">
        <f aca="false">E34+L34</f>
        <v>4510.44</v>
      </c>
    </row>
    <row r="35" customFormat="false" ht="15" hidden="false" customHeight="false" outlineLevel="0" collapsed="false">
      <c r="A35" s="0" t="s">
        <v>67</v>
      </c>
      <c r="B35" s="0" t="str">
        <f aca="false">INDEX(Master_Lista!$B$2:$B$151,MATCH(A35,Master_Lista!$A$2:$A$151,0))</f>
        <v>Stefan Antic</v>
      </c>
      <c r="C35" s="0" t="s">
        <v>306</v>
      </c>
      <c r="D35" s="5" t="n">
        <f aca="false">IFERROR(INDEX(Pozicije!$B$2:$B$19,MATCH(C35,Pozicije!$A$2:$A$19,0)),0)</f>
        <v>15</v>
      </c>
      <c r="E35" s="5" t="n">
        <f aca="false">ROUND(D35*176*1.04,2)</f>
        <v>2745.6</v>
      </c>
      <c r="G35" s="5" t="n">
        <f aca="false">E35*10.5%</f>
        <v>288.288</v>
      </c>
      <c r="H35" s="5" t="n">
        <f aca="false">E35-G35</f>
        <v>2457.312</v>
      </c>
      <c r="I35" s="5" t="n">
        <f aca="false">IF(H35&lt;=700,0,IF(H35&lt;=1000,9%*(H35-700),9%*300+15%*(H35-1000)))</f>
        <v>245.5968</v>
      </c>
      <c r="J35" s="5" t="n">
        <f aca="false">I35*15%</f>
        <v>36.83952</v>
      </c>
      <c r="K35" s="5" t="n">
        <f aca="false">H35-I35-J35</f>
        <v>2174.87568</v>
      </c>
      <c r="L35" s="5" t="n">
        <f aca="false">E35*0.5%</f>
        <v>13.728</v>
      </c>
      <c r="M35" s="5" t="n">
        <f aca="false">E35+L35</f>
        <v>2759.328</v>
      </c>
    </row>
    <row r="36" customFormat="false" ht="15" hidden="false" customHeight="false" outlineLevel="0" collapsed="false">
      <c r="A36" s="0" t="s">
        <v>69</v>
      </c>
      <c r="B36" s="0" t="str">
        <f aca="false">INDEX(Master_Lista!$B$2:$B$151,MATCH(A36,Master_Lista!$A$2:$A$151,0))</f>
        <v>Olga Markovic</v>
      </c>
      <c r="C36" s="0" t="s">
        <v>307</v>
      </c>
      <c r="D36" s="5" t="n">
        <f aca="false">IFERROR(INDEX(Pozicije!$B$2:$B$19,MATCH(C36,Pozicije!$A$2:$A$19,0)),0)</f>
        <v>12.5</v>
      </c>
      <c r="E36" s="5" t="n">
        <f aca="false">ROUND(D36*176*1.06,2)</f>
        <v>2332</v>
      </c>
      <c r="G36" s="5" t="n">
        <f aca="false">E36*10.5%</f>
        <v>244.86</v>
      </c>
      <c r="H36" s="5" t="n">
        <f aca="false">E36-G36</f>
        <v>2087.14</v>
      </c>
      <c r="I36" s="5" t="n">
        <f aca="false">IF(H36&lt;=700,0,IF(H36&lt;=1000,9%*(H36-700),9%*300+15%*(H36-1000)))</f>
        <v>190.071</v>
      </c>
      <c r="J36" s="5" t="n">
        <f aca="false">I36*15%</f>
        <v>28.51065</v>
      </c>
      <c r="K36" s="5" t="n">
        <f aca="false">H36-I36-J36</f>
        <v>1868.55835</v>
      </c>
      <c r="L36" s="5" t="n">
        <f aca="false">E36*0.5%</f>
        <v>11.66</v>
      </c>
      <c r="M36" s="5" t="n">
        <f aca="false">E36+L36</f>
        <v>2343.66</v>
      </c>
    </row>
    <row r="37" customFormat="false" ht="15" hidden="false" customHeight="false" outlineLevel="0" collapsed="false">
      <c r="A37" s="0" t="s">
        <v>71</v>
      </c>
      <c r="B37" s="0" t="str">
        <f aca="false">INDEX(Master_Lista!$B$2:$B$151,MATCH(A37,Master_Lista!$A$2:$A$151,0))</f>
        <v>Olga Zivkovic</v>
      </c>
      <c r="C37" s="0" t="s">
        <v>308</v>
      </c>
      <c r="D37" s="5" t="n">
        <f aca="false">IFERROR(INDEX(Pozicije!$B$2:$B$19,MATCH(C37,Pozicije!$A$2:$A$19,0)),0)</f>
        <v>16</v>
      </c>
      <c r="E37" s="5" t="n">
        <f aca="false">ROUND(D37*176*0.98,2)</f>
        <v>2759.68</v>
      </c>
      <c r="G37" s="5" t="n">
        <f aca="false">E37*10.5%</f>
        <v>289.7664</v>
      </c>
      <c r="H37" s="5" t="n">
        <f aca="false">E37-G37</f>
        <v>2469.9136</v>
      </c>
      <c r="I37" s="5" t="n">
        <f aca="false">IF(H37&lt;=700,0,IF(H37&lt;=1000,9%*(H37-700),9%*300+15%*(H37-1000)))</f>
        <v>247.48704</v>
      </c>
      <c r="J37" s="5" t="n">
        <f aca="false">I37*15%</f>
        <v>37.123056</v>
      </c>
      <c r="K37" s="5" t="n">
        <f aca="false">H37-I37-J37</f>
        <v>2185.303504</v>
      </c>
      <c r="L37" s="5" t="n">
        <f aca="false">E37*0.5%</f>
        <v>13.7984</v>
      </c>
      <c r="M37" s="5" t="n">
        <f aca="false">E37+L37</f>
        <v>2773.4784</v>
      </c>
    </row>
    <row r="38" customFormat="false" ht="15" hidden="false" customHeight="false" outlineLevel="0" collapsed="false">
      <c r="A38" s="0" t="s">
        <v>73</v>
      </c>
      <c r="B38" s="0" t="str">
        <f aca="false">INDEX(Master_Lista!$B$2:$B$151,MATCH(A38,Master_Lista!$A$2:$A$151,0))</f>
        <v>Filip Tomic</v>
      </c>
      <c r="C38" s="0" t="s">
        <v>291</v>
      </c>
      <c r="D38" s="5" t="n">
        <f aca="false">IFERROR(INDEX(Pozicije!$B$2:$B$19,MATCH(C38,Pozicije!$A$2:$A$19,0)),0)</f>
        <v>8.5</v>
      </c>
      <c r="E38" s="5" t="n">
        <f aca="false">ROUND(D38*176*1,2)</f>
        <v>1496</v>
      </c>
      <c r="G38" s="5" t="n">
        <f aca="false">E38*10.5%</f>
        <v>157.08</v>
      </c>
      <c r="H38" s="5" t="n">
        <f aca="false">E38-G38</f>
        <v>1338.92</v>
      </c>
      <c r="I38" s="5" t="n">
        <f aca="false">IF(H38&lt;=700,0,IF(H38&lt;=1000,9%*(H38-700),9%*300+15%*(H38-1000)))</f>
        <v>77.838</v>
      </c>
      <c r="J38" s="5" t="n">
        <f aca="false">I38*15%</f>
        <v>11.6757</v>
      </c>
      <c r="K38" s="5" t="n">
        <f aca="false">H38-I38-J38</f>
        <v>1249.4063</v>
      </c>
      <c r="L38" s="5" t="n">
        <f aca="false">E38*0.5%</f>
        <v>7.48</v>
      </c>
      <c r="M38" s="5" t="n">
        <f aca="false">E38+L38</f>
        <v>1503.48</v>
      </c>
    </row>
    <row r="39" customFormat="false" ht="15" hidden="false" customHeight="false" outlineLevel="0" collapsed="false">
      <c r="A39" s="0" t="s">
        <v>75</v>
      </c>
      <c r="B39" s="0" t="str">
        <f aca="false">INDEX(Master_Lista!$B$2:$B$151,MATCH(A39,Master_Lista!$A$2:$A$151,0))</f>
        <v>Cedomir Simic</v>
      </c>
      <c r="C39" s="0" t="s">
        <v>292</v>
      </c>
      <c r="D39" s="5" t="n">
        <f aca="false">IFERROR(INDEX(Pozicije!$B$2:$B$19,MATCH(C39,Pozicije!$A$2:$A$19,0)),0)</f>
        <v>11</v>
      </c>
      <c r="E39" s="5" t="n">
        <f aca="false">ROUND(D39*176*1.02,2)</f>
        <v>1974.72</v>
      </c>
      <c r="G39" s="5" t="n">
        <f aca="false">E39*10.5%</f>
        <v>207.3456</v>
      </c>
      <c r="H39" s="5" t="n">
        <f aca="false">E39-G39</f>
        <v>1767.3744</v>
      </c>
      <c r="I39" s="5" t="n">
        <f aca="false">IF(H39&lt;=700,0,IF(H39&lt;=1000,9%*(H39-700),9%*300+15%*(H39-1000)))</f>
        <v>142.10616</v>
      </c>
      <c r="J39" s="5" t="n">
        <f aca="false">I39*15%</f>
        <v>21.315924</v>
      </c>
      <c r="K39" s="5" t="n">
        <f aca="false">H39-I39-J39</f>
        <v>1603.952316</v>
      </c>
      <c r="L39" s="5" t="n">
        <f aca="false">E39*0.5%</f>
        <v>9.8736</v>
      </c>
      <c r="M39" s="5" t="n">
        <f aca="false">E39+L39</f>
        <v>1984.5936</v>
      </c>
    </row>
    <row r="40" customFormat="false" ht="15" hidden="false" customHeight="false" outlineLevel="0" collapsed="false">
      <c r="A40" s="0" t="s">
        <v>77</v>
      </c>
      <c r="B40" s="0" t="str">
        <f aca="false">INDEX(Master_Lista!$B$2:$B$151,MATCH(A40,Master_Lista!$A$2:$A$151,0))</f>
        <v>Radoslav Kostic</v>
      </c>
      <c r="C40" s="0" t="s">
        <v>293</v>
      </c>
      <c r="D40" s="5" t="n">
        <f aca="false">IFERROR(INDEX(Pozicije!$B$2:$B$19,MATCH(C40,Pozicije!$A$2:$A$19,0)),0)</f>
        <v>18</v>
      </c>
      <c r="E40" s="5" t="n">
        <f aca="false">ROUND(D40*176*1.04,2)</f>
        <v>3294.72</v>
      </c>
      <c r="G40" s="5" t="n">
        <f aca="false">E40*10.5%</f>
        <v>345.9456</v>
      </c>
      <c r="H40" s="5" t="n">
        <f aca="false">E40-G40</f>
        <v>2948.7744</v>
      </c>
      <c r="I40" s="5" t="n">
        <f aca="false">IF(H40&lt;=700,0,IF(H40&lt;=1000,9%*(H40-700),9%*300+15%*(H40-1000)))</f>
        <v>319.31616</v>
      </c>
      <c r="J40" s="5" t="n">
        <f aca="false">I40*15%</f>
        <v>47.897424</v>
      </c>
      <c r="K40" s="5" t="n">
        <f aca="false">H40-I40-J40</f>
        <v>2581.560816</v>
      </c>
      <c r="L40" s="5" t="n">
        <f aca="false">E40*0.5%</f>
        <v>16.4736</v>
      </c>
      <c r="M40" s="5" t="n">
        <f aca="false">E40+L40</f>
        <v>3311.1936</v>
      </c>
    </row>
    <row r="41" customFormat="false" ht="15" hidden="false" customHeight="false" outlineLevel="0" collapsed="false">
      <c r="A41" s="0" t="s">
        <v>79</v>
      </c>
      <c r="B41" s="0" t="str">
        <f aca="false">INDEX(Master_Lista!$B$2:$B$151,MATCH(A41,Master_Lista!$A$2:$A$151,0))</f>
        <v>Zorica Vasic</v>
      </c>
      <c r="C41" s="0" t="s">
        <v>294</v>
      </c>
      <c r="D41" s="5" t="n">
        <f aca="false">IFERROR(INDEX(Pozicije!$B$2:$B$19,MATCH(C41,Pozicije!$A$2:$A$19,0)),0)</f>
        <v>28</v>
      </c>
      <c r="E41" s="5" t="n">
        <f aca="false">ROUND(D41*176*1.06,2)</f>
        <v>5223.68</v>
      </c>
      <c r="G41" s="5" t="n">
        <f aca="false">E41*10.5%</f>
        <v>548.4864</v>
      </c>
      <c r="H41" s="5" t="n">
        <f aca="false">E41-G41</f>
        <v>4675.1936</v>
      </c>
      <c r="I41" s="5" t="n">
        <f aca="false">IF(H41&lt;=700,0,IF(H41&lt;=1000,9%*(H41-700),9%*300+15%*(H41-1000)))</f>
        <v>578.27904</v>
      </c>
      <c r="J41" s="5" t="n">
        <f aca="false">I41*15%</f>
        <v>86.741856</v>
      </c>
      <c r="K41" s="5" t="n">
        <f aca="false">H41-I41-J41</f>
        <v>4010.172704</v>
      </c>
      <c r="L41" s="5" t="n">
        <f aca="false">E41*0.5%</f>
        <v>26.1184</v>
      </c>
      <c r="M41" s="5" t="n">
        <f aca="false">E41+L41</f>
        <v>5249.7984</v>
      </c>
    </row>
    <row r="42" customFormat="false" ht="15" hidden="false" customHeight="false" outlineLevel="0" collapsed="false">
      <c r="A42" s="0" t="s">
        <v>81</v>
      </c>
      <c r="B42" s="0" t="str">
        <f aca="false">INDEX(Master_Lista!$B$2:$B$151,MATCH(A42,Master_Lista!$A$2:$A$151,0))</f>
        <v>Lidija Ilic</v>
      </c>
      <c r="C42" s="0" t="s">
        <v>295</v>
      </c>
      <c r="D42" s="5" t="n">
        <f aca="false">IFERROR(INDEX(Pozicije!$B$2:$B$19,MATCH(C42,Pozicije!$A$2:$A$19,0)),0)</f>
        <v>9</v>
      </c>
      <c r="E42" s="5" t="n">
        <f aca="false">ROUND(D42*176*0.98,2)</f>
        <v>1552.32</v>
      </c>
      <c r="G42" s="5" t="n">
        <f aca="false">E42*10.5%</f>
        <v>162.9936</v>
      </c>
      <c r="H42" s="5" t="n">
        <f aca="false">E42-G42</f>
        <v>1389.3264</v>
      </c>
      <c r="I42" s="5" t="n">
        <f aca="false">IF(H42&lt;=700,0,IF(H42&lt;=1000,9%*(H42-700),9%*300+15%*(H42-1000)))</f>
        <v>85.39896</v>
      </c>
      <c r="J42" s="5" t="n">
        <f aca="false">I42*15%</f>
        <v>12.809844</v>
      </c>
      <c r="K42" s="5" t="n">
        <f aca="false">H42-I42-J42</f>
        <v>1291.117596</v>
      </c>
      <c r="L42" s="5" t="n">
        <f aca="false">E42*0.5%</f>
        <v>7.7616</v>
      </c>
      <c r="M42" s="5" t="n">
        <f aca="false">E42+L42</f>
        <v>1560.0816</v>
      </c>
    </row>
    <row r="43" customFormat="false" ht="15" hidden="false" customHeight="false" outlineLevel="0" collapsed="false">
      <c r="A43" s="0" t="s">
        <v>83</v>
      </c>
      <c r="B43" s="0" t="str">
        <f aca="false">INDEX(Master_Lista!$B$2:$B$151,MATCH(A43,Master_Lista!$A$2:$A$151,0))</f>
        <v>Filip Antic</v>
      </c>
      <c r="C43" s="0" t="s">
        <v>296</v>
      </c>
      <c r="D43" s="5" t="n">
        <f aca="false">IFERROR(INDEX(Pozicije!$B$2:$B$19,MATCH(C43,Pozicije!$A$2:$A$19,0)),0)</f>
        <v>10</v>
      </c>
      <c r="E43" s="5" t="n">
        <f aca="false">ROUND(D43*176*1,2)</f>
        <v>1760</v>
      </c>
      <c r="G43" s="5" t="n">
        <f aca="false">E43*10.5%</f>
        <v>184.8</v>
      </c>
      <c r="H43" s="5" t="n">
        <f aca="false">E43-G43</f>
        <v>1575.2</v>
      </c>
      <c r="I43" s="5" t="n">
        <f aca="false">IF(H43&lt;=700,0,IF(H43&lt;=1000,9%*(H43-700),9%*300+15%*(H43-1000)))</f>
        <v>113.28</v>
      </c>
      <c r="J43" s="5" t="n">
        <f aca="false">I43*15%</f>
        <v>16.992</v>
      </c>
      <c r="K43" s="5" t="n">
        <f aca="false">H43-I43-J43</f>
        <v>1444.928</v>
      </c>
      <c r="L43" s="5" t="n">
        <f aca="false">E43*0.5%</f>
        <v>8.8</v>
      </c>
      <c r="M43" s="5" t="n">
        <f aca="false">E43+L43</f>
        <v>1768.8</v>
      </c>
    </row>
    <row r="44" customFormat="false" ht="15" hidden="false" customHeight="false" outlineLevel="0" collapsed="false">
      <c r="A44" s="0" t="s">
        <v>84</v>
      </c>
      <c r="B44" s="0" t="str">
        <f aca="false">INDEX(Master_Lista!$B$2:$B$151,MATCH(A44,Master_Lista!$A$2:$A$151,0))</f>
        <v>Stefan Filipovic</v>
      </c>
      <c r="C44" s="0" t="s">
        <v>297</v>
      </c>
      <c r="D44" s="5" t="n">
        <f aca="false">IFERROR(INDEX(Pozicije!$B$2:$B$19,MATCH(C44,Pozicije!$A$2:$A$19,0)),0)</f>
        <v>12</v>
      </c>
      <c r="E44" s="5" t="n">
        <f aca="false">ROUND(D44*176*1.02,2)</f>
        <v>2154.24</v>
      </c>
      <c r="G44" s="5" t="n">
        <f aca="false">E44*10.5%</f>
        <v>226.1952</v>
      </c>
      <c r="H44" s="5" t="n">
        <f aca="false">E44-G44</f>
        <v>1928.0448</v>
      </c>
      <c r="I44" s="5" t="n">
        <f aca="false">IF(H44&lt;=700,0,IF(H44&lt;=1000,9%*(H44-700),9%*300+15%*(H44-1000)))</f>
        <v>166.20672</v>
      </c>
      <c r="J44" s="5" t="n">
        <f aca="false">I44*15%</f>
        <v>24.931008</v>
      </c>
      <c r="K44" s="5" t="n">
        <f aca="false">H44-I44-J44</f>
        <v>1736.907072</v>
      </c>
      <c r="L44" s="5" t="n">
        <f aca="false">E44*0.5%</f>
        <v>10.7712</v>
      </c>
      <c r="M44" s="5" t="n">
        <f aca="false">E44+L44</f>
        <v>2165.0112</v>
      </c>
    </row>
    <row r="45" customFormat="false" ht="15" hidden="false" customHeight="false" outlineLevel="0" collapsed="false">
      <c r="A45" s="0" t="s">
        <v>86</v>
      </c>
      <c r="B45" s="0" t="str">
        <f aca="false">INDEX(Master_Lista!$B$2:$B$151,MATCH(A45,Master_Lista!$A$2:$A$151,0))</f>
        <v>Radmila Ilic</v>
      </c>
      <c r="C45" s="0" t="s">
        <v>298</v>
      </c>
      <c r="D45" s="5" t="n">
        <f aca="false">IFERROR(INDEX(Pozicije!$B$2:$B$19,MATCH(C45,Pozicije!$A$2:$A$19,0)),0)</f>
        <v>14</v>
      </c>
      <c r="E45" s="5" t="n">
        <f aca="false">ROUND(D45*176*1.04,2)</f>
        <v>2562.56</v>
      </c>
      <c r="G45" s="5" t="n">
        <f aca="false">E45*10.5%</f>
        <v>269.0688</v>
      </c>
      <c r="H45" s="5" t="n">
        <f aca="false">E45-G45</f>
        <v>2293.4912</v>
      </c>
      <c r="I45" s="5" t="n">
        <f aca="false">IF(H45&lt;=700,0,IF(H45&lt;=1000,9%*(H45-700),9%*300+15%*(H45-1000)))</f>
        <v>221.02368</v>
      </c>
      <c r="J45" s="5" t="n">
        <f aca="false">I45*15%</f>
        <v>33.153552</v>
      </c>
      <c r="K45" s="5" t="n">
        <f aca="false">H45-I45-J45</f>
        <v>2039.313968</v>
      </c>
      <c r="L45" s="5" t="n">
        <f aca="false">E45*0.5%</f>
        <v>12.8128</v>
      </c>
      <c r="M45" s="5" t="n">
        <f aca="false">E45+L45</f>
        <v>2575.3728</v>
      </c>
    </row>
    <row r="46" customFormat="false" ht="15" hidden="false" customHeight="false" outlineLevel="0" collapsed="false">
      <c r="A46" s="0" t="s">
        <v>88</v>
      </c>
      <c r="B46" s="0" t="str">
        <f aca="false">INDEX(Master_Lista!$B$2:$B$151,MATCH(A46,Master_Lista!$A$2:$A$151,0))</f>
        <v>Ognjen Markovic</v>
      </c>
      <c r="C46" s="0" t="s">
        <v>299</v>
      </c>
      <c r="D46" s="5" t="n">
        <f aca="false">IFERROR(INDEX(Pozicije!$B$2:$B$19,MATCH(C46,Pozicije!$A$2:$A$19,0)),0)</f>
        <v>20</v>
      </c>
      <c r="E46" s="5" t="n">
        <f aca="false">ROUND(D46*176*1.06,2)</f>
        <v>3731.2</v>
      </c>
      <c r="G46" s="5" t="n">
        <f aca="false">E46*10.5%</f>
        <v>391.776</v>
      </c>
      <c r="H46" s="5" t="n">
        <f aca="false">E46-G46</f>
        <v>3339.424</v>
      </c>
      <c r="I46" s="5" t="n">
        <f aca="false">IF(H46&lt;=700,0,IF(H46&lt;=1000,9%*(H46-700),9%*300+15%*(H46-1000)))</f>
        <v>377.9136</v>
      </c>
      <c r="J46" s="5" t="n">
        <f aca="false">I46*15%</f>
        <v>56.68704</v>
      </c>
      <c r="K46" s="5" t="n">
        <f aca="false">H46-I46-J46</f>
        <v>2904.82336</v>
      </c>
      <c r="L46" s="5" t="n">
        <f aca="false">E46*0.5%</f>
        <v>18.656</v>
      </c>
      <c r="M46" s="5" t="n">
        <f aca="false">E46+L46</f>
        <v>3749.856</v>
      </c>
    </row>
    <row r="47" customFormat="false" ht="15" hidden="false" customHeight="false" outlineLevel="0" collapsed="false">
      <c r="A47" s="0" t="s">
        <v>90</v>
      </c>
      <c r="B47" s="0" t="str">
        <f aca="false">INDEX(Master_Lista!$B$2:$B$151,MATCH(A47,Master_Lista!$A$2:$A$151,0))</f>
        <v>Ognjen Urosevic</v>
      </c>
      <c r="C47" s="0" t="s">
        <v>300</v>
      </c>
      <c r="D47" s="5" t="n">
        <f aca="false">IFERROR(INDEX(Pozicije!$B$2:$B$19,MATCH(C47,Pozicije!$A$2:$A$19,0)),0)</f>
        <v>22</v>
      </c>
      <c r="E47" s="5" t="n">
        <f aca="false">ROUND(D47*176*0.98,2)</f>
        <v>3794.56</v>
      </c>
      <c r="G47" s="5" t="n">
        <f aca="false">E47*10.5%</f>
        <v>398.4288</v>
      </c>
      <c r="H47" s="5" t="n">
        <f aca="false">E47-G47</f>
        <v>3396.1312</v>
      </c>
      <c r="I47" s="5" t="n">
        <f aca="false">IF(H47&lt;=700,0,IF(H47&lt;=1000,9%*(H47-700),9%*300+15%*(H47-1000)))</f>
        <v>386.41968</v>
      </c>
      <c r="J47" s="5" t="n">
        <f aca="false">I47*15%</f>
        <v>57.962952</v>
      </c>
      <c r="K47" s="5" t="n">
        <f aca="false">H47-I47-J47</f>
        <v>2951.748568</v>
      </c>
      <c r="L47" s="5" t="n">
        <f aca="false">E47*0.5%</f>
        <v>18.9728</v>
      </c>
      <c r="M47" s="5" t="n">
        <f aca="false">E47+L47</f>
        <v>3813.5328</v>
      </c>
    </row>
    <row r="48" customFormat="false" ht="15" hidden="false" customHeight="false" outlineLevel="0" collapsed="false">
      <c r="A48" s="0" t="s">
        <v>92</v>
      </c>
      <c r="B48" s="0" t="str">
        <f aca="false">INDEX(Master_Lista!$B$2:$B$151,MATCH(A48,Master_Lista!$A$2:$A$151,0))</f>
        <v>Aleksandar Zivkovic</v>
      </c>
      <c r="C48" s="0" t="s">
        <v>301</v>
      </c>
      <c r="D48" s="5" t="n">
        <f aca="false">IFERROR(INDEX(Pozicije!$B$2:$B$19,MATCH(C48,Pozicije!$A$2:$A$19,0)),0)</f>
        <v>9.5</v>
      </c>
      <c r="E48" s="5" t="n">
        <f aca="false">ROUND(D48*176*1,2)</f>
        <v>1672</v>
      </c>
      <c r="G48" s="5" t="n">
        <f aca="false">E48*10.5%</f>
        <v>175.56</v>
      </c>
      <c r="H48" s="5" t="n">
        <f aca="false">E48-G48</f>
        <v>1496.44</v>
      </c>
      <c r="I48" s="5" t="n">
        <f aca="false">IF(H48&lt;=700,0,IF(H48&lt;=1000,9%*(H48-700),9%*300+15%*(H48-1000)))</f>
        <v>101.466</v>
      </c>
      <c r="J48" s="5" t="n">
        <f aca="false">I48*15%</f>
        <v>15.2199</v>
      </c>
      <c r="K48" s="5" t="n">
        <f aca="false">H48-I48-J48</f>
        <v>1379.7541</v>
      </c>
      <c r="L48" s="5" t="n">
        <f aca="false">E48*0.5%</f>
        <v>8.36</v>
      </c>
      <c r="M48" s="5" t="n">
        <f aca="false">E48+L48</f>
        <v>1680.36</v>
      </c>
    </row>
    <row r="49" customFormat="false" ht="15" hidden="false" customHeight="false" outlineLevel="0" collapsed="false">
      <c r="A49" s="0" t="s">
        <v>94</v>
      </c>
      <c r="B49" s="0" t="str">
        <f aca="false">INDEX(Master_Lista!$B$2:$B$151,MATCH(A49,Master_Lista!$A$2:$A$151,0))</f>
        <v>Jelena Urosevic</v>
      </c>
      <c r="C49" s="0" t="s">
        <v>302</v>
      </c>
      <c r="D49" s="5" t="n">
        <f aca="false">IFERROR(INDEX(Pozicije!$B$2:$B$19,MATCH(C49,Pozicije!$A$2:$A$19,0)),0)</f>
        <v>8</v>
      </c>
      <c r="E49" s="5" t="n">
        <f aca="false">ROUND(D49*176*1.02,2)</f>
        <v>1436.16</v>
      </c>
      <c r="G49" s="5" t="n">
        <f aca="false">E49*10.5%</f>
        <v>150.7968</v>
      </c>
      <c r="H49" s="5" t="n">
        <f aca="false">E49-G49</f>
        <v>1285.3632</v>
      </c>
      <c r="I49" s="5" t="n">
        <f aca="false">IF(H49&lt;=700,0,IF(H49&lt;=1000,9%*(H49-700),9%*300+15%*(H49-1000)))</f>
        <v>69.80448</v>
      </c>
      <c r="J49" s="5" t="n">
        <f aca="false">I49*15%</f>
        <v>10.470672</v>
      </c>
      <c r="K49" s="5" t="n">
        <f aca="false">H49-I49-J49</f>
        <v>1205.088048</v>
      </c>
      <c r="L49" s="5" t="n">
        <f aca="false">E49*0.5%</f>
        <v>7.1808</v>
      </c>
      <c r="M49" s="5" t="n">
        <f aca="false">E49+L49</f>
        <v>1443.3408</v>
      </c>
    </row>
    <row r="50" customFormat="false" ht="15" hidden="false" customHeight="false" outlineLevel="0" collapsed="false">
      <c r="A50" s="0" t="s">
        <v>96</v>
      </c>
      <c r="B50" s="0" t="str">
        <f aca="false">INDEX(Master_Lista!$B$2:$B$151,MATCH(A50,Master_Lista!$A$2:$A$151,0))</f>
        <v>Cedomir Vasic</v>
      </c>
      <c r="C50" s="0" t="s">
        <v>303</v>
      </c>
      <c r="D50" s="5" t="n">
        <f aca="false">IFERROR(INDEX(Pozicije!$B$2:$B$19,MATCH(C50,Pozicije!$A$2:$A$19,0)),0)</f>
        <v>7.5</v>
      </c>
      <c r="E50" s="5" t="n">
        <f aca="false">ROUND(D50*176*1.04,2)</f>
        <v>1372.8</v>
      </c>
      <c r="G50" s="5" t="n">
        <f aca="false">E50*10.5%</f>
        <v>144.144</v>
      </c>
      <c r="H50" s="5" t="n">
        <f aca="false">E50-G50</f>
        <v>1228.656</v>
      </c>
      <c r="I50" s="5" t="n">
        <f aca="false">IF(H50&lt;=700,0,IF(H50&lt;=1000,9%*(H50-700),9%*300+15%*(H50-1000)))</f>
        <v>61.2984</v>
      </c>
      <c r="J50" s="5" t="n">
        <f aca="false">I50*15%</f>
        <v>9.19476</v>
      </c>
      <c r="K50" s="5" t="n">
        <f aca="false">H50-I50-J50</f>
        <v>1158.16284</v>
      </c>
      <c r="L50" s="5" t="n">
        <f aca="false">E50*0.5%</f>
        <v>6.864</v>
      </c>
      <c r="M50" s="5" t="n">
        <f aca="false">E50+L50</f>
        <v>1379.664</v>
      </c>
    </row>
    <row r="51" customFormat="false" ht="15" hidden="false" customHeight="false" outlineLevel="0" collapsed="false">
      <c r="A51" s="0" t="s">
        <v>97</v>
      </c>
      <c r="B51" s="0" t="str">
        <f aca="false">INDEX(Master_Lista!$B$2:$B$151,MATCH(A51,Master_Lista!$A$2:$A$151,0))</f>
        <v>Petar Djordjevic</v>
      </c>
      <c r="C51" s="0" t="s">
        <v>304</v>
      </c>
      <c r="D51" s="5" t="n">
        <f aca="false">IFERROR(INDEX(Pozicije!$B$2:$B$19,MATCH(C51,Pozicije!$A$2:$A$19,0)),0)</f>
        <v>10.5</v>
      </c>
      <c r="E51" s="5" t="n">
        <f aca="false">ROUND(D51*176*1.06,2)</f>
        <v>1958.88</v>
      </c>
      <c r="G51" s="5" t="n">
        <f aca="false">E51*10.5%</f>
        <v>205.6824</v>
      </c>
      <c r="H51" s="5" t="n">
        <f aca="false">E51-G51</f>
        <v>1753.1976</v>
      </c>
      <c r="I51" s="5" t="n">
        <f aca="false">IF(H51&lt;=700,0,IF(H51&lt;=1000,9%*(H51-700),9%*300+15%*(H51-1000)))</f>
        <v>139.97964</v>
      </c>
      <c r="J51" s="5" t="n">
        <f aca="false">I51*15%</f>
        <v>20.996946</v>
      </c>
      <c r="K51" s="5" t="n">
        <f aca="false">H51-I51-J51</f>
        <v>1592.221014</v>
      </c>
      <c r="L51" s="5" t="n">
        <f aca="false">E51*0.5%</f>
        <v>9.7944</v>
      </c>
      <c r="M51" s="5" t="n">
        <f aca="false">E51+L51</f>
        <v>1968.6744</v>
      </c>
    </row>
    <row r="52" customFormat="false" ht="15" hidden="false" customHeight="false" outlineLevel="0" collapsed="false">
      <c r="A52" s="0" t="s">
        <v>99</v>
      </c>
      <c r="B52" s="0" t="str">
        <f aca="false">INDEX(Master_Lista!$B$2:$B$151,MATCH(A52,Master_Lista!$A$2:$A$151,0))</f>
        <v>Elena Nikolic</v>
      </c>
      <c r="C52" s="0" t="s">
        <v>305</v>
      </c>
      <c r="D52" s="5" t="n">
        <f aca="false">IFERROR(INDEX(Pozicije!$B$2:$B$19,MATCH(C52,Pozicije!$A$2:$A$19,0)),0)</f>
        <v>25</v>
      </c>
      <c r="E52" s="5" t="n">
        <f aca="false">ROUND(D52*176*0.98,2)</f>
        <v>4312</v>
      </c>
      <c r="G52" s="5" t="n">
        <f aca="false">E52*10.5%</f>
        <v>452.76</v>
      </c>
      <c r="H52" s="5" t="n">
        <f aca="false">E52-G52</f>
        <v>3859.24</v>
      </c>
      <c r="I52" s="5" t="n">
        <f aca="false">IF(H52&lt;=700,0,IF(H52&lt;=1000,9%*(H52-700),9%*300+15%*(H52-1000)))</f>
        <v>455.886</v>
      </c>
      <c r="J52" s="5" t="n">
        <f aca="false">I52*15%</f>
        <v>68.3829</v>
      </c>
      <c r="K52" s="5" t="n">
        <f aca="false">H52-I52-J52</f>
        <v>3334.9711</v>
      </c>
      <c r="L52" s="5" t="n">
        <f aca="false">E52*0.5%</f>
        <v>21.56</v>
      </c>
      <c r="M52" s="5" t="n">
        <f aca="false">E52+L52</f>
        <v>4333.56</v>
      </c>
    </row>
    <row r="53" customFormat="false" ht="15" hidden="false" customHeight="false" outlineLevel="0" collapsed="false">
      <c r="A53" s="0" t="s">
        <v>101</v>
      </c>
      <c r="B53" s="0" t="str">
        <f aca="false">INDEX(Master_Lista!$B$2:$B$151,MATCH(A53,Master_Lista!$A$2:$A$151,0))</f>
        <v>Radoslav Vasic</v>
      </c>
      <c r="C53" s="0" t="s">
        <v>306</v>
      </c>
      <c r="D53" s="5" t="n">
        <f aca="false">IFERROR(INDEX(Pozicije!$B$2:$B$19,MATCH(C53,Pozicije!$A$2:$A$19,0)),0)</f>
        <v>15</v>
      </c>
      <c r="E53" s="5" t="n">
        <f aca="false">ROUND(D53*176*1,2)</f>
        <v>2640</v>
      </c>
      <c r="G53" s="5" t="n">
        <f aca="false">E53*10.5%</f>
        <v>277.2</v>
      </c>
      <c r="H53" s="5" t="n">
        <f aca="false">E53-G53</f>
        <v>2362.8</v>
      </c>
      <c r="I53" s="5" t="n">
        <f aca="false">IF(H53&lt;=700,0,IF(H53&lt;=1000,9%*(H53-700),9%*300+15%*(H53-1000)))</f>
        <v>231.42</v>
      </c>
      <c r="J53" s="5" t="n">
        <f aca="false">I53*15%</f>
        <v>34.713</v>
      </c>
      <c r="K53" s="5" t="n">
        <f aca="false">H53-I53-J53</f>
        <v>2096.667</v>
      </c>
      <c r="L53" s="5" t="n">
        <f aca="false">E53*0.5%</f>
        <v>13.2</v>
      </c>
      <c r="M53" s="5" t="n">
        <f aca="false">E53+L53</f>
        <v>2653.2</v>
      </c>
    </row>
    <row r="54" customFormat="false" ht="15" hidden="false" customHeight="false" outlineLevel="0" collapsed="false">
      <c r="A54" s="0" t="s">
        <v>102</v>
      </c>
      <c r="B54" s="0" t="str">
        <f aca="false">INDEX(Master_Lista!$B$2:$B$151,MATCH(A54,Master_Lista!$A$2:$A$151,0))</f>
        <v>Radoslav Urosevic</v>
      </c>
      <c r="C54" s="0" t="s">
        <v>307</v>
      </c>
      <c r="D54" s="5" t="n">
        <f aca="false">IFERROR(INDEX(Pozicije!$B$2:$B$19,MATCH(C54,Pozicije!$A$2:$A$19,0)),0)</f>
        <v>12.5</v>
      </c>
      <c r="E54" s="5" t="n">
        <f aca="false">ROUND(D54*176*1.02,2)</f>
        <v>2244</v>
      </c>
      <c r="G54" s="5" t="n">
        <f aca="false">E54*10.5%</f>
        <v>235.62</v>
      </c>
      <c r="H54" s="5" t="n">
        <f aca="false">E54-G54</f>
        <v>2008.38</v>
      </c>
      <c r="I54" s="5" t="n">
        <f aca="false">IF(H54&lt;=700,0,IF(H54&lt;=1000,9%*(H54-700),9%*300+15%*(H54-1000)))</f>
        <v>178.257</v>
      </c>
      <c r="J54" s="5" t="n">
        <f aca="false">I54*15%</f>
        <v>26.73855</v>
      </c>
      <c r="K54" s="5" t="n">
        <f aca="false">H54-I54-J54</f>
        <v>1803.38445</v>
      </c>
      <c r="L54" s="5" t="n">
        <f aca="false">E54*0.5%</f>
        <v>11.22</v>
      </c>
      <c r="M54" s="5" t="n">
        <f aca="false">E54+L54</f>
        <v>2255.22</v>
      </c>
    </row>
    <row r="55" customFormat="false" ht="15" hidden="false" customHeight="false" outlineLevel="0" collapsed="false">
      <c r="A55" s="0" t="s">
        <v>104</v>
      </c>
      <c r="B55" s="0" t="str">
        <f aca="false">INDEX(Master_Lista!$B$2:$B$151,MATCH(A55,Master_Lista!$A$2:$A$151,0))</f>
        <v>Uros Markovic</v>
      </c>
      <c r="C55" s="0" t="s">
        <v>308</v>
      </c>
      <c r="D55" s="5" t="n">
        <f aca="false">IFERROR(INDEX(Pozicije!$B$2:$B$19,MATCH(C55,Pozicije!$A$2:$A$19,0)),0)</f>
        <v>16</v>
      </c>
      <c r="E55" s="5" t="n">
        <f aca="false">ROUND(D55*176*1.04,2)</f>
        <v>2928.64</v>
      </c>
      <c r="G55" s="5" t="n">
        <f aca="false">E55*10.5%</f>
        <v>307.5072</v>
      </c>
      <c r="H55" s="5" t="n">
        <f aca="false">E55-G55</f>
        <v>2621.1328</v>
      </c>
      <c r="I55" s="5" t="n">
        <f aca="false">IF(H55&lt;=700,0,IF(H55&lt;=1000,9%*(H55-700),9%*300+15%*(H55-1000)))</f>
        <v>270.16992</v>
      </c>
      <c r="J55" s="5" t="n">
        <f aca="false">I55*15%</f>
        <v>40.525488</v>
      </c>
      <c r="K55" s="5" t="n">
        <f aca="false">H55-I55-J55</f>
        <v>2310.437392</v>
      </c>
      <c r="L55" s="5" t="n">
        <f aca="false">E55*0.5%</f>
        <v>14.6432</v>
      </c>
      <c r="M55" s="5" t="n">
        <f aca="false">E55+L55</f>
        <v>2943.2832</v>
      </c>
    </row>
    <row r="56" customFormat="false" ht="15" hidden="false" customHeight="false" outlineLevel="0" collapsed="false">
      <c r="A56" s="0" t="s">
        <v>106</v>
      </c>
      <c r="B56" s="0" t="str">
        <f aca="false">INDEX(Master_Lista!$B$2:$B$151,MATCH(A56,Master_Lista!$A$2:$A$151,0))</f>
        <v>Kosta Lazic</v>
      </c>
      <c r="C56" s="0" t="s">
        <v>291</v>
      </c>
      <c r="D56" s="5" t="n">
        <f aca="false">IFERROR(INDEX(Pozicije!$B$2:$B$19,MATCH(C56,Pozicije!$A$2:$A$19,0)),0)</f>
        <v>8.5</v>
      </c>
      <c r="E56" s="5" t="n">
        <f aca="false">ROUND(D56*176*1.06,2)</f>
        <v>1585.76</v>
      </c>
      <c r="G56" s="5" t="n">
        <f aca="false">E56*10.5%</f>
        <v>166.5048</v>
      </c>
      <c r="H56" s="5" t="n">
        <f aca="false">E56-G56</f>
        <v>1419.2552</v>
      </c>
      <c r="I56" s="5" t="n">
        <f aca="false">IF(H56&lt;=700,0,IF(H56&lt;=1000,9%*(H56-700),9%*300+15%*(H56-1000)))</f>
        <v>89.88828</v>
      </c>
      <c r="J56" s="5" t="n">
        <f aca="false">I56*15%</f>
        <v>13.483242</v>
      </c>
      <c r="K56" s="5" t="n">
        <f aca="false">H56-I56-J56</f>
        <v>1315.883678</v>
      </c>
      <c r="L56" s="5" t="n">
        <f aca="false">E56*0.5%</f>
        <v>7.9288</v>
      </c>
      <c r="M56" s="5" t="n">
        <f aca="false">E56+L56</f>
        <v>1593.6888</v>
      </c>
    </row>
    <row r="57" customFormat="false" ht="15" hidden="false" customHeight="false" outlineLevel="0" collapsed="false">
      <c r="A57" s="0" t="s">
        <v>108</v>
      </c>
      <c r="B57" s="0" t="str">
        <f aca="false">INDEX(Master_Lista!$B$2:$B$151,MATCH(A57,Master_Lista!$A$2:$A$151,0))</f>
        <v>Kosta Urosevic</v>
      </c>
      <c r="C57" s="0" t="s">
        <v>292</v>
      </c>
      <c r="D57" s="5" t="n">
        <f aca="false">IFERROR(INDEX(Pozicije!$B$2:$B$19,MATCH(C57,Pozicije!$A$2:$A$19,0)),0)</f>
        <v>11</v>
      </c>
      <c r="E57" s="5" t="n">
        <f aca="false">ROUND(D57*176*0.98,2)</f>
        <v>1897.28</v>
      </c>
      <c r="G57" s="5" t="n">
        <f aca="false">E57*10.5%</f>
        <v>199.2144</v>
      </c>
      <c r="H57" s="5" t="n">
        <f aca="false">E57-G57</f>
        <v>1698.0656</v>
      </c>
      <c r="I57" s="5" t="n">
        <f aca="false">IF(H57&lt;=700,0,IF(H57&lt;=1000,9%*(H57-700),9%*300+15%*(H57-1000)))</f>
        <v>131.70984</v>
      </c>
      <c r="J57" s="5" t="n">
        <f aca="false">I57*15%</f>
        <v>19.756476</v>
      </c>
      <c r="K57" s="5" t="n">
        <f aca="false">H57-I57-J57</f>
        <v>1546.599284</v>
      </c>
      <c r="L57" s="5" t="n">
        <f aca="false">E57*0.5%</f>
        <v>9.4864</v>
      </c>
      <c r="M57" s="5" t="n">
        <f aca="false">E57+L57</f>
        <v>1906.7664</v>
      </c>
    </row>
    <row r="58" customFormat="false" ht="15" hidden="false" customHeight="false" outlineLevel="0" collapsed="false">
      <c r="A58" s="0" t="s">
        <v>110</v>
      </c>
      <c r="B58" s="0" t="str">
        <f aca="false">INDEX(Master_Lista!$B$2:$B$151,MATCH(A58,Master_Lista!$A$2:$A$151,0))</f>
        <v>Vuk Markovic</v>
      </c>
      <c r="C58" s="0" t="s">
        <v>293</v>
      </c>
      <c r="D58" s="5" t="n">
        <f aca="false">IFERROR(INDEX(Pozicije!$B$2:$B$19,MATCH(C58,Pozicije!$A$2:$A$19,0)),0)</f>
        <v>18</v>
      </c>
      <c r="E58" s="5" t="n">
        <f aca="false">ROUND(D58*176*1,2)</f>
        <v>3168</v>
      </c>
      <c r="G58" s="5" t="n">
        <f aca="false">E58*10.5%</f>
        <v>332.64</v>
      </c>
      <c r="H58" s="5" t="n">
        <f aca="false">E58-G58</f>
        <v>2835.36</v>
      </c>
      <c r="I58" s="5" t="n">
        <f aca="false">IF(H58&lt;=700,0,IF(H58&lt;=1000,9%*(H58-700),9%*300+15%*(H58-1000)))</f>
        <v>302.304</v>
      </c>
      <c r="J58" s="5" t="n">
        <f aca="false">I58*15%</f>
        <v>45.3456</v>
      </c>
      <c r="K58" s="5" t="n">
        <f aca="false">H58-I58-J58</f>
        <v>2487.7104</v>
      </c>
      <c r="L58" s="5" t="n">
        <f aca="false">E58*0.5%</f>
        <v>15.84</v>
      </c>
      <c r="M58" s="5" t="n">
        <f aca="false">E58+L58</f>
        <v>3183.84</v>
      </c>
    </row>
    <row r="59" customFormat="false" ht="15" hidden="false" customHeight="false" outlineLevel="0" collapsed="false">
      <c r="A59" s="0" t="s">
        <v>112</v>
      </c>
      <c r="B59" s="0" t="str">
        <f aca="false">INDEX(Master_Lista!$B$2:$B$151,MATCH(A59,Master_Lista!$A$2:$A$151,0))</f>
        <v>Milan Grujic</v>
      </c>
      <c r="C59" s="0" t="s">
        <v>294</v>
      </c>
      <c r="D59" s="5" t="n">
        <f aca="false">IFERROR(INDEX(Pozicije!$B$2:$B$19,MATCH(C59,Pozicije!$A$2:$A$19,0)),0)</f>
        <v>28</v>
      </c>
      <c r="E59" s="5" t="n">
        <f aca="false">ROUND(D59*176*1.02,2)</f>
        <v>5026.56</v>
      </c>
      <c r="G59" s="5" t="n">
        <f aca="false">E59*10.5%</f>
        <v>527.7888</v>
      </c>
      <c r="H59" s="5" t="n">
        <f aca="false">E59-G59</f>
        <v>4498.7712</v>
      </c>
      <c r="I59" s="5" t="n">
        <f aca="false">IF(H59&lt;=700,0,IF(H59&lt;=1000,9%*(H59-700),9%*300+15%*(H59-1000)))</f>
        <v>551.81568</v>
      </c>
      <c r="J59" s="5" t="n">
        <f aca="false">I59*15%</f>
        <v>82.772352</v>
      </c>
      <c r="K59" s="5" t="n">
        <f aca="false">H59-I59-J59</f>
        <v>3864.183168</v>
      </c>
      <c r="L59" s="5" t="n">
        <f aca="false">E59*0.5%</f>
        <v>25.1328</v>
      </c>
      <c r="M59" s="5" t="n">
        <f aca="false">E59+L59</f>
        <v>5051.6928</v>
      </c>
    </row>
    <row r="60" customFormat="false" ht="15" hidden="false" customHeight="false" outlineLevel="0" collapsed="false">
      <c r="A60" s="0" t="s">
        <v>114</v>
      </c>
      <c r="B60" s="0" t="str">
        <f aca="false">INDEX(Master_Lista!$B$2:$B$151,MATCH(A60,Master_Lista!$A$2:$A$151,0))</f>
        <v>Vesna Simic</v>
      </c>
      <c r="C60" s="0" t="s">
        <v>295</v>
      </c>
      <c r="D60" s="5" t="n">
        <f aca="false">IFERROR(INDEX(Pozicije!$B$2:$B$19,MATCH(C60,Pozicije!$A$2:$A$19,0)),0)</f>
        <v>9</v>
      </c>
      <c r="E60" s="5" t="n">
        <f aca="false">ROUND(D60*176*1.04,2)</f>
        <v>1647.36</v>
      </c>
      <c r="G60" s="5" t="n">
        <f aca="false">E60*10.5%</f>
        <v>172.9728</v>
      </c>
      <c r="H60" s="5" t="n">
        <f aca="false">E60-G60</f>
        <v>1474.3872</v>
      </c>
      <c r="I60" s="5" t="n">
        <f aca="false">IF(H60&lt;=700,0,IF(H60&lt;=1000,9%*(H60-700),9%*300+15%*(H60-1000)))</f>
        <v>98.15808</v>
      </c>
      <c r="J60" s="5" t="n">
        <f aca="false">I60*15%</f>
        <v>14.723712</v>
      </c>
      <c r="K60" s="5" t="n">
        <f aca="false">H60-I60-J60</f>
        <v>1361.505408</v>
      </c>
      <c r="L60" s="5" t="n">
        <f aca="false">E60*0.5%</f>
        <v>8.2368</v>
      </c>
      <c r="M60" s="5" t="n">
        <f aca="false">E60+L60</f>
        <v>1655.5968</v>
      </c>
    </row>
    <row r="61" customFormat="false" ht="15" hidden="false" customHeight="false" outlineLevel="0" collapsed="false">
      <c r="A61" s="0" t="s">
        <v>116</v>
      </c>
      <c r="B61" s="0" t="str">
        <f aca="false">INDEX(Master_Lista!$B$2:$B$151,MATCH(A61,Master_Lista!$A$2:$A$151,0))</f>
        <v>Cedomir Jankovic</v>
      </c>
      <c r="C61" s="0" t="s">
        <v>296</v>
      </c>
      <c r="D61" s="5" t="n">
        <f aca="false">IFERROR(INDEX(Pozicije!$B$2:$B$19,MATCH(C61,Pozicije!$A$2:$A$19,0)),0)</f>
        <v>10</v>
      </c>
      <c r="E61" s="5" t="n">
        <f aca="false">ROUND(D61*176*1.06,2)</f>
        <v>1865.6</v>
      </c>
      <c r="G61" s="5" t="n">
        <f aca="false">E61*10.5%</f>
        <v>195.888</v>
      </c>
      <c r="H61" s="5" t="n">
        <f aca="false">E61-G61</f>
        <v>1669.712</v>
      </c>
      <c r="I61" s="5" t="n">
        <f aca="false">IF(H61&lt;=700,0,IF(H61&lt;=1000,9%*(H61-700),9%*300+15%*(H61-1000)))</f>
        <v>127.4568</v>
      </c>
      <c r="J61" s="5" t="n">
        <f aca="false">I61*15%</f>
        <v>19.11852</v>
      </c>
      <c r="K61" s="5" t="n">
        <f aca="false">H61-I61-J61</f>
        <v>1523.13668</v>
      </c>
      <c r="L61" s="5" t="n">
        <f aca="false">E61*0.5%</f>
        <v>9.328</v>
      </c>
      <c r="M61" s="5" t="n">
        <f aca="false">E61+L61</f>
        <v>1874.928</v>
      </c>
    </row>
    <row r="62" customFormat="false" ht="15" hidden="false" customHeight="false" outlineLevel="0" collapsed="false">
      <c r="A62" s="0" t="s">
        <v>118</v>
      </c>
      <c r="B62" s="0" t="str">
        <f aca="false">INDEX(Master_Lista!$B$2:$B$151,MATCH(A62,Master_Lista!$A$2:$A$151,0))</f>
        <v>Vesna Filipovic</v>
      </c>
      <c r="C62" s="0" t="s">
        <v>297</v>
      </c>
      <c r="D62" s="5" t="n">
        <f aca="false">IFERROR(INDEX(Pozicije!$B$2:$B$19,MATCH(C62,Pozicije!$A$2:$A$19,0)),0)</f>
        <v>12</v>
      </c>
      <c r="E62" s="5" t="n">
        <f aca="false">ROUND(D62*176*0.98,2)</f>
        <v>2069.76</v>
      </c>
      <c r="G62" s="5" t="n">
        <f aca="false">E62*10.5%</f>
        <v>217.3248</v>
      </c>
      <c r="H62" s="5" t="n">
        <f aca="false">E62-G62</f>
        <v>1852.4352</v>
      </c>
      <c r="I62" s="5" t="n">
        <f aca="false">IF(H62&lt;=700,0,IF(H62&lt;=1000,9%*(H62-700),9%*300+15%*(H62-1000)))</f>
        <v>154.86528</v>
      </c>
      <c r="J62" s="5" t="n">
        <f aca="false">I62*15%</f>
        <v>23.229792</v>
      </c>
      <c r="K62" s="5" t="n">
        <f aca="false">H62-I62-J62</f>
        <v>1674.340128</v>
      </c>
      <c r="L62" s="5" t="n">
        <f aca="false">E62*0.5%</f>
        <v>10.3488</v>
      </c>
      <c r="M62" s="5" t="n">
        <f aca="false">E62+L62</f>
        <v>2080.1088</v>
      </c>
    </row>
    <row r="63" customFormat="false" ht="15" hidden="false" customHeight="false" outlineLevel="0" collapsed="false">
      <c r="A63" s="0" t="s">
        <v>120</v>
      </c>
      <c r="B63" s="0" t="str">
        <f aca="false">INDEX(Master_Lista!$B$2:$B$151,MATCH(A63,Master_Lista!$A$2:$A$151,0))</f>
        <v>Ana Pavlovic</v>
      </c>
      <c r="C63" s="0" t="s">
        <v>298</v>
      </c>
      <c r="D63" s="5" t="n">
        <f aca="false">IFERROR(INDEX(Pozicije!$B$2:$B$19,MATCH(C63,Pozicije!$A$2:$A$19,0)),0)</f>
        <v>14</v>
      </c>
      <c r="E63" s="5" t="n">
        <f aca="false">ROUND(D63*176*1,2)</f>
        <v>2464</v>
      </c>
      <c r="G63" s="5" t="n">
        <f aca="false">E63*10.5%</f>
        <v>258.72</v>
      </c>
      <c r="H63" s="5" t="n">
        <f aca="false">E63-G63</f>
        <v>2205.28</v>
      </c>
      <c r="I63" s="5" t="n">
        <f aca="false">IF(H63&lt;=700,0,IF(H63&lt;=1000,9%*(H63-700),9%*300+15%*(H63-1000)))</f>
        <v>207.792</v>
      </c>
      <c r="J63" s="5" t="n">
        <f aca="false">I63*15%</f>
        <v>31.1688</v>
      </c>
      <c r="K63" s="5" t="n">
        <f aca="false">H63-I63-J63</f>
        <v>1966.3192</v>
      </c>
      <c r="L63" s="5" t="n">
        <f aca="false">E63*0.5%</f>
        <v>12.32</v>
      </c>
      <c r="M63" s="5" t="n">
        <f aca="false">E63+L63</f>
        <v>2476.32</v>
      </c>
    </row>
    <row r="64" customFormat="false" ht="15" hidden="false" customHeight="false" outlineLevel="0" collapsed="false">
      <c r="A64" s="0" t="s">
        <v>122</v>
      </c>
      <c r="B64" s="0" t="str">
        <f aca="false">INDEX(Master_Lista!$B$2:$B$151,MATCH(A64,Master_Lista!$A$2:$A$151,0))</f>
        <v>Dragan Cvetkovic</v>
      </c>
      <c r="C64" s="0" t="s">
        <v>299</v>
      </c>
      <c r="D64" s="5" t="n">
        <f aca="false">IFERROR(INDEX(Pozicije!$B$2:$B$19,MATCH(C64,Pozicije!$A$2:$A$19,0)),0)</f>
        <v>20</v>
      </c>
      <c r="E64" s="5" t="n">
        <f aca="false">ROUND(D64*176*1.02,2)</f>
        <v>3590.4</v>
      </c>
      <c r="G64" s="5" t="n">
        <f aca="false">E64*10.5%</f>
        <v>376.992</v>
      </c>
      <c r="H64" s="5" t="n">
        <f aca="false">E64-G64</f>
        <v>3213.408</v>
      </c>
      <c r="I64" s="5" t="n">
        <f aca="false">IF(H64&lt;=700,0,IF(H64&lt;=1000,9%*(H64-700),9%*300+15%*(H64-1000)))</f>
        <v>359.0112</v>
      </c>
      <c r="J64" s="5" t="n">
        <f aca="false">I64*15%</f>
        <v>53.85168</v>
      </c>
      <c r="K64" s="5" t="n">
        <f aca="false">H64-I64-J64</f>
        <v>2800.54512</v>
      </c>
      <c r="L64" s="5" t="n">
        <f aca="false">E64*0.5%</f>
        <v>17.952</v>
      </c>
      <c r="M64" s="5" t="n">
        <f aca="false">E64+L64</f>
        <v>3608.352</v>
      </c>
    </row>
    <row r="65" customFormat="false" ht="15" hidden="false" customHeight="false" outlineLevel="0" collapsed="false">
      <c r="A65" s="0" t="s">
        <v>124</v>
      </c>
      <c r="B65" s="0" t="str">
        <f aca="false">INDEX(Master_Lista!$B$2:$B$151,MATCH(A65,Master_Lista!$A$2:$A$151,0))</f>
        <v>Branko Cvetkovic</v>
      </c>
      <c r="C65" s="0" t="s">
        <v>300</v>
      </c>
      <c r="D65" s="5" t="n">
        <f aca="false">IFERROR(INDEX(Pozicije!$B$2:$B$19,MATCH(C65,Pozicije!$A$2:$A$19,0)),0)</f>
        <v>22</v>
      </c>
      <c r="E65" s="5" t="n">
        <f aca="false">ROUND(D65*176*1.04,2)</f>
        <v>4026.88</v>
      </c>
      <c r="G65" s="5" t="n">
        <f aca="false">E65*10.5%</f>
        <v>422.8224</v>
      </c>
      <c r="H65" s="5" t="n">
        <f aca="false">E65-G65</f>
        <v>3604.0576</v>
      </c>
      <c r="I65" s="5" t="n">
        <f aca="false">IF(H65&lt;=700,0,IF(H65&lt;=1000,9%*(H65-700),9%*300+15%*(H65-1000)))</f>
        <v>417.60864</v>
      </c>
      <c r="J65" s="5" t="n">
        <f aca="false">I65*15%</f>
        <v>62.641296</v>
      </c>
      <c r="K65" s="5" t="n">
        <f aca="false">H65-I65-J65</f>
        <v>3123.807664</v>
      </c>
      <c r="L65" s="5" t="n">
        <f aca="false">E65*0.5%</f>
        <v>20.1344</v>
      </c>
      <c r="M65" s="5" t="n">
        <f aca="false">E65+L65</f>
        <v>4047.0144</v>
      </c>
    </row>
    <row r="66" customFormat="false" ht="15" hidden="false" customHeight="false" outlineLevel="0" collapsed="false">
      <c r="A66" s="0" t="s">
        <v>126</v>
      </c>
      <c r="B66" s="0" t="str">
        <f aca="false">INDEX(Master_Lista!$B$2:$B$151,MATCH(A66,Master_Lista!$A$2:$A$151,0))</f>
        <v>Nikola Cvetkovic</v>
      </c>
      <c r="C66" s="0" t="s">
        <v>301</v>
      </c>
      <c r="D66" s="5" t="n">
        <f aca="false">IFERROR(INDEX(Pozicije!$B$2:$B$19,MATCH(C66,Pozicije!$A$2:$A$19,0)),0)</f>
        <v>9.5</v>
      </c>
      <c r="E66" s="5" t="n">
        <f aca="false">ROUND(D66*176*1.06,2)</f>
        <v>1772.32</v>
      </c>
      <c r="G66" s="5" t="n">
        <f aca="false">E66*10.5%</f>
        <v>186.0936</v>
      </c>
      <c r="H66" s="5" t="n">
        <f aca="false">E66-G66</f>
        <v>1586.2264</v>
      </c>
      <c r="I66" s="5" t="n">
        <f aca="false">IF(H66&lt;=700,0,IF(H66&lt;=1000,9%*(H66-700),9%*300+15%*(H66-1000)))</f>
        <v>114.93396</v>
      </c>
      <c r="J66" s="5" t="n">
        <f aca="false">I66*15%</f>
        <v>17.240094</v>
      </c>
      <c r="K66" s="5" t="n">
        <f aca="false">H66-I66-J66</f>
        <v>1454.052346</v>
      </c>
      <c r="L66" s="5" t="n">
        <f aca="false">E66*0.5%</f>
        <v>8.8616</v>
      </c>
      <c r="M66" s="5" t="n">
        <f aca="false">E66+L66</f>
        <v>1781.1816</v>
      </c>
    </row>
    <row r="67" customFormat="false" ht="15" hidden="false" customHeight="false" outlineLevel="0" collapsed="false">
      <c r="A67" s="0" t="s">
        <v>128</v>
      </c>
      <c r="B67" s="0" t="str">
        <f aca="false">INDEX(Master_Lista!$B$2:$B$151,MATCH(A67,Master_Lista!$A$2:$A$151,0))</f>
        <v>Filip Zivkovic</v>
      </c>
      <c r="C67" s="0" t="s">
        <v>302</v>
      </c>
      <c r="D67" s="5" t="n">
        <f aca="false">IFERROR(INDEX(Pozicije!$B$2:$B$19,MATCH(C67,Pozicije!$A$2:$A$19,0)),0)</f>
        <v>8</v>
      </c>
      <c r="E67" s="5" t="n">
        <f aca="false">ROUND(D67*176*0.98,2)</f>
        <v>1379.84</v>
      </c>
      <c r="G67" s="5" t="n">
        <f aca="false">E67*10.5%</f>
        <v>144.8832</v>
      </c>
      <c r="H67" s="5" t="n">
        <f aca="false">E67-G67</f>
        <v>1234.9568</v>
      </c>
      <c r="I67" s="5" t="n">
        <f aca="false">IF(H67&lt;=700,0,IF(H67&lt;=1000,9%*(H67-700),9%*300+15%*(H67-1000)))</f>
        <v>62.24352</v>
      </c>
      <c r="J67" s="5" t="n">
        <f aca="false">I67*15%</f>
        <v>9.336528</v>
      </c>
      <c r="K67" s="5" t="n">
        <f aca="false">H67-I67-J67</f>
        <v>1163.376752</v>
      </c>
      <c r="L67" s="5" t="n">
        <f aca="false">E67*0.5%</f>
        <v>6.8992</v>
      </c>
      <c r="M67" s="5" t="n">
        <f aca="false">E67+L67</f>
        <v>1386.7392</v>
      </c>
    </row>
    <row r="68" customFormat="false" ht="15" hidden="false" customHeight="false" outlineLevel="0" collapsed="false">
      <c r="A68" s="0" t="s">
        <v>130</v>
      </c>
      <c r="B68" s="0" t="str">
        <f aca="false">INDEX(Master_Lista!$B$2:$B$151,MATCH(A68,Master_Lista!$A$2:$A$151,0))</f>
        <v>Petar Pavlovic</v>
      </c>
      <c r="C68" s="0" t="s">
        <v>303</v>
      </c>
      <c r="D68" s="5" t="n">
        <f aca="false">IFERROR(INDEX(Pozicije!$B$2:$B$19,MATCH(C68,Pozicije!$A$2:$A$19,0)),0)</f>
        <v>7.5</v>
      </c>
      <c r="E68" s="5" t="n">
        <f aca="false">ROUND(D68*176*1,2)</f>
        <v>1320</v>
      </c>
      <c r="G68" s="5" t="n">
        <f aca="false">E68*10.5%</f>
        <v>138.6</v>
      </c>
      <c r="H68" s="5" t="n">
        <f aca="false">E68-G68</f>
        <v>1181.4</v>
      </c>
      <c r="I68" s="5" t="n">
        <f aca="false">IF(H68&lt;=700,0,IF(H68&lt;=1000,9%*(H68-700),9%*300+15%*(H68-1000)))</f>
        <v>54.21</v>
      </c>
      <c r="J68" s="5" t="n">
        <f aca="false">I68*15%</f>
        <v>8.1315</v>
      </c>
      <c r="K68" s="5" t="n">
        <f aca="false">H68-I68-J68</f>
        <v>1119.0585</v>
      </c>
      <c r="L68" s="5" t="n">
        <f aca="false">E68*0.5%</f>
        <v>6.6</v>
      </c>
      <c r="M68" s="5" t="n">
        <f aca="false">E68+L68</f>
        <v>1326.6</v>
      </c>
    </row>
    <row r="69" customFormat="false" ht="15" hidden="false" customHeight="false" outlineLevel="0" collapsed="false">
      <c r="A69" s="0" t="s">
        <v>132</v>
      </c>
      <c r="B69" s="0" t="str">
        <f aca="false">INDEX(Master_Lista!$B$2:$B$151,MATCH(A69,Master_Lista!$A$2:$A$151,0))</f>
        <v>Branko Kostic</v>
      </c>
      <c r="C69" s="0" t="s">
        <v>304</v>
      </c>
      <c r="D69" s="5" t="n">
        <f aca="false">IFERROR(INDEX(Pozicije!$B$2:$B$19,MATCH(C69,Pozicije!$A$2:$A$19,0)),0)</f>
        <v>10.5</v>
      </c>
      <c r="E69" s="5" t="n">
        <f aca="false">ROUND(D69*176*1.02,2)</f>
        <v>1884.96</v>
      </c>
      <c r="G69" s="5" t="n">
        <f aca="false">E69*10.5%</f>
        <v>197.9208</v>
      </c>
      <c r="H69" s="5" t="n">
        <f aca="false">E69-G69</f>
        <v>1687.0392</v>
      </c>
      <c r="I69" s="5" t="n">
        <f aca="false">IF(H69&lt;=700,0,IF(H69&lt;=1000,9%*(H69-700),9%*300+15%*(H69-1000)))</f>
        <v>130.05588</v>
      </c>
      <c r="J69" s="5" t="n">
        <f aca="false">I69*15%</f>
        <v>19.508382</v>
      </c>
      <c r="K69" s="5" t="n">
        <f aca="false">H69-I69-J69</f>
        <v>1537.474938</v>
      </c>
      <c r="L69" s="5" t="n">
        <f aca="false">E69*0.5%</f>
        <v>9.4248</v>
      </c>
      <c r="M69" s="5" t="n">
        <f aca="false">E69+L69</f>
        <v>1894.3848</v>
      </c>
    </row>
    <row r="70" customFormat="false" ht="15" hidden="false" customHeight="false" outlineLevel="0" collapsed="false">
      <c r="A70" s="0" t="s">
        <v>134</v>
      </c>
      <c r="B70" s="0" t="str">
        <f aca="false">INDEX(Master_Lista!$B$2:$B$151,MATCH(A70,Master_Lista!$A$2:$A$151,0))</f>
        <v>Jovan Lazic</v>
      </c>
      <c r="C70" s="0" t="s">
        <v>305</v>
      </c>
      <c r="D70" s="5" t="n">
        <f aca="false">IFERROR(INDEX(Pozicije!$B$2:$B$19,MATCH(C70,Pozicije!$A$2:$A$19,0)),0)</f>
        <v>25</v>
      </c>
      <c r="E70" s="5" t="n">
        <f aca="false">ROUND(D70*176*1.04,2)</f>
        <v>4576</v>
      </c>
      <c r="G70" s="5" t="n">
        <f aca="false">E70*10.5%</f>
        <v>480.48</v>
      </c>
      <c r="H70" s="5" t="n">
        <f aca="false">E70-G70</f>
        <v>4095.52</v>
      </c>
      <c r="I70" s="5" t="n">
        <f aca="false">IF(H70&lt;=700,0,IF(H70&lt;=1000,9%*(H70-700),9%*300+15%*(H70-1000)))</f>
        <v>491.328</v>
      </c>
      <c r="J70" s="5" t="n">
        <f aca="false">I70*15%</f>
        <v>73.6992</v>
      </c>
      <c r="K70" s="5" t="n">
        <f aca="false">H70-I70-J70</f>
        <v>3530.4928</v>
      </c>
      <c r="L70" s="5" t="n">
        <f aca="false">E70*0.5%</f>
        <v>22.88</v>
      </c>
      <c r="M70" s="5" t="n">
        <f aca="false">E70+L70</f>
        <v>4598.88</v>
      </c>
    </row>
    <row r="71" customFormat="false" ht="15" hidden="false" customHeight="false" outlineLevel="0" collapsed="false">
      <c r="A71" s="0" t="s">
        <v>136</v>
      </c>
      <c r="B71" s="0" t="str">
        <f aca="false">INDEX(Master_Lista!$B$2:$B$151,MATCH(A71,Master_Lista!$A$2:$A$151,0))</f>
        <v>Radoslav Tomic</v>
      </c>
      <c r="C71" s="0" t="s">
        <v>306</v>
      </c>
      <c r="D71" s="5" t="n">
        <f aca="false">IFERROR(INDEX(Pozicije!$B$2:$B$19,MATCH(C71,Pozicije!$A$2:$A$19,0)),0)</f>
        <v>15</v>
      </c>
      <c r="E71" s="5" t="n">
        <f aca="false">ROUND(D71*176*1.06,2)</f>
        <v>2798.4</v>
      </c>
      <c r="G71" s="5" t="n">
        <f aca="false">E71*10.5%</f>
        <v>293.832</v>
      </c>
      <c r="H71" s="5" t="n">
        <f aca="false">E71-G71</f>
        <v>2504.568</v>
      </c>
      <c r="I71" s="5" t="n">
        <f aca="false">IF(H71&lt;=700,0,IF(H71&lt;=1000,9%*(H71-700),9%*300+15%*(H71-1000)))</f>
        <v>252.6852</v>
      </c>
      <c r="J71" s="5" t="n">
        <f aca="false">I71*15%</f>
        <v>37.90278</v>
      </c>
      <c r="K71" s="5" t="n">
        <f aca="false">H71-I71-J71</f>
        <v>2213.98002</v>
      </c>
      <c r="L71" s="5" t="n">
        <f aca="false">E71*0.5%</f>
        <v>13.992</v>
      </c>
      <c r="M71" s="5" t="n">
        <f aca="false">E71+L71</f>
        <v>2812.392</v>
      </c>
    </row>
    <row r="72" customFormat="false" ht="15" hidden="false" customHeight="false" outlineLevel="0" collapsed="false">
      <c r="A72" s="0" t="s">
        <v>138</v>
      </c>
      <c r="B72" s="0" t="str">
        <f aca="false">INDEX(Master_Lista!$B$2:$B$151,MATCH(A72,Master_Lista!$A$2:$A$151,0))</f>
        <v>Tomas Nikolic</v>
      </c>
      <c r="C72" s="0" t="s">
        <v>307</v>
      </c>
      <c r="D72" s="5" t="n">
        <f aca="false">IFERROR(INDEX(Pozicije!$B$2:$B$19,MATCH(C72,Pozicije!$A$2:$A$19,0)),0)</f>
        <v>12.5</v>
      </c>
      <c r="E72" s="5" t="n">
        <f aca="false">ROUND(D72*176*0.98,2)</f>
        <v>2156</v>
      </c>
      <c r="G72" s="5" t="n">
        <f aca="false">E72*10.5%</f>
        <v>226.38</v>
      </c>
      <c r="H72" s="5" t="n">
        <f aca="false">E72-G72</f>
        <v>1929.62</v>
      </c>
      <c r="I72" s="5" t="n">
        <f aca="false">IF(H72&lt;=700,0,IF(H72&lt;=1000,9%*(H72-700),9%*300+15%*(H72-1000)))</f>
        <v>166.443</v>
      </c>
      <c r="J72" s="5" t="n">
        <f aca="false">I72*15%</f>
        <v>24.96645</v>
      </c>
      <c r="K72" s="5" t="n">
        <f aca="false">H72-I72-J72</f>
        <v>1738.21055</v>
      </c>
      <c r="L72" s="5" t="n">
        <f aca="false">E72*0.5%</f>
        <v>10.78</v>
      </c>
      <c r="M72" s="5" t="n">
        <f aca="false">E72+L72</f>
        <v>2166.78</v>
      </c>
    </row>
    <row r="73" customFormat="false" ht="15" hidden="false" customHeight="false" outlineLevel="0" collapsed="false">
      <c r="A73" s="0" t="s">
        <v>140</v>
      </c>
      <c r="B73" s="0" t="str">
        <f aca="false">INDEX(Master_Lista!$B$2:$B$151,MATCH(A73,Master_Lista!$A$2:$A$151,0))</f>
        <v>Ivan Cvetkovic</v>
      </c>
      <c r="C73" s="0" t="s">
        <v>308</v>
      </c>
      <c r="D73" s="5" t="n">
        <f aca="false">IFERROR(INDEX(Pozicije!$B$2:$B$19,MATCH(C73,Pozicije!$A$2:$A$19,0)),0)</f>
        <v>16</v>
      </c>
      <c r="E73" s="5" t="n">
        <f aca="false">ROUND(D73*176*1,2)</f>
        <v>2816</v>
      </c>
      <c r="G73" s="5" t="n">
        <f aca="false">E73*10.5%</f>
        <v>295.68</v>
      </c>
      <c r="H73" s="5" t="n">
        <f aca="false">E73-G73</f>
        <v>2520.32</v>
      </c>
      <c r="I73" s="5" t="n">
        <f aca="false">IF(H73&lt;=700,0,IF(H73&lt;=1000,9%*(H73-700),9%*300+15%*(H73-1000)))</f>
        <v>255.048</v>
      </c>
      <c r="J73" s="5" t="n">
        <f aca="false">I73*15%</f>
        <v>38.2572</v>
      </c>
      <c r="K73" s="5" t="n">
        <f aca="false">H73-I73-J73</f>
        <v>2227.0148</v>
      </c>
      <c r="L73" s="5" t="n">
        <f aca="false">E73*0.5%</f>
        <v>14.08</v>
      </c>
      <c r="M73" s="5" t="n">
        <f aca="false">E73+L73</f>
        <v>2830.08</v>
      </c>
    </row>
    <row r="74" customFormat="false" ht="15" hidden="false" customHeight="false" outlineLevel="0" collapsed="false">
      <c r="A74" s="0" t="s">
        <v>142</v>
      </c>
      <c r="B74" s="0" t="str">
        <f aca="false">INDEX(Master_Lista!$B$2:$B$151,MATCH(A74,Master_Lista!$A$2:$A$151,0))</f>
        <v>Cedomir Markovic</v>
      </c>
      <c r="C74" s="0" t="s">
        <v>291</v>
      </c>
      <c r="D74" s="5" t="n">
        <f aca="false">IFERROR(INDEX(Pozicije!$B$2:$B$19,MATCH(C74,Pozicije!$A$2:$A$19,0)),0)</f>
        <v>8.5</v>
      </c>
      <c r="E74" s="5" t="n">
        <f aca="false">ROUND(D74*176*1.02,2)</f>
        <v>1525.92</v>
      </c>
      <c r="G74" s="5" t="n">
        <f aca="false">E74*10.5%</f>
        <v>160.2216</v>
      </c>
      <c r="H74" s="5" t="n">
        <f aca="false">E74-G74</f>
        <v>1365.6984</v>
      </c>
      <c r="I74" s="5" t="n">
        <f aca="false">IF(H74&lt;=700,0,IF(H74&lt;=1000,9%*(H74-700),9%*300+15%*(H74-1000)))</f>
        <v>81.85476</v>
      </c>
      <c r="J74" s="5" t="n">
        <f aca="false">I74*15%</f>
        <v>12.278214</v>
      </c>
      <c r="K74" s="5" t="n">
        <f aca="false">H74-I74-J74</f>
        <v>1271.565426</v>
      </c>
      <c r="L74" s="5" t="n">
        <f aca="false">E74*0.5%</f>
        <v>7.6296</v>
      </c>
      <c r="M74" s="5" t="n">
        <f aca="false">E74+L74</f>
        <v>1533.5496</v>
      </c>
    </row>
    <row r="75" customFormat="false" ht="15" hidden="false" customHeight="false" outlineLevel="0" collapsed="false">
      <c r="A75" s="0" t="s">
        <v>143</v>
      </c>
      <c r="B75" s="0" t="str">
        <f aca="false">INDEX(Master_Lista!$B$2:$B$151,MATCH(A75,Master_Lista!$A$2:$A$151,0))</f>
        <v>Sanja Tomic</v>
      </c>
      <c r="C75" s="0" t="s">
        <v>292</v>
      </c>
      <c r="D75" s="5" t="n">
        <f aca="false">IFERROR(INDEX(Pozicije!$B$2:$B$19,MATCH(C75,Pozicije!$A$2:$A$19,0)),0)</f>
        <v>11</v>
      </c>
      <c r="E75" s="5" t="n">
        <f aca="false">ROUND(D75*176*1.04,2)</f>
        <v>2013.44</v>
      </c>
      <c r="G75" s="5" t="n">
        <f aca="false">E75*10.5%</f>
        <v>211.4112</v>
      </c>
      <c r="H75" s="5" t="n">
        <f aca="false">E75-G75</f>
        <v>1802.0288</v>
      </c>
      <c r="I75" s="5" t="n">
        <f aca="false">IF(H75&lt;=700,0,IF(H75&lt;=1000,9%*(H75-700),9%*300+15%*(H75-1000)))</f>
        <v>147.30432</v>
      </c>
      <c r="J75" s="5" t="n">
        <f aca="false">I75*15%</f>
        <v>22.095648</v>
      </c>
      <c r="K75" s="5" t="n">
        <f aca="false">H75-I75-J75</f>
        <v>1632.628832</v>
      </c>
      <c r="L75" s="5" t="n">
        <f aca="false">E75*0.5%</f>
        <v>10.0672</v>
      </c>
      <c r="M75" s="5" t="n">
        <f aca="false">E75+L75</f>
        <v>2023.5072</v>
      </c>
    </row>
    <row r="76" customFormat="false" ht="15" hidden="false" customHeight="false" outlineLevel="0" collapsed="false">
      <c r="A76" s="0" t="s">
        <v>145</v>
      </c>
      <c r="B76" s="0" t="str">
        <f aca="false">INDEX(Master_Lista!$B$2:$B$151,MATCH(A76,Master_Lista!$A$2:$A$151,0))</f>
        <v>Milan Nikolic</v>
      </c>
      <c r="C76" s="0" t="s">
        <v>293</v>
      </c>
      <c r="D76" s="5" t="n">
        <f aca="false">IFERROR(INDEX(Pozicije!$B$2:$B$19,MATCH(C76,Pozicije!$A$2:$A$19,0)),0)</f>
        <v>18</v>
      </c>
      <c r="E76" s="5" t="n">
        <f aca="false">ROUND(D76*176*1.06,2)</f>
        <v>3358.08</v>
      </c>
      <c r="G76" s="5" t="n">
        <f aca="false">E76*10.5%</f>
        <v>352.5984</v>
      </c>
      <c r="H76" s="5" t="n">
        <f aca="false">E76-G76</f>
        <v>3005.4816</v>
      </c>
      <c r="I76" s="5" t="n">
        <f aca="false">IF(H76&lt;=700,0,IF(H76&lt;=1000,9%*(H76-700),9%*300+15%*(H76-1000)))</f>
        <v>327.82224</v>
      </c>
      <c r="J76" s="5" t="n">
        <f aca="false">I76*15%</f>
        <v>49.173336</v>
      </c>
      <c r="K76" s="5" t="n">
        <f aca="false">H76-I76-J76</f>
        <v>2628.486024</v>
      </c>
      <c r="L76" s="5" t="n">
        <f aca="false">E76*0.5%</f>
        <v>16.7904</v>
      </c>
      <c r="M76" s="5" t="n">
        <f aca="false">E76+L76</f>
        <v>3374.8704</v>
      </c>
    </row>
    <row r="77" customFormat="false" ht="15" hidden="false" customHeight="false" outlineLevel="0" collapsed="false">
      <c r="A77" s="0" t="s">
        <v>147</v>
      </c>
      <c r="B77" s="0" t="str">
        <f aca="false">INDEX(Master_Lista!$B$2:$B$151,MATCH(A77,Master_Lista!$A$2:$A$151,0))</f>
        <v>Aleksandar Radovic</v>
      </c>
      <c r="C77" s="0" t="s">
        <v>294</v>
      </c>
      <c r="D77" s="5" t="n">
        <f aca="false">IFERROR(INDEX(Pozicije!$B$2:$B$19,MATCH(C77,Pozicije!$A$2:$A$19,0)),0)</f>
        <v>28</v>
      </c>
      <c r="E77" s="5" t="n">
        <f aca="false">ROUND(D77*176*0.98,2)</f>
        <v>4829.44</v>
      </c>
      <c r="G77" s="5" t="n">
        <f aca="false">E77*10.5%</f>
        <v>507.0912</v>
      </c>
      <c r="H77" s="5" t="n">
        <f aca="false">E77-G77</f>
        <v>4322.3488</v>
      </c>
      <c r="I77" s="5" t="n">
        <f aca="false">IF(H77&lt;=700,0,IF(H77&lt;=1000,9%*(H77-700),9%*300+15%*(H77-1000)))</f>
        <v>525.35232</v>
      </c>
      <c r="J77" s="5" t="n">
        <f aca="false">I77*15%</f>
        <v>78.802848</v>
      </c>
      <c r="K77" s="5" t="n">
        <f aca="false">H77-I77-J77</f>
        <v>3718.193632</v>
      </c>
      <c r="L77" s="5" t="n">
        <f aca="false">E77*0.5%</f>
        <v>24.1472</v>
      </c>
      <c r="M77" s="5" t="n">
        <f aca="false">E77+L77</f>
        <v>4853.5872</v>
      </c>
    </row>
    <row r="78" customFormat="false" ht="15" hidden="false" customHeight="false" outlineLevel="0" collapsed="false">
      <c r="A78" s="0" t="s">
        <v>149</v>
      </c>
      <c r="B78" s="0" t="str">
        <f aca="false">INDEX(Master_Lista!$B$2:$B$151,MATCH(A78,Master_Lista!$A$2:$A$151,0))</f>
        <v>Ana Babic</v>
      </c>
      <c r="C78" s="0" t="s">
        <v>295</v>
      </c>
      <c r="D78" s="5" t="n">
        <f aca="false">IFERROR(INDEX(Pozicije!$B$2:$B$19,MATCH(C78,Pozicije!$A$2:$A$19,0)),0)</f>
        <v>9</v>
      </c>
      <c r="E78" s="5" t="n">
        <f aca="false">ROUND(D78*176*1,2)</f>
        <v>1584</v>
      </c>
      <c r="G78" s="5" t="n">
        <f aca="false">E78*10.5%</f>
        <v>166.32</v>
      </c>
      <c r="H78" s="5" t="n">
        <f aca="false">E78-G78</f>
        <v>1417.68</v>
      </c>
      <c r="I78" s="5" t="n">
        <f aca="false">IF(H78&lt;=700,0,IF(H78&lt;=1000,9%*(H78-700),9%*300+15%*(H78-1000)))</f>
        <v>89.652</v>
      </c>
      <c r="J78" s="5" t="n">
        <f aca="false">I78*15%</f>
        <v>13.4478</v>
      </c>
      <c r="K78" s="5" t="n">
        <f aca="false">H78-I78-J78</f>
        <v>1314.5802</v>
      </c>
      <c r="L78" s="5" t="n">
        <f aca="false">E78*0.5%</f>
        <v>7.92</v>
      </c>
      <c r="M78" s="5" t="n">
        <f aca="false">E78+L78</f>
        <v>1591.92</v>
      </c>
    </row>
    <row r="79" customFormat="false" ht="15" hidden="false" customHeight="false" outlineLevel="0" collapsed="false">
      <c r="A79" s="0" t="s">
        <v>151</v>
      </c>
      <c r="B79" s="0" t="str">
        <f aca="false">INDEX(Master_Lista!$B$2:$B$151,MATCH(A79,Master_Lista!$A$2:$A$151,0))</f>
        <v>Natasa Tomic</v>
      </c>
      <c r="C79" s="0" t="s">
        <v>296</v>
      </c>
      <c r="D79" s="5" t="n">
        <f aca="false">IFERROR(INDEX(Pozicije!$B$2:$B$19,MATCH(C79,Pozicije!$A$2:$A$19,0)),0)</f>
        <v>10</v>
      </c>
      <c r="E79" s="5" t="n">
        <f aca="false">ROUND(D79*176*1.02,2)</f>
        <v>1795.2</v>
      </c>
      <c r="G79" s="5" t="n">
        <f aca="false">E79*10.5%</f>
        <v>188.496</v>
      </c>
      <c r="H79" s="5" t="n">
        <f aca="false">E79-G79</f>
        <v>1606.704</v>
      </c>
      <c r="I79" s="5" t="n">
        <f aca="false">IF(H79&lt;=700,0,IF(H79&lt;=1000,9%*(H79-700),9%*300+15%*(H79-1000)))</f>
        <v>118.0056</v>
      </c>
      <c r="J79" s="5" t="n">
        <f aca="false">I79*15%</f>
        <v>17.70084</v>
      </c>
      <c r="K79" s="5" t="n">
        <f aca="false">H79-I79-J79</f>
        <v>1470.99756</v>
      </c>
      <c r="L79" s="5" t="n">
        <f aca="false">E79*0.5%</f>
        <v>8.976</v>
      </c>
      <c r="M79" s="5" t="n">
        <f aca="false">E79+L79</f>
        <v>1804.176</v>
      </c>
    </row>
    <row r="80" customFormat="false" ht="15" hidden="false" customHeight="false" outlineLevel="0" collapsed="false">
      <c r="A80" s="0" t="s">
        <v>153</v>
      </c>
      <c r="B80" s="0" t="str">
        <f aca="false">INDEX(Master_Lista!$B$2:$B$151,MATCH(A80,Master_Lista!$A$2:$A$151,0))</f>
        <v>Dragan Djordjevic</v>
      </c>
      <c r="C80" s="0" t="s">
        <v>297</v>
      </c>
      <c r="D80" s="5" t="n">
        <f aca="false">IFERROR(INDEX(Pozicije!$B$2:$B$19,MATCH(C80,Pozicije!$A$2:$A$19,0)),0)</f>
        <v>12</v>
      </c>
      <c r="E80" s="5" t="n">
        <f aca="false">ROUND(D80*176*1.04,2)</f>
        <v>2196.48</v>
      </c>
      <c r="G80" s="5" t="n">
        <f aca="false">E80*10.5%</f>
        <v>230.6304</v>
      </c>
      <c r="H80" s="5" t="n">
        <f aca="false">E80-G80</f>
        <v>1965.8496</v>
      </c>
      <c r="I80" s="5" t="n">
        <f aca="false">IF(H80&lt;=700,0,IF(H80&lt;=1000,9%*(H80-700),9%*300+15%*(H80-1000)))</f>
        <v>171.87744</v>
      </c>
      <c r="J80" s="5" t="n">
        <f aca="false">I80*15%</f>
        <v>25.781616</v>
      </c>
      <c r="K80" s="5" t="n">
        <f aca="false">H80-I80-J80</f>
        <v>1768.190544</v>
      </c>
      <c r="L80" s="5" t="n">
        <f aca="false">E80*0.5%</f>
        <v>10.9824</v>
      </c>
      <c r="M80" s="5" t="n">
        <f aca="false">E80+L80</f>
        <v>2207.4624</v>
      </c>
    </row>
    <row r="81" customFormat="false" ht="15" hidden="false" customHeight="false" outlineLevel="0" collapsed="false">
      <c r="A81" s="0" t="s">
        <v>155</v>
      </c>
      <c r="B81" s="0" t="str">
        <f aca="false">INDEX(Master_Lista!$B$2:$B$151,MATCH(A81,Master_Lista!$A$2:$A$151,0))</f>
        <v>Kosta Vasic</v>
      </c>
      <c r="C81" s="0" t="s">
        <v>298</v>
      </c>
      <c r="D81" s="5" t="n">
        <f aca="false">IFERROR(INDEX(Pozicije!$B$2:$B$19,MATCH(C81,Pozicije!$A$2:$A$19,0)),0)</f>
        <v>14</v>
      </c>
      <c r="E81" s="5" t="n">
        <f aca="false">ROUND(D81*176*1.06,2)</f>
        <v>2611.84</v>
      </c>
      <c r="G81" s="5" t="n">
        <f aca="false">E81*10.5%</f>
        <v>274.2432</v>
      </c>
      <c r="H81" s="5" t="n">
        <f aca="false">E81-G81</f>
        <v>2337.5968</v>
      </c>
      <c r="I81" s="5" t="n">
        <f aca="false">IF(H81&lt;=700,0,IF(H81&lt;=1000,9%*(H81-700),9%*300+15%*(H81-1000)))</f>
        <v>227.63952</v>
      </c>
      <c r="J81" s="5" t="n">
        <f aca="false">I81*15%</f>
        <v>34.145928</v>
      </c>
      <c r="K81" s="5" t="n">
        <f aca="false">H81-I81-J81</f>
        <v>2075.811352</v>
      </c>
      <c r="L81" s="5" t="n">
        <f aca="false">E81*0.5%</f>
        <v>13.0592</v>
      </c>
      <c r="M81" s="5" t="n">
        <f aca="false">E81+L81</f>
        <v>2624.8992</v>
      </c>
    </row>
    <row r="82" customFormat="false" ht="15" hidden="false" customHeight="false" outlineLevel="0" collapsed="false">
      <c r="A82" s="0" t="s">
        <v>157</v>
      </c>
      <c r="B82" s="0" t="str">
        <f aca="false">INDEX(Master_Lista!$B$2:$B$151,MATCH(A82,Master_Lista!$A$2:$A$151,0))</f>
        <v>Kosta Zivkovic</v>
      </c>
      <c r="C82" s="0" t="s">
        <v>299</v>
      </c>
      <c r="D82" s="5" t="n">
        <f aca="false">IFERROR(INDEX(Pozicije!$B$2:$B$19,MATCH(C82,Pozicije!$A$2:$A$19,0)),0)</f>
        <v>20</v>
      </c>
      <c r="E82" s="5" t="n">
        <f aca="false">ROUND(D82*176*0.98,2)</f>
        <v>3449.6</v>
      </c>
      <c r="G82" s="5" t="n">
        <f aca="false">E82*10.5%</f>
        <v>362.208</v>
      </c>
      <c r="H82" s="5" t="n">
        <f aca="false">E82-G82</f>
        <v>3087.392</v>
      </c>
      <c r="I82" s="5" t="n">
        <f aca="false">IF(H82&lt;=700,0,IF(H82&lt;=1000,9%*(H82-700),9%*300+15%*(H82-1000)))</f>
        <v>340.1088</v>
      </c>
      <c r="J82" s="5" t="n">
        <f aca="false">I82*15%</f>
        <v>51.01632</v>
      </c>
      <c r="K82" s="5" t="n">
        <f aca="false">H82-I82-J82</f>
        <v>2696.26688</v>
      </c>
      <c r="L82" s="5" t="n">
        <f aca="false">E82*0.5%</f>
        <v>17.248</v>
      </c>
      <c r="M82" s="5" t="n">
        <f aca="false">E82+L82</f>
        <v>3466.848</v>
      </c>
    </row>
    <row r="83" customFormat="false" ht="15" hidden="false" customHeight="false" outlineLevel="0" collapsed="false">
      <c r="A83" s="0" t="s">
        <v>159</v>
      </c>
      <c r="B83" s="0" t="str">
        <f aca="false">INDEX(Master_Lista!$B$2:$B$151,MATCH(A83,Master_Lista!$A$2:$A$151,0))</f>
        <v>Stefan Zivkovic</v>
      </c>
      <c r="C83" s="0" t="s">
        <v>300</v>
      </c>
      <c r="D83" s="5" t="n">
        <f aca="false">IFERROR(INDEX(Pozicije!$B$2:$B$19,MATCH(C83,Pozicije!$A$2:$A$19,0)),0)</f>
        <v>22</v>
      </c>
      <c r="E83" s="5" t="n">
        <f aca="false">ROUND(D83*176*1,2)</f>
        <v>3872</v>
      </c>
      <c r="G83" s="5" t="n">
        <f aca="false">E83*10.5%</f>
        <v>406.56</v>
      </c>
      <c r="H83" s="5" t="n">
        <f aca="false">E83-G83</f>
        <v>3465.44</v>
      </c>
      <c r="I83" s="5" t="n">
        <f aca="false">IF(H83&lt;=700,0,IF(H83&lt;=1000,9%*(H83-700),9%*300+15%*(H83-1000)))</f>
        <v>396.816</v>
      </c>
      <c r="J83" s="5" t="n">
        <f aca="false">I83*15%</f>
        <v>59.5224</v>
      </c>
      <c r="K83" s="5" t="n">
        <f aca="false">H83-I83-J83</f>
        <v>3009.1016</v>
      </c>
      <c r="L83" s="5" t="n">
        <f aca="false">E83*0.5%</f>
        <v>19.36</v>
      </c>
      <c r="M83" s="5" t="n">
        <f aca="false">E83+L83</f>
        <v>3891.36</v>
      </c>
    </row>
    <row r="84" customFormat="false" ht="15" hidden="false" customHeight="false" outlineLevel="0" collapsed="false">
      <c r="A84" s="0" t="s">
        <v>161</v>
      </c>
      <c r="B84" s="0" t="str">
        <f aca="false">INDEX(Master_Lista!$B$2:$B$151,MATCH(A84,Master_Lista!$A$2:$A$151,0))</f>
        <v>Filip Babic</v>
      </c>
      <c r="C84" s="0" t="s">
        <v>301</v>
      </c>
      <c r="D84" s="5" t="n">
        <f aca="false">IFERROR(INDEX(Pozicije!$B$2:$B$19,MATCH(C84,Pozicije!$A$2:$A$19,0)),0)</f>
        <v>9.5</v>
      </c>
      <c r="E84" s="5" t="n">
        <f aca="false">ROUND(D84*176*1.02,2)</f>
        <v>1705.44</v>
      </c>
      <c r="G84" s="5" t="n">
        <f aca="false">E84*10.5%</f>
        <v>179.0712</v>
      </c>
      <c r="H84" s="5" t="n">
        <f aca="false">E84-G84</f>
        <v>1526.3688</v>
      </c>
      <c r="I84" s="5" t="n">
        <f aca="false">IF(H84&lt;=700,0,IF(H84&lt;=1000,9%*(H84-700),9%*300+15%*(H84-1000)))</f>
        <v>105.95532</v>
      </c>
      <c r="J84" s="5" t="n">
        <f aca="false">I84*15%</f>
        <v>15.893298</v>
      </c>
      <c r="K84" s="5" t="n">
        <f aca="false">H84-I84-J84</f>
        <v>1404.520182</v>
      </c>
      <c r="L84" s="5" t="n">
        <f aca="false">E84*0.5%</f>
        <v>8.5272</v>
      </c>
      <c r="M84" s="5" t="n">
        <f aca="false">E84+L84</f>
        <v>1713.9672</v>
      </c>
    </row>
    <row r="85" customFormat="false" ht="15" hidden="false" customHeight="false" outlineLevel="0" collapsed="false">
      <c r="A85" s="0" t="s">
        <v>163</v>
      </c>
      <c r="B85" s="0" t="str">
        <f aca="false">INDEX(Master_Lista!$B$2:$B$151,MATCH(A85,Master_Lista!$A$2:$A$151,0))</f>
        <v>Tomas Simic</v>
      </c>
      <c r="C85" s="0" t="s">
        <v>302</v>
      </c>
      <c r="D85" s="5" t="n">
        <f aca="false">IFERROR(INDEX(Pozicije!$B$2:$B$19,MATCH(C85,Pozicije!$A$2:$A$19,0)),0)</f>
        <v>8</v>
      </c>
      <c r="E85" s="5" t="n">
        <f aca="false">ROUND(D85*176*1.04,2)</f>
        <v>1464.32</v>
      </c>
      <c r="G85" s="5" t="n">
        <f aca="false">E85*10.5%</f>
        <v>153.7536</v>
      </c>
      <c r="H85" s="5" t="n">
        <f aca="false">E85-G85</f>
        <v>1310.5664</v>
      </c>
      <c r="I85" s="5" t="n">
        <f aca="false">IF(H85&lt;=700,0,IF(H85&lt;=1000,9%*(H85-700),9%*300+15%*(H85-1000)))</f>
        <v>73.58496</v>
      </c>
      <c r="J85" s="5" t="n">
        <f aca="false">I85*15%</f>
        <v>11.037744</v>
      </c>
      <c r="K85" s="5" t="n">
        <f aca="false">H85-I85-J85</f>
        <v>1225.943696</v>
      </c>
      <c r="L85" s="5" t="n">
        <f aca="false">E85*0.5%</f>
        <v>7.3216</v>
      </c>
      <c r="M85" s="5" t="n">
        <f aca="false">E85+L85</f>
        <v>1471.6416</v>
      </c>
    </row>
    <row r="86" customFormat="false" ht="15" hidden="false" customHeight="false" outlineLevel="0" collapsed="false">
      <c r="A86" s="0" t="s">
        <v>165</v>
      </c>
      <c r="B86" s="0" t="str">
        <f aca="false">INDEX(Master_Lista!$B$2:$B$151,MATCH(A86,Master_Lista!$A$2:$A$151,0))</f>
        <v>Danica Obradovic</v>
      </c>
      <c r="C86" s="0" t="s">
        <v>303</v>
      </c>
      <c r="D86" s="5" t="n">
        <f aca="false">IFERROR(INDEX(Pozicije!$B$2:$B$19,MATCH(C86,Pozicije!$A$2:$A$19,0)),0)</f>
        <v>7.5</v>
      </c>
      <c r="E86" s="5" t="n">
        <f aca="false">ROUND(D86*176*1.06,2)</f>
        <v>1399.2</v>
      </c>
      <c r="G86" s="5" t="n">
        <f aca="false">E86*10.5%</f>
        <v>146.916</v>
      </c>
      <c r="H86" s="5" t="n">
        <f aca="false">E86-G86</f>
        <v>1252.284</v>
      </c>
      <c r="I86" s="5" t="n">
        <f aca="false">IF(H86&lt;=700,0,IF(H86&lt;=1000,9%*(H86-700),9%*300+15%*(H86-1000)))</f>
        <v>64.8426</v>
      </c>
      <c r="J86" s="5" t="n">
        <f aca="false">I86*15%</f>
        <v>9.72639</v>
      </c>
      <c r="K86" s="5" t="n">
        <f aca="false">H86-I86-J86</f>
        <v>1177.71501</v>
      </c>
      <c r="L86" s="5" t="n">
        <f aca="false">E86*0.5%</f>
        <v>6.996</v>
      </c>
      <c r="M86" s="5" t="n">
        <f aca="false">E86+L86</f>
        <v>1406.196</v>
      </c>
    </row>
    <row r="87" customFormat="false" ht="15" hidden="false" customHeight="false" outlineLevel="0" collapsed="false">
      <c r="A87" s="0" t="s">
        <v>167</v>
      </c>
      <c r="B87" s="0" t="str">
        <f aca="false">INDEX(Master_Lista!$B$2:$B$151,MATCH(A87,Master_Lista!$A$2:$A$151,0))</f>
        <v>Ana Lazic</v>
      </c>
      <c r="C87" s="0" t="s">
        <v>304</v>
      </c>
      <c r="D87" s="5" t="n">
        <f aca="false">IFERROR(INDEX(Pozicije!$B$2:$B$19,MATCH(C87,Pozicije!$A$2:$A$19,0)),0)</f>
        <v>10.5</v>
      </c>
      <c r="E87" s="5" t="n">
        <f aca="false">ROUND(D87*176*0.98,2)</f>
        <v>1811.04</v>
      </c>
      <c r="G87" s="5" t="n">
        <f aca="false">E87*10.5%</f>
        <v>190.1592</v>
      </c>
      <c r="H87" s="5" t="n">
        <f aca="false">E87-G87</f>
        <v>1620.8808</v>
      </c>
      <c r="I87" s="5" t="n">
        <f aca="false">IF(H87&lt;=700,0,IF(H87&lt;=1000,9%*(H87-700),9%*300+15%*(H87-1000)))</f>
        <v>120.13212</v>
      </c>
      <c r="J87" s="5" t="n">
        <f aca="false">I87*15%</f>
        <v>18.019818</v>
      </c>
      <c r="K87" s="5" t="n">
        <f aca="false">H87-I87-J87</f>
        <v>1482.728862</v>
      </c>
      <c r="L87" s="5" t="n">
        <f aca="false">E87*0.5%</f>
        <v>9.0552</v>
      </c>
      <c r="M87" s="5" t="n">
        <f aca="false">E87+L87</f>
        <v>1820.0952</v>
      </c>
    </row>
    <row r="88" customFormat="false" ht="15" hidden="false" customHeight="false" outlineLevel="0" collapsed="false">
      <c r="A88" s="0" t="s">
        <v>169</v>
      </c>
      <c r="B88" s="0" t="str">
        <f aca="false">INDEX(Master_Lista!$B$2:$B$151,MATCH(A88,Master_Lista!$A$2:$A$151,0))</f>
        <v>Ognjen Cvetkovic</v>
      </c>
      <c r="C88" s="0" t="s">
        <v>305</v>
      </c>
      <c r="D88" s="5" t="n">
        <f aca="false">IFERROR(INDEX(Pozicije!$B$2:$B$19,MATCH(C88,Pozicije!$A$2:$A$19,0)),0)</f>
        <v>25</v>
      </c>
      <c r="E88" s="5" t="n">
        <f aca="false">ROUND(D88*176*1,2)</f>
        <v>4400</v>
      </c>
      <c r="G88" s="5" t="n">
        <f aca="false">E88*10.5%</f>
        <v>462</v>
      </c>
      <c r="H88" s="5" t="n">
        <f aca="false">E88-G88</f>
        <v>3938</v>
      </c>
      <c r="I88" s="5" t="n">
        <f aca="false">IF(H88&lt;=700,0,IF(H88&lt;=1000,9%*(H88-700),9%*300+15%*(H88-1000)))</f>
        <v>467.7</v>
      </c>
      <c r="J88" s="5" t="n">
        <f aca="false">I88*15%</f>
        <v>70.155</v>
      </c>
      <c r="K88" s="5" t="n">
        <f aca="false">H88-I88-J88</f>
        <v>3400.145</v>
      </c>
      <c r="L88" s="5" t="n">
        <f aca="false">E88*0.5%</f>
        <v>22</v>
      </c>
      <c r="M88" s="5" t="n">
        <f aca="false">E88+L88</f>
        <v>4422</v>
      </c>
    </row>
    <row r="89" customFormat="false" ht="15" hidden="false" customHeight="false" outlineLevel="0" collapsed="false">
      <c r="A89" s="0" t="s">
        <v>171</v>
      </c>
      <c r="B89" s="0" t="str">
        <f aca="false">INDEX(Master_Lista!$B$2:$B$151,MATCH(A89,Master_Lista!$A$2:$A$151,0))</f>
        <v>Katarina Tomic</v>
      </c>
      <c r="C89" s="0" t="s">
        <v>306</v>
      </c>
      <c r="D89" s="5" t="n">
        <f aca="false">IFERROR(INDEX(Pozicije!$B$2:$B$19,MATCH(C89,Pozicije!$A$2:$A$19,0)),0)</f>
        <v>15</v>
      </c>
      <c r="E89" s="5" t="n">
        <f aca="false">ROUND(D89*176*1.02,2)</f>
        <v>2692.8</v>
      </c>
      <c r="G89" s="5" t="n">
        <f aca="false">E89*10.5%</f>
        <v>282.744</v>
      </c>
      <c r="H89" s="5" t="n">
        <f aca="false">E89-G89</f>
        <v>2410.056</v>
      </c>
      <c r="I89" s="5" t="n">
        <f aca="false">IF(H89&lt;=700,0,IF(H89&lt;=1000,9%*(H89-700),9%*300+15%*(H89-1000)))</f>
        <v>238.5084</v>
      </c>
      <c r="J89" s="5" t="n">
        <f aca="false">I89*15%</f>
        <v>35.77626</v>
      </c>
      <c r="K89" s="5" t="n">
        <f aca="false">H89-I89-J89</f>
        <v>2135.77134</v>
      </c>
      <c r="L89" s="5" t="n">
        <f aca="false">E89*0.5%</f>
        <v>13.464</v>
      </c>
      <c r="M89" s="5" t="n">
        <f aca="false">E89+L89</f>
        <v>2706.264</v>
      </c>
    </row>
    <row r="90" customFormat="false" ht="15" hidden="false" customHeight="false" outlineLevel="0" collapsed="false">
      <c r="A90" s="0" t="s">
        <v>173</v>
      </c>
      <c r="B90" s="0" t="str">
        <f aca="false">INDEX(Master_Lista!$B$2:$B$151,MATCH(A90,Master_Lista!$A$2:$A$151,0))</f>
        <v>Ivan Nikolic</v>
      </c>
      <c r="C90" s="0" t="s">
        <v>307</v>
      </c>
      <c r="D90" s="5" t="n">
        <f aca="false">IFERROR(INDEX(Pozicije!$B$2:$B$19,MATCH(C90,Pozicije!$A$2:$A$19,0)),0)</f>
        <v>12.5</v>
      </c>
      <c r="E90" s="5" t="n">
        <f aca="false">ROUND(D90*176*1.04,2)</f>
        <v>2288</v>
      </c>
      <c r="G90" s="5" t="n">
        <f aca="false">E90*10.5%</f>
        <v>240.24</v>
      </c>
      <c r="H90" s="5" t="n">
        <f aca="false">E90-G90</f>
        <v>2047.76</v>
      </c>
      <c r="I90" s="5" t="n">
        <f aca="false">IF(H90&lt;=700,0,IF(H90&lt;=1000,9%*(H90-700),9%*300+15%*(H90-1000)))</f>
        <v>184.164</v>
      </c>
      <c r="J90" s="5" t="n">
        <f aca="false">I90*15%</f>
        <v>27.6246</v>
      </c>
      <c r="K90" s="5" t="n">
        <f aca="false">H90-I90-J90</f>
        <v>1835.9714</v>
      </c>
      <c r="L90" s="5" t="n">
        <f aca="false">E90*0.5%</f>
        <v>11.44</v>
      </c>
      <c r="M90" s="5" t="n">
        <f aca="false">E90+L90</f>
        <v>2299.44</v>
      </c>
    </row>
    <row r="91" customFormat="false" ht="15" hidden="false" customHeight="false" outlineLevel="0" collapsed="false">
      <c r="A91" s="0" t="s">
        <v>175</v>
      </c>
      <c r="B91" s="0" t="str">
        <f aca="false">INDEX(Master_Lista!$B$2:$B$151,MATCH(A91,Master_Lista!$A$2:$A$151,0))</f>
        <v>Elena Grujic</v>
      </c>
      <c r="C91" s="0" t="s">
        <v>308</v>
      </c>
      <c r="D91" s="5" t="n">
        <f aca="false">IFERROR(INDEX(Pozicije!$B$2:$B$19,MATCH(C91,Pozicije!$A$2:$A$19,0)),0)</f>
        <v>16</v>
      </c>
      <c r="E91" s="5" t="n">
        <f aca="false">ROUND(D91*176*1.06,2)</f>
        <v>2984.96</v>
      </c>
      <c r="G91" s="5" t="n">
        <f aca="false">E91*10.5%</f>
        <v>313.4208</v>
      </c>
      <c r="H91" s="5" t="n">
        <f aca="false">E91-G91</f>
        <v>2671.5392</v>
      </c>
      <c r="I91" s="5" t="n">
        <f aca="false">IF(H91&lt;=700,0,IF(H91&lt;=1000,9%*(H91-700),9%*300+15%*(H91-1000)))</f>
        <v>277.73088</v>
      </c>
      <c r="J91" s="5" t="n">
        <f aca="false">I91*15%</f>
        <v>41.659632</v>
      </c>
      <c r="K91" s="5" t="n">
        <f aca="false">H91-I91-J91</f>
        <v>2352.148688</v>
      </c>
      <c r="L91" s="5" t="n">
        <f aca="false">E91*0.5%</f>
        <v>14.9248</v>
      </c>
      <c r="M91" s="5" t="n">
        <f aca="false">E91+L91</f>
        <v>2999.8848</v>
      </c>
    </row>
    <row r="92" customFormat="false" ht="15" hidden="false" customHeight="false" outlineLevel="0" collapsed="false">
      <c r="A92" s="0" t="s">
        <v>177</v>
      </c>
      <c r="B92" s="0" t="str">
        <f aca="false">INDEX(Master_Lista!$B$2:$B$151,MATCH(A92,Master_Lista!$A$2:$A$151,0))</f>
        <v>Cedomir Markovic</v>
      </c>
      <c r="C92" s="0" t="s">
        <v>291</v>
      </c>
      <c r="D92" s="5" t="n">
        <f aca="false">IFERROR(INDEX(Pozicije!$B$2:$B$19,MATCH(C92,Pozicije!$A$2:$A$19,0)),0)</f>
        <v>8.5</v>
      </c>
      <c r="E92" s="5" t="n">
        <f aca="false">ROUND(D92*176*0.98,2)</f>
        <v>1466.08</v>
      </c>
      <c r="G92" s="5" t="n">
        <f aca="false">E92*10.5%</f>
        <v>153.9384</v>
      </c>
      <c r="H92" s="5" t="n">
        <f aca="false">E92-G92</f>
        <v>1312.1416</v>
      </c>
      <c r="I92" s="5" t="n">
        <f aca="false">IF(H92&lt;=700,0,IF(H92&lt;=1000,9%*(H92-700),9%*300+15%*(H92-1000)))</f>
        <v>73.82124</v>
      </c>
      <c r="J92" s="5" t="n">
        <f aca="false">I92*15%</f>
        <v>11.073186</v>
      </c>
      <c r="K92" s="5" t="n">
        <f aca="false">H92-I92-J92</f>
        <v>1227.247174</v>
      </c>
      <c r="L92" s="5" t="n">
        <f aca="false">E92*0.5%</f>
        <v>7.3304</v>
      </c>
      <c r="M92" s="5" t="n">
        <f aca="false">E92+L92</f>
        <v>1473.4104</v>
      </c>
    </row>
    <row r="93" customFormat="false" ht="15" hidden="false" customHeight="false" outlineLevel="0" collapsed="false">
      <c r="A93" s="0" t="s">
        <v>178</v>
      </c>
      <c r="B93" s="0" t="str">
        <f aca="false">INDEX(Master_Lista!$B$2:$B$151,MATCH(A93,Master_Lista!$A$2:$A$151,0))</f>
        <v>Filip Filipovic</v>
      </c>
      <c r="C93" s="0" t="s">
        <v>292</v>
      </c>
      <c r="D93" s="5" t="n">
        <f aca="false">IFERROR(INDEX(Pozicije!$B$2:$B$19,MATCH(C93,Pozicije!$A$2:$A$19,0)),0)</f>
        <v>11</v>
      </c>
      <c r="E93" s="5" t="n">
        <f aca="false">ROUND(D93*176*1,2)</f>
        <v>1936</v>
      </c>
      <c r="G93" s="5" t="n">
        <f aca="false">E93*10.5%</f>
        <v>203.28</v>
      </c>
      <c r="H93" s="5" t="n">
        <f aca="false">E93-G93</f>
        <v>1732.72</v>
      </c>
      <c r="I93" s="5" t="n">
        <f aca="false">IF(H93&lt;=700,0,IF(H93&lt;=1000,9%*(H93-700),9%*300+15%*(H93-1000)))</f>
        <v>136.908</v>
      </c>
      <c r="J93" s="5" t="n">
        <f aca="false">I93*15%</f>
        <v>20.5362</v>
      </c>
      <c r="K93" s="5" t="n">
        <f aca="false">H93-I93-J93</f>
        <v>1575.2758</v>
      </c>
      <c r="L93" s="5" t="n">
        <f aca="false">E93*0.5%</f>
        <v>9.68</v>
      </c>
      <c r="M93" s="5" t="n">
        <f aca="false">E93+L93</f>
        <v>1945.68</v>
      </c>
    </row>
    <row r="94" customFormat="false" ht="15" hidden="false" customHeight="false" outlineLevel="0" collapsed="false">
      <c r="A94" s="0" t="s">
        <v>180</v>
      </c>
      <c r="B94" s="0" t="str">
        <f aca="false">INDEX(Master_Lista!$B$2:$B$151,MATCH(A94,Master_Lista!$A$2:$A$151,0))</f>
        <v>Nikola Lazic</v>
      </c>
      <c r="C94" s="0" t="s">
        <v>293</v>
      </c>
      <c r="D94" s="5" t="n">
        <f aca="false">IFERROR(INDEX(Pozicije!$B$2:$B$19,MATCH(C94,Pozicije!$A$2:$A$19,0)),0)</f>
        <v>18</v>
      </c>
      <c r="E94" s="5" t="n">
        <f aca="false">ROUND(D94*176*1.02,2)</f>
        <v>3231.36</v>
      </c>
      <c r="G94" s="5" t="n">
        <f aca="false">E94*10.5%</f>
        <v>339.2928</v>
      </c>
      <c r="H94" s="5" t="n">
        <f aca="false">E94-G94</f>
        <v>2892.0672</v>
      </c>
      <c r="I94" s="5" t="n">
        <f aca="false">IF(H94&lt;=700,0,IF(H94&lt;=1000,9%*(H94-700),9%*300+15%*(H94-1000)))</f>
        <v>310.81008</v>
      </c>
      <c r="J94" s="5" t="n">
        <f aca="false">I94*15%</f>
        <v>46.621512</v>
      </c>
      <c r="K94" s="5" t="n">
        <f aca="false">H94-I94-J94</f>
        <v>2534.635608</v>
      </c>
      <c r="L94" s="5" t="n">
        <f aca="false">E94*0.5%</f>
        <v>16.1568</v>
      </c>
      <c r="M94" s="5" t="n">
        <f aca="false">E94+L94</f>
        <v>3247.5168</v>
      </c>
    </row>
    <row r="95" customFormat="false" ht="15" hidden="false" customHeight="false" outlineLevel="0" collapsed="false">
      <c r="A95" s="0" t="s">
        <v>182</v>
      </c>
      <c r="B95" s="0" t="str">
        <f aca="false">INDEX(Master_Lista!$B$2:$B$151,MATCH(A95,Master_Lista!$A$2:$A$151,0))</f>
        <v>Nikola Pavlovic</v>
      </c>
      <c r="C95" s="0" t="s">
        <v>294</v>
      </c>
      <c r="D95" s="5" t="n">
        <f aca="false">IFERROR(INDEX(Pozicije!$B$2:$B$19,MATCH(C95,Pozicije!$A$2:$A$19,0)),0)</f>
        <v>28</v>
      </c>
      <c r="E95" s="5" t="n">
        <f aca="false">ROUND(D95*176*1.04,2)</f>
        <v>5125.12</v>
      </c>
      <c r="G95" s="5" t="n">
        <f aca="false">E95*10.5%</f>
        <v>538.1376</v>
      </c>
      <c r="H95" s="5" t="n">
        <f aca="false">E95-G95</f>
        <v>4586.9824</v>
      </c>
      <c r="I95" s="5" t="n">
        <f aca="false">IF(H95&lt;=700,0,IF(H95&lt;=1000,9%*(H95-700),9%*300+15%*(H95-1000)))</f>
        <v>565.04736</v>
      </c>
      <c r="J95" s="5" t="n">
        <f aca="false">I95*15%</f>
        <v>84.757104</v>
      </c>
      <c r="K95" s="5" t="n">
        <f aca="false">H95-I95-J95</f>
        <v>3937.177936</v>
      </c>
      <c r="L95" s="5" t="n">
        <f aca="false">E95*0.5%</f>
        <v>25.6256</v>
      </c>
      <c r="M95" s="5" t="n">
        <f aca="false">E95+L95</f>
        <v>5150.7456</v>
      </c>
    </row>
    <row r="96" customFormat="false" ht="15" hidden="false" customHeight="false" outlineLevel="0" collapsed="false">
      <c r="A96" s="0" t="s">
        <v>184</v>
      </c>
      <c r="B96" s="0" t="str">
        <f aca="false">INDEX(Master_Lista!$B$2:$B$151,MATCH(A96,Master_Lista!$A$2:$A$151,0))</f>
        <v>Tamara Babic</v>
      </c>
      <c r="C96" s="0" t="s">
        <v>295</v>
      </c>
      <c r="D96" s="5" t="n">
        <f aca="false">IFERROR(INDEX(Pozicije!$B$2:$B$19,MATCH(C96,Pozicije!$A$2:$A$19,0)),0)</f>
        <v>9</v>
      </c>
      <c r="E96" s="5" t="n">
        <f aca="false">ROUND(D96*176*1.06,2)</f>
        <v>1679.04</v>
      </c>
      <c r="G96" s="5" t="n">
        <f aca="false">E96*10.5%</f>
        <v>176.2992</v>
      </c>
      <c r="H96" s="5" t="n">
        <f aca="false">E96-G96</f>
        <v>1502.7408</v>
      </c>
      <c r="I96" s="5" t="n">
        <f aca="false">IF(H96&lt;=700,0,IF(H96&lt;=1000,9%*(H96-700),9%*300+15%*(H96-1000)))</f>
        <v>102.41112</v>
      </c>
      <c r="J96" s="5" t="n">
        <f aca="false">I96*15%</f>
        <v>15.361668</v>
      </c>
      <c r="K96" s="5" t="n">
        <f aca="false">H96-I96-J96</f>
        <v>1384.968012</v>
      </c>
      <c r="L96" s="5" t="n">
        <f aca="false">E96*0.5%</f>
        <v>8.3952</v>
      </c>
      <c r="M96" s="5" t="n">
        <f aca="false">E96+L96</f>
        <v>1687.4352</v>
      </c>
    </row>
    <row r="97" customFormat="false" ht="15" hidden="false" customHeight="false" outlineLevel="0" collapsed="false">
      <c r="A97" s="0" t="s">
        <v>186</v>
      </c>
      <c r="B97" s="0" t="str">
        <f aca="false">INDEX(Master_Lista!$B$2:$B$151,MATCH(A97,Master_Lista!$A$2:$A$151,0))</f>
        <v>Petar Markovic</v>
      </c>
      <c r="C97" s="0" t="s">
        <v>296</v>
      </c>
      <c r="D97" s="5" t="n">
        <f aca="false">IFERROR(INDEX(Pozicije!$B$2:$B$19,MATCH(C97,Pozicije!$A$2:$A$19,0)),0)</f>
        <v>10</v>
      </c>
      <c r="E97" s="5" t="n">
        <f aca="false">ROUND(D97*176*0.98,2)</f>
        <v>1724.8</v>
      </c>
      <c r="G97" s="5" t="n">
        <f aca="false">E97*10.5%</f>
        <v>181.104</v>
      </c>
      <c r="H97" s="5" t="n">
        <f aca="false">E97-G97</f>
        <v>1543.696</v>
      </c>
      <c r="I97" s="5" t="n">
        <f aca="false">IF(H97&lt;=700,0,IF(H97&lt;=1000,9%*(H97-700),9%*300+15%*(H97-1000)))</f>
        <v>108.5544</v>
      </c>
      <c r="J97" s="5" t="n">
        <f aca="false">I97*15%</f>
        <v>16.28316</v>
      </c>
      <c r="K97" s="5" t="n">
        <f aca="false">H97-I97-J97</f>
        <v>1418.85844</v>
      </c>
      <c r="L97" s="5" t="n">
        <f aca="false">E97*0.5%</f>
        <v>8.624</v>
      </c>
      <c r="M97" s="5" t="n">
        <f aca="false">E97+L97</f>
        <v>1733.424</v>
      </c>
    </row>
    <row r="98" customFormat="false" ht="15" hidden="false" customHeight="false" outlineLevel="0" collapsed="false">
      <c r="A98" s="0" t="s">
        <v>188</v>
      </c>
      <c r="B98" s="0" t="str">
        <f aca="false">INDEX(Master_Lista!$B$2:$B$151,MATCH(A98,Master_Lista!$A$2:$A$151,0))</f>
        <v>Goran Pavlovic</v>
      </c>
      <c r="C98" s="0" t="s">
        <v>297</v>
      </c>
      <c r="D98" s="5" t="n">
        <f aca="false">IFERROR(INDEX(Pozicije!$B$2:$B$19,MATCH(C98,Pozicije!$A$2:$A$19,0)),0)</f>
        <v>12</v>
      </c>
      <c r="E98" s="5" t="n">
        <f aca="false">ROUND(D98*176*1,2)</f>
        <v>2112</v>
      </c>
      <c r="G98" s="5" t="n">
        <f aca="false">E98*10.5%</f>
        <v>221.76</v>
      </c>
      <c r="H98" s="5" t="n">
        <f aca="false">E98-G98</f>
        <v>1890.24</v>
      </c>
      <c r="I98" s="5" t="n">
        <f aca="false">IF(H98&lt;=700,0,IF(H98&lt;=1000,9%*(H98-700),9%*300+15%*(H98-1000)))</f>
        <v>160.536</v>
      </c>
      <c r="J98" s="5" t="n">
        <f aca="false">I98*15%</f>
        <v>24.0804</v>
      </c>
      <c r="K98" s="5" t="n">
        <f aca="false">H98-I98-J98</f>
        <v>1705.6236</v>
      </c>
      <c r="L98" s="5" t="n">
        <f aca="false">E98*0.5%</f>
        <v>10.56</v>
      </c>
      <c r="M98" s="5" t="n">
        <f aca="false">E98+L98</f>
        <v>2122.56</v>
      </c>
    </row>
    <row r="99" customFormat="false" ht="15" hidden="false" customHeight="false" outlineLevel="0" collapsed="false">
      <c r="A99" s="0" t="s">
        <v>190</v>
      </c>
      <c r="B99" s="0" t="str">
        <f aca="false">INDEX(Master_Lista!$B$2:$B$151,MATCH(A99,Master_Lista!$A$2:$A$151,0))</f>
        <v>Danica Cvetkovic</v>
      </c>
      <c r="C99" s="0" t="s">
        <v>298</v>
      </c>
      <c r="D99" s="5" t="n">
        <f aca="false">IFERROR(INDEX(Pozicije!$B$2:$B$19,MATCH(C99,Pozicije!$A$2:$A$19,0)),0)</f>
        <v>14</v>
      </c>
      <c r="E99" s="5" t="n">
        <f aca="false">ROUND(D99*176*1.02,2)</f>
        <v>2513.28</v>
      </c>
      <c r="G99" s="5" t="n">
        <f aca="false">E99*10.5%</f>
        <v>263.8944</v>
      </c>
      <c r="H99" s="5" t="n">
        <f aca="false">E99-G99</f>
        <v>2249.3856</v>
      </c>
      <c r="I99" s="5" t="n">
        <f aca="false">IF(H99&lt;=700,0,IF(H99&lt;=1000,9%*(H99-700),9%*300+15%*(H99-1000)))</f>
        <v>214.40784</v>
      </c>
      <c r="J99" s="5" t="n">
        <f aca="false">I99*15%</f>
        <v>32.161176</v>
      </c>
      <c r="K99" s="5" t="n">
        <f aca="false">H99-I99-J99</f>
        <v>2002.816584</v>
      </c>
      <c r="L99" s="5" t="n">
        <f aca="false">E99*0.5%</f>
        <v>12.5664</v>
      </c>
      <c r="M99" s="5" t="n">
        <f aca="false">E99+L99</f>
        <v>2525.8464</v>
      </c>
    </row>
    <row r="100" customFormat="false" ht="15" hidden="false" customHeight="false" outlineLevel="0" collapsed="false">
      <c r="A100" s="0" t="s">
        <v>192</v>
      </c>
      <c r="B100" s="0" t="str">
        <f aca="false">INDEX(Master_Lista!$B$2:$B$151,MATCH(A100,Master_Lista!$A$2:$A$151,0))</f>
        <v>Petra Pavlovic</v>
      </c>
      <c r="C100" s="0" t="s">
        <v>299</v>
      </c>
      <c r="D100" s="5" t="n">
        <f aca="false">IFERROR(INDEX(Pozicije!$B$2:$B$19,MATCH(C100,Pozicije!$A$2:$A$19,0)),0)</f>
        <v>20</v>
      </c>
      <c r="E100" s="5" t="n">
        <f aca="false">ROUND(D100*176*1.04,2)</f>
        <v>3660.8</v>
      </c>
      <c r="G100" s="5" t="n">
        <f aca="false">E100*10.5%</f>
        <v>384.384</v>
      </c>
      <c r="H100" s="5" t="n">
        <f aca="false">E100-G100</f>
        <v>3276.416</v>
      </c>
      <c r="I100" s="5" t="n">
        <f aca="false">IF(H100&lt;=700,0,IF(H100&lt;=1000,9%*(H100-700),9%*300+15%*(H100-1000)))</f>
        <v>368.4624</v>
      </c>
      <c r="J100" s="5" t="n">
        <f aca="false">I100*15%</f>
        <v>55.26936</v>
      </c>
      <c r="K100" s="5" t="n">
        <f aca="false">H100-I100-J100</f>
        <v>2852.68424</v>
      </c>
      <c r="L100" s="5" t="n">
        <f aca="false">E100*0.5%</f>
        <v>18.304</v>
      </c>
      <c r="M100" s="5" t="n">
        <f aca="false">E100+L100</f>
        <v>3679.104</v>
      </c>
    </row>
    <row r="101" customFormat="false" ht="15" hidden="false" customHeight="false" outlineLevel="0" collapsed="false">
      <c r="A101" s="0" t="s">
        <v>194</v>
      </c>
      <c r="B101" s="0" t="str">
        <f aca="false">INDEX(Master_Lista!$B$2:$B$151,MATCH(A101,Master_Lista!$A$2:$A$151,0))</f>
        <v>Uros Tomic</v>
      </c>
      <c r="C101" s="0" t="s">
        <v>300</v>
      </c>
      <c r="D101" s="5" t="n">
        <f aca="false">IFERROR(INDEX(Pozicije!$B$2:$B$19,MATCH(C101,Pozicije!$A$2:$A$19,0)),0)</f>
        <v>22</v>
      </c>
      <c r="E101" s="5" t="n">
        <f aca="false">ROUND(D101*176*1.06,2)</f>
        <v>4104.32</v>
      </c>
      <c r="G101" s="5" t="n">
        <f aca="false">E101*10.5%</f>
        <v>430.9536</v>
      </c>
      <c r="H101" s="5" t="n">
        <f aca="false">E101-G101</f>
        <v>3673.3664</v>
      </c>
      <c r="I101" s="5" t="n">
        <f aca="false">IF(H101&lt;=700,0,IF(H101&lt;=1000,9%*(H101-700),9%*300+15%*(H101-1000)))</f>
        <v>428.00496</v>
      </c>
      <c r="J101" s="5" t="n">
        <f aca="false">I101*15%</f>
        <v>64.200744</v>
      </c>
      <c r="K101" s="5" t="n">
        <f aca="false">H101-I101-J101</f>
        <v>3181.160696</v>
      </c>
      <c r="L101" s="5" t="n">
        <f aca="false">E101*0.5%</f>
        <v>20.5216</v>
      </c>
      <c r="M101" s="5" t="n">
        <f aca="false">E101+L101</f>
        <v>4124.8416</v>
      </c>
    </row>
    <row r="102" customFormat="false" ht="15" hidden="false" customHeight="false" outlineLevel="0" collapsed="false">
      <c r="A102" s="0" t="s">
        <v>195</v>
      </c>
      <c r="B102" s="0" t="str">
        <f aca="false">INDEX(Master_Lista!$B$2:$B$151,MATCH(A102,Master_Lista!$A$2:$A$151,0))</f>
        <v>Biljana Lazic</v>
      </c>
      <c r="C102" s="0" t="s">
        <v>301</v>
      </c>
      <c r="D102" s="5" t="n">
        <f aca="false">IFERROR(INDEX(Pozicije!$B$2:$B$19,MATCH(C102,Pozicije!$A$2:$A$19,0)),0)</f>
        <v>9.5</v>
      </c>
      <c r="E102" s="5" t="n">
        <f aca="false">ROUND(D102*176*0.98,2)</f>
        <v>1638.56</v>
      </c>
      <c r="G102" s="5" t="n">
        <f aca="false">E102*10.5%</f>
        <v>172.0488</v>
      </c>
      <c r="H102" s="5" t="n">
        <f aca="false">E102-G102</f>
        <v>1466.5112</v>
      </c>
      <c r="I102" s="5" t="n">
        <f aca="false">IF(H102&lt;=700,0,IF(H102&lt;=1000,9%*(H102-700),9%*300+15%*(H102-1000)))</f>
        <v>96.97668</v>
      </c>
      <c r="J102" s="5" t="n">
        <f aca="false">I102*15%</f>
        <v>14.546502</v>
      </c>
      <c r="K102" s="5" t="n">
        <f aca="false">H102-I102-J102</f>
        <v>1354.988018</v>
      </c>
      <c r="L102" s="5" t="n">
        <f aca="false">E102*0.5%</f>
        <v>8.1928</v>
      </c>
      <c r="M102" s="5" t="n">
        <f aca="false">E102+L102</f>
        <v>1646.7528</v>
      </c>
    </row>
    <row r="103" customFormat="false" ht="15" hidden="false" customHeight="false" outlineLevel="0" collapsed="false">
      <c r="A103" s="0" t="s">
        <v>197</v>
      </c>
      <c r="B103" s="0" t="str">
        <f aca="false">INDEX(Master_Lista!$B$2:$B$151,MATCH(A103,Master_Lista!$A$2:$A$151,0))</f>
        <v>Kosta Cvetkovic</v>
      </c>
      <c r="C103" s="0" t="s">
        <v>302</v>
      </c>
      <c r="D103" s="5" t="n">
        <f aca="false">IFERROR(INDEX(Pozicije!$B$2:$B$19,MATCH(C103,Pozicije!$A$2:$A$19,0)),0)</f>
        <v>8</v>
      </c>
      <c r="E103" s="5" t="n">
        <f aca="false">ROUND(D103*176*1,2)</f>
        <v>1408</v>
      </c>
      <c r="G103" s="5" t="n">
        <f aca="false">E103*10.5%</f>
        <v>147.84</v>
      </c>
      <c r="H103" s="5" t="n">
        <f aca="false">E103-G103</f>
        <v>1260.16</v>
      </c>
      <c r="I103" s="5" t="n">
        <f aca="false">IF(H103&lt;=700,0,IF(H103&lt;=1000,9%*(H103-700),9%*300+15%*(H103-1000)))</f>
        <v>66.024</v>
      </c>
      <c r="J103" s="5" t="n">
        <f aca="false">I103*15%</f>
        <v>9.9036</v>
      </c>
      <c r="K103" s="5" t="n">
        <f aca="false">H103-I103-J103</f>
        <v>1184.2324</v>
      </c>
      <c r="L103" s="5" t="n">
        <f aca="false">E103*0.5%</f>
        <v>7.04</v>
      </c>
      <c r="M103" s="5" t="n">
        <f aca="false">E103+L103</f>
        <v>1415.04</v>
      </c>
    </row>
    <row r="104" customFormat="false" ht="15" hidden="false" customHeight="false" outlineLevel="0" collapsed="false">
      <c r="A104" s="0" t="s">
        <v>199</v>
      </c>
      <c r="B104" s="0" t="str">
        <f aca="false">INDEX(Master_Lista!$B$2:$B$151,MATCH(A104,Master_Lista!$A$2:$A$151,0))</f>
        <v>Radmila Radovic</v>
      </c>
      <c r="C104" s="0" t="s">
        <v>303</v>
      </c>
      <c r="D104" s="5" t="n">
        <f aca="false">IFERROR(INDEX(Pozicije!$B$2:$B$19,MATCH(C104,Pozicije!$A$2:$A$19,0)),0)</f>
        <v>7.5</v>
      </c>
      <c r="E104" s="5" t="n">
        <f aca="false">ROUND(D104*176*1.02,2)</f>
        <v>1346.4</v>
      </c>
      <c r="G104" s="5" t="n">
        <f aca="false">E104*10.5%</f>
        <v>141.372</v>
      </c>
      <c r="H104" s="5" t="n">
        <f aca="false">E104-G104</f>
        <v>1205.028</v>
      </c>
      <c r="I104" s="5" t="n">
        <f aca="false">IF(H104&lt;=700,0,IF(H104&lt;=1000,9%*(H104-700),9%*300+15%*(H104-1000)))</f>
        <v>57.7542</v>
      </c>
      <c r="J104" s="5" t="n">
        <f aca="false">I104*15%</f>
        <v>8.66313</v>
      </c>
      <c r="K104" s="5" t="n">
        <f aca="false">H104-I104-J104</f>
        <v>1138.61067</v>
      </c>
      <c r="L104" s="5" t="n">
        <f aca="false">E104*0.5%</f>
        <v>6.732</v>
      </c>
      <c r="M104" s="5" t="n">
        <f aca="false">E104+L104</f>
        <v>1353.132</v>
      </c>
    </row>
    <row r="105" customFormat="false" ht="15" hidden="false" customHeight="false" outlineLevel="0" collapsed="false">
      <c r="A105" s="0" t="s">
        <v>201</v>
      </c>
      <c r="B105" s="0" t="str">
        <f aca="false">INDEX(Master_Lista!$B$2:$B$151,MATCH(A105,Master_Lista!$A$2:$A$151,0))</f>
        <v>Sanja Djordjevic</v>
      </c>
      <c r="C105" s="0" t="s">
        <v>304</v>
      </c>
      <c r="D105" s="5" t="n">
        <f aca="false">IFERROR(INDEX(Pozicije!$B$2:$B$19,MATCH(C105,Pozicije!$A$2:$A$19,0)),0)</f>
        <v>10.5</v>
      </c>
      <c r="E105" s="5" t="n">
        <f aca="false">ROUND(D105*176*1.04,2)</f>
        <v>1921.92</v>
      </c>
      <c r="G105" s="5" t="n">
        <f aca="false">E105*10.5%</f>
        <v>201.8016</v>
      </c>
      <c r="H105" s="5" t="n">
        <f aca="false">E105-G105</f>
        <v>1720.1184</v>
      </c>
      <c r="I105" s="5" t="n">
        <f aca="false">IF(H105&lt;=700,0,IF(H105&lt;=1000,9%*(H105-700),9%*300+15%*(H105-1000)))</f>
        <v>135.01776</v>
      </c>
      <c r="J105" s="5" t="n">
        <f aca="false">I105*15%</f>
        <v>20.252664</v>
      </c>
      <c r="K105" s="5" t="n">
        <f aca="false">H105-I105-J105</f>
        <v>1564.847976</v>
      </c>
      <c r="L105" s="5" t="n">
        <f aca="false">E105*0.5%</f>
        <v>9.6096</v>
      </c>
      <c r="M105" s="5" t="n">
        <f aca="false">E105+L105</f>
        <v>1931.5296</v>
      </c>
    </row>
    <row r="106" customFormat="false" ht="15" hidden="false" customHeight="false" outlineLevel="0" collapsed="false">
      <c r="A106" s="0" t="s">
        <v>203</v>
      </c>
      <c r="B106" s="0" t="str">
        <f aca="false">INDEX(Master_Lista!$B$2:$B$151,MATCH(A106,Master_Lista!$A$2:$A$151,0))</f>
        <v>Aleksandar Babic</v>
      </c>
      <c r="C106" s="0" t="s">
        <v>305</v>
      </c>
      <c r="D106" s="5" t="n">
        <f aca="false">IFERROR(INDEX(Pozicije!$B$2:$B$19,MATCH(C106,Pozicije!$A$2:$A$19,0)),0)</f>
        <v>25</v>
      </c>
      <c r="E106" s="5" t="n">
        <f aca="false">ROUND(D106*176*1.06,2)</f>
        <v>4664</v>
      </c>
      <c r="G106" s="5" t="n">
        <f aca="false">E106*10.5%</f>
        <v>489.72</v>
      </c>
      <c r="H106" s="5" t="n">
        <f aca="false">E106-G106</f>
        <v>4174.28</v>
      </c>
      <c r="I106" s="5" t="n">
        <f aca="false">IF(H106&lt;=700,0,IF(H106&lt;=1000,9%*(H106-700),9%*300+15%*(H106-1000)))</f>
        <v>503.142</v>
      </c>
      <c r="J106" s="5" t="n">
        <f aca="false">I106*15%</f>
        <v>75.4713</v>
      </c>
      <c r="K106" s="5" t="n">
        <f aca="false">H106-I106-J106</f>
        <v>3595.6667</v>
      </c>
      <c r="L106" s="5" t="n">
        <f aca="false">E106*0.5%</f>
        <v>23.32</v>
      </c>
      <c r="M106" s="5" t="n">
        <f aca="false">E106+L106</f>
        <v>4687.32</v>
      </c>
    </row>
    <row r="107" customFormat="false" ht="15" hidden="false" customHeight="false" outlineLevel="0" collapsed="false">
      <c r="A107" s="0" t="s">
        <v>205</v>
      </c>
      <c r="B107" s="0" t="str">
        <f aca="false">INDEX(Master_Lista!$B$2:$B$151,MATCH(A107,Master_Lista!$A$2:$A$151,0))</f>
        <v>Ivana Jankovic</v>
      </c>
      <c r="C107" s="0" t="s">
        <v>306</v>
      </c>
      <c r="D107" s="5" t="n">
        <f aca="false">IFERROR(INDEX(Pozicije!$B$2:$B$19,MATCH(C107,Pozicije!$A$2:$A$19,0)),0)</f>
        <v>15</v>
      </c>
      <c r="E107" s="5" t="n">
        <f aca="false">ROUND(D107*176*0.98,2)</f>
        <v>2587.2</v>
      </c>
      <c r="G107" s="5" t="n">
        <f aca="false">E107*10.5%</f>
        <v>271.656</v>
      </c>
      <c r="H107" s="5" t="n">
        <f aca="false">E107-G107</f>
        <v>2315.544</v>
      </c>
      <c r="I107" s="5" t="n">
        <f aca="false">IF(H107&lt;=700,0,IF(H107&lt;=1000,9%*(H107-700),9%*300+15%*(H107-1000)))</f>
        <v>224.3316</v>
      </c>
      <c r="J107" s="5" t="n">
        <f aca="false">I107*15%</f>
        <v>33.64974</v>
      </c>
      <c r="K107" s="5" t="n">
        <f aca="false">H107-I107-J107</f>
        <v>2057.56266</v>
      </c>
      <c r="L107" s="5" t="n">
        <f aca="false">E107*0.5%</f>
        <v>12.936</v>
      </c>
      <c r="M107" s="5" t="n">
        <f aca="false">E107+L107</f>
        <v>2600.136</v>
      </c>
    </row>
    <row r="108" customFormat="false" ht="15" hidden="false" customHeight="false" outlineLevel="0" collapsed="false">
      <c r="A108" s="0" t="s">
        <v>207</v>
      </c>
      <c r="B108" s="0" t="str">
        <f aca="false">INDEX(Master_Lista!$B$2:$B$151,MATCH(A108,Master_Lista!$A$2:$A$151,0))</f>
        <v>Jelena Urosevic</v>
      </c>
      <c r="C108" s="0" t="s">
        <v>307</v>
      </c>
      <c r="D108" s="5" t="n">
        <f aca="false">IFERROR(INDEX(Pozicije!$B$2:$B$19,MATCH(C108,Pozicije!$A$2:$A$19,0)),0)</f>
        <v>12.5</v>
      </c>
      <c r="E108" s="5" t="n">
        <f aca="false">ROUND(D108*176*1,2)</f>
        <v>2200</v>
      </c>
      <c r="G108" s="5" t="n">
        <f aca="false">E108*10.5%</f>
        <v>231</v>
      </c>
      <c r="H108" s="5" t="n">
        <f aca="false">E108-G108</f>
        <v>1969</v>
      </c>
      <c r="I108" s="5" t="n">
        <f aca="false">IF(H108&lt;=700,0,IF(H108&lt;=1000,9%*(H108-700),9%*300+15%*(H108-1000)))</f>
        <v>172.35</v>
      </c>
      <c r="J108" s="5" t="n">
        <f aca="false">I108*15%</f>
        <v>25.8525</v>
      </c>
      <c r="K108" s="5" t="n">
        <f aca="false">H108-I108-J108</f>
        <v>1770.7975</v>
      </c>
      <c r="L108" s="5" t="n">
        <f aca="false">E108*0.5%</f>
        <v>11</v>
      </c>
      <c r="M108" s="5" t="n">
        <f aca="false">E108+L108</f>
        <v>2211</v>
      </c>
    </row>
    <row r="109" customFormat="false" ht="15" hidden="false" customHeight="false" outlineLevel="0" collapsed="false">
      <c r="A109" s="0" t="s">
        <v>208</v>
      </c>
      <c r="B109" s="0" t="str">
        <f aca="false">INDEX(Master_Lista!$B$2:$B$151,MATCH(A109,Master_Lista!$A$2:$A$151,0))</f>
        <v>Jovan Radovic</v>
      </c>
      <c r="C109" s="0" t="s">
        <v>308</v>
      </c>
      <c r="D109" s="5" t="n">
        <f aca="false">IFERROR(INDEX(Pozicije!$B$2:$B$19,MATCH(C109,Pozicije!$A$2:$A$19,0)),0)</f>
        <v>16</v>
      </c>
      <c r="E109" s="5" t="n">
        <f aca="false">ROUND(D109*176*1.02,2)</f>
        <v>2872.32</v>
      </c>
      <c r="G109" s="5" t="n">
        <f aca="false">E109*10.5%</f>
        <v>301.5936</v>
      </c>
      <c r="H109" s="5" t="n">
        <f aca="false">E109-G109</f>
        <v>2570.7264</v>
      </c>
      <c r="I109" s="5" t="n">
        <f aca="false">IF(H109&lt;=700,0,IF(H109&lt;=1000,9%*(H109-700),9%*300+15%*(H109-1000)))</f>
        <v>262.60896</v>
      </c>
      <c r="J109" s="5" t="n">
        <f aca="false">I109*15%</f>
        <v>39.391344</v>
      </c>
      <c r="K109" s="5" t="n">
        <f aca="false">H109-I109-J109</f>
        <v>2268.726096</v>
      </c>
      <c r="L109" s="5" t="n">
        <f aca="false">E109*0.5%</f>
        <v>14.3616</v>
      </c>
      <c r="M109" s="5" t="n">
        <f aca="false">E109+L109</f>
        <v>2886.6816</v>
      </c>
    </row>
    <row r="110" customFormat="false" ht="15" hidden="false" customHeight="false" outlineLevel="0" collapsed="false">
      <c r="A110" s="0" t="s">
        <v>210</v>
      </c>
      <c r="B110" s="0" t="str">
        <f aca="false">INDEX(Master_Lista!$B$2:$B$151,MATCH(A110,Master_Lista!$A$2:$A$151,0))</f>
        <v>Goran Nikolic</v>
      </c>
      <c r="C110" s="0" t="s">
        <v>291</v>
      </c>
      <c r="D110" s="5" t="n">
        <f aca="false">IFERROR(INDEX(Pozicije!$B$2:$B$19,MATCH(C110,Pozicije!$A$2:$A$19,0)),0)</f>
        <v>8.5</v>
      </c>
      <c r="E110" s="5" t="n">
        <f aca="false">ROUND(D110*176*1.04,2)</f>
        <v>1555.84</v>
      </c>
      <c r="G110" s="5" t="n">
        <f aca="false">E110*10.5%</f>
        <v>163.3632</v>
      </c>
      <c r="H110" s="5" t="n">
        <f aca="false">E110-G110</f>
        <v>1392.4768</v>
      </c>
      <c r="I110" s="5" t="n">
        <f aca="false">IF(H110&lt;=700,0,IF(H110&lt;=1000,9%*(H110-700),9%*300+15%*(H110-1000)))</f>
        <v>85.87152</v>
      </c>
      <c r="J110" s="5" t="n">
        <f aca="false">I110*15%</f>
        <v>12.880728</v>
      </c>
      <c r="K110" s="5" t="n">
        <f aca="false">H110-I110-J110</f>
        <v>1293.724552</v>
      </c>
      <c r="L110" s="5" t="n">
        <f aca="false">E110*0.5%</f>
        <v>7.7792</v>
      </c>
      <c r="M110" s="5" t="n">
        <f aca="false">E110+L110</f>
        <v>1563.6192</v>
      </c>
    </row>
    <row r="111" customFormat="false" ht="15" hidden="false" customHeight="false" outlineLevel="0" collapsed="false">
      <c r="A111" s="0" t="s">
        <v>212</v>
      </c>
      <c r="B111" s="0" t="str">
        <f aca="false">INDEX(Master_Lista!$B$2:$B$151,MATCH(A111,Master_Lista!$A$2:$A$151,0))</f>
        <v>Cedomir Urosevic</v>
      </c>
      <c r="C111" s="0" t="s">
        <v>292</v>
      </c>
      <c r="D111" s="5" t="n">
        <f aca="false">IFERROR(INDEX(Pozicije!$B$2:$B$19,MATCH(C111,Pozicije!$A$2:$A$19,0)),0)</f>
        <v>11</v>
      </c>
      <c r="E111" s="5" t="n">
        <f aca="false">ROUND(D111*176*1.06,2)</f>
        <v>2052.16</v>
      </c>
      <c r="G111" s="5" t="n">
        <f aca="false">E111*10.5%</f>
        <v>215.4768</v>
      </c>
      <c r="H111" s="5" t="n">
        <f aca="false">E111-G111</f>
        <v>1836.6832</v>
      </c>
      <c r="I111" s="5" t="n">
        <f aca="false">IF(H111&lt;=700,0,IF(H111&lt;=1000,9%*(H111-700),9%*300+15%*(H111-1000)))</f>
        <v>152.50248</v>
      </c>
      <c r="J111" s="5" t="n">
        <f aca="false">I111*15%</f>
        <v>22.875372</v>
      </c>
      <c r="K111" s="5" t="n">
        <f aca="false">H111-I111-J111</f>
        <v>1661.305348</v>
      </c>
      <c r="L111" s="5" t="n">
        <f aca="false">E111*0.5%</f>
        <v>10.2608</v>
      </c>
      <c r="M111" s="5" t="n">
        <f aca="false">E111+L111</f>
        <v>2062.4208</v>
      </c>
    </row>
    <row r="112" customFormat="false" ht="15" hidden="false" customHeight="false" outlineLevel="0" collapsed="false">
      <c r="A112" s="0" t="s">
        <v>214</v>
      </c>
      <c r="B112" s="0" t="str">
        <f aca="false">INDEX(Master_Lista!$B$2:$B$151,MATCH(A112,Master_Lista!$A$2:$A$151,0))</f>
        <v>Ivan Grujic</v>
      </c>
      <c r="C112" s="0" t="s">
        <v>293</v>
      </c>
      <c r="D112" s="5" t="n">
        <f aca="false">IFERROR(INDEX(Pozicije!$B$2:$B$19,MATCH(C112,Pozicije!$A$2:$A$19,0)),0)</f>
        <v>18</v>
      </c>
      <c r="E112" s="5" t="n">
        <f aca="false">ROUND(D112*176*0.98,2)</f>
        <v>3104.64</v>
      </c>
      <c r="G112" s="5" t="n">
        <f aca="false">E112*10.5%</f>
        <v>325.9872</v>
      </c>
      <c r="H112" s="5" t="n">
        <f aca="false">E112-G112</f>
        <v>2778.6528</v>
      </c>
      <c r="I112" s="5" t="n">
        <f aca="false">IF(H112&lt;=700,0,IF(H112&lt;=1000,9%*(H112-700),9%*300+15%*(H112-1000)))</f>
        <v>293.79792</v>
      </c>
      <c r="J112" s="5" t="n">
        <f aca="false">I112*15%</f>
        <v>44.069688</v>
      </c>
      <c r="K112" s="5" t="n">
        <f aca="false">H112-I112-J112</f>
        <v>2440.785192</v>
      </c>
      <c r="L112" s="5" t="n">
        <f aca="false">E112*0.5%</f>
        <v>15.5232</v>
      </c>
      <c r="M112" s="5" t="n">
        <f aca="false">E112+L112</f>
        <v>3120.1632</v>
      </c>
    </row>
    <row r="113" customFormat="false" ht="15" hidden="false" customHeight="false" outlineLevel="0" collapsed="false">
      <c r="A113" s="0" t="s">
        <v>216</v>
      </c>
      <c r="B113" s="0" t="str">
        <f aca="false">INDEX(Master_Lista!$B$2:$B$151,MATCH(A113,Master_Lista!$A$2:$A$151,0))</f>
        <v>Cedomir Obradovic</v>
      </c>
      <c r="C113" s="0" t="s">
        <v>294</v>
      </c>
      <c r="D113" s="5" t="n">
        <f aca="false">IFERROR(INDEX(Pozicije!$B$2:$B$19,MATCH(C113,Pozicije!$A$2:$A$19,0)),0)</f>
        <v>28</v>
      </c>
      <c r="E113" s="5" t="n">
        <f aca="false">ROUND(D113*176*1,2)</f>
        <v>4928</v>
      </c>
      <c r="G113" s="5" t="n">
        <f aca="false">E113*10.5%</f>
        <v>517.44</v>
      </c>
      <c r="H113" s="5" t="n">
        <f aca="false">E113-G113</f>
        <v>4410.56</v>
      </c>
      <c r="I113" s="5" t="n">
        <f aca="false">IF(H113&lt;=700,0,IF(H113&lt;=1000,9%*(H113-700),9%*300+15%*(H113-1000)))</f>
        <v>538.584</v>
      </c>
      <c r="J113" s="5" t="n">
        <f aca="false">I113*15%</f>
        <v>80.7876</v>
      </c>
      <c r="K113" s="5" t="n">
        <f aca="false">H113-I113-J113</f>
        <v>3791.1884</v>
      </c>
      <c r="L113" s="5" t="n">
        <f aca="false">E113*0.5%</f>
        <v>24.64</v>
      </c>
      <c r="M113" s="5" t="n">
        <f aca="false">E113+L113</f>
        <v>4952.64</v>
      </c>
    </row>
    <row r="114" customFormat="false" ht="15" hidden="false" customHeight="false" outlineLevel="0" collapsed="false">
      <c r="A114" s="0" t="s">
        <v>218</v>
      </c>
      <c r="B114" s="0" t="str">
        <f aca="false">INDEX(Master_Lista!$B$2:$B$151,MATCH(A114,Master_Lista!$A$2:$A$151,0))</f>
        <v>Zoran Markovic</v>
      </c>
      <c r="C114" s="0" t="s">
        <v>295</v>
      </c>
      <c r="D114" s="5" t="n">
        <f aca="false">IFERROR(INDEX(Pozicije!$B$2:$B$19,MATCH(C114,Pozicije!$A$2:$A$19,0)),0)</f>
        <v>9</v>
      </c>
      <c r="E114" s="5" t="n">
        <f aca="false">ROUND(D114*176*1.02,2)</f>
        <v>1615.68</v>
      </c>
      <c r="G114" s="5" t="n">
        <f aca="false">E114*10.5%</f>
        <v>169.6464</v>
      </c>
      <c r="H114" s="5" t="n">
        <f aca="false">E114-G114</f>
        <v>1446.0336</v>
      </c>
      <c r="I114" s="5" t="n">
        <f aca="false">IF(H114&lt;=700,0,IF(H114&lt;=1000,9%*(H114-700),9%*300+15%*(H114-1000)))</f>
        <v>93.90504</v>
      </c>
      <c r="J114" s="5" t="n">
        <f aca="false">I114*15%</f>
        <v>14.085756</v>
      </c>
      <c r="K114" s="5" t="n">
        <f aca="false">H114-I114-J114</f>
        <v>1338.042804</v>
      </c>
      <c r="L114" s="5" t="n">
        <f aca="false">E114*0.5%</f>
        <v>8.0784</v>
      </c>
      <c r="M114" s="5" t="n">
        <f aca="false">E114+L114</f>
        <v>1623.7584</v>
      </c>
    </row>
    <row r="115" customFormat="false" ht="15" hidden="false" customHeight="false" outlineLevel="0" collapsed="false">
      <c r="A115" s="0" t="s">
        <v>220</v>
      </c>
      <c r="B115" s="0" t="str">
        <f aca="false">INDEX(Master_Lista!$B$2:$B$151,MATCH(A115,Master_Lista!$A$2:$A$151,0))</f>
        <v>Petar Tomic</v>
      </c>
      <c r="C115" s="0" t="s">
        <v>296</v>
      </c>
      <c r="D115" s="5" t="n">
        <f aca="false">IFERROR(INDEX(Pozicije!$B$2:$B$19,MATCH(C115,Pozicije!$A$2:$A$19,0)),0)</f>
        <v>10</v>
      </c>
      <c r="E115" s="5" t="n">
        <f aca="false">ROUND(D115*176*1.04,2)</f>
        <v>1830.4</v>
      </c>
      <c r="G115" s="5" t="n">
        <f aca="false">E115*10.5%</f>
        <v>192.192</v>
      </c>
      <c r="H115" s="5" t="n">
        <f aca="false">E115-G115</f>
        <v>1638.208</v>
      </c>
      <c r="I115" s="5" t="n">
        <f aca="false">IF(H115&lt;=700,0,IF(H115&lt;=1000,9%*(H115-700),9%*300+15%*(H115-1000)))</f>
        <v>122.7312</v>
      </c>
      <c r="J115" s="5" t="n">
        <f aca="false">I115*15%</f>
        <v>18.40968</v>
      </c>
      <c r="K115" s="5" t="n">
        <f aca="false">H115-I115-J115</f>
        <v>1497.06712</v>
      </c>
      <c r="L115" s="5" t="n">
        <f aca="false">E115*0.5%</f>
        <v>9.152</v>
      </c>
      <c r="M115" s="5" t="n">
        <f aca="false">E115+L115</f>
        <v>1839.552</v>
      </c>
    </row>
    <row r="116" customFormat="false" ht="15" hidden="false" customHeight="false" outlineLevel="0" collapsed="false">
      <c r="A116" s="0" t="s">
        <v>222</v>
      </c>
      <c r="B116" s="0" t="str">
        <f aca="false">INDEX(Master_Lista!$B$2:$B$151,MATCH(A116,Master_Lista!$A$2:$A$151,0))</f>
        <v>Vuk Grujic</v>
      </c>
      <c r="C116" s="0" t="s">
        <v>297</v>
      </c>
      <c r="D116" s="5" t="n">
        <f aca="false">IFERROR(INDEX(Pozicije!$B$2:$B$19,MATCH(C116,Pozicije!$A$2:$A$19,0)),0)</f>
        <v>12</v>
      </c>
      <c r="E116" s="5" t="n">
        <f aca="false">ROUND(D116*176*1.06,2)</f>
        <v>2238.72</v>
      </c>
      <c r="G116" s="5" t="n">
        <f aca="false">E116*10.5%</f>
        <v>235.0656</v>
      </c>
      <c r="H116" s="5" t="n">
        <f aca="false">E116-G116</f>
        <v>2003.6544</v>
      </c>
      <c r="I116" s="5" t="n">
        <f aca="false">IF(H116&lt;=700,0,IF(H116&lt;=1000,9%*(H116-700),9%*300+15%*(H116-1000)))</f>
        <v>177.54816</v>
      </c>
      <c r="J116" s="5" t="n">
        <f aca="false">I116*15%</f>
        <v>26.632224</v>
      </c>
      <c r="K116" s="5" t="n">
        <f aca="false">H116-I116-J116</f>
        <v>1799.474016</v>
      </c>
      <c r="L116" s="5" t="n">
        <f aca="false">E116*0.5%</f>
        <v>11.1936</v>
      </c>
      <c r="M116" s="5" t="n">
        <f aca="false">E116+L116</f>
        <v>2249.9136</v>
      </c>
    </row>
    <row r="117" customFormat="false" ht="15" hidden="false" customHeight="false" outlineLevel="0" collapsed="false">
      <c r="A117" s="0" t="s">
        <v>224</v>
      </c>
      <c r="B117" s="0" t="str">
        <f aca="false">INDEX(Master_Lista!$B$2:$B$151,MATCH(A117,Master_Lista!$A$2:$A$151,0))</f>
        <v>Ana Urosevic</v>
      </c>
      <c r="C117" s="0" t="s">
        <v>298</v>
      </c>
      <c r="D117" s="5" t="n">
        <f aca="false">IFERROR(INDEX(Pozicije!$B$2:$B$19,MATCH(C117,Pozicije!$A$2:$A$19,0)),0)</f>
        <v>14</v>
      </c>
      <c r="E117" s="5" t="n">
        <f aca="false">ROUND(D117*176*0.98,2)</f>
        <v>2414.72</v>
      </c>
      <c r="G117" s="5" t="n">
        <f aca="false">E117*10.5%</f>
        <v>253.5456</v>
      </c>
      <c r="H117" s="5" t="n">
        <f aca="false">E117-G117</f>
        <v>2161.1744</v>
      </c>
      <c r="I117" s="5" t="n">
        <f aca="false">IF(H117&lt;=700,0,IF(H117&lt;=1000,9%*(H117-700),9%*300+15%*(H117-1000)))</f>
        <v>201.17616</v>
      </c>
      <c r="J117" s="5" t="n">
        <f aca="false">I117*15%</f>
        <v>30.176424</v>
      </c>
      <c r="K117" s="5" t="n">
        <f aca="false">H117-I117-J117</f>
        <v>1929.821816</v>
      </c>
      <c r="L117" s="5" t="n">
        <f aca="false">E117*0.5%</f>
        <v>12.0736</v>
      </c>
      <c r="M117" s="5" t="n">
        <f aca="false">E117+L117</f>
        <v>2426.7936</v>
      </c>
    </row>
    <row r="118" customFormat="false" ht="15" hidden="false" customHeight="false" outlineLevel="0" collapsed="false">
      <c r="A118" s="0" t="s">
        <v>226</v>
      </c>
      <c r="B118" s="0" t="str">
        <f aca="false">INDEX(Master_Lista!$B$2:$B$151,MATCH(A118,Master_Lista!$A$2:$A$151,0))</f>
        <v>Radoslav Zivkovic</v>
      </c>
      <c r="C118" s="0" t="s">
        <v>299</v>
      </c>
      <c r="D118" s="5" t="n">
        <f aca="false">IFERROR(INDEX(Pozicije!$B$2:$B$19,MATCH(C118,Pozicije!$A$2:$A$19,0)),0)</f>
        <v>20</v>
      </c>
      <c r="E118" s="5" t="n">
        <f aca="false">ROUND(D118*176*1,2)</f>
        <v>3520</v>
      </c>
      <c r="G118" s="5" t="n">
        <f aca="false">E118*10.5%</f>
        <v>369.6</v>
      </c>
      <c r="H118" s="5" t="n">
        <f aca="false">E118-G118</f>
        <v>3150.4</v>
      </c>
      <c r="I118" s="5" t="n">
        <f aca="false">IF(H118&lt;=700,0,IF(H118&lt;=1000,9%*(H118-700),9%*300+15%*(H118-1000)))</f>
        <v>349.56</v>
      </c>
      <c r="J118" s="5" t="n">
        <f aca="false">I118*15%</f>
        <v>52.434</v>
      </c>
      <c r="K118" s="5" t="n">
        <f aca="false">H118-I118-J118</f>
        <v>2748.406</v>
      </c>
      <c r="L118" s="5" t="n">
        <f aca="false">E118*0.5%</f>
        <v>17.6</v>
      </c>
      <c r="M118" s="5" t="n">
        <f aca="false">E118+L118</f>
        <v>3537.6</v>
      </c>
    </row>
    <row r="119" customFormat="false" ht="15" hidden="false" customHeight="false" outlineLevel="0" collapsed="false">
      <c r="A119" s="0" t="s">
        <v>228</v>
      </c>
      <c r="B119" s="0" t="str">
        <f aca="false">INDEX(Master_Lista!$B$2:$B$151,MATCH(A119,Master_Lista!$A$2:$A$151,0))</f>
        <v>Kosta Vasic</v>
      </c>
      <c r="C119" s="0" t="s">
        <v>300</v>
      </c>
      <c r="D119" s="5" t="n">
        <f aca="false">IFERROR(INDEX(Pozicije!$B$2:$B$19,MATCH(C119,Pozicije!$A$2:$A$19,0)),0)</f>
        <v>22</v>
      </c>
      <c r="E119" s="5" t="n">
        <f aca="false">ROUND(D119*176*1.02,2)</f>
        <v>3949.44</v>
      </c>
      <c r="G119" s="5" t="n">
        <f aca="false">E119*10.5%</f>
        <v>414.6912</v>
      </c>
      <c r="H119" s="5" t="n">
        <f aca="false">E119-G119</f>
        <v>3534.7488</v>
      </c>
      <c r="I119" s="5" t="n">
        <f aca="false">IF(H119&lt;=700,0,IF(H119&lt;=1000,9%*(H119-700),9%*300+15%*(H119-1000)))</f>
        <v>407.21232</v>
      </c>
      <c r="J119" s="5" t="n">
        <f aca="false">I119*15%</f>
        <v>61.081848</v>
      </c>
      <c r="K119" s="5" t="n">
        <f aca="false">H119-I119-J119</f>
        <v>3066.454632</v>
      </c>
      <c r="L119" s="5" t="n">
        <f aca="false">E119*0.5%</f>
        <v>19.7472</v>
      </c>
      <c r="M119" s="5" t="n">
        <f aca="false">E119+L119</f>
        <v>3969.1872</v>
      </c>
    </row>
    <row r="120" customFormat="false" ht="15" hidden="false" customHeight="false" outlineLevel="0" collapsed="false">
      <c r="A120" s="0" t="s">
        <v>229</v>
      </c>
      <c r="B120" s="0" t="str">
        <f aca="false">INDEX(Master_Lista!$B$2:$B$151,MATCH(A120,Master_Lista!$A$2:$A$151,0))</f>
        <v>Ivana Ilic</v>
      </c>
      <c r="C120" s="0" t="s">
        <v>301</v>
      </c>
      <c r="D120" s="5" t="n">
        <f aca="false">IFERROR(INDEX(Pozicije!$B$2:$B$19,MATCH(C120,Pozicije!$A$2:$A$19,0)),0)</f>
        <v>9.5</v>
      </c>
      <c r="E120" s="5" t="n">
        <f aca="false">ROUND(D120*176*1.04,2)</f>
        <v>1738.88</v>
      </c>
      <c r="G120" s="5" t="n">
        <f aca="false">E120*10.5%</f>
        <v>182.5824</v>
      </c>
      <c r="H120" s="5" t="n">
        <f aca="false">E120-G120</f>
        <v>1556.2976</v>
      </c>
      <c r="I120" s="5" t="n">
        <f aca="false">IF(H120&lt;=700,0,IF(H120&lt;=1000,9%*(H120-700),9%*300+15%*(H120-1000)))</f>
        <v>110.44464</v>
      </c>
      <c r="J120" s="5" t="n">
        <f aca="false">I120*15%</f>
        <v>16.566696</v>
      </c>
      <c r="K120" s="5" t="n">
        <f aca="false">H120-I120-J120</f>
        <v>1429.286264</v>
      </c>
      <c r="L120" s="5" t="n">
        <f aca="false">E120*0.5%</f>
        <v>8.6944</v>
      </c>
      <c r="M120" s="5" t="n">
        <f aca="false">E120+L120</f>
        <v>1747.5744</v>
      </c>
    </row>
    <row r="121" customFormat="false" ht="15" hidden="false" customHeight="false" outlineLevel="0" collapsed="false">
      <c r="A121" s="0" t="s">
        <v>231</v>
      </c>
      <c r="B121" s="0" t="str">
        <f aca="false">INDEX(Master_Lista!$B$2:$B$151,MATCH(A121,Master_Lista!$A$2:$A$151,0))</f>
        <v>Ivan Obradovic</v>
      </c>
      <c r="C121" s="0" t="s">
        <v>302</v>
      </c>
      <c r="D121" s="5" t="n">
        <f aca="false">IFERROR(INDEX(Pozicije!$B$2:$B$19,MATCH(C121,Pozicije!$A$2:$A$19,0)),0)</f>
        <v>8</v>
      </c>
      <c r="E121" s="5" t="n">
        <f aca="false">ROUND(D121*176*1.06,2)</f>
        <v>1492.48</v>
      </c>
      <c r="G121" s="5" t="n">
        <f aca="false">E121*10.5%</f>
        <v>156.7104</v>
      </c>
      <c r="H121" s="5" t="n">
        <f aca="false">E121-G121</f>
        <v>1335.7696</v>
      </c>
      <c r="I121" s="5" t="n">
        <f aca="false">IF(H121&lt;=700,0,IF(H121&lt;=1000,9%*(H121-700),9%*300+15%*(H121-1000)))</f>
        <v>77.36544</v>
      </c>
      <c r="J121" s="5" t="n">
        <f aca="false">I121*15%</f>
        <v>11.604816</v>
      </c>
      <c r="K121" s="5" t="n">
        <f aca="false">H121-I121-J121</f>
        <v>1246.799344</v>
      </c>
      <c r="L121" s="5" t="n">
        <f aca="false">E121*0.5%</f>
        <v>7.4624</v>
      </c>
      <c r="M121" s="5" t="n">
        <f aca="false">E121+L121</f>
        <v>1499.9424</v>
      </c>
    </row>
    <row r="122" customFormat="false" ht="15" hidden="false" customHeight="false" outlineLevel="0" collapsed="false">
      <c r="A122" s="0" t="s">
        <v>233</v>
      </c>
      <c r="B122" s="0" t="str">
        <f aca="false">INDEX(Master_Lista!$B$2:$B$151,MATCH(A122,Master_Lista!$A$2:$A$151,0))</f>
        <v>Vesna Kostic</v>
      </c>
      <c r="C122" s="0" t="s">
        <v>303</v>
      </c>
      <c r="D122" s="5" t="n">
        <f aca="false">IFERROR(INDEX(Pozicije!$B$2:$B$19,MATCH(C122,Pozicije!$A$2:$A$19,0)),0)</f>
        <v>7.5</v>
      </c>
      <c r="E122" s="5" t="n">
        <f aca="false">ROUND(D122*176*0.98,2)</f>
        <v>1293.6</v>
      </c>
      <c r="G122" s="5" t="n">
        <f aca="false">E122*10.5%</f>
        <v>135.828</v>
      </c>
      <c r="H122" s="5" t="n">
        <f aca="false">E122-G122</f>
        <v>1157.772</v>
      </c>
      <c r="I122" s="5" t="n">
        <f aca="false">IF(H122&lt;=700,0,IF(H122&lt;=1000,9%*(H122-700),9%*300+15%*(H122-1000)))</f>
        <v>50.6658</v>
      </c>
      <c r="J122" s="5" t="n">
        <f aca="false">I122*15%</f>
        <v>7.59987</v>
      </c>
      <c r="K122" s="5" t="n">
        <f aca="false">H122-I122-J122</f>
        <v>1099.50633</v>
      </c>
      <c r="L122" s="5" t="n">
        <f aca="false">E122*0.5%</f>
        <v>6.468</v>
      </c>
      <c r="M122" s="5" t="n">
        <f aca="false">E122+L122</f>
        <v>1300.068</v>
      </c>
    </row>
    <row r="123" customFormat="false" ht="15" hidden="false" customHeight="false" outlineLevel="0" collapsed="false">
      <c r="A123" s="0" t="s">
        <v>235</v>
      </c>
      <c r="B123" s="0" t="str">
        <f aca="false">INDEX(Master_Lista!$B$2:$B$151,MATCH(A123,Master_Lista!$A$2:$A$151,0))</f>
        <v>Luka Ilic</v>
      </c>
      <c r="C123" s="0" t="s">
        <v>304</v>
      </c>
      <c r="D123" s="5" t="n">
        <f aca="false">IFERROR(INDEX(Pozicije!$B$2:$B$19,MATCH(C123,Pozicije!$A$2:$A$19,0)),0)</f>
        <v>10.5</v>
      </c>
      <c r="E123" s="5" t="n">
        <f aca="false">ROUND(D123*176*1,2)</f>
        <v>1848</v>
      </c>
      <c r="G123" s="5" t="n">
        <f aca="false">E123*10.5%</f>
        <v>194.04</v>
      </c>
      <c r="H123" s="5" t="n">
        <f aca="false">E123-G123</f>
        <v>1653.96</v>
      </c>
      <c r="I123" s="5" t="n">
        <f aca="false">IF(H123&lt;=700,0,IF(H123&lt;=1000,9%*(H123-700),9%*300+15%*(H123-1000)))</f>
        <v>125.094</v>
      </c>
      <c r="J123" s="5" t="n">
        <f aca="false">I123*15%</f>
        <v>18.7641</v>
      </c>
      <c r="K123" s="5" t="n">
        <f aca="false">H123-I123-J123</f>
        <v>1510.1019</v>
      </c>
      <c r="L123" s="5" t="n">
        <f aca="false">E123*0.5%</f>
        <v>9.24</v>
      </c>
      <c r="M123" s="5" t="n">
        <f aca="false">E123+L123</f>
        <v>1857.24</v>
      </c>
    </row>
    <row r="124" customFormat="false" ht="15" hidden="false" customHeight="false" outlineLevel="0" collapsed="false">
      <c r="A124" s="0" t="s">
        <v>237</v>
      </c>
      <c r="B124" s="0" t="str">
        <f aca="false">INDEX(Master_Lista!$B$2:$B$151,MATCH(A124,Master_Lista!$A$2:$A$151,0))</f>
        <v>Petra Filipovic</v>
      </c>
      <c r="C124" s="0" t="s">
        <v>305</v>
      </c>
      <c r="D124" s="5" t="n">
        <f aca="false">IFERROR(INDEX(Pozicije!$B$2:$B$19,MATCH(C124,Pozicije!$A$2:$A$19,0)),0)</f>
        <v>25</v>
      </c>
      <c r="E124" s="5" t="n">
        <f aca="false">ROUND(D124*176*1.02,2)</f>
        <v>4488</v>
      </c>
      <c r="G124" s="5" t="n">
        <f aca="false">E124*10.5%</f>
        <v>471.24</v>
      </c>
      <c r="H124" s="5" t="n">
        <f aca="false">E124-G124</f>
        <v>4016.76</v>
      </c>
      <c r="I124" s="5" t="n">
        <f aca="false">IF(H124&lt;=700,0,IF(H124&lt;=1000,9%*(H124-700),9%*300+15%*(H124-1000)))</f>
        <v>479.514</v>
      </c>
      <c r="J124" s="5" t="n">
        <f aca="false">I124*15%</f>
        <v>71.9271</v>
      </c>
      <c r="K124" s="5" t="n">
        <f aca="false">H124-I124-J124</f>
        <v>3465.3189</v>
      </c>
      <c r="L124" s="5" t="n">
        <f aca="false">E124*0.5%</f>
        <v>22.44</v>
      </c>
      <c r="M124" s="5" t="n">
        <f aca="false">E124+L124</f>
        <v>4510.44</v>
      </c>
    </row>
    <row r="125" customFormat="false" ht="15" hidden="false" customHeight="false" outlineLevel="0" collapsed="false">
      <c r="A125" s="0" t="s">
        <v>239</v>
      </c>
      <c r="B125" s="0" t="str">
        <f aca="false">INDEX(Master_Lista!$B$2:$B$151,MATCH(A125,Master_Lista!$A$2:$A$151,0))</f>
        <v>Cedomir Babic</v>
      </c>
      <c r="C125" s="0" t="s">
        <v>306</v>
      </c>
      <c r="D125" s="5" t="n">
        <f aca="false">IFERROR(INDEX(Pozicije!$B$2:$B$19,MATCH(C125,Pozicije!$A$2:$A$19,0)),0)</f>
        <v>15</v>
      </c>
      <c r="E125" s="5" t="n">
        <f aca="false">ROUND(D125*176*1.04,2)</f>
        <v>2745.6</v>
      </c>
      <c r="G125" s="5" t="n">
        <f aca="false">E125*10.5%</f>
        <v>288.288</v>
      </c>
      <c r="H125" s="5" t="n">
        <f aca="false">E125-G125</f>
        <v>2457.312</v>
      </c>
      <c r="I125" s="5" t="n">
        <f aca="false">IF(H125&lt;=700,0,IF(H125&lt;=1000,9%*(H125-700),9%*300+15%*(H125-1000)))</f>
        <v>245.5968</v>
      </c>
      <c r="J125" s="5" t="n">
        <f aca="false">I125*15%</f>
        <v>36.83952</v>
      </c>
      <c r="K125" s="5" t="n">
        <f aca="false">H125-I125-J125</f>
        <v>2174.87568</v>
      </c>
      <c r="L125" s="5" t="n">
        <f aca="false">E125*0.5%</f>
        <v>13.728</v>
      </c>
      <c r="M125" s="5" t="n">
        <f aca="false">E125+L125</f>
        <v>2759.328</v>
      </c>
    </row>
    <row r="126" customFormat="false" ht="15" hidden="false" customHeight="false" outlineLevel="0" collapsed="false">
      <c r="A126" s="0" t="s">
        <v>241</v>
      </c>
      <c r="B126" s="0" t="str">
        <f aca="false">INDEX(Master_Lista!$B$2:$B$151,MATCH(A126,Master_Lista!$A$2:$A$151,0))</f>
        <v>Petar Ilic</v>
      </c>
      <c r="C126" s="0" t="s">
        <v>307</v>
      </c>
      <c r="D126" s="5" t="n">
        <f aca="false">IFERROR(INDEX(Pozicije!$B$2:$B$19,MATCH(C126,Pozicije!$A$2:$A$19,0)),0)</f>
        <v>12.5</v>
      </c>
      <c r="E126" s="5" t="n">
        <f aca="false">ROUND(D126*176*1.06,2)</f>
        <v>2332</v>
      </c>
      <c r="G126" s="5" t="n">
        <f aca="false">E126*10.5%</f>
        <v>244.86</v>
      </c>
      <c r="H126" s="5" t="n">
        <f aca="false">E126-G126</f>
        <v>2087.14</v>
      </c>
      <c r="I126" s="5" t="n">
        <f aca="false">IF(H126&lt;=700,0,IF(H126&lt;=1000,9%*(H126-700),9%*300+15%*(H126-1000)))</f>
        <v>190.071</v>
      </c>
      <c r="J126" s="5" t="n">
        <f aca="false">I126*15%</f>
        <v>28.51065</v>
      </c>
      <c r="K126" s="5" t="n">
        <f aca="false">H126-I126-J126</f>
        <v>1868.55835</v>
      </c>
      <c r="L126" s="5" t="n">
        <f aca="false">E126*0.5%</f>
        <v>11.66</v>
      </c>
      <c r="M126" s="5" t="n">
        <f aca="false">E126+L126</f>
        <v>2343.66</v>
      </c>
    </row>
    <row r="127" customFormat="false" ht="15" hidden="false" customHeight="false" outlineLevel="0" collapsed="false">
      <c r="A127" s="0" t="s">
        <v>243</v>
      </c>
      <c r="B127" s="0" t="str">
        <f aca="false">INDEX(Master_Lista!$B$2:$B$151,MATCH(A127,Master_Lista!$A$2:$A$151,0))</f>
        <v>Aleksandar Grujic</v>
      </c>
      <c r="C127" s="0" t="s">
        <v>308</v>
      </c>
      <c r="D127" s="5" t="n">
        <f aca="false">IFERROR(INDEX(Pozicije!$B$2:$B$19,MATCH(C127,Pozicije!$A$2:$A$19,0)),0)</f>
        <v>16</v>
      </c>
      <c r="E127" s="5" t="n">
        <f aca="false">ROUND(D127*176*0.98,2)</f>
        <v>2759.68</v>
      </c>
      <c r="G127" s="5" t="n">
        <f aca="false">E127*10.5%</f>
        <v>289.7664</v>
      </c>
      <c r="H127" s="5" t="n">
        <f aca="false">E127-G127</f>
        <v>2469.9136</v>
      </c>
      <c r="I127" s="5" t="n">
        <f aca="false">IF(H127&lt;=700,0,IF(H127&lt;=1000,9%*(H127-700),9%*300+15%*(H127-1000)))</f>
        <v>247.48704</v>
      </c>
      <c r="J127" s="5" t="n">
        <f aca="false">I127*15%</f>
        <v>37.123056</v>
      </c>
      <c r="K127" s="5" t="n">
        <f aca="false">H127-I127-J127</f>
        <v>2185.303504</v>
      </c>
      <c r="L127" s="5" t="n">
        <f aca="false">E127*0.5%</f>
        <v>13.7984</v>
      </c>
      <c r="M127" s="5" t="n">
        <f aca="false">E127+L127</f>
        <v>2773.4784</v>
      </c>
    </row>
    <row r="128" customFormat="false" ht="15" hidden="false" customHeight="false" outlineLevel="0" collapsed="false">
      <c r="A128" s="0" t="s">
        <v>245</v>
      </c>
      <c r="B128" s="0" t="str">
        <f aca="false">INDEX(Master_Lista!$B$2:$B$151,MATCH(A128,Master_Lista!$A$2:$A$151,0))</f>
        <v>Radmila Jankovic</v>
      </c>
      <c r="C128" s="0" t="s">
        <v>291</v>
      </c>
      <c r="D128" s="5" t="n">
        <f aca="false">IFERROR(INDEX(Pozicije!$B$2:$B$19,MATCH(C128,Pozicije!$A$2:$A$19,0)),0)</f>
        <v>8.5</v>
      </c>
      <c r="E128" s="5" t="n">
        <f aca="false">ROUND(D128*176*1,2)</f>
        <v>1496</v>
      </c>
      <c r="G128" s="5" t="n">
        <f aca="false">E128*10.5%</f>
        <v>157.08</v>
      </c>
      <c r="H128" s="5" t="n">
        <f aca="false">E128-G128</f>
        <v>1338.92</v>
      </c>
      <c r="I128" s="5" t="n">
        <f aca="false">IF(H128&lt;=700,0,IF(H128&lt;=1000,9%*(H128-700),9%*300+15%*(H128-1000)))</f>
        <v>77.838</v>
      </c>
      <c r="J128" s="5" t="n">
        <f aca="false">I128*15%</f>
        <v>11.6757</v>
      </c>
      <c r="K128" s="5" t="n">
        <f aca="false">H128-I128-J128</f>
        <v>1249.4063</v>
      </c>
      <c r="L128" s="5" t="n">
        <f aca="false">E128*0.5%</f>
        <v>7.48</v>
      </c>
      <c r="M128" s="5" t="n">
        <f aca="false">E128+L128</f>
        <v>1503.48</v>
      </c>
    </row>
    <row r="129" customFormat="false" ht="15" hidden="false" customHeight="false" outlineLevel="0" collapsed="false">
      <c r="A129" s="0" t="s">
        <v>247</v>
      </c>
      <c r="B129" s="0" t="str">
        <f aca="false">INDEX(Master_Lista!$B$2:$B$151,MATCH(A129,Master_Lista!$A$2:$A$151,0))</f>
        <v>Jelena Tomic</v>
      </c>
      <c r="C129" s="0" t="s">
        <v>292</v>
      </c>
      <c r="D129" s="5" t="n">
        <f aca="false">IFERROR(INDEX(Pozicije!$B$2:$B$19,MATCH(C129,Pozicije!$A$2:$A$19,0)),0)</f>
        <v>11</v>
      </c>
      <c r="E129" s="5" t="n">
        <f aca="false">ROUND(D129*176*1.02,2)</f>
        <v>1974.72</v>
      </c>
      <c r="G129" s="5" t="n">
        <f aca="false">E129*10.5%</f>
        <v>207.3456</v>
      </c>
      <c r="H129" s="5" t="n">
        <f aca="false">E129-G129</f>
        <v>1767.3744</v>
      </c>
      <c r="I129" s="5" t="n">
        <f aca="false">IF(H129&lt;=700,0,IF(H129&lt;=1000,9%*(H129-700),9%*300+15%*(H129-1000)))</f>
        <v>142.10616</v>
      </c>
      <c r="J129" s="5" t="n">
        <f aca="false">I129*15%</f>
        <v>21.315924</v>
      </c>
      <c r="K129" s="5" t="n">
        <f aca="false">H129-I129-J129</f>
        <v>1603.952316</v>
      </c>
      <c r="L129" s="5" t="n">
        <f aca="false">E129*0.5%</f>
        <v>9.8736</v>
      </c>
      <c r="M129" s="5" t="n">
        <f aca="false">E129+L129</f>
        <v>1984.5936</v>
      </c>
    </row>
    <row r="130" customFormat="false" ht="15" hidden="false" customHeight="false" outlineLevel="0" collapsed="false">
      <c r="A130" s="0" t="s">
        <v>249</v>
      </c>
      <c r="B130" s="0" t="str">
        <f aca="false">INDEX(Master_Lista!$B$2:$B$151,MATCH(A130,Master_Lista!$A$2:$A$151,0))</f>
        <v>Kosta Pavlovic</v>
      </c>
      <c r="C130" s="0" t="s">
        <v>293</v>
      </c>
      <c r="D130" s="5" t="n">
        <f aca="false">IFERROR(INDEX(Pozicije!$B$2:$B$19,MATCH(C130,Pozicije!$A$2:$A$19,0)),0)</f>
        <v>18</v>
      </c>
      <c r="E130" s="5" t="n">
        <f aca="false">ROUND(D130*176*1.04,2)</f>
        <v>3294.72</v>
      </c>
      <c r="G130" s="5" t="n">
        <f aca="false">E130*10.5%</f>
        <v>345.9456</v>
      </c>
      <c r="H130" s="5" t="n">
        <f aca="false">E130-G130</f>
        <v>2948.7744</v>
      </c>
      <c r="I130" s="5" t="n">
        <f aca="false">IF(H130&lt;=700,0,IF(H130&lt;=1000,9%*(H130-700),9%*300+15%*(H130-1000)))</f>
        <v>319.31616</v>
      </c>
      <c r="J130" s="5" t="n">
        <f aca="false">I130*15%</f>
        <v>47.897424</v>
      </c>
      <c r="K130" s="5" t="n">
        <f aca="false">H130-I130-J130</f>
        <v>2581.560816</v>
      </c>
      <c r="L130" s="5" t="n">
        <f aca="false">E130*0.5%</f>
        <v>16.4736</v>
      </c>
      <c r="M130" s="5" t="n">
        <f aca="false">E130+L130</f>
        <v>3311.1936</v>
      </c>
    </row>
    <row r="131" customFormat="false" ht="15" hidden="false" customHeight="false" outlineLevel="0" collapsed="false">
      <c r="A131" s="0" t="s">
        <v>251</v>
      </c>
      <c r="B131" s="0" t="str">
        <f aca="false">INDEX(Master_Lista!$B$2:$B$151,MATCH(A131,Master_Lista!$A$2:$A$151,0))</f>
        <v>Goran Urosevic</v>
      </c>
      <c r="C131" s="0" t="s">
        <v>294</v>
      </c>
      <c r="D131" s="5" t="n">
        <f aca="false">IFERROR(INDEX(Pozicije!$B$2:$B$19,MATCH(C131,Pozicije!$A$2:$A$19,0)),0)</f>
        <v>28</v>
      </c>
      <c r="E131" s="5" t="n">
        <f aca="false">ROUND(D131*176*1.06,2)</f>
        <v>5223.68</v>
      </c>
      <c r="G131" s="5" t="n">
        <f aca="false">E131*10.5%</f>
        <v>548.4864</v>
      </c>
      <c r="H131" s="5" t="n">
        <f aca="false">E131-G131</f>
        <v>4675.1936</v>
      </c>
      <c r="I131" s="5" t="n">
        <f aca="false">IF(H131&lt;=700,0,IF(H131&lt;=1000,9%*(H131-700),9%*300+15%*(H131-1000)))</f>
        <v>578.27904</v>
      </c>
      <c r="J131" s="5" t="n">
        <f aca="false">I131*15%</f>
        <v>86.741856</v>
      </c>
      <c r="K131" s="5" t="n">
        <f aca="false">H131-I131-J131</f>
        <v>4010.172704</v>
      </c>
      <c r="L131" s="5" t="n">
        <f aca="false">E131*0.5%</f>
        <v>26.1184</v>
      </c>
      <c r="M131" s="5" t="n">
        <f aca="false">E131+L131</f>
        <v>5249.7984</v>
      </c>
    </row>
    <row r="132" customFormat="false" ht="15" hidden="false" customHeight="false" outlineLevel="0" collapsed="false">
      <c r="A132" s="0" t="s">
        <v>253</v>
      </c>
      <c r="B132" s="0" t="str">
        <f aca="false">INDEX(Master_Lista!$B$2:$B$151,MATCH(A132,Master_Lista!$A$2:$A$151,0))</f>
        <v>Dragan Kostic</v>
      </c>
      <c r="C132" s="0" t="s">
        <v>295</v>
      </c>
      <c r="D132" s="5" t="n">
        <f aca="false">IFERROR(INDEX(Pozicije!$B$2:$B$19,MATCH(C132,Pozicije!$A$2:$A$19,0)),0)</f>
        <v>9</v>
      </c>
      <c r="E132" s="5" t="n">
        <f aca="false">ROUND(D132*176*0.98,2)</f>
        <v>1552.32</v>
      </c>
      <c r="G132" s="5" t="n">
        <f aca="false">E132*10.5%</f>
        <v>162.9936</v>
      </c>
      <c r="H132" s="5" t="n">
        <f aca="false">E132-G132</f>
        <v>1389.3264</v>
      </c>
      <c r="I132" s="5" t="n">
        <f aca="false">IF(H132&lt;=700,0,IF(H132&lt;=1000,9%*(H132-700),9%*300+15%*(H132-1000)))</f>
        <v>85.39896</v>
      </c>
      <c r="J132" s="5" t="n">
        <f aca="false">I132*15%</f>
        <v>12.809844</v>
      </c>
      <c r="K132" s="5" t="n">
        <f aca="false">H132-I132-J132</f>
        <v>1291.117596</v>
      </c>
      <c r="L132" s="5" t="n">
        <f aca="false">E132*0.5%</f>
        <v>7.7616</v>
      </c>
      <c r="M132" s="5" t="n">
        <f aca="false">E132+L132</f>
        <v>1560.0816</v>
      </c>
    </row>
    <row r="133" customFormat="false" ht="15" hidden="false" customHeight="false" outlineLevel="0" collapsed="false">
      <c r="A133" s="0" t="s">
        <v>255</v>
      </c>
      <c r="B133" s="0" t="str">
        <f aca="false">INDEX(Master_Lista!$B$2:$B$151,MATCH(A133,Master_Lista!$A$2:$A$151,0))</f>
        <v>Petar Antic</v>
      </c>
      <c r="C133" s="0" t="s">
        <v>296</v>
      </c>
      <c r="D133" s="5" t="n">
        <f aca="false">IFERROR(INDEX(Pozicije!$B$2:$B$19,MATCH(C133,Pozicije!$A$2:$A$19,0)),0)</f>
        <v>10</v>
      </c>
      <c r="E133" s="5" t="n">
        <f aca="false">ROUND(D133*176*1,2)</f>
        <v>1760</v>
      </c>
      <c r="G133" s="5" t="n">
        <f aca="false">E133*10.5%</f>
        <v>184.8</v>
      </c>
      <c r="H133" s="5" t="n">
        <f aca="false">E133-G133</f>
        <v>1575.2</v>
      </c>
      <c r="I133" s="5" t="n">
        <f aca="false">IF(H133&lt;=700,0,IF(H133&lt;=1000,9%*(H133-700),9%*300+15%*(H133-1000)))</f>
        <v>113.28</v>
      </c>
      <c r="J133" s="5" t="n">
        <f aca="false">I133*15%</f>
        <v>16.992</v>
      </c>
      <c r="K133" s="5" t="n">
        <f aca="false">H133-I133-J133</f>
        <v>1444.928</v>
      </c>
      <c r="L133" s="5" t="n">
        <f aca="false">E133*0.5%</f>
        <v>8.8</v>
      </c>
      <c r="M133" s="5" t="n">
        <f aca="false">E133+L133</f>
        <v>1768.8</v>
      </c>
    </row>
    <row r="134" customFormat="false" ht="15" hidden="false" customHeight="false" outlineLevel="0" collapsed="false">
      <c r="A134" s="0" t="s">
        <v>256</v>
      </c>
      <c r="B134" s="0" t="str">
        <f aca="false">INDEX(Master_Lista!$B$2:$B$151,MATCH(A134,Master_Lista!$A$2:$A$151,0))</f>
        <v>Milan Jankovic</v>
      </c>
      <c r="C134" s="0" t="s">
        <v>297</v>
      </c>
      <c r="D134" s="5" t="n">
        <f aca="false">IFERROR(INDEX(Pozicije!$B$2:$B$19,MATCH(C134,Pozicije!$A$2:$A$19,0)),0)</f>
        <v>12</v>
      </c>
      <c r="E134" s="5" t="n">
        <f aca="false">ROUND(D134*176*1.02,2)</f>
        <v>2154.24</v>
      </c>
      <c r="G134" s="5" t="n">
        <f aca="false">E134*10.5%</f>
        <v>226.1952</v>
      </c>
      <c r="H134" s="5" t="n">
        <f aca="false">E134-G134</f>
        <v>1928.0448</v>
      </c>
      <c r="I134" s="5" t="n">
        <f aca="false">IF(H134&lt;=700,0,IF(H134&lt;=1000,9%*(H134-700),9%*300+15%*(H134-1000)))</f>
        <v>166.20672</v>
      </c>
      <c r="J134" s="5" t="n">
        <f aca="false">I134*15%</f>
        <v>24.931008</v>
      </c>
      <c r="K134" s="5" t="n">
        <f aca="false">H134-I134-J134</f>
        <v>1736.907072</v>
      </c>
      <c r="L134" s="5" t="n">
        <f aca="false">E134*0.5%</f>
        <v>10.7712</v>
      </c>
      <c r="M134" s="5" t="n">
        <f aca="false">E134+L134</f>
        <v>2165.0112</v>
      </c>
    </row>
    <row r="135" customFormat="false" ht="15" hidden="false" customHeight="false" outlineLevel="0" collapsed="false">
      <c r="A135" s="0" t="s">
        <v>258</v>
      </c>
      <c r="B135" s="0" t="str">
        <f aca="false">INDEX(Master_Lista!$B$2:$B$151,MATCH(A135,Master_Lista!$A$2:$A$151,0))</f>
        <v>Radoslav Antic</v>
      </c>
      <c r="C135" s="0" t="s">
        <v>298</v>
      </c>
      <c r="D135" s="5" t="n">
        <f aca="false">IFERROR(INDEX(Pozicije!$B$2:$B$19,MATCH(C135,Pozicije!$A$2:$A$19,0)),0)</f>
        <v>14</v>
      </c>
      <c r="E135" s="5" t="n">
        <f aca="false">ROUND(D135*176*1.04,2)</f>
        <v>2562.56</v>
      </c>
      <c r="G135" s="5" t="n">
        <f aca="false">E135*10.5%</f>
        <v>269.0688</v>
      </c>
      <c r="H135" s="5" t="n">
        <f aca="false">E135-G135</f>
        <v>2293.4912</v>
      </c>
      <c r="I135" s="5" t="n">
        <f aca="false">IF(H135&lt;=700,0,IF(H135&lt;=1000,9%*(H135-700),9%*300+15%*(H135-1000)))</f>
        <v>221.02368</v>
      </c>
      <c r="J135" s="5" t="n">
        <f aca="false">I135*15%</f>
        <v>33.153552</v>
      </c>
      <c r="K135" s="5" t="n">
        <f aca="false">H135-I135-J135</f>
        <v>2039.313968</v>
      </c>
      <c r="L135" s="5" t="n">
        <f aca="false">E135*0.5%</f>
        <v>12.8128</v>
      </c>
      <c r="M135" s="5" t="n">
        <f aca="false">E135+L135</f>
        <v>2575.3728</v>
      </c>
    </row>
    <row r="136" customFormat="false" ht="15" hidden="false" customHeight="false" outlineLevel="0" collapsed="false">
      <c r="A136" s="0" t="s">
        <v>260</v>
      </c>
      <c r="B136" s="0" t="str">
        <f aca="false">INDEX(Master_Lista!$B$2:$B$151,MATCH(A136,Master_Lista!$A$2:$A$151,0))</f>
        <v>Tomas Radovic</v>
      </c>
      <c r="C136" s="0" t="s">
        <v>299</v>
      </c>
      <c r="D136" s="5" t="n">
        <f aca="false">IFERROR(INDEX(Pozicije!$B$2:$B$19,MATCH(C136,Pozicije!$A$2:$A$19,0)),0)</f>
        <v>20</v>
      </c>
      <c r="E136" s="5" t="n">
        <f aca="false">ROUND(D136*176*1.06,2)</f>
        <v>3731.2</v>
      </c>
      <c r="G136" s="5" t="n">
        <f aca="false">E136*10.5%</f>
        <v>391.776</v>
      </c>
      <c r="H136" s="5" t="n">
        <f aca="false">E136-G136</f>
        <v>3339.424</v>
      </c>
      <c r="I136" s="5" t="n">
        <f aca="false">IF(H136&lt;=700,0,IF(H136&lt;=1000,9%*(H136-700),9%*300+15%*(H136-1000)))</f>
        <v>377.9136</v>
      </c>
      <c r="J136" s="5" t="n">
        <f aca="false">I136*15%</f>
        <v>56.68704</v>
      </c>
      <c r="K136" s="5" t="n">
        <f aca="false">H136-I136-J136</f>
        <v>2904.82336</v>
      </c>
      <c r="L136" s="5" t="n">
        <f aca="false">E136*0.5%</f>
        <v>18.656</v>
      </c>
      <c r="M136" s="5" t="n">
        <f aca="false">E136+L136</f>
        <v>3749.856</v>
      </c>
    </row>
    <row r="137" customFormat="false" ht="15" hidden="false" customHeight="false" outlineLevel="0" collapsed="false">
      <c r="A137" s="0" t="s">
        <v>262</v>
      </c>
      <c r="B137" s="0" t="str">
        <f aca="false">INDEX(Master_Lista!$B$2:$B$151,MATCH(A137,Master_Lista!$A$2:$A$151,0))</f>
        <v>Petar Vasic</v>
      </c>
      <c r="C137" s="0" t="s">
        <v>300</v>
      </c>
      <c r="D137" s="5" t="n">
        <f aca="false">IFERROR(INDEX(Pozicije!$B$2:$B$19,MATCH(C137,Pozicije!$A$2:$A$19,0)),0)</f>
        <v>22</v>
      </c>
      <c r="E137" s="5" t="n">
        <f aca="false">ROUND(D137*176*0.98,2)</f>
        <v>3794.56</v>
      </c>
      <c r="G137" s="5" t="n">
        <f aca="false">E137*10.5%</f>
        <v>398.4288</v>
      </c>
      <c r="H137" s="5" t="n">
        <f aca="false">E137-G137</f>
        <v>3396.1312</v>
      </c>
      <c r="I137" s="5" t="n">
        <f aca="false">IF(H137&lt;=700,0,IF(H137&lt;=1000,9%*(H137-700),9%*300+15%*(H137-1000)))</f>
        <v>386.41968</v>
      </c>
      <c r="J137" s="5" t="n">
        <f aca="false">I137*15%</f>
        <v>57.962952</v>
      </c>
      <c r="K137" s="5" t="n">
        <f aca="false">H137-I137-J137</f>
        <v>2951.748568</v>
      </c>
      <c r="L137" s="5" t="n">
        <f aca="false">E137*0.5%</f>
        <v>18.9728</v>
      </c>
      <c r="M137" s="5" t="n">
        <f aca="false">E137+L137</f>
        <v>3813.5328</v>
      </c>
    </row>
    <row r="138" customFormat="false" ht="15" hidden="false" customHeight="false" outlineLevel="0" collapsed="false">
      <c r="A138" s="0" t="s">
        <v>264</v>
      </c>
      <c r="B138" s="0" t="str">
        <f aca="false">INDEX(Master_Lista!$B$2:$B$151,MATCH(A138,Master_Lista!$A$2:$A$151,0))</f>
        <v>Petar Babic</v>
      </c>
      <c r="C138" s="0" t="s">
        <v>301</v>
      </c>
      <c r="D138" s="5" t="n">
        <f aca="false">IFERROR(INDEX(Pozicije!$B$2:$B$19,MATCH(C138,Pozicije!$A$2:$A$19,0)),0)</f>
        <v>9.5</v>
      </c>
      <c r="E138" s="5" t="n">
        <f aca="false">ROUND(D138*176*1,2)</f>
        <v>1672</v>
      </c>
      <c r="G138" s="5" t="n">
        <f aca="false">E138*10.5%</f>
        <v>175.56</v>
      </c>
      <c r="H138" s="5" t="n">
        <f aca="false">E138-G138</f>
        <v>1496.44</v>
      </c>
      <c r="I138" s="5" t="n">
        <f aca="false">IF(H138&lt;=700,0,IF(H138&lt;=1000,9%*(H138-700),9%*300+15%*(H138-1000)))</f>
        <v>101.466</v>
      </c>
      <c r="J138" s="5" t="n">
        <f aca="false">I138*15%</f>
        <v>15.2199</v>
      </c>
      <c r="K138" s="5" t="n">
        <f aca="false">H138-I138-J138</f>
        <v>1379.7541</v>
      </c>
      <c r="L138" s="5" t="n">
        <f aca="false">E138*0.5%</f>
        <v>8.36</v>
      </c>
      <c r="M138" s="5" t="n">
        <f aca="false">E138+L138</f>
        <v>1680.36</v>
      </c>
    </row>
    <row r="139" customFormat="false" ht="15" hidden="false" customHeight="false" outlineLevel="0" collapsed="false">
      <c r="A139" s="0" t="s">
        <v>266</v>
      </c>
      <c r="B139" s="0" t="str">
        <f aca="false">INDEX(Master_Lista!$B$2:$B$151,MATCH(A139,Master_Lista!$A$2:$A$151,0))</f>
        <v>Ana Urosevic</v>
      </c>
      <c r="C139" s="0" t="s">
        <v>302</v>
      </c>
      <c r="D139" s="5" t="n">
        <f aca="false">IFERROR(INDEX(Pozicije!$B$2:$B$19,MATCH(C139,Pozicije!$A$2:$A$19,0)),0)</f>
        <v>8</v>
      </c>
      <c r="E139" s="5" t="n">
        <f aca="false">ROUND(D139*176*1.02,2)</f>
        <v>1436.16</v>
      </c>
      <c r="G139" s="5" t="n">
        <f aca="false">E139*10.5%</f>
        <v>150.7968</v>
      </c>
      <c r="H139" s="5" t="n">
        <f aca="false">E139-G139</f>
        <v>1285.3632</v>
      </c>
      <c r="I139" s="5" t="n">
        <f aca="false">IF(H139&lt;=700,0,IF(H139&lt;=1000,9%*(H139-700),9%*300+15%*(H139-1000)))</f>
        <v>69.80448</v>
      </c>
      <c r="J139" s="5" t="n">
        <f aca="false">I139*15%</f>
        <v>10.470672</v>
      </c>
      <c r="K139" s="5" t="n">
        <f aca="false">H139-I139-J139</f>
        <v>1205.088048</v>
      </c>
      <c r="L139" s="5" t="n">
        <f aca="false">E139*0.5%</f>
        <v>7.1808</v>
      </c>
      <c r="M139" s="5" t="n">
        <f aca="false">E139+L139</f>
        <v>1443.3408</v>
      </c>
    </row>
    <row r="140" customFormat="false" ht="15" hidden="false" customHeight="false" outlineLevel="0" collapsed="false">
      <c r="A140" s="0" t="s">
        <v>267</v>
      </c>
      <c r="B140" s="0" t="str">
        <f aca="false">INDEX(Master_Lista!$B$2:$B$151,MATCH(A140,Master_Lista!$A$2:$A$151,0))</f>
        <v>Petar Cvetkovic</v>
      </c>
      <c r="C140" s="0" t="s">
        <v>303</v>
      </c>
      <c r="D140" s="5" t="n">
        <f aca="false">IFERROR(INDEX(Pozicije!$B$2:$B$19,MATCH(C140,Pozicije!$A$2:$A$19,0)),0)</f>
        <v>7.5</v>
      </c>
      <c r="E140" s="5" t="n">
        <f aca="false">ROUND(D140*176*1.04,2)</f>
        <v>1372.8</v>
      </c>
      <c r="G140" s="5" t="n">
        <f aca="false">E140*10.5%</f>
        <v>144.144</v>
      </c>
      <c r="H140" s="5" t="n">
        <f aca="false">E140-G140</f>
        <v>1228.656</v>
      </c>
      <c r="I140" s="5" t="n">
        <f aca="false">IF(H140&lt;=700,0,IF(H140&lt;=1000,9%*(H140-700),9%*300+15%*(H140-1000)))</f>
        <v>61.2984</v>
      </c>
      <c r="J140" s="5" t="n">
        <f aca="false">I140*15%</f>
        <v>9.19476</v>
      </c>
      <c r="K140" s="5" t="n">
        <f aca="false">H140-I140-J140</f>
        <v>1158.16284</v>
      </c>
      <c r="L140" s="5" t="n">
        <f aca="false">E140*0.5%</f>
        <v>6.864</v>
      </c>
      <c r="M140" s="5" t="n">
        <f aca="false">E140+L140</f>
        <v>1379.664</v>
      </c>
    </row>
    <row r="141" customFormat="false" ht="15" hidden="false" customHeight="false" outlineLevel="0" collapsed="false">
      <c r="A141" s="0" t="s">
        <v>269</v>
      </c>
      <c r="B141" s="0" t="str">
        <f aca="false">INDEX(Master_Lista!$B$2:$B$151,MATCH(A141,Master_Lista!$A$2:$A$151,0))</f>
        <v>Tamara Urosevic</v>
      </c>
      <c r="C141" s="0" t="s">
        <v>304</v>
      </c>
      <c r="D141" s="5" t="n">
        <f aca="false">IFERROR(INDEX(Pozicije!$B$2:$B$19,MATCH(C141,Pozicije!$A$2:$A$19,0)),0)</f>
        <v>10.5</v>
      </c>
      <c r="E141" s="5" t="n">
        <f aca="false">ROUND(D141*176*1.06,2)</f>
        <v>1958.88</v>
      </c>
      <c r="G141" s="5" t="n">
        <f aca="false">E141*10.5%</f>
        <v>205.6824</v>
      </c>
      <c r="H141" s="5" t="n">
        <f aca="false">E141-G141</f>
        <v>1753.1976</v>
      </c>
      <c r="I141" s="5" t="n">
        <f aca="false">IF(H141&lt;=700,0,IF(H141&lt;=1000,9%*(H141-700),9%*300+15%*(H141-1000)))</f>
        <v>139.97964</v>
      </c>
      <c r="J141" s="5" t="n">
        <f aca="false">I141*15%</f>
        <v>20.996946</v>
      </c>
      <c r="K141" s="5" t="n">
        <f aca="false">H141-I141-J141</f>
        <v>1592.221014</v>
      </c>
      <c r="L141" s="5" t="n">
        <f aca="false">E141*0.5%</f>
        <v>9.7944</v>
      </c>
      <c r="M141" s="5" t="n">
        <f aca="false">E141+L141</f>
        <v>1968.6744</v>
      </c>
    </row>
    <row r="142" customFormat="false" ht="15" hidden="false" customHeight="false" outlineLevel="0" collapsed="false">
      <c r="A142" s="0" t="s">
        <v>271</v>
      </c>
      <c r="B142" s="0" t="str">
        <f aca="false">INDEX(Master_Lista!$B$2:$B$151,MATCH(A142,Master_Lista!$A$2:$A$151,0))</f>
        <v>Tomas Urosevic</v>
      </c>
      <c r="C142" s="0" t="s">
        <v>305</v>
      </c>
      <c r="D142" s="5" t="n">
        <f aca="false">IFERROR(INDEX(Pozicije!$B$2:$B$19,MATCH(C142,Pozicije!$A$2:$A$19,0)),0)</f>
        <v>25</v>
      </c>
      <c r="E142" s="5" t="n">
        <f aca="false">ROUND(D142*176*0.98,2)</f>
        <v>4312</v>
      </c>
      <c r="G142" s="5" t="n">
        <f aca="false">E142*10.5%</f>
        <v>452.76</v>
      </c>
      <c r="H142" s="5" t="n">
        <f aca="false">E142-G142</f>
        <v>3859.24</v>
      </c>
      <c r="I142" s="5" t="n">
        <f aca="false">IF(H142&lt;=700,0,IF(H142&lt;=1000,9%*(H142-700),9%*300+15%*(H142-1000)))</f>
        <v>455.886</v>
      </c>
      <c r="J142" s="5" t="n">
        <f aca="false">I142*15%</f>
        <v>68.3829</v>
      </c>
      <c r="K142" s="5" t="n">
        <f aca="false">H142-I142-J142</f>
        <v>3334.9711</v>
      </c>
      <c r="L142" s="5" t="n">
        <f aca="false">E142*0.5%</f>
        <v>21.56</v>
      </c>
      <c r="M142" s="5" t="n">
        <f aca="false">E142+L142</f>
        <v>4333.56</v>
      </c>
    </row>
    <row r="143" customFormat="false" ht="15" hidden="false" customHeight="false" outlineLevel="0" collapsed="false">
      <c r="A143" s="0" t="s">
        <v>273</v>
      </c>
      <c r="B143" s="0" t="str">
        <f aca="false">INDEX(Master_Lista!$B$2:$B$151,MATCH(A143,Master_Lista!$A$2:$A$151,0))</f>
        <v>Filip Vasic</v>
      </c>
      <c r="C143" s="0" t="s">
        <v>306</v>
      </c>
      <c r="D143" s="5" t="n">
        <f aca="false">IFERROR(INDEX(Pozicije!$B$2:$B$19,MATCH(C143,Pozicije!$A$2:$A$19,0)),0)</f>
        <v>15</v>
      </c>
      <c r="E143" s="5" t="n">
        <f aca="false">ROUND(D143*176*1,2)</f>
        <v>2640</v>
      </c>
      <c r="G143" s="5" t="n">
        <f aca="false">E143*10.5%</f>
        <v>277.2</v>
      </c>
      <c r="H143" s="5" t="n">
        <f aca="false">E143-G143</f>
        <v>2362.8</v>
      </c>
      <c r="I143" s="5" t="n">
        <f aca="false">IF(H143&lt;=700,0,IF(H143&lt;=1000,9%*(H143-700),9%*300+15%*(H143-1000)))</f>
        <v>231.42</v>
      </c>
      <c r="J143" s="5" t="n">
        <f aca="false">I143*15%</f>
        <v>34.713</v>
      </c>
      <c r="K143" s="5" t="n">
        <f aca="false">H143-I143-J143</f>
        <v>2096.667</v>
      </c>
      <c r="L143" s="5" t="n">
        <f aca="false">E143*0.5%</f>
        <v>13.2</v>
      </c>
      <c r="M143" s="5" t="n">
        <f aca="false">E143+L143</f>
        <v>2653.2</v>
      </c>
    </row>
    <row r="144" customFormat="false" ht="15" hidden="false" customHeight="false" outlineLevel="0" collapsed="false">
      <c r="A144" s="0" t="s">
        <v>275</v>
      </c>
      <c r="B144" s="0" t="str">
        <f aca="false">INDEX(Master_Lista!$B$2:$B$151,MATCH(A144,Master_Lista!$A$2:$A$151,0))</f>
        <v>Ivan Babic</v>
      </c>
      <c r="C144" s="0" t="s">
        <v>307</v>
      </c>
      <c r="D144" s="5" t="n">
        <f aca="false">IFERROR(INDEX(Pozicije!$B$2:$B$19,MATCH(C144,Pozicije!$A$2:$A$19,0)),0)</f>
        <v>12.5</v>
      </c>
      <c r="E144" s="5" t="n">
        <f aca="false">ROUND(D144*176*1.02,2)</f>
        <v>2244</v>
      </c>
      <c r="G144" s="5" t="n">
        <f aca="false">E144*10.5%</f>
        <v>235.62</v>
      </c>
      <c r="H144" s="5" t="n">
        <f aca="false">E144-G144</f>
        <v>2008.38</v>
      </c>
      <c r="I144" s="5" t="n">
        <f aca="false">IF(H144&lt;=700,0,IF(H144&lt;=1000,9%*(H144-700),9%*300+15%*(H144-1000)))</f>
        <v>178.257</v>
      </c>
      <c r="J144" s="5" t="n">
        <f aca="false">I144*15%</f>
        <v>26.73855</v>
      </c>
      <c r="K144" s="5" t="n">
        <f aca="false">H144-I144-J144</f>
        <v>1803.38445</v>
      </c>
      <c r="L144" s="5" t="n">
        <f aca="false">E144*0.5%</f>
        <v>11.22</v>
      </c>
      <c r="M144" s="5" t="n">
        <f aca="false">E144+L144</f>
        <v>2255.22</v>
      </c>
    </row>
    <row r="145" customFormat="false" ht="15" hidden="false" customHeight="false" outlineLevel="0" collapsed="false">
      <c r="A145" s="0" t="s">
        <v>277</v>
      </c>
      <c r="B145" s="0" t="str">
        <f aca="false">INDEX(Master_Lista!$B$2:$B$151,MATCH(A145,Master_Lista!$A$2:$A$151,0))</f>
        <v>Cedomir Vasic</v>
      </c>
      <c r="C145" s="0" t="s">
        <v>308</v>
      </c>
      <c r="D145" s="5" t="n">
        <f aca="false">IFERROR(INDEX(Pozicije!$B$2:$B$19,MATCH(C145,Pozicije!$A$2:$A$19,0)),0)</f>
        <v>16</v>
      </c>
      <c r="E145" s="5" t="n">
        <f aca="false">ROUND(D145*176*1.04,2)</f>
        <v>2928.64</v>
      </c>
      <c r="G145" s="5" t="n">
        <f aca="false">E145*10.5%</f>
        <v>307.5072</v>
      </c>
      <c r="H145" s="5" t="n">
        <f aca="false">E145-G145</f>
        <v>2621.1328</v>
      </c>
      <c r="I145" s="5" t="n">
        <f aca="false">IF(H145&lt;=700,0,IF(H145&lt;=1000,9%*(H145-700),9%*300+15%*(H145-1000)))</f>
        <v>270.16992</v>
      </c>
      <c r="J145" s="5" t="n">
        <f aca="false">I145*15%</f>
        <v>40.525488</v>
      </c>
      <c r="K145" s="5" t="n">
        <f aca="false">H145-I145-J145</f>
        <v>2310.437392</v>
      </c>
      <c r="L145" s="5" t="n">
        <f aca="false">E145*0.5%</f>
        <v>14.6432</v>
      </c>
      <c r="M145" s="5" t="n">
        <f aca="false">E145+L145</f>
        <v>2943.2832</v>
      </c>
    </row>
    <row r="146" customFormat="false" ht="15" hidden="false" customHeight="false" outlineLevel="0" collapsed="false">
      <c r="A146" s="0" t="s">
        <v>278</v>
      </c>
      <c r="B146" s="0" t="str">
        <f aca="false">INDEX(Master_Lista!$B$2:$B$151,MATCH(A146,Master_Lista!$A$2:$A$151,0))</f>
        <v>Filip Pavlovic</v>
      </c>
      <c r="C146" s="0" t="s">
        <v>291</v>
      </c>
      <c r="D146" s="5" t="n">
        <f aca="false">IFERROR(INDEX(Pozicije!$B$2:$B$19,MATCH(C146,Pozicije!$A$2:$A$19,0)),0)</f>
        <v>8.5</v>
      </c>
      <c r="E146" s="5" t="n">
        <f aca="false">ROUND(D146*176*1.06,2)</f>
        <v>1585.76</v>
      </c>
      <c r="G146" s="5" t="n">
        <f aca="false">E146*10.5%</f>
        <v>166.5048</v>
      </c>
      <c r="H146" s="5" t="n">
        <f aca="false">E146-G146</f>
        <v>1419.2552</v>
      </c>
      <c r="I146" s="5" t="n">
        <f aca="false">IF(H146&lt;=700,0,IF(H146&lt;=1000,9%*(H146-700),9%*300+15%*(H146-1000)))</f>
        <v>89.88828</v>
      </c>
      <c r="J146" s="5" t="n">
        <f aca="false">I146*15%</f>
        <v>13.483242</v>
      </c>
      <c r="K146" s="5" t="n">
        <f aca="false">H146-I146-J146</f>
        <v>1315.883678</v>
      </c>
      <c r="L146" s="5" t="n">
        <f aca="false">E146*0.5%</f>
        <v>7.9288</v>
      </c>
      <c r="M146" s="5" t="n">
        <f aca="false">E146+L146</f>
        <v>1593.6888</v>
      </c>
    </row>
    <row r="147" customFormat="false" ht="15" hidden="false" customHeight="false" outlineLevel="0" collapsed="false">
      <c r="A147" s="0" t="s">
        <v>280</v>
      </c>
      <c r="B147" s="0" t="str">
        <f aca="false">INDEX(Master_Lista!$B$2:$B$151,MATCH(A147,Master_Lista!$A$2:$A$151,0))</f>
        <v>Jovan Urosevic</v>
      </c>
      <c r="C147" s="0" t="s">
        <v>292</v>
      </c>
      <c r="D147" s="5" t="n">
        <f aca="false">IFERROR(INDEX(Pozicije!$B$2:$B$19,MATCH(C147,Pozicije!$A$2:$A$19,0)),0)</f>
        <v>11</v>
      </c>
      <c r="E147" s="5" t="n">
        <f aca="false">ROUND(D147*176*0.98,2)</f>
        <v>1897.28</v>
      </c>
      <c r="G147" s="5" t="n">
        <f aca="false">E147*10.5%</f>
        <v>199.2144</v>
      </c>
      <c r="H147" s="5" t="n">
        <f aca="false">E147-G147</f>
        <v>1698.0656</v>
      </c>
      <c r="I147" s="5" t="n">
        <f aca="false">IF(H147&lt;=700,0,IF(H147&lt;=1000,9%*(H147-700),9%*300+15%*(H147-1000)))</f>
        <v>131.70984</v>
      </c>
      <c r="J147" s="5" t="n">
        <f aca="false">I147*15%</f>
        <v>19.756476</v>
      </c>
      <c r="K147" s="5" t="n">
        <f aca="false">H147-I147-J147</f>
        <v>1546.599284</v>
      </c>
      <c r="L147" s="5" t="n">
        <f aca="false">E147*0.5%</f>
        <v>9.4864</v>
      </c>
      <c r="M147" s="5" t="n">
        <f aca="false">E147+L147</f>
        <v>1906.7664</v>
      </c>
    </row>
    <row r="148" customFormat="false" ht="15" hidden="false" customHeight="false" outlineLevel="0" collapsed="false">
      <c r="A148" s="0" t="s">
        <v>282</v>
      </c>
      <c r="B148" s="0" t="str">
        <f aca="false">INDEX(Master_Lista!$B$2:$B$151,MATCH(A148,Master_Lista!$A$2:$A$151,0))</f>
        <v>Elena Ilic</v>
      </c>
      <c r="C148" s="0" t="s">
        <v>293</v>
      </c>
      <c r="D148" s="5" t="n">
        <f aca="false">IFERROR(INDEX(Pozicije!$B$2:$B$19,MATCH(C148,Pozicije!$A$2:$A$19,0)),0)</f>
        <v>18</v>
      </c>
      <c r="E148" s="5" t="n">
        <f aca="false">ROUND(D148*176*1,2)</f>
        <v>3168</v>
      </c>
      <c r="G148" s="5" t="n">
        <f aca="false">E148*10.5%</f>
        <v>332.64</v>
      </c>
      <c r="H148" s="5" t="n">
        <f aca="false">E148-G148</f>
        <v>2835.36</v>
      </c>
      <c r="I148" s="5" t="n">
        <f aca="false">IF(H148&lt;=700,0,IF(H148&lt;=1000,9%*(H148-700),9%*300+15%*(H148-1000)))</f>
        <v>302.304</v>
      </c>
      <c r="J148" s="5" t="n">
        <f aca="false">I148*15%</f>
        <v>45.3456</v>
      </c>
      <c r="K148" s="5" t="n">
        <f aca="false">H148-I148-J148</f>
        <v>2487.7104</v>
      </c>
      <c r="L148" s="5" t="n">
        <f aca="false">E148*0.5%</f>
        <v>15.84</v>
      </c>
      <c r="M148" s="5" t="n">
        <f aca="false">E148+L148</f>
        <v>3183.84</v>
      </c>
    </row>
    <row r="149" customFormat="false" ht="15" hidden="false" customHeight="false" outlineLevel="0" collapsed="false">
      <c r="A149" s="0" t="s">
        <v>284</v>
      </c>
      <c r="B149" s="0" t="str">
        <f aca="false">INDEX(Master_Lista!$B$2:$B$151,MATCH(A149,Master_Lista!$A$2:$A$151,0))</f>
        <v>Dragan Tomic</v>
      </c>
      <c r="C149" s="0" t="s">
        <v>294</v>
      </c>
      <c r="D149" s="5" t="n">
        <f aca="false">IFERROR(INDEX(Pozicije!$B$2:$B$19,MATCH(C149,Pozicije!$A$2:$A$19,0)),0)</f>
        <v>28</v>
      </c>
      <c r="E149" s="5" t="n">
        <f aca="false">ROUND(D149*176*1.02,2)</f>
        <v>5026.56</v>
      </c>
      <c r="G149" s="5" t="n">
        <f aca="false">E149*10.5%</f>
        <v>527.7888</v>
      </c>
      <c r="H149" s="5" t="n">
        <f aca="false">E149-G149</f>
        <v>4498.7712</v>
      </c>
      <c r="I149" s="5" t="n">
        <f aca="false">IF(H149&lt;=700,0,IF(H149&lt;=1000,9%*(H149-700),9%*300+15%*(H149-1000)))</f>
        <v>551.81568</v>
      </c>
      <c r="J149" s="5" t="n">
        <f aca="false">I149*15%</f>
        <v>82.772352</v>
      </c>
      <c r="K149" s="5" t="n">
        <f aca="false">H149-I149-J149</f>
        <v>3864.183168</v>
      </c>
      <c r="L149" s="5" t="n">
        <f aca="false">E149*0.5%</f>
        <v>25.1328</v>
      </c>
      <c r="M149" s="5" t="n">
        <f aca="false">E149+L149</f>
        <v>5051.6928</v>
      </c>
    </row>
    <row r="150" customFormat="false" ht="15" hidden="false" customHeight="false" outlineLevel="0" collapsed="false">
      <c r="A150" s="0" t="s">
        <v>286</v>
      </c>
      <c r="B150" s="0" t="str">
        <f aca="false">INDEX(Master_Lista!$B$2:$B$151,MATCH(A150,Master_Lista!$A$2:$A$151,0))</f>
        <v>Dragan Kostic</v>
      </c>
      <c r="C150" s="0" t="s">
        <v>295</v>
      </c>
      <c r="D150" s="5" t="n">
        <f aca="false">IFERROR(INDEX(Pozicije!$B$2:$B$19,MATCH(C150,Pozicije!$A$2:$A$19,0)),0)</f>
        <v>9</v>
      </c>
      <c r="E150" s="5" t="n">
        <f aca="false">ROUND(D150*176*1.04,2)</f>
        <v>1647.36</v>
      </c>
      <c r="G150" s="5" t="n">
        <f aca="false">E150*10.5%</f>
        <v>172.9728</v>
      </c>
      <c r="H150" s="5" t="n">
        <f aca="false">E150-G150</f>
        <v>1474.3872</v>
      </c>
      <c r="I150" s="5" t="n">
        <f aca="false">IF(H150&lt;=700,0,IF(H150&lt;=1000,9%*(H150-700),9%*300+15%*(H150-1000)))</f>
        <v>98.15808</v>
      </c>
      <c r="J150" s="5" t="n">
        <f aca="false">I150*15%</f>
        <v>14.723712</v>
      </c>
      <c r="K150" s="5" t="n">
        <f aca="false">H150-I150-J150</f>
        <v>1361.505408</v>
      </c>
      <c r="L150" s="5" t="n">
        <f aca="false">E150*0.5%</f>
        <v>8.2368</v>
      </c>
      <c r="M150" s="5" t="n">
        <f aca="false">E150+L150</f>
        <v>1655.5968</v>
      </c>
    </row>
    <row r="151" customFormat="false" ht="15" hidden="false" customHeight="false" outlineLevel="0" collapsed="false">
      <c r="A151" s="0" t="s">
        <v>287</v>
      </c>
      <c r="B151" s="0" t="str">
        <f aca="false">INDEX(Master_Lista!$B$2:$B$151,MATCH(A151,Master_Lista!$A$2:$A$151,0))</f>
        <v>Filip Lazic</v>
      </c>
      <c r="C151" s="0" t="s">
        <v>296</v>
      </c>
      <c r="D151" s="5" t="n">
        <f aca="false">IFERROR(INDEX(Pozicije!$B$2:$B$19,MATCH(C151,Pozicije!$A$2:$A$19,0)),0)</f>
        <v>10</v>
      </c>
      <c r="E151" s="5" t="n">
        <f aca="false">ROUND(D151*176*1.06,2)</f>
        <v>1865.6</v>
      </c>
      <c r="G151" s="5" t="n">
        <f aca="false">E151*10.5%</f>
        <v>195.888</v>
      </c>
      <c r="H151" s="5" t="n">
        <f aca="false">E151-G151</f>
        <v>1669.712</v>
      </c>
      <c r="I151" s="5" t="n">
        <f aca="false">IF(H151&lt;=700,0,IF(H151&lt;=1000,9%*(H151-700),9%*300+15%*(H151-1000)))</f>
        <v>127.4568</v>
      </c>
      <c r="J151" s="5" t="n">
        <f aca="false">I151*15%</f>
        <v>19.11852</v>
      </c>
      <c r="K151" s="5" t="n">
        <f aca="false">H151-I151-J151</f>
        <v>1523.13668</v>
      </c>
      <c r="L151" s="5" t="n">
        <f aca="false">E151*0.5%</f>
        <v>9.328</v>
      </c>
      <c r="M151" s="5" t="n">
        <f aca="false">E151+L151</f>
        <v>1874.928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318</v>
      </c>
      <c r="D1" s="1" t="s">
        <v>319</v>
      </c>
      <c r="E1" s="1" t="s">
        <v>320</v>
      </c>
      <c r="F1" s="1" t="s">
        <v>289</v>
      </c>
      <c r="G1" s="1" t="s">
        <v>290</v>
      </c>
      <c r="H1" s="1" t="s">
        <v>321</v>
      </c>
      <c r="I1" s="1" t="s">
        <v>316</v>
      </c>
      <c r="J1" s="1" t="s">
        <v>322</v>
      </c>
      <c r="K1" s="1" t="s">
        <v>323</v>
      </c>
      <c r="L1" s="1" t="s">
        <v>324</v>
      </c>
    </row>
    <row r="2" customFormat="false" ht="15" hidden="false" customHeight="false" outlineLevel="0" collapsed="false">
      <c r="A2" s="6" t="s">
        <v>8</v>
      </c>
      <c r="B2" s="0" t="str">
        <f aca="false">IFERROR(INDEX(Master_Lista!$B$2:$B$151,MATCH(A2,Master_Lista!$A$2:$A$151,0)),"")</f>
        <v>Tomas Obradovic</v>
      </c>
      <c r="C2" s="6" t="s">
        <v>325</v>
      </c>
      <c r="D2" s="7" t="n">
        <v>7.5</v>
      </c>
      <c r="E2" s="8" t="n">
        <v>46124</v>
      </c>
      <c r="F2" s="0" t="str">
        <f aca="false">IFERROR(INDEX(Sheet11_Zarade!$C$2:$C$151,MATCH(A2,Sheet11_Zarade!$A$2:$A$151,0)),"")</f>
        <v>Projekt menadžer</v>
      </c>
      <c r="G2" s="5" t="n">
        <f aca="false">IFERROR(INDEX(Sheet11_Zarade!$D$2:$D$151,MATCH(A2,Sheet11_Zarade!$A$2:$A$151,0)),0)</f>
        <v>28</v>
      </c>
      <c r="H2" s="5" t="n">
        <f aca="false">IFERROR(D2*G2,0)</f>
        <v>210</v>
      </c>
      <c r="I2" s="5" t="n">
        <f aca="false">H2*0.5%</f>
        <v>1.05</v>
      </c>
      <c r="J2" s="5" t="n">
        <f aca="false">H2+I2</f>
        <v>211.05</v>
      </c>
      <c r="K2" s="0" t="str">
        <f aca="false">IF(D2="","",IF(D2&gt;12,"FLAG",IF(D2&gt;8,"OVERTIME","OK")))</f>
        <v>OK</v>
      </c>
      <c r="L2" s="0" t="str">
        <f aca="false">IF(OR(A2="",E2="",C2=""),"",IF(COUNTIFS($A:$A,A2,$E:$E,E2,$C:$C,C2)&gt;1,"DUPLIKAT","OK"))</f>
        <v>OK</v>
      </c>
    </row>
    <row r="3" customFormat="false" ht="15" hidden="false" customHeight="false" outlineLevel="0" collapsed="false">
      <c r="A3" s="6" t="s">
        <v>73</v>
      </c>
      <c r="B3" s="0" t="str">
        <f aca="false">IFERROR(INDEX(Master_Lista!$B$2:$B$151,MATCH(A3,Master_Lista!$A$2:$A$151,0)),"")</f>
        <v>Filip Tomic</v>
      </c>
      <c r="C3" s="6" t="s">
        <v>326</v>
      </c>
      <c r="D3" s="7" t="n">
        <v>6</v>
      </c>
      <c r="E3" s="8" t="n">
        <v>46059</v>
      </c>
      <c r="F3" s="0" t="str">
        <f aca="false">IFERROR(INDEX(Sheet11_Zarade!$C$2:$C$151,MATCH(A3,Sheet11_Zarade!$A$2:$A$151,0)),"")</f>
        <v>Elektromonter</v>
      </c>
      <c r="G3" s="5" t="n">
        <f aca="false">IFERROR(INDEX(Sheet11_Zarade!$D$2:$D$151,MATCH(A3,Sheet11_Zarade!$A$2:$A$151,0)),0)</f>
        <v>8.5</v>
      </c>
      <c r="H3" s="5" t="n">
        <f aca="false">IFERROR(D3*G3,0)</f>
        <v>51</v>
      </c>
      <c r="I3" s="5" t="n">
        <f aca="false">H3*0.5%</f>
        <v>0.255</v>
      </c>
      <c r="J3" s="5" t="n">
        <f aca="false">H3+I3</f>
        <v>51.255</v>
      </c>
      <c r="K3" s="0" t="str">
        <f aca="false">IF(D3="","",IF(D3&gt;12,"FLAG",IF(D3&gt;8,"OVERTIME","OK")))</f>
        <v>OK</v>
      </c>
      <c r="L3" s="0" t="str">
        <f aca="false">IF(OR(A3="",E3="",C3=""),"",IF(COUNTIFS($A:$A,A3,$E:$E,E3,$C:$C,C3)&gt;1,"DUPLIKAT","OK"))</f>
        <v>OK</v>
      </c>
    </row>
    <row r="4" customFormat="false" ht="15" hidden="false" customHeight="false" outlineLevel="0" collapsed="false">
      <c r="A4" s="6" t="s">
        <v>57</v>
      </c>
      <c r="B4" s="0" t="str">
        <f aca="false">IFERROR(INDEX(Master_Lista!$B$2:$B$151,MATCH(A4,Master_Lista!$A$2:$A$151,0)),"")</f>
        <v>Ognjen Jankovic</v>
      </c>
      <c r="C4" s="6" t="s">
        <v>327</v>
      </c>
      <c r="D4" s="7" t="n">
        <v>8.5</v>
      </c>
      <c r="E4" s="8" t="n">
        <v>46059</v>
      </c>
      <c r="F4" s="0" t="str">
        <f aca="false">IFERROR(INDEX(Sheet11_Zarade!$C$2:$C$151,MATCH(A4,Sheet11_Zarade!$A$2:$A$151,0)),"")</f>
        <v>Operater prese</v>
      </c>
      <c r="G4" s="5" t="n">
        <f aca="false">IFERROR(INDEX(Sheet11_Zarade!$D$2:$D$151,MATCH(A4,Sheet11_Zarade!$A$2:$A$151,0)),0)</f>
        <v>9.5</v>
      </c>
      <c r="H4" s="5" t="n">
        <f aca="false">IFERROR(D4*G4,0)</f>
        <v>80.75</v>
      </c>
      <c r="I4" s="5" t="n">
        <f aca="false">H4*0.5%</f>
        <v>0.40375</v>
      </c>
      <c r="J4" s="5" t="n">
        <f aca="false">H4+I4</f>
        <v>81.15375</v>
      </c>
      <c r="K4" s="0" t="str">
        <f aca="false">IF(D4="","",IF(D4&gt;12,"FLAG",IF(D4&gt;8,"OVERTIME","OK")))</f>
        <v>OVERTIME</v>
      </c>
      <c r="L4" s="0" t="str">
        <f aca="false">IF(OR(A4="",E4="",C4=""),"",IF(COUNTIFS($A:$A,A4,$E:$E,E4,$C:$C,C4)&gt;1,"DUPLIKAT","OK"))</f>
        <v>OK</v>
      </c>
    </row>
    <row r="5" customFormat="false" ht="15" hidden="false" customHeight="false" outlineLevel="0" collapsed="false">
      <c r="A5" s="6" t="s">
        <v>75</v>
      </c>
      <c r="B5" s="0" t="str">
        <f aca="false">IFERROR(INDEX(Master_Lista!$B$2:$B$151,MATCH(A5,Master_Lista!$A$2:$A$151,0)),"")</f>
        <v>Cedomir Simic</v>
      </c>
      <c r="C5" s="6" t="s">
        <v>328</v>
      </c>
      <c r="D5" s="7" t="n">
        <v>6</v>
      </c>
      <c r="E5" s="8" t="n">
        <v>46039</v>
      </c>
      <c r="F5" s="0" t="str">
        <f aca="false">IFERROR(INDEX(Sheet11_Zarade!$C$2:$C$151,MATCH(A5,Sheet11_Zarade!$A$2:$A$151,0)),"")</f>
        <v>Vodeći monter</v>
      </c>
      <c r="G5" s="5" t="n">
        <f aca="false">IFERROR(INDEX(Sheet11_Zarade!$D$2:$D$151,MATCH(A5,Sheet11_Zarade!$A$2:$A$151,0)),0)</f>
        <v>11</v>
      </c>
      <c r="H5" s="5" t="n">
        <f aca="false">IFERROR(D5*G5,0)</f>
        <v>66</v>
      </c>
      <c r="I5" s="5" t="n">
        <f aca="false">H5*0.5%</f>
        <v>0.33</v>
      </c>
      <c r="J5" s="5" t="n">
        <f aca="false">H5+I5</f>
        <v>66.33</v>
      </c>
      <c r="K5" s="0" t="str">
        <f aca="false">IF(D5="","",IF(D5&gt;12,"FLAG",IF(D5&gt;8,"OVERTIME","OK")))</f>
        <v>OK</v>
      </c>
      <c r="L5" s="0" t="str">
        <f aca="false">IF(OR(A5="",E5="",C5=""),"",IF(COUNTIFS($A:$A,A5,$E:$E,E5,$C:$C,C5)&gt;1,"DUPLIKAT","OK"))</f>
        <v>OK</v>
      </c>
    </row>
    <row r="6" customFormat="false" ht="15" hidden="false" customHeight="false" outlineLevel="0" collapsed="false">
      <c r="A6" s="6" t="s">
        <v>69</v>
      </c>
      <c r="B6" s="0" t="str">
        <f aca="false">IFERROR(INDEX(Master_Lista!$B$2:$B$151,MATCH(A6,Master_Lista!$A$2:$A$151,0)),"")</f>
        <v>Olga Markovic</v>
      </c>
      <c r="C6" s="6" t="s">
        <v>329</v>
      </c>
      <c r="D6" s="7" t="n">
        <v>12</v>
      </c>
      <c r="E6" s="8" t="n">
        <v>46158</v>
      </c>
      <c r="F6" s="0" t="str">
        <f aca="false">IFERROR(INDEX(Sheet11_Zarade!$C$2:$C$151,MATCH(A6,Sheet11_Zarade!$A$2:$A$151,0)),"")</f>
        <v>Administrator</v>
      </c>
      <c r="G6" s="5" t="n">
        <f aca="false">IFERROR(INDEX(Sheet11_Zarade!$D$2:$D$151,MATCH(A6,Sheet11_Zarade!$A$2:$A$151,0)),0)</f>
        <v>12.5</v>
      </c>
      <c r="H6" s="5" t="n">
        <f aca="false">IFERROR(D6*G6,0)</f>
        <v>150</v>
      </c>
      <c r="I6" s="5" t="n">
        <f aca="false">H6*0.5%</f>
        <v>0.75</v>
      </c>
      <c r="J6" s="5" t="n">
        <f aca="false">H6+I6</f>
        <v>150.75</v>
      </c>
      <c r="K6" s="0" t="str">
        <f aca="false">IF(D6="","",IF(D6&gt;12,"FLAG",IF(D6&gt;8,"OVERTIME","OK")))</f>
        <v>OVERTIME</v>
      </c>
      <c r="L6" s="0" t="str">
        <f aca="false">IF(OR(A6="",E6="",C6=""),"",IF(COUNTIFS($A:$A,A6,$E:$E,E6,$C:$C,C6)&gt;1,"DUPLIKAT","OK"))</f>
        <v>OK</v>
      </c>
    </row>
    <row r="7" customFormat="false" ht="15" hidden="false" customHeight="false" outlineLevel="0" collapsed="false">
      <c r="A7" s="6" t="s">
        <v>205</v>
      </c>
      <c r="B7" s="0" t="str">
        <f aca="false">IFERROR(INDEX(Master_Lista!$B$2:$B$151,MATCH(A7,Master_Lista!$A$2:$A$151,0)),"")</f>
        <v>Ivana Jankovic</v>
      </c>
      <c r="C7" s="6" t="s">
        <v>329</v>
      </c>
      <c r="D7" s="7" t="n">
        <v>7.5</v>
      </c>
      <c r="E7" s="8" t="n">
        <v>46054</v>
      </c>
      <c r="F7" s="0" t="str">
        <f aca="false">IFERROR(INDEX(Sheet11_Zarade!$C$2:$C$151,MATCH(A7,Sheet11_Zarade!$A$2:$A$151,0)),"")</f>
        <v>Logističar</v>
      </c>
      <c r="G7" s="5" t="n">
        <f aca="false">IFERROR(INDEX(Sheet11_Zarade!$D$2:$D$151,MATCH(A7,Sheet11_Zarade!$A$2:$A$151,0)),0)</f>
        <v>15</v>
      </c>
      <c r="H7" s="5" t="n">
        <f aca="false">IFERROR(D7*G7,0)</f>
        <v>112.5</v>
      </c>
      <c r="I7" s="5" t="n">
        <f aca="false">H7*0.5%</f>
        <v>0.5625</v>
      </c>
      <c r="J7" s="5" t="n">
        <f aca="false">H7+I7</f>
        <v>113.0625</v>
      </c>
      <c r="K7" s="0" t="str">
        <f aca="false">IF(D7="","",IF(D7&gt;12,"FLAG",IF(D7&gt;8,"OVERTIME","OK")))</f>
        <v>OK</v>
      </c>
      <c r="L7" s="0" t="str">
        <f aca="false">IF(OR(A7="",E7="",C7=""),"",IF(COUNTIFS($A:$A,A7,$E:$E,E7,$C:$C,C7)&gt;1,"DUPLIKAT","OK"))</f>
        <v>OK</v>
      </c>
    </row>
    <row r="8" customFormat="false" ht="15" hidden="false" customHeight="false" outlineLevel="0" collapsed="false">
      <c r="A8" s="6" t="s">
        <v>12</v>
      </c>
      <c r="B8" s="0" t="str">
        <f aca="false">IFERROR(INDEX(Master_Lista!$B$2:$B$151,MATCH(A8,Master_Lista!$A$2:$A$151,0)),"")</f>
        <v>Goran Zivkovic</v>
      </c>
      <c r="C8" s="6" t="s">
        <v>330</v>
      </c>
      <c r="D8" s="7" t="n">
        <v>11</v>
      </c>
      <c r="E8" s="8" t="n">
        <v>46111</v>
      </c>
      <c r="F8" s="0" t="str">
        <f aca="false">IFERROR(INDEX(Sheet11_Zarade!$C$2:$C$151,MATCH(A8,Sheet11_Zarade!$A$2:$A$151,0)),"")</f>
        <v>Zavarivač</v>
      </c>
      <c r="G8" s="5" t="n">
        <f aca="false">IFERROR(INDEX(Sheet11_Zarade!$D$2:$D$151,MATCH(A8,Sheet11_Zarade!$A$2:$A$151,0)),0)</f>
        <v>10</v>
      </c>
      <c r="H8" s="5" t="n">
        <f aca="false">IFERROR(D8*G8,0)</f>
        <v>110</v>
      </c>
      <c r="I8" s="5" t="n">
        <f aca="false">H8*0.5%</f>
        <v>0.55</v>
      </c>
      <c r="J8" s="5" t="n">
        <f aca="false">H8+I8</f>
        <v>110.55</v>
      </c>
      <c r="K8" s="0" t="str">
        <f aca="false">IF(D8="","",IF(D8&gt;12,"FLAG",IF(D8&gt;8,"OVERTIME","OK")))</f>
        <v>OVERTIME</v>
      </c>
      <c r="L8" s="0" t="str">
        <f aca="false">IF(OR(A8="",E8="",C8=""),"",IF(COUNTIFS($A:$A,A8,$E:$E,E8,$C:$C,C8)&gt;1,"DUPLIKAT","OK"))</f>
        <v>OK</v>
      </c>
    </row>
    <row r="9" customFormat="false" ht="15" hidden="false" customHeight="false" outlineLevel="0" collapsed="false">
      <c r="A9" s="6" t="s">
        <v>99</v>
      </c>
      <c r="B9" s="0" t="str">
        <f aca="false">IFERROR(INDEX(Master_Lista!$B$2:$B$151,MATCH(A9,Master_Lista!$A$2:$A$151,0)),"")</f>
        <v>Elena Nikolic</v>
      </c>
      <c r="C9" s="6" t="s">
        <v>329</v>
      </c>
      <c r="D9" s="7" t="n">
        <v>10</v>
      </c>
      <c r="E9" s="8" t="n">
        <v>46124</v>
      </c>
      <c r="F9" s="0" t="str">
        <f aca="false">IFERROR(INDEX(Sheet11_Zarade!$C$2:$C$151,MATCH(A9,Sheet11_Zarade!$A$2:$A$151,0)),"")</f>
        <v>Menadžer kvaliteta</v>
      </c>
      <c r="G9" s="5" t="n">
        <f aca="false">IFERROR(INDEX(Sheet11_Zarade!$D$2:$D$151,MATCH(A9,Sheet11_Zarade!$A$2:$A$151,0)),0)</f>
        <v>25</v>
      </c>
      <c r="H9" s="5" t="n">
        <f aca="false">IFERROR(D9*G9,0)</f>
        <v>250</v>
      </c>
      <c r="I9" s="5" t="n">
        <f aca="false">H9*0.5%</f>
        <v>1.25</v>
      </c>
      <c r="J9" s="5" t="n">
        <f aca="false">H9+I9</f>
        <v>251.25</v>
      </c>
      <c r="K9" s="0" t="str">
        <f aca="false">IF(D9="","",IF(D9&gt;12,"FLAG",IF(D9&gt;8,"OVERTIME","OK")))</f>
        <v>OVERTIME</v>
      </c>
      <c r="L9" s="0" t="str">
        <f aca="false">IF(OR(A9="",E9="",C9=""),"",IF(COUNTIFS($A:$A,A9,$E:$E,E9,$C:$C,C9)&gt;1,"DUPLIKAT","OK"))</f>
        <v>OK</v>
      </c>
    </row>
    <row r="10" customFormat="false" ht="15" hidden="false" customHeight="false" outlineLevel="0" collapsed="false">
      <c r="A10" s="6" t="s">
        <v>182</v>
      </c>
      <c r="B10" s="0" t="str">
        <f aca="false">IFERROR(INDEX(Master_Lista!$B$2:$B$151,MATCH(A10,Master_Lista!$A$2:$A$151,0)),"")</f>
        <v>Nikola Pavlovic</v>
      </c>
      <c r="C10" s="6" t="s">
        <v>331</v>
      </c>
      <c r="D10" s="7" t="n">
        <v>8.5</v>
      </c>
      <c r="E10" s="8" t="n">
        <v>46077</v>
      </c>
      <c r="F10" s="0" t="str">
        <f aca="false">IFERROR(INDEX(Sheet11_Zarade!$C$2:$C$151,MATCH(A10,Sheet11_Zarade!$A$2:$A$151,0)),"")</f>
        <v>Projekt menadžer</v>
      </c>
      <c r="G10" s="5" t="n">
        <f aca="false">IFERROR(INDEX(Sheet11_Zarade!$D$2:$D$151,MATCH(A10,Sheet11_Zarade!$A$2:$A$151,0)),0)</f>
        <v>28</v>
      </c>
      <c r="H10" s="5" t="n">
        <f aca="false">IFERROR(D10*G10,0)</f>
        <v>238</v>
      </c>
      <c r="I10" s="5" t="n">
        <f aca="false">H10*0.5%</f>
        <v>1.19</v>
      </c>
      <c r="J10" s="5" t="n">
        <f aca="false">H10+I10</f>
        <v>239.19</v>
      </c>
      <c r="K10" s="0" t="str">
        <f aca="false">IF(D10="","",IF(D10&gt;12,"FLAG",IF(D10&gt;8,"OVERTIME","OK")))</f>
        <v>OVERTIME</v>
      </c>
      <c r="L10" s="0" t="str">
        <f aca="false">IF(OR(A10="",E10="",C10=""),"",IF(COUNTIFS($A:$A,A10,$E:$E,E10,$C:$C,C10)&gt;1,"DUPLIKAT","OK"))</f>
        <v>OK</v>
      </c>
    </row>
    <row r="11" customFormat="false" ht="15" hidden="false" customHeight="false" outlineLevel="0" collapsed="false">
      <c r="A11" s="6" t="s">
        <v>108</v>
      </c>
      <c r="B11" s="0" t="str">
        <f aca="false">IFERROR(INDEX(Master_Lista!$B$2:$B$151,MATCH(A11,Master_Lista!$A$2:$A$151,0)),"")</f>
        <v>Kosta Urosevic</v>
      </c>
      <c r="C11" s="6" t="s">
        <v>332</v>
      </c>
      <c r="D11" s="7" t="n">
        <v>6</v>
      </c>
      <c r="E11" s="8" t="n">
        <v>46037</v>
      </c>
      <c r="F11" s="0" t="str">
        <f aca="false">IFERROR(INDEX(Sheet11_Zarade!$C$2:$C$151,MATCH(A11,Sheet11_Zarade!$A$2:$A$151,0)),"")</f>
        <v>Vodeći monter</v>
      </c>
      <c r="G11" s="5" t="n">
        <f aca="false">IFERROR(INDEX(Sheet11_Zarade!$D$2:$D$151,MATCH(A11,Sheet11_Zarade!$A$2:$A$151,0)),0)</f>
        <v>11</v>
      </c>
      <c r="H11" s="5" t="n">
        <f aca="false">IFERROR(D11*G11,0)</f>
        <v>66</v>
      </c>
      <c r="I11" s="5" t="n">
        <f aca="false">H11*0.5%</f>
        <v>0.33</v>
      </c>
      <c r="J11" s="5" t="n">
        <f aca="false">H11+I11</f>
        <v>66.33</v>
      </c>
      <c r="K11" s="0" t="str">
        <f aca="false">IF(D11="","",IF(D11&gt;12,"FLAG",IF(D11&gt;8,"OVERTIME","OK")))</f>
        <v>OK</v>
      </c>
      <c r="L11" s="0" t="str">
        <f aca="false">IF(OR(A11="",E11="",C11=""),"",IF(COUNTIFS($A:$A,A11,$E:$E,E11,$C:$C,C11)&gt;1,"DUPLIKAT","OK"))</f>
        <v>OK</v>
      </c>
    </row>
    <row r="12" customFormat="false" ht="15" hidden="false" customHeight="false" outlineLevel="0" collapsed="false">
      <c r="A12" s="6" t="s">
        <v>92</v>
      </c>
      <c r="B12" s="0" t="str">
        <f aca="false">IFERROR(INDEX(Master_Lista!$B$2:$B$151,MATCH(A12,Master_Lista!$A$2:$A$151,0)),"")</f>
        <v>Aleksandar Zivkovic</v>
      </c>
      <c r="C12" s="6" t="s">
        <v>333</v>
      </c>
      <c r="D12" s="7" t="n">
        <v>8</v>
      </c>
      <c r="E12" s="8" t="n">
        <v>46076</v>
      </c>
      <c r="F12" s="0" t="str">
        <f aca="false">IFERROR(INDEX(Sheet11_Zarade!$C$2:$C$151,MATCH(A12,Sheet11_Zarade!$A$2:$A$151,0)),"")</f>
        <v>Operater prese</v>
      </c>
      <c r="G12" s="5" t="n">
        <f aca="false">IFERROR(INDEX(Sheet11_Zarade!$D$2:$D$151,MATCH(A12,Sheet11_Zarade!$A$2:$A$151,0)),0)</f>
        <v>9.5</v>
      </c>
      <c r="H12" s="5" t="n">
        <f aca="false">IFERROR(D12*G12,0)</f>
        <v>76</v>
      </c>
      <c r="I12" s="5" t="n">
        <f aca="false">H12*0.5%</f>
        <v>0.38</v>
      </c>
      <c r="J12" s="5" t="n">
        <f aca="false">H12+I12</f>
        <v>76.38</v>
      </c>
      <c r="K12" s="0" t="str">
        <f aca="false">IF(D12="","",IF(D12&gt;12,"FLAG",IF(D12&gt;8,"OVERTIME","OK")))</f>
        <v>OK</v>
      </c>
      <c r="L12" s="0" t="str">
        <f aca="false">IF(OR(A12="",E12="",C12=""),"",IF(COUNTIFS($A:$A,A12,$E:$E,E12,$C:$C,C12)&gt;1,"DUPLIKAT","OK"))</f>
        <v>OK</v>
      </c>
    </row>
    <row r="13" customFormat="false" ht="15" hidden="false" customHeight="false" outlineLevel="0" collapsed="false">
      <c r="A13" s="6" t="s">
        <v>75</v>
      </c>
      <c r="B13" s="0" t="str">
        <f aca="false">IFERROR(INDEX(Master_Lista!$B$2:$B$151,MATCH(A13,Master_Lista!$A$2:$A$151,0)),"")</f>
        <v>Cedomir Simic</v>
      </c>
      <c r="C13" s="6" t="s">
        <v>334</v>
      </c>
      <c r="D13" s="7" t="n">
        <v>11</v>
      </c>
      <c r="E13" s="8" t="n">
        <v>46031</v>
      </c>
      <c r="F13" s="0" t="str">
        <f aca="false">IFERROR(INDEX(Sheet11_Zarade!$C$2:$C$151,MATCH(A13,Sheet11_Zarade!$A$2:$A$151,0)),"")</f>
        <v>Vodeći monter</v>
      </c>
      <c r="G13" s="5" t="n">
        <f aca="false">IFERROR(INDEX(Sheet11_Zarade!$D$2:$D$151,MATCH(A13,Sheet11_Zarade!$A$2:$A$151,0)),0)</f>
        <v>11</v>
      </c>
      <c r="H13" s="5" t="n">
        <f aca="false">IFERROR(D13*G13,0)</f>
        <v>121</v>
      </c>
      <c r="I13" s="5" t="n">
        <f aca="false">H13*0.5%</f>
        <v>0.605</v>
      </c>
      <c r="J13" s="5" t="n">
        <f aca="false">H13+I13</f>
        <v>121.605</v>
      </c>
      <c r="K13" s="0" t="str">
        <f aca="false">IF(D13="","",IF(D13&gt;12,"FLAG",IF(D13&gt;8,"OVERTIME","OK")))</f>
        <v>OVERTIME</v>
      </c>
      <c r="L13" s="0" t="str">
        <f aca="false">IF(OR(A13="",E13="",C13=""),"",IF(COUNTIFS($A:$A,A13,$E:$E,E13,$C:$C,C13)&gt;1,"DUPLIKAT","OK"))</f>
        <v>OK</v>
      </c>
    </row>
    <row r="14" customFormat="false" ht="15" hidden="false" customHeight="false" outlineLevel="0" collapsed="false">
      <c r="A14" s="6" t="s">
        <v>45</v>
      </c>
      <c r="B14" s="0" t="str">
        <f aca="false">IFERROR(INDEX(Master_Lista!$B$2:$B$151,MATCH(A14,Master_Lista!$A$2:$A$151,0)),"")</f>
        <v>Petra Lazic</v>
      </c>
      <c r="C14" s="6" t="s">
        <v>328</v>
      </c>
      <c r="D14" s="7" t="n">
        <v>12</v>
      </c>
      <c r="E14" s="8" t="n">
        <v>46079</v>
      </c>
      <c r="F14" s="0" t="str">
        <f aca="false">IFERROR(INDEX(Sheet11_Zarade!$C$2:$C$151,MATCH(A14,Sheet11_Zarade!$A$2:$A$151,0)),"")</f>
        <v>Bravar</v>
      </c>
      <c r="G14" s="5" t="n">
        <f aca="false">IFERROR(INDEX(Sheet11_Zarade!$D$2:$D$151,MATCH(A14,Sheet11_Zarade!$A$2:$A$151,0)),0)</f>
        <v>9</v>
      </c>
      <c r="H14" s="5" t="n">
        <f aca="false">IFERROR(D14*G14,0)</f>
        <v>108</v>
      </c>
      <c r="I14" s="5" t="n">
        <f aca="false">H14*0.5%</f>
        <v>0.54</v>
      </c>
      <c r="J14" s="5" t="n">
        <f aca="false">H14+I14</f>
        <v>108.54</v>
      </c>
      <c r="K14" s="0" t="str">
        <f aca="false">IF(D14="","",IF(D14&gt;12,"FLAG",IF(D14&gt;8,"OVERTIME","OK")))</f>
        <v>OVERTIME</v>
      </c>
      <c r="L14" s="0" t="str">
        <f aca="false">IF(OR(A14="",E14="",C14=""),"",IF(COUNTIFS($A:$A,A14,$E:$E,E14,$C:$C,C14)&gt;1,"DUPLIKAT","OK"))</f>
        <v>OK</v>
      </c>
    </row>
    <row r="15" customFormat="false" ht="15" hidden="false" customHeight="false" outlineLevel="0" collapsed="false">
      <c r="A15" s="6" t="s">
        <v>104</v>
      </c>
      <c r="B15" s="0" t="str">
        <f aca="false">IFERROR(INDEX(Master_Lista!$B$2:$B$151,MATCH(A15,Master_Lista!$A$2:$A$151,0)),"")</f>
        <v>Uros Markovic</v>
      </c>
      <c r="C15" s="6" t="s">
        <v>330</v>
      </c>
      <c r="D15" s="7" t="n">
        <v>11</v>
      </c>
      <c r="E15" s="8" t="n">
        <v>46118</v>
      </c>
      <c r="F15" s="0" t="str">
        <f aca="false">IFERROR(INDEX(Sheet11_Zarade!$C$2:$C$151,MATCH(A15,Sheet11_Zarade!$A$2:$A$151,0)),"")</f>
        <v>Finansijski analitičar</v>
      </c>
      <c r="G15" s="5" t="n">
        <f aca="false">IFERROR(INDEX(Sheet11_Zarade!$D$2:$D$151,MATCH(A15,Sheet11_Zarade!$A$2:$A$151,0)),0)</f>
        <v>16</v>
      </c>
      <c r="H15" s="5" t="n">
        <f aca="false">IFERROR(D15*G15,0)</f>
        <v>176</v>
      </c>
      <c r="I15" s="5" t="n">
        <f aca="false">H15*0.5%</f>
        <v>0.88</v>
      </c>
      <c r="J15" s="5" t="n">
        <f aca="false">H15+I15</f>
        <v>176.88</v>
      </c>
      <c r="K15" s="0" t="str">
        <f aca="false">IF(D15="","",IF(D15&gt;12,"FLAG",IF(D15&gt;8,"OVERTIME","OK")))</f>
        <v>OVERTIME</v>
      </c>
      <c r="L15" s="0" t="str">
        <f aca="false">IF(OR(A15="",E15="",C15=""),"",IF(COUNTIFS($A:$A,A15,$E:$E,E15,$C:$C,C15)&gt;1,"DUPLIKAT","OK"))</f>
        <v>OK</v>
      </c>
    </row>
    <row r="16" customFormat="false" ht="15" hidden="false" customHeight="false" outlineLevel="0" collapsed="false">
      <c r="A16" s="6" t="s">
        <v>97</v>
      </c>
      <c r="B16" s="0" t="str">
        <f aca="false">IFERROR(INDEX(Master_Lista!$B$2:$B$151,MATCH(A16,Master_Lista!$A$2:$A$151,0)),"")</f>
        <v>Petar Djordjevic</v>
      </c>
      <c r="C16" s="6" t="s">
        <v>333</v>
      </c>
      <c r="D16" s="7" t="n">
        <v>8.5</v>
      </c>
      <c r="E16" s="8" t="n">
        <v>46147</v>
      </c>
      <c r="F16" s="0" t="str">
        <f aca="false">IFERROR(INDEX(Sheet11_Zarade!$C$2:$C$151,MATCH(A16,Sheet11_Zarade!$A$2:$A$151,0)),"")</f>
        <v>Tehničar održavanja</v>
      </c>
      <c r="G16" s="5" t="n">
        <f aca="false">IFERROR(INDEX(Sheet11_Zarade!$D$2:$D$151,MATCH(A16,Sheet11_Zarade!$A$2:$A$151,0)),0)</f>
        <v>10.5</v>
      </c>
      <c r="H16" s="5" t="n">
        <f aca="false">IFERROR(D16*G16,0)</f>
        <v>89.25</v>
      </c>
      <c r="I16" s="5" t="n">
        <f aca="false">H16*0.5%</f>
        <v>0.44625</v>
      </c>
      <c r="J16" s="5" t="n">
        <f aca="false">H16+I16</f>
        <v>89.69625</v>
      </c>
      <c r="K16" s="0" t="str">
        <f aca="false">IF(D16="","",IF(D16&gt;12,"FLAG",IF(D16&gt;8,"OVERTIME","OK")))</f>
        <v>OVERTIME</v>
      </c>
      <c r="L16" s="0" t="str">
        <f aca="false">IF(OR(A16="",E16="",C16=""),"",IF(COUNTIFS($A:$A,A16,$E:$E,E16,$C:$C,C16)&gt;1,"DUPLIKAT","OK"))</f>
        <v>OK</v>
      </c>
    </row>
    <row r="17" customFormat="false" ht="15" hidden="false" customHeight="false" outlineLevel="0" collapsed="false">
      <c r="A17" s="6" t="s">
        <v>22</v>
      </c>
      <c r="B17" s="0" t="str">
        <f aca="false">IFERROR(INDEX(Master_Lista!$B$2:$B$151,MATCH(A17,Master_Lista!$A$2:$A$151,0)),"")</f>
        <v>Uros Djordjevic</v>
      </c>
      <c r="C17" s="6" t="s">
        <v>335</v>
      </c>
      <c r="D17" s="7" t="n">
        <v>10</v>
      </c>
      <c r="E17" s="8" t="n">
        <v>46099</v>
      </c>
      <c r="F17" s="0" t="str">
        <f aca="false">IFERROR(INDEX(Sheet11_Zarade!$C$2:$C$151,MATCH(A17,Sheet11_Zarade!$A$2:$A$151,0)),"")</f>
        <v>Operater prese</v>
      </c>
      <c r="G17" s="5" t="n">
        <f aca="false">IFERROR(INDEX(Sheet11_Zarade!$D$2:$D$151,MATCH(A17,Sheet11_Zarade!$A$2:$A$151,0)),0)</f>
        <v>9.5</v>
      </c>
      <c r="H17" s="5" t="n">
        <f aca="false">IFERROR(D17*G17,0)</f>
        <v>95</v>
      </c>
      <c r="I17" s="5" t="n">
        <f aca="false">H17*0.5%</f>
        <v>0.475</v>
      </c>
      <c r="J17" s="5" t="n">
        <f aca="false">H17+I17</f>
        <v>95.475</v>
      </c>
      <c r="K17" s="0" t="str">
        <f aca="false">IF(D17="","",IF(D17&gt;12,"FLAG",IF(D17&gt;8,"OVERTIME","OK")))</f>
        <v>OVERTIME</v>
      </c>
      <c r="L17" s="0" t="str">
        <f aca="false">IF(OR(A17="",E17="",C17=""),"",IF(COUNTIFS($A:$A,A17,$E:$E,E17,$C:$C,C17)&gt;1,"DUPLIKAT","OK"))</f>
        <v>OK</v>
      </c>
    </row>
    <row r="18" customFormat="false" ht="15" hidden="false" customHeight="false" outlineLevel="0" collapsed="false">
      <c r="A18" s="6" t="s">
        <v>167</v>
      </c>
      <c r="B18" s="0" t="str">
        <f aca="false">IFERROR(INDEX(Master_Lista!$B$2:$B$151,MATCH(A18,Master_Lista!$A$2:$A$151,0)),"")</f>
        <v>Ana Lazic</v>
      </c>
      <c r="C18" s="6" t="s">
        <v>331</v>
      </c>
      <c r="D18" s="7" t="n">
        <v>11</v>
      </c>
      <c r="E18" s="8" t="n">
        <v>46147</v>
      </c>
      <c r="F18" s="0" t="str">
        <f aca="false">IFERROR(INDEX(Sheet11_Zarade!$C$2:$C$151,MATCH(A18,Sheet11_Zarade!$A$2:$A$151,0)),"")</f>
        <v>Tehničar održavanja</v>
      </c>
      <c r="G18" s="5" t="n">
        <f aca="false">IFERROR(INDEX(Sheet11_Zarade!$D$2:$D$151,MATCH(A18,Sheet11_Zarade!$A$2:$A$151,0)),0)</f>
        <v>10.5</v>
      </c>
      <c r="H18" s="5" t="n">
        <f aca="false">IFERROR(D18*G18,0)</f>
        <v>115.5</v>
      </c>
      <c r="I18" s="5" t="n">
        <f aca="false">H18*0.5%</f>
        <v>0.5775</v>
      </c>
      <c r="J18" s="5" t="n">
        <f aca="false">H18+I18</f>
        <v>116.0775</v>
      </c>
      <c r="K18" s="0" t="str">
        <f aca="false">IF(D18="","",IF(D18&gt;12,"FLAG",IF(D18&gt;8,"OVERTIME","OK")))</f>
        <v>OVERTIME</v>
      </c>
      <c r="L18" s="0" t="str">
        <f aca="false">IF(OR(A18="",E18="",C18=""),"",IF(COUNTIFS($A:$A,A18,$E:$E,E18,$C:$C,C18)&gt;1,"DUPLIKAT","OK"))</f>
        <v>OK</v>
      </c>
    </row>
    <row r="19" customFormat="false" ht="15" hidden="false" customHeight="false" outlineLevel="0" collapsed="false">
      <c r="A19" s="6" t="s">
        <v>157</v>
      </c>
      <c r="B19" s="0" t="str">
        <f aca="false">IFERROR(INDEX(Master_Lista!$B$2:$B$151,MATCH(A19,Master_Lista!$A$2:$A$151,0)),"")</f>
        <v>Kosta Zivkovic</v>
      </c>
      <c r="C19" s="6" t="s">
        <v>329</v>
      </c>
      <c r="D19" s="7" t="n">
        <v>7.5</v>
      </c>
      <c r="E19" s="8" t="n">
        <v>46102</v>
      </c>
      <c r="F19" s="0" t="str">
        <f aca="false">IFERROR(INDEX(Sheet11_Zarade!$C$2:$C$151,MATCH(A19,Sheet11_Zarade!$A$2:$A$151,0)),"")</f>
        <v>Mašinski inženjer</v>
      </c>
      <c r="G19" s="5" t="n">
        <f aca="false">IFERROR(INDEX(Sheet11_Zarade!$D$2:$D$151,MATCH(A19,Sheet11_Zarade!$A$2:$A$151,0)),0)</f>
        <v>20</v>
      </c>
      <c r="H19" s="5" t="n">
        <f aca="false">IFERROR(D19*G19,0)</f>
        <v>150</v>
      </c>
      <c r="I19" s="5" t="n">
        <f aca="false">H19*0.5%</f>
        <v>0.75</v>
      </c>
      <c r="J19" s="5" t="n">
        <f aca="false">H19+I19</f>
        <v>150.75</v>
      </c>
      <c r="K19" s="0" t="str">
        <f aca="false">IF(D19="","",IF(D19&gt;12,"FLAG",IF(D19&gt;8,"OVERTIME","OK")))</f>
        <v>OK</v>
      </c>
      <c r="L19" s="0" t="str">
        <f aca="false">IF(OR(A19="",E19="",C19=""),"",IF(COUNTIFS($A:$A,A19,$E:$E,E19,$C:$C,C19)&gt;1,"DUPLIKAT","OK"))</f>
        <v>OK</v>
      </c>
    </row>
    <row r="20" customFormat="false" ht="15" hidden="false" customHeight="false" outlineLevel="0" collapsed="false">
      <c r="A20" s="6" t="s">
        <v>90</v>
      </c>
      <c r="B20" s="0" t="str">
        <f aca="false">IFERROR(INDEX(Master_Lista!$B$2:$B$151,MATCH(A20,Master_Lista!$A$2:$A$151,0)),"")</f>
        <v>Ognjen Urosevic</v>
      </c>
      <c r="C20" s="6" t="s">
        <v>327</v>
      </c>
      <c r="D20" s="7" t="n">
        <v>9</v>
      </c>
      <c r="E20" s="8" t="n">
        <v>46047</v>
      </c>
      <c r="F20" s="0" t="str">
        <f aca="false">IFERROR(INDEX(Sheet11_Zarade!$C$2:$C$151,MATCH(A20,Sheet11_Zarade!$A$2:$A$151,0)),"")</f>
        <v>Elektro inženjer</v>
      </c>
      <c r="G20" s="5" t="n">
        <f aca="false">IFERROR(INDEX(Sheet11_Zarade!$D$2:$D$151,MATCH(A20,Sheet11_Zarade!$A$2:$A$151,0)),0)</f>
        <v>22</v>
      </c>
      <c r="H20" s="5" t="n">
        <f aca="false">IFERROR(D20*G20,0)</f>
        <v>198</v>
      </c>
      <c r="I20" s="5" t="n">
        <f aca="false">H20*0.5%</f>
        <v>0.99</v>
      </c>
      <c r="J20" s="5" t="n">
        <f aca="false">H20+I20</f>
        <v>198.99</v>
      </c>
      <c r="K20" s="0" t="str">
        <f aca="false">IF(D20="","",IF(D20&gt;12,"FLAG",IF(D20&gt;8,"OVERTIME","OK")))</f>
        <v>OVERTIME</v>
      </c>
      <c r="L20" s="0" t="str">
        <f aca="false">IF(OR(A20="",E20="",C20=""),"",IF(COUNTIFS($A:$A,A20,$E:$E,E20,$C:$C,C20)&gt;1,"DUPLIKAT","OK"))</f>
        <v>OK</v>
      </c>
    </row>
    <row r="21" customFormat="false" ht="15" hidden="false" customHeight="false" outlineLevel="0" collapsed="false">
      <c r="A21" s="6" t="s">
        <v>88</v>
      </c>
      <c r="B21" s="0" t="str">
        <f aca="false">IFERROR(INDEX(Master_Lista!$B$2:$B$151,MATCH(A21,Master_Lista!$A$2:$A$151,0)),"")</f>
        <v>Ognjen Markovic</v>
      </c>
      <c r="C21" s="6" t="s">
        <v>329</v>
      </c>
      <c r="D21" s="7" t="n">
        <v>6</v>
      </c>
      <c r="E21" s="8" t="n">
        <v>46119</v>
      </c>
      <c r="F21" s="0" t="str">
        <f aca="false">IFERROR(INDEX(Sheet11_Zarade!$C$2:$C$151,MATCH(A21,Sheet11_Zarade!$A$2:$A$151,0)),"")</f>
        <v>Mašinski inženjer</v>
      </c>
      <c r="G21" s="5" t="n">
        <f aca="false">IFERROR(INDEX(Sheet11_Zarade!$D$2:$D$151,MATCH(A21,Sheet11_Zarade!$A$2:$A$151,0)),0)</f>
        <v>20</v>
      </c>
      <c r="H21" s="5" t="n">
        <f aca="false">IFERROR(D21*G21,0)</f>
        <v>120</v>
      </c>
      <c r="I21" s="5" t="n">
        <f aca="false">H21*0.5%</f>
        <v>0.6</v>
      </c>
      <c r="J21" s="5" t="n">
        <f aca="false">H21+I21</f>
        <v>120.6</v>
      </c>
      <c r="K21" s="0" t="str">
        <f aca="false">IF(D21="","",IF(D21&gt;12,"FLAG",IF(D21&gt;8,"OVERTIME","OK")))</f>
        <v>OK</v>
      </c>
      <c r="L21" s="0" t="str">
        <f aca="false">IF(OR(A21="",E21="",C21=""),"",IF(COUNTIFS($A:$A,A21,$E:$E,E21,$C:$C,C21)&gt;1,"DUPLIKAT","OK"))</f>
        <v>OK</v>
      </c>
    </row>
    <row r="22" customFormat="false" ht="15" hidden="false" customHeight="false" outlineLevel="0" collapsed="false">
      <c r="A22" s="6" t="s">
        <v>49</v>
      </c>
      <c r="B22" s="0" t="str">
        <f aca="false">IFERROR(INDEX(Master_Lista!$B$2:$B$151,MATCH(A22,Master_Lista!$A$2:$A$151,0)),"")</f>
        <v>Radoslav Vasic</v>
      </c>
      <c r="C22" s="6" t="s">
        <v>326</v>
      </c>
      <c r="D22" s="7" t="n">
        <v>11</v>
      </c>
      <c r="E22" s="8" t="n">
        <v>46096</v>
      </c>
      <c r="F22" s="0" t="str">
        <f aca="false">IFERROR(INDEX(Sheet11_Zarade!$C$2:$C$151,MATCH(A22,Sheet11_Zarade!$A$2:$A$151,0)),"")</f>
        <v>CNC operater</v>
      </c>
      <c r="G22" s="5" t="n">
        <f aca="false">IFERROR(INDEX(Sheet11_Zarade!$D$2:$D$151,MATCH(A22,Sheet11_Zarade!$A$2:$A$151,0)),0)</f>
        <v>12</v>
      </c>
      <c r="H22" s="5" t="n">
        <f aca="false">IFERROR(D22*G22,0)</f>
        <v>132</v>
      </c>
      <c r="I22" s="5" t="n">
        <f aca="false">H22*0.5%</f>
        <v>0.66</v>
      </c>
      <c r="J22" s="5" t="n">
        <f aca="false">H22+I22</f>
        <v>132.66</v>
      </c>
      <c r="K22" s="0" t="str">
        <f aca="false">IF(D22="","",IF(D22&gt;12,"FLAG",IF(D22&gt;8,"OVERTIME","OK")))</f>
        <v>OVERTIME</v>
      </c>
      <c r="L22" s="0" t="str">
        <f aca="false">IF(OR(A22="",E22="",C22=""),"",IF(COUNTIFS($A:$A,A22,$E:$E,E22,$C:$C,C22)&gt;1,"DUPLIKAT","OK"))</f>
        <v>OK</v>
      </c>
    </row>
    <row r="23" customFormat="false" ht="15" hidden="false" customHeight="false" outlineLevel="0" collapsed="false">
      <c r="A23" s="6" t="s">
        <v>153</v>
      </c>
      <c r="B23" s="0" t="str">
        <f aca="false">IFERROR(INDEX(Master_Lista!$B$2:$B$151,MATCH(A23,Master_Lista!$A$2:$A$151,0)),"")</f>
        <v>Dragan Djordjevic</v>
      </c>
      <c r="C23" s="6" t="s">
        <v>326</v>
      </c>
      <c r="D23" s="7" t="n">
        <v>8.5</v>
      </c>
      <c r="E23" s="8" t="n">
        <v>46053</v>
      </c>
      <c r="F23" s="0" t="str">
        <f aca="false">IFERROR(INDEX(Sheet11_Zarade!$C$2:$C$151,MATCH(A23,Sheet11_Zarade!$A$2:$A$151,0)),"")</f>
        <v>CNC operater</v>
      </c>
      <c r="G23" s="5" t="n">
        <f aca="false">IFERROR(INDEX(Sheet11_Zarade!$D$2:$D$151,MATCH(A23,Sheet11_Zarade!$A$2:$A$151,0)),0)</f>
        <v>12</v>
      </c>
      <c r="H23" s="5" t="n">
        <f aca="false">IFERROR(D23*G23,0)</f>
        <v>102</v>
      </c>
      <c r="I23" s="5" t="n">
        <f aca="false">H23*0.5%</f>
        <v>0.51</v>
      </c>
      <c r="J23" s="5" t="n">
        <f aca="false">H23+I23</f>
        <v>102.51</v>
      </c>
      <c r="K23" s="0" t="str">
        <f aca="false">IF(D23="","",IF(D23&gt;12,"FLAG",IF(D23&gt;8,"OVERTIME","OK")))</f>
        <v>OVERTIME</v>
      </c>
      <c r="L23" s="0" t="str">
        <f aca="false">IF(OR(A23="",E23="",C23=""),"",IF(COUNTIFS($A:$A,A23,$E:$E,E23,$C:$C,C23)&gt;1,"DUPLIKAT","OK"))</f>
        <v>OK</v>
      </c>
    </row>
    <row r="24" customFormat="false" ht="15" hidden="false" customHeight="false" outlineLevel="0" collapsed="false">
      <c r="A24" s="6" t="s">
        <v>226</v>
      </c>
      <c r="B24" s="0" t="str">
        <f aca="false">IFERROR(INDEX(Master_Lista!$B$2:$B$151,MATCH(A24,Master_Lista!$A$2:$A$151,0)),"")</f>
        <v>Radoslav Zivkovic</v>
      </c>
      <c r="C24" s="6" t="s">
        <v>329</v>
      </c>
      <c r="D24" s="7" t="n">
        <v>10</v>
      </c>
      <c r="E24" s="8" t="n">
        <v>46137</v>
      </c>
      <c r="F24" s="0" t="str">
        <f aca="false">IFERROR(INDEX(Sheet11_Zarade!$C$2:$C$151,MATCH(A24,Sheet11_Zarade!$A$2:$A$151,0)),"")</f>
        <v>Mašinski inženjer</v>
      </c>
      <c r="G24" s="5" t="n">
        <f aca="false">IFERROR(INDEX(Sheet11_Zarade!$D$2:$D$151,MATCH(A24,Sheet11_Zarade!$A$2:$A$151,0)),0)</f>
        <v>20</v>
      </c>
      <c r="H24" s="5" t="n">
        <f aca="false">IFERROR(D24*G24,0)</f>
        <v>200</v>
      </c>
      <c r="I24" s="5" t="n">
        <f aca="false">H24*0.5%</f>
        <v>1</v>
      </c>
      <c r="J24" s="5" t="n">
        <f aca="false">H24+I24</f>
        <v>201</v>
      </c>
      <c r="K24" s="0" t="str">
        <f aca="false">IF(D24="","",IF(D24&gt;12,"FLAG",IF(D24&gt;8,"OVERTIME","OK")))</f>
        <v>OVERTIME</v>
      </c>
      <c r="L24" s="0" t="str">
        <f aca="false">IF(OR(A24="",E24="",C24=""),"",IF(COUNTIFS($A:$A,A24,$E:$E,E24,$C:$C,C24)&gt;1,"DUPLIKAT","OK"))</f>
        <v>OK</v>
      </c>
    </row>
    <row r="25" customFormat="false" ht="15" hidden="false" customHeight="false" outlineLevel="0" collapsed="false">
      <c r="A25" s="6" t="s">
        <v>201</v>
      </c>
      <c r="B25" s="0" t="str">
        <f aca="false">IFERROR(INDEX(Master_Lista!$B$2:$B$151,MATCH(A25,Master_Lista!$A$2:$A$151,0)),"")</f>
        <v>Sanja Djordjevic</v>
      </c>
      <c r="C25" s="6" t="s">
        <v>330</v>
      </c>
      <c r="D25" s="7" t="n">
        <v>6</v>
      </c>
      <c r="E25" s="8" t="n">
        <v>46167</v>
      </c>
      <c r="F25" s="0" t="str">
        <f aca="false">IFERROR(INDEX(Sheet11_Zarade!$C$2:$C$151,MATCH(A25,Sheet11_Zarade!$A$2:$A$151,0)),"")</f>
        <v>Tehničar održavanja</v>
      </c>
      <c r="G25" s="5" t="n">
        <f aca="false">IFERROR(INDEX(Sheet11_Zarade!$D$2:$D$151,MATCH(A25,Sheet11_Zarade!$A$2:$A$151,0)),0)</f>
        <v>10.5</v>
      </c>
      <c r="H25" s="5" t="n">
        <f aca="false">IFERROR(D25*G25,0)</f>
        <v>63</v>
      </c>
      <c r="I25" s="5" t="n">
        <f aca="false">H25*0.5%</f>
        <v>0.315</v>
      </c>
      <c r="J25" s="5" t="n">
        <f aca="false">H25+I25</f>
        <v>63.315</v>
      </c>
      <c r="K25" s="0" t="str">
        <f aca="false">IF(D25="","",IF(D25&gt;12,"FLAG",IF(D25&gt;8,"OVERTIME","OK")))</f>
        <v>OK</v>
      </c>
      <c r="L25" s="0" t="str">
        <f aca="false">IF(OR(A25="",E25="",C25=""),"",IF(COUNTIFS($A:$A,A25,$E:$E,E25,$C:$C,C25)&gt;1,"DUPLIKAT","OK"))</f>
        <v>OK</v>
      </c>
    </row>
    <row r="26" customFormat="false" ht="15" hidden="false" customHeight="false" outlineLevel="0" collapsed="false">
      <c r="A26" s="6" t="s">
        <v>61</v>
      </c>
      <c r="B26" s="0" t="str">
        <f aca="false">IFERROR(INDEX(Master_Lista!$B$2:$B$151,MATCH(A26,Master_Lista!$A$2:$A$151,0)),"")</f>
        <v>Stefan Nikolic</v>
      </c>
      <c r="C26" s="6" t="s">
        <v>335</v>
      </c>
      <c r="D26" s="7" t="n">
        <v>7.5</v>
      </c>
      <c r="E26" s="8" t="n">
        <v>46054</v>
      </c>
      <c r="F26" s="0" t="str">
        <f aca="false">IFERROR(INDEX(Sheet11_Zarade!$C$2:$C$151,MATCH(A26,Sheet11_Zarade!$A$2:$A$151,0)),"")</f>
        <v>Magacioner</v>
      </c>
      <c r="G26" s="5" t="n">
        <f aca="false">IFERROR(INDEX(Sheet11_Zarade!$D$2:$D$151,MATCH(A26,Sheet11_Zarade!$A$2:$A$151,0)),0)</f>
        <v>7.5</v>
      </c>
      <c r="H26" s="5" t="n">
        <f aca="false">IFERROR(D26*G26,0)</f>
        <v>56.25</v>
      </c>
      <c r="I26" s="5" t="n">
        <f aca="false">H26*0.5%</f>
        <v>0.28125</v>
      </c>
      <c r="J26" s="5" t="n">
        <f aca="false">H26+I26</f>
        <v>56.53125</v>
      </c>
      <c r="K26" s="0" t="str">
        <f aca="false">IF(D26="","",IF(D26&gt;12,"FLAG",IF(D26&gt;8,"OVERTIME","OK")))</f>
        <v>OK</v>
      </c>
      <c r="L26" s="0" t="str">
        <f aca="false">IF(OR(A26="",E26="",C26=""),"",IF(COUNTIFS($A:$A,A26,$E:$E,E26,$C:$C,C26)&gt;1,"DUPLIKAT","OK"))</f>
        <v>OK</v>
      </c>
    </row>
    <row r="27" customFormat="false" ht="15" hidden="false" customHeight="false" outlineLevel="0" collapsed="false">
      <c r="A27" s="6" t="s">
        <v>97</v>
      </c>
      <c r="B27" s="0" t="str">
        <f aca="false">IFERROR(INDEX(Master_Lista!$B$2:$B$151,MATCH(A27,Master_Lista!$A$2:$A$151,0)),"")</f>
        <v>Petar Djordjevic</v>
      </c>
      <c r="C27" s="6" t="s">
        <v>329</v>
      </c>
      <c r="D27" s="7" t="n">
        <v>10</v>
      </c>
      <c r="E27" s="8" t="n">
        <v>46065</v>
      </c>
      <c r="F27" s="0" t="str">
        <f aca="false">IFERROR(INDEX(Sheet11_Zarade!$C$2:$C$151,MATCH(A27,Sheet11_Zarade!$A$2:$A$151,0)),"")</f>
        <v>Tehničar održavanja</v>
      </c>
      <c r="G27" s="5" t="n">
        <f aca="false">IFERROR(INDEX(Sheet11_Zarade!$D$2:$D$151,MATCH(A27,Sheet11_Zarade!$A$2:$A$151,0)),0)</f>
        <v>10.5</v>
      </c>
      <c r="H27" s="5" t="n">
        <f aca="false">IFERROR(D27*G27,0)</f>
        <v>105</v>
      </c>
      <c r="I27" s="5" t="n">
        <f aca="false">H27*0.5%</f>
        <v>0.525</v>
      </c>
      <c r="J27" s="5" t="n">
        <f aca="false">H27+I27</f>
        <v>105.525</v>
      </c>
      <c r="K27" s="0" t="str">
        <f aca="false">IF(D27="","",IF(D27&gt;12,"FLAG",IF(D27&gt;8,"OVERTIME","OK")))</f>
        <v>OVERTIME</v>
      </c>
      <c r="L27" s="0" t="str">
        <f aca="false">IF(OR(A27="",E27="",C27=""),"",IF(COUNTIFS($A:$A,A27,$E:$E,E27,$C:$C,C27)&gt;1,"DUPLIKAT","OK"))</f>
        <v>OK</v>
      </c>
    </row>
    <row r="28" customFormat="false" ht="15" hidden="false" customHeight="false" outlineLevel="0" collapsed="false">
      <c r="A28" s="6" t="s">
        <v>77</v>
      </c>
      <c r="B28" s="0" t="str">
        <f aca="false">IFERROR(INDEX(Master_Lista!$B$2:$B$151,MATCH(A28,Master_Lista!$A$2:$A$151,0)),"")</f>
        <v>Radoslav Kostic</v>
      </c>
      <c r="C28" s="6" t="s">
        <v>325</v>
      </c>
      <c r="D28" s="7" t="n">
        <v>6</v>
      </c>
      <c r="E28" s="8" t="n">
        <v>46151</v>
      </c>
      <c r="F28" s="0" t="str">
        <f aca="false">IFERROR(INDEX(Sheet11_Zarade!$C$2:$C$151,MATCH(A28,Sheet11_Zarade!$A$2:$A$151,0)),"")</f>
        <v>Inženjer na gradilištu</v>
      </c>
      <c r="G28" s="5" t="n">
        <f aca="false">IFERROR(INDEX(Sheet11_Zarade!$D$2:$D$151,MATCH(A28,Sheet11_Zarade!$A$2:$A$151,0)),0)</f>
        <v>18</v>
      </c>
      <c r="H28" s="5" t="n">
        <f aca="false">IFERROR(D28*G28,0)</f>
        <v>108</v>
      </c>
      <c r="I28" s="5" t="n">
        <f aca="false">H28*0.5%</f>
        <v>0.54</v>
      </c>
      <c r="J28" s="5" t="n">
        <f aca="false">H28+I28</f>
        <v>108.54</v>
      </c>
      <c r="K28" s="0" t="str">
        <f aca="false">IF(D28="","",IF(D28&gt;12,"FLAG",IF(D28&gt;8,"OVERTIME","OK")))</f>
        <v>OK</v>
      </c>
      <c r="L28" s="0" t="str">
        <f aca="false">IF(OR(A28="",E28="",C28=""),"",IF(COUNTIFS($A:$A,A28,$E:$E,E28,$C:$C,C28)&gt;1,"DUPLIKAT","OK"))</f>
        <v>OK</v>
      </c>
    </row>
    <row r="29" customFormat="false" ht="15" hidden="false" customHeight="false" outlineLevel="0" collapsed="false">
      <c r="A29" s="6" t="s">
        <v>255</v>
      </c>
      <c r="B29" s="0" t="str">
        <f aca="false">IFERROR(INDEX(Master_Lista!$B$2:$B$151,MATCH(A29,Master_Lista!$A$2:$A$151,0)),"")</f>
        <v>Petar Antic</v>
      </c>
      <c r="C29" s="6" t="s">
        <v>335</v>
      </c>
      <c r="D29" s="7" t="n">
        <v>10</v>
      </c>
      <c r="E29" s="8" t="n">
        <v>46149</v>
      </c>
      <c r="F29" s="0" t="str">
        <f aca="false">IFERROR(INDEX(Sheet11_Zarade!$C$2:$C$151,MATCH(A29,Sheet11_Zarade!$A$2:$A$151,0)),"")</f>
        <v>Zavarivač</v>
      </c>
      <c r="G29" s="5" t="n">
        <f aca="false">IFERROR(INDEX(Sheet11_Zarade!$D$2:$D$151,MATCH(A29,Sheet11_Zarade!$A$2:$A$151,0)),0)</f>
        <v>10</v>
      </c>
      <c r="H29" s="5" t="n">
        <f aca="false">IFERROR(D29*G29,0)</f>
        <v>100</v>
      </c>
      <c r="I29" s="5" t="n">
        <f aca="false">H29*0.5%</f>
        <v>0.5</v>
      </c>
      <c r="J29" s="5" t="n">
        <f aca="false">H29+I29</f>
        <v>100.5</v>
      </c>
      <c r="K29" s="0" t="str">
        <f aca="false">IF(D29="","",IF(D29&gt;12,"FLAG",IF(D29&gt;8,"OVERTIME","OK")))</f>
        <v>OVERTIME</v>
      </c>
      <c r="L29" s="0" t="str">
        <f aca="false">IF(OR(A29="",E29="",C29=""),"",IF(COUNTIFS($A:$A,A29,$E:$E,E29,$C:$C,C29)&gt;1,"DUPLIKAT","OK"))</f>
        <v>OK</v>
      </c>
    </row>
    <row r="30" customFormat="false" ht="15" hidden="false" customHeight="false" outlineLevel="0" collapsed="false">
      <c r="A30" s="6" t="s">
        <v>20</v>
      </c>
      <c r="B30" s="0" t="str">
        <f aca="false">IFERROR(INDEX(Master_Lista!$B$2:$B$151,MATCH(A30,Master_Lista!$A$2:$A$151,0)),"")</f>
        <v>Branko Babic</v>
      </c>
      <c r="C30" s="6" t="s">
        <v>334</v>
      </c>
      <c r="D30" s="7" t="n">
        <v>7.5</v>
      </c>
      <c r="E30" s="8" t="n">
        <v>46148</v>
      </c>
      <c r="F30" s="0" t="str">
        <f aca="false">IFERROR(INDEX(Sheet11_Zarade!$C$2:$C$151,MATCH(A30,Sheet11_Zarade!$A$2:$A$151,0)),"")</f>
        <v>Elektro inženjer</v>
      </c>
      <c r="G30" s="5" t="n">
        <f aca="false">IFERROR(INDEX(Sheet11_Zarade!$D$2:$D$151,MATCH(A30,Sheet11_Zarade!$A$2:$A$151,0)),0)</f>
        <v>22</v>
      </c>
      <c r="H30" s="5" t="n">
        <f aca="false">IFERROR(D30*G30,0)</f>
        <v>165</v>
      </c>
      <c r="I30" s="5" t="n">
        <f aca="false">H30*0.5%</f>
        <v>0.825</v>
      </c>
      <c r="J30" s="5" t="n">
        <f aca="false">H30+I30</f>
        <v>165.825</v>
      </c>
      <c r="K30" s="0" t="str">
        <f aca="false">IF(D30="","",IF(D30&gt;12,"FLAG",IF(D30&gt;8,"OVERTIME","OK")))</f>
        <v>OK</v>
      </c>
      <c r="L30" s="0" t="str">
        <f aca="false">IF(OR(A30="",E30="",C30=""),"",IF(COUNTIFS($A:$A,A30,$E:$E,E30,$C:$C,C30)&gt;1,"DUPLIKAT","OK"))</f>
        <v>OK</v>
      </c>
    </row>
    <row r="31" customFormat="false" ht="15" hidden="false" customHeight="false" outlineLevel="0" collapsed="false">
      <c r="A31" s="6" t="s">
        <v>71</v>
      </c>
      <c r="B31" s="0" t="str">
        <f aca="false">IFERROR(INDEX(Master_Lista!$B$2:$B$151,MATCH(A31,Master_Lista!$A$2:$A$151,0)),"")</f>
        <v>Olga Zivkovic</v>
      </c>
      <c r="C31" s="6" t="s">
        <v>330</v>
      </c>
      <c r="D31" s="7" t="n">
        <v>12</v>
      </c>
      <c r="E31" s="8" t="n">
        <v>46030</v>
      </c>
      <c r="F31" s="0" t="str">
        <f aca="false">IFERROR(INDEX(Sheet11_Zarade!$C$2:$C$151,MATCH(A31,Sheet11_Zarade!$A$2:$A$151,0)),"")</f>
        <v>Finansijski analitičar</v>
      </c>
      <c r="G31" s="5" t="n">
        <f aca="false">IFERROR(INDEX(Sheet11_Zarade!$D$2:$D$151,MATCH(A31,Sheet11_Zarade!$A$2:$A$151,0)),0)</f>
        <v>16</v>
      </c>
      <c r="H31" s="5" t="n">
        <f aca="false">IFERROR(D31*G31,0)</f>
        <v>192</v>
      </c>
      <c r="I31" s="5" t="n">
        <f aca="false">H31*0.5%</f>
        <v>0.96</v>
      </c>
      <c r="J31" s="5" t="n">
        <f aca="false">H31+I31</f>
        <v>192.96</v>
      </c>
      <c r="K31" s="0" t="str">
        <f aca="false">IF(D31="","",IF(D31&gt;12,"FLAG",IF(D31&gt;8,"OVERTIME","OK")))</f>
        <v>OVERTIME</v>
      </c>
      <c r="L31" s="0" t="str">
        <f aca="false">IF(OR(A31="",E31="",C31=""),"",IF(COUNTIFS($A:$A,A31,$E:$E,E31,$C:$C,C31)&gt;1,"DUPLIKAT","OK"))</f>
        <v>OK</v>
      </c>
    </row>
    <row r="32" customFormat="false" ht="15" hidden="false" customHeight="false" outlineLevel="0" collapsed="false">
      <c r="A32" s="6" t="s">
        <v>128</v>
      </c>
      <c r="B32" s="0" t="str">
        <f aca="false">IFERROR(INDEX(Master_Lista!$B$2:$B$151,MATCH(A32,Master_Lista!$A$2:$A$151,0)),"")</f>
        <v>Filip Zivkovic</v>
      </c>
      <c r="C32" s="6" t="s">
        <v>325</v>
      </c>
      <c r="D32" s="7" t="n">
        <v>12</v>
      </c>
      <c r="E32" s="8" t="n">
        <v>46113</v>
      </c>
      <c r="F32" s="0" t="str">
        <f aca="false">IFERROR(INDEX(Sheet11_Zarade!$C$2:$C$151,MATCH(A32,Sheet11_Zarade!$A$2:$A$151,0)),"")</f>
        <v>Slikar</v>
      </c>
      <c r="G32" s="5" t="n">
        <f aca="false">IFERROR(INDEX(Sheet11_Zarade!$D$2:$D$151,MATCH(A32,Sheet11_Zarade!$A$2:$A$151,0)),0)</f>
        <v>8</v>
      </c>
      <c r="H32" s="5" t="n">
        <f aca="false">IFERROR(D32*G32,0)</f>
        <v>96</v>
      </c>
      <c r="I32" s="5" t="n">
        <f aca="false">H32*0.5%</f>
        <v>0.48</v>
      </c>
      <c r="J32" s="5" t="n">
        <f aca="false">H32+I32</f>
        <v>96.48</v>
      </c>
      <c r="K32" s="0" t="str">
        <f aca="false">IF(D32="","",IF(D32&gt;12,"FLAG",IF(D32&gt;8,"OVERTIME","OK")))</f>
        <v>OVERTIME</v>
      </c>
      <c r="L32" s="0" t="str">
        <f aca="false">IF(OR(A32="",E32="",C32=""),"",IF(COUNTIFS($A:$A,A32,$E:$E,E32,$C:$C,C32)&gt;1,"DUPLIKAT","OK"))</f>
        <v>OK</v>
      </c>
    </row>
    <row r="33" customFormat="false" ht="15" hidden="false" customHeight="false" outlineLevel="0" collapsed="false">
      <c r="A33" s="6" t="s">
        <v>118</v>
      </c>
      <c r="B33" s="0" t="str">
        <f aca="false">IFERROR(INDEX(Master_Lista!$B$2:$B$151,MATCH(A33,Master_Lista!$A$2:$A$151,0)),"")</f>
        <v>Vesna Filipovic</v>
      </c>
      <c r="C33" s="6" t="s">
        <v>336</v>
      </c>
      <c r="D33" s="7" t="n">
        <v>7.5</v>
      </c>
      <c r="E33" s="8" t="n">
        <v>46120</v>
      </c>
      <c r="F33" s="0" t="str">
        <f aca="false">IFERROR(INDEX(Sheet11_Zarade!$C$2:$C$151,MATCH(A33,Sheet11_Zarade!$A$2:$A$151,0)),"")</f>
        <v>CNC operater</v>
      </c>
      <c r="G33" s="5" t="n">
        <f aca="false">IFERROR(INDEX(Sheet11_Zarade!$D$2:$D$151,MATCH(A33,Sheet11_Zarade!$A$2:$A$151,0)),0)</f>
        <v>12</v>
      </c>
      <c r="H33" s="5" t="n">
        <f aca="false">IFERROR(D33*G33,0)</f>
        <v>90</v>
      </c>
      <c r="I33" s="5" t="n">
        <f aca="false">H33*0.5%</f>
        <v>0.45</v>
      </c>
      <c r="J33" s="5" t="n">
        <f aca="false">H33+I33</f>
        <v>90.45</v>
      </c>
      <c r="K33" s="0" t="str">
        <f aca="false">IF(D33="","",IF(D33&gt;12,"FLAG",IF(D33&gt;8,"OVERTIME","OK")))</f>
        <v>OK</v>
      </c>
      <c r="L33" s="0" t="str">
        <f aca="false">IF(OR(A33="",E33="",C33=""),"",IF(COUNTIFS($A:$A,A33,$E:$E,E33,$C:$C,C33)&gt;1,"DUPLIKAT","OK"))</f>
        <v>OK</v>
      </c>
    </row>
    <row r="34" customFormat="false" ht="15" hidden="false" customHeight="false" outlineLevel="0" collapsed="false">
      <c r="A34" s="6" t="s">
        <v>287</v>
      </c>
      <c r="B34" s="0" t="str">
        <f aca="false">IFERROR(INDEX(Master_Lista!$B$2:$B$151,MATCH(A34,Master_Lista!$A$2:$A$151,0)),"")</f>
        <v>Filip Lazic</v>
      </c>
      <c r="C34" s="6" t="s">
        <v>335</v>
      </c>
      <c r="D34" s="7" t="n">
        <v>12</v>
      </c>
      <c r="E34" s="8" t="n">
        <v>46069</v>
      </c>
      <c r="F34" s="0" t="str">
        <f aca="false">IFERROR(INDEX(Sheet11_Zarade!$C$2:$C$151,MATCH(A34,Sheet11_Zarade!$A$2:$A$151,0)),"")</f>
        <v>Zavarivač</v>
      </c>
      <c r="G34" s="5" t="n">
        <f aca="false">IFERROR(INDEX(Sheet11_Zarade!$D$2:$D$151,MATCH(A34,Sheet11_Zarade!$A$2:$A$151,0)),0)</f>
        <v>10</v>
      </c>
      <c r="H34" s="5" t="n">
        <f aca="false">IFERROR(D34*G34,0)</f>
        <v>120</v>
      </c>
      <c r="I34" s="5" t="n">
        <f aca="false">H34*0.5%</f>
        <v>0.6</v>
      </c>
      <c r="J34" s="5" t="n">
        <f aca="false">H34+I34</f>
        <v>120.6</v>
      </c>
      <c r="K34" s="0" t="str">
        <f aca="false">IF(D34="","",IF(D34&gt;12,"FLAG",IF(D34&gt;8,"OVERTIME","OK")))</f>
        <v>OVERTIME</v>
      </c>
      <c r="L34" s="0" t="str">
        <f aca="false">IF(OR(A34="",E34="",C34=""),"",IF(COUNTIFS($A:$A,A34,$E:$E,E34,$C:$C,C34)&gt;1,"DUPLIKAT","OK"))</f>
        <v>OK</v>
      </c>
    </row>
    <row r="35" customFormat="false" ht="15" hidden="false" customHeight="false" outlineLevel="0" collapsed="false">
      <c r="A35" s="6" t="s">
        <v>24</v>
      </c>
      <c r="B35" s="0" t="str">
        <f aca="false">IFERROR(INDEX(Master_Lista!$B$2:$B$151,MATCH(A35,Master_Lista!$A$2:$A$151,0)),"")</f>
        <v>Branko Babic</v>
      </c>
      <c r="C35" s="6" t="s">
        <v>337</v>
      </c>
      <c r="D35" s="7" t="n">
        <v>7.5</v>
      </c>
      <c r="E35" s="8" t="n">
        <v>46169</v>
      </c>
      <c r="F35" s="0" t="str">
        <f aca="false">IFERROR(INDEX(Sheet11_Zarade!$C$2:$C$151,MATCH(A35,Sheet11_Zarade!$A$2:$A$151,0)),"")</f>
        <v>Slikar</v>
      </c>
      <c r="G35" s="5" t="n">
        <f aca="false">IFERROR(INDEX(Sheet11_Zarade!$D$2:$D$151,MATCH(A35,Sheet11_Zarade!$A$2:$A$151,0)),0)</f>
        <v>8</v>
      </c>
      <c r="H35" s="5" t="n">
        <f aca="false">IFERROR(D35*G35,0)</f>
        <v>60</v>
      </c>
      <c r="I35" s="5" t="n">
        <f aca="false">H35*0.5%</f>
        <v>0.3</v>
      </c>
      <c r="J35" s="5" t="n">
        <f aca="false">H35+I35</f>
        <v>60.3</v>
      </c>
      <c r="K35" s="0" t="str">
        <f aca="false">IF(D35="","",IF(D35&gt;12,"FLAG",IF(D35&gt;8,"OVERTIME","OK")))</f>
        <v>OK</v>
      </c>
      <c r="L35" s="0" t="str">
        <f aca="false">IF(OR(A35="",E35="",C35=""),"",IF(COUNTIFS($A:$A,A35,$E:$E,E35,$C:$C,C35)&gt;1,"DUPLIKAT","OK"))</f>
        <v>OK</v>
      </c>
    </row>
    <row r="36" customFormat="false" ht="15" hidden="false" customHeight="false" outlineLevel="0" collapsed="false">
      <c r="A36" s="6" t="s">
        <v>25</v>
      </c>
      <c r="B36" s="0" t="str">
        <f aca="false">IFERROR(INDEX(Master_Lista!$B$2:$B$151,MATCH(A36,Master_Lista!$A$2:$A$151,0)),"")</f>
        <v>Cedomir Vasic</v>
      </c>
      <c r="C36" s="6" t="s">
        <v>338</v>
      </c>
      <c r="D36" s="7" t="n">
        <v>8.5</v>
      </c>
      <c r="E36" s="8" t="n">
        <v>46073</v>
      </c>
      <c r="F36" s="0" t="str">
        <f aca="false">IFERROR(INDEX(Sheet11_Zarade!$C$2:$C$151,MATCH(A36,Sheet11_Zarade!$A$2:$A$151,0)),"")</f>
        <v>Magacioner</v>
      </c>
      <c r="G36" s="5" t="n">
        <f aca="false">IFERROR(INDEX(Sheet11_Zarade!$D$2:$D$151,MATCH(A36,Sheet11_Zarade!$A$2:$A$151,0)),0)</f>
        <v>7.5</v>
      </c>
      <c r="H36" s="5" t="n">
        <f aca="false">IFERROR(D36*G36,0)</f>
        <v>63.75</v>
      </c>
      <c r="I36" s="5" t="n">
        <f aca="false">H36*0.5%</f>
        <v>0.31875</v>
      </c>
      <c r="J36" s="5" t="n">
        <f aca="false">H36+I36</f>
        <v>64.06875</v>
      </c>
      <c r="K36" s="0" t="str">
        <f aca="false">IF(D36="","",IF(D36&gt;12,"FLAG",IF(D36&gt;8,"OVERTIME","OK")))</f>
        <v>OVERTIME</v>
      </c>
      <c r="L36" s="0" t="str">
        <f aca="false">IF(OR(A36="",E36="",C36=""),"",IF(COUNTIFS($A:$A,A36,$E:$E,E36,$C:$C,C36)&gt;1,"DUPLIKAT","OK"))</f>
        <v>OK</v>
      </c>
    </row>
    <row r="37" customFormat="false" ht="15" hidden="false" customHeight="false" outlineLevel="0" collapsed="false">
      <c r="A37" s="6" t="s">
        <v>149</v>
      </c>
      <c r="B37" s="0" t="str">
        <f aca="false">IFERROR(INDEX(Master_Lista!$B$2:$B$151,MATCH(A37,Master_Lista!$A$2:$A$151,0)),"")</f>
        <v>Ana Babic</v>
      </c>
      <c r="C37" s="6" t="s">
        <v>328</v>
      </c>
      <c r="D37" s="7" t="n">
        <v>8</v>
      </c>
      <c r="E37" s="8" t="n">
        <v>46165</v>
      </c>
      <c r="F37" s="0" t="str">
        <f aca="false">IFERROR(INDEX(Sheet11_Zarade!$C$2:$C$151,MATCH(A37,Sheet11_Zarade!$A$2:$A$151,0)),"")</f>
        <v>Bravar</v>
      </c>
      <c r="G37" s="5" t="n">
        <f aca="false">IFERROR(INDEX(Sheet11_Zarade!$D$2:$D$151,MATCH(A37,Sheet11_Zarade!$A$2:$A$151,0)),0)</f>
        <v>9</v>
      </c>
      <c r="H37" s="5" t="n">
        <f aca="false">IFERROR(D37*G37,0)</f>
        <v>72</v>
      </c>
      <c r="I37" s="5" t="n">
        <f aca="false">H37*0.5%</f>
        <v>0.36</v>
      </c>
      <c r="J37" s="5" t="n">
        <f aca="false">H37+I37</f>
        <v>72.36</v>
      </c>
      <c r="K37" s="0" t="str">
        <f aca="false">IF(D37="","",IF(D37&gt;12,"FLAG",IF(D37&gt;8,"OVERTIME","OK")))</f>
        <v>OK</v>
      </c>
      <c r="L37" s="0" t="str">
        <f aca="false">IF(OR(A37="",E37="",C37=""),"",IF(COUNTIFS($A:$A,A37,$E:$E,E37,$C:$C,C37)&gt;1,"DUPLIKAT","OK"))</f>
        <v>OK</v>
      </c>
    </row>
    <row r="38" customFormat="false" ht="15" hidden="false" customHeight="false" outlineLevel="0" collapsed="false">
      <c r="A38" s="6" t="s">
        <v>226</v>
      </c>
      <c r="B38" s="0" t="str">
        <f aca="false">IFERROR(INDEX(Master_Lista!$B$2:$B$151,MATCH(A38,Master_Lista!$A$2:$A$151,0)),"")</f>
        <v>Radoslav Zivkovic</v>
      </c>
      <c r="C38" s="6" t="s">
        <v>327</v>
      </c>
      <c r="D38" s="7" t="n">
        <v>11</v>
      </c>
      <c r="E38" s="8" t="n">
        <v>46082</v>
      </c>
      <c r="F38" s="0" t="str">
        <f aca="false">IFERROR(INDEX(Sheet11_Zarade!$C$2:$C$151,MATCH(A38,Sheet11_Zarade!$A$2:$A$151,0)),"")</f>
        <v>Mašinski inženjer</v>
      </c>
      <c r="G38" s="5" t="n">
        <f aca="false">IFERROR(INDEX(Sheet11_Zarade!$D$2:$D$151,MATCH(A38,Sheet11_Zarade!$A$2:$A$151,0)),0)</f>
        <v>20</v>
      </c>
      <c r="H38" s="5" t="n">
        <f aca="false">IFERROR(D38*G38,0)</f>
        <v>220</v>
      </c>
      <c r="I38" s="5" t="n">
        <f aca="false">H38*0.5%</f>
        <v>1.1</v>
      </c>
      <c r="J38" s="5" t="n">
        <f aca="false">H38+I38</f>
        <v>221.1</v>
      </c>
      <c r="K38" s="0" t="str">
        <f aca="false">IF(D38="","",IF(D38&gt;12,"FLAG",IF(D38&gt;8,"OVERTIME","OK")))</f>
        <v>OVERTIME</v>
      </c>
      <c r="L38" s="0" t="str">
        <f aca="false">IF(OR(A38="",E38="",C38=""),"",IF(COUNTIFS($A:$A,A38,$E:$E,E38,$C:$C,C38)&gt;1,"DUPLIKAT","OK"))</f>
        <v>OK</v>
      </c>
    </row>
    <row r="39" customFormat="false" ht="15" hidden="false" customHeight="false" outlineLevel="0" collapsed="false">
      <c r="A39" s="6" t="s">
        <v>260</v>
      </c>
      <c r="B39" s="0" t="str">
        <f aca="false">IFERROR(INDEX(Master_Lista!$B$2:$B$151,MATCH(A39,Master_Lista!$A$2:$A$151,0)),"")</f>
        <v>Tomas Radovic</v>
      </c>
      <c r="C39" s="6" t="s">
        <v>329</v>
      </c>
      <c r="D39" s="7" t="n">
        <v>12</v>
      </c>
      <c r="E39" s="8" t="n">
        <v>46102</v>
      </c>
      <c r="F39" s="0" t="str">
        <f aca="false">IFERROR(INDEX(Sheet11_Zarade!$C$2:$C$151,MATCH(A39,Sheet11_Zarade!$A$2:$A$151,0)),"")</f>
        <v>Mašinski inženjer</v>
      </c>
      <c r="G39" s="5" t="n">
        <f aca="false">IFERROR(INDEX(Sheet11_Zarade!$D$2:$D$151,MATCH(A39,Sheet11_Zarade!$A$2:$A$151,0)),0)</f>
        <v>20</v>
      </c>
      <c r="H39" s="5" t="n">
        <f aca="false">IFERROR(D39*G39,0)</f>
        <v>240</v>
      </c>
      <c r="I39" s="5" t="n">
        <f aca="false">H39*0.5%</f>
        <v>1.2</v>
      </c>
      <c r="J39" s="5" t="n">
        <f aca="false">H39+I39</f>
        <v>241.2</v>
      </c>
      <c r="K39" s="0" t="str">
        <f aca="false">IF(D39="","",IF(D39&gt;12,"FLAG",IF(D39&gt;8,"OVERTIME","OK")))</f>
        <v>OVERTIME</v>
      </c>
      <c r="L39" s="0" t="str">
        <f aca="false">IF(OR(A39="",E39="",C39=""),"",IF(COUNTIFS($A:$A,A39,$E:$E,E39,$C:$C,C39)&gt;1,"DUPLIKAT","OK"))</f>
        <v>OK</v>
      </c>
    </row>
    <row r="40" customFormat="false" ht="15" hidden="false" customHeight="false" outlineLevel="0" collapsed="false">
      <c r="A40" s="6" t="s">
        <v>231</v>
      </c>
      <c r="B40" s="0" t="str">
        <f aca="false">IFERROR(INDEX(Master_Lista!$B$2:$B$151,MATCH(A40,Master_Lista!$A$2:$A$151,0)),"")</f>
        <v>Ivan Obradovic</v>
      </c>
      <c r="C40" s="6" t="s">
        <v>333</v>
      </c>
      <c r="D40" s="7" t="n">
        <v>8</v>
      </c>
      <c r="E40" s="8" t="n">
        <v>46119</v>
      </c>
      <c r="F40" s="0" t="str">
        <f aca="false">IFERROR(INDEX(Sheet11_Zarade!$C$2:$C$151,MATCH(A40,Sheet11_Zarade!$A$2:$A$151,0)),"")</f>
        <v>Slikar</v>
      </c>
      <c r="G40" s="5" t="n">
        <f aca="false">IFERROR(INDEX(Sheet11_Zarade!$D$2:$D$151,MATCH(A40,Sheet11_Zarade!$A$2:$A$151,0)),0)</f>
        <v>8</v>
      </c>
      <c r="H40" s="5" t="n">
        <f aca="false">IFERROR(D40*G40,0)</f>
        <v>64</v>
      </c>
      <c r="I40" s="5" t="n">
        <f aca="false">H40*0.5%</f>
        <v>0.32</v>
      </c>
      <c r="J40" s="5" t="n">
        <f aca="false">H40+I40</f>
        <v>64.32</v>
      </c>
      <c r="K40" s="0" t="str">
        <f aca="false">IF(D40="","",IF(D40&gt;12,"FLAG",IF(D40&gt;8,"OVERTIME","OK")))</f>
        <v>OK</v>
      </c>
      <c r="L40" s="0" t="str">
        <f aca="false">IF(OR(A40="",E40="",C40=""),"",IF(COUNTIFS($A:$A,A40,$E:$E,E40,$C:$C,C40)&gt;1,"DUPLIKAT","OK"))</f>
        <v>OK</v>
      </c>
    </row>
    <row r="41" customFormat="false" ht="15" hidden="false" customHeight="false" outlineLevel="0" collapsed="false">
      <c r="A41" s="6" t="s">
        <v>63</v>
      </c>
      <c r="B41" s="0" t="str">
        <f aca="false">IFERROR(INDEX(Master_Lista!$B$2:$B$151,MATCH(A41,Master_Lista!$A$2:$A$151,0)),"")</f>
        <v>Uros Obradovic</v>
      </c>
      <c r="C41" s="6" t="s">
        <v>327</v>
      </c>
      <c r="D41" s="7" t="n">
        <v>10</v>
      </c>
      <c r="E41" s="8" t="n">
        <v>46073</v>
      </c>
      <c r="F41" s="0" t="str">
        <f aca="false">IFERROR(INDEX(Sheet11_Zarade!$C$2:$C$151,MATCH(A41,Sheet11_Zarade!$A$2:$A$151,0)),"")</f>
        <v>Tehničar održavanja</v>
      </c>
      <c r="G41" s="5" t="n">
        <f aca="false">IFERROR(INDEX(Sheet11_Zarade!$D$2:$D$151,MATCH(A41,Sheet11_Zarade!$A$2:$A$151,0)),0)</f>
        <v>10.5</v>
      </c>
      <c r="H41" s="5" t="n">
        <f aca="false">IFERROR(D41*G41,0)</f>
        <v>105</v>
      </c>
      <c r="I41" s="5" t="n">
        <f aca="false">H41*0.5%</f>
        <v>0.525</v>
      </c>
      <c r="J41" s="5" t="n">
        <f aca="false">H41+I41</f>
        <v>105.525</v>
      </c>
      <c r="K41" s="0" t="str">
        <f aca="false">IF(D41="","",IF(D41&gt;12,"FLAG",IF(D41&gt;8,"OVERTIME","OK")))</f>
        <v>OVERTIME</v>
      </c>
      <c r="L41" s="0" t="str">
        <f aca="false">IF(OR(A41="",E41="",C41=""),"",IF(COUNTIFS($A:$A,A41,$E:$E,E41,$C:$C,C41)&gt;1,"DUPLIKAT","OK"))</f>
        <v>OK</v>
      </c>
    </row>
    <row r="42" customFormat="false" ht="15" hidden="false" customHeight="false" outlineLevel="0" collapsed="false">
      <c r="A42" s="6" t="s">
        <v>145</v>
      </c>
      <c r="B42" s="0" t="str">
        <f aca="false">IFERROR(INDEX(Master_Lista!$B$2:$B$151,MATCH(A42,Master_Lista!$A$2:$A$151,0)),"")</f>
        <v>Milan Nikolic</v>
      </c>
      <c r="C42" s="6" t="s">
        <v>328</v>
      </c>
      <c r="D42" s="7" t="n">
        <v>11</v>
      </c>
      <c r="E42" s="8" t="n">
        <v>46172</v>
      </c>
      <c r="F42" s="0" t="str">
        <f aca="false">IFERROR(INDEX(Sheet11_Zarade!$C$2:$C$151,MATCH(A42,Sheet11_Zarade!$A$2:$A$151,0)),"")</f>
        <v>Inženjer na gradilištu</v>
      </c>
      <c r="G42" s="5" t="n">
        <f aca="false">IFERROR(INDEX(Sheet11_Zarade!$D$2:$D$151,MATCH(A42,Sheet11_Zarade!$A$2:$A$151,0)),0)</f>
        <v>18</v>
      </c>
      <c r="H42" s="5" t="n">
        <f aca="false">IFERROR(D42*G42,0)</f>
        <v>198</v>
      </c>
      <c r="I42" s="5" t="n">
        <f aca="false">H42*0.5%</f>
        <v>0.99</v>
      </c>
      <c r="J42" s="5" t="n">
        <f aca="false">H42+I42</f>
        <v>198.99</v>
      </c>
      <c r="K42" s="0" t="str">
        <f aca="false">IF(D42="","",IF(D42&gt;12,"FLAG",IF(D42&gt;8,"OVERTIME","OK")))</f>
        <v>OVERTIME</v>
      </c>
      <c r="L42" s="0" t="str">
        <f aca="false">IF(OR(A42="",E42="",C42=""),"",IF(COUNTIFS($A:$A,A42,$E:$E,E42,$C:$C,C42)&gt;1,"DUPLIKAT","OK"))</f>
        <v>OK</v>
      </c>
    </row>
    <row r="43" customFormat="false" ht="15" hidden="false" customHeight="false" outlineLevel="0" collapsed="false">
      <c r="A43" s="6" t="s">
        <v>84</v>
      </c>
      <c r="B43" s="0" t="str">
        <f aca="false">IFERROR(INDEX(Master_Lista!$B$2:$B$151,MATCH(A43,Master_Lista!$A$2:$A$151,0)),"")</f>
        <v>Stefan Filipovic</v>
      </c>
      <c r="C43" s="6" t="s">
        <v>336</v>
      </c>
      <c r="D43" s="7" t="n">
        <v>7.5</v>
      </c>
      <c r="E43" s="8" t="n">
        <v>46132</v>
      </c>
      <c r="F43" s="0" t="str">
        <f aca="false">IFERROR(INDEX(Sheet11_Zarade!$C$2:$C$151,MATCH(A43,Sheet11_Zarade!$A$2:$A$151,0)),"")</f>
        <v>CNC operater</v>
      </c>
      <c r="G43" s="5" t="n">
        <f aca="false">IFERROR(INDEX(Sheet11_Zarade!$D$2:$D$151,MATCH(A43,Sheet11_Zarade!$A$2:$A$151,0)),0)</f>
        <v>12</v>
      </c>
      <c r="H43" s="5" t="n">
        <f aca="false">IFERROR(D43*G43,0)</f>
        <v>90</v>
      </c>
      <c r="I43" s="5" t="n">
        <f aca="false">H43*0.5%</f>
        <v>0.45</v>
      </c>
      <c r="J43" s="5" t="n">
        <f aca="false">H43+I43</f>
        <v>90.45</v>
      </c>
      <c r="K43" s="0" t="str">
        <f aca="false">IF(D43="","",IF(D43&gt;12,"FLAG",IF(D43&gt;8,"OVERTIME","OK")))</f>
        <v>OK</v>
      </c>
      <c r="L43" s="0" t="str">
        <f aca="false">IF(OR(A43="",E43="",C43=""),"",IF(COUNTIFS($A:$A,A43,$E:$E,E43,$C:$C,C43)&gt;1,"DUPLIKAT","OK"))</f>
        <v>OK</v>
      </c>
    </row>
    <row r="44" customFormat="false" ht="15" hidden="false" customHeight="false" outlineLevel="0" collapsed="false">
      <c r="A44" s="6" t="s">
        <v>104</v>
      </c>
      <c r="B44" s="0" t="str">
        <f aca="false">IFERROR(INDEX(Master_Lista!$B$2:$B$151,MATCH(A44,Master_Lista!$A$2:$A$151,0)),"")</f>
        <v>Uros Markovic</v>
      </c>
      <c r="C44" s="6" t="s">
        <v>337</v>
      </c>
      <c r="D44" s="7" t="n">
        <v>8.5</v>
      </c>
      <c r="E44" s="8" t="n">
        <v>46121</v>
      </c>
      <c r="F44" s="0" t="str">
        <f aca="false">IFERROR(INDEX(Sheet11_Zarade!$C$2:$C$151,MATCH(A44,Sheet11_Zarade!$A$2:$A$151,0)),"")</f>
        <v>Finansijski analitičar</v>
      </c>
      <c r="G44" s="5" t="n">
        <f aca="false">IFERROR(INDEX(Sheet11_Zarade!$D$2:$D$151,MATCH(A44,Sheet11_Zarade!$A$2:$A$151,0)),0)</f>
        <v>16</v>
      </c>
      <c r="H44" s="5" t="n">
        <f aca="false">IFERROR(D44*G44,0)</f>
        <v>136</v>
      </c>
      <c r="I44" s="5" t="n">
        <f aca="false">H44*0.5%</f>
        <v>0.68</v>
      </c>
      <c r="J44" s="5" t="n">
        <f aca="false">H44+I44</f>
        <v>136.68</v>
      </c>
      <c r="K44" s="0" t="str">
        <f aca="false">IF(D44="","",IF(D44&gt;12,"FLAG",IF(D44&gt;8,"OVERTIME","OK")))</f>
        <v>OVERTIME</v>
      </c>
      <c r="L44" s="0" t="str">
        <f aca="false">IF(OR(A44="",E44="",C44=""),"",IF(COUNTIFS($A:$A,A44,$E:$E,E44,$C:$C,C44)&gt;1,"DUPLIKAT","OK"))</f>
        <v>OK</v>
      </c>
    </row>
    <row r="45" customFormat="false" ht="15" hidden="false" customHeight="false" outlineLevel="0" collapsed="false">
      <c r="A45" s="6" t="s">
        <v>153</v>
      </c>
      <c r="B45" s="0" t="str">
        <f aca="false">IFERROR(INDEX(Master_Lista!$B$2:$B$151,MATCH(A45,Master_Lista!$A$2:$A$151,0)),"")</f>
        <v>Dragan Djordjevic</v>
      </c>
      <c r="C45" s="6" t="s">
        <v>329</v>
      </c>
      <c r="D45" s="7" t="n">
        <v>11</v>
      </c>
      <c r="E45" s="8" t="n">
        <v>46102</v>
      </c>
      <c r="F45" s="0" t="str">
        <f aca="false">IFERROR(INDEX(Sheet11_Zarade!$C$2:$C$151,MATCH(A45,Sheet11_Zarade!$A$2:$A$151,0)),"")</f>
        <v>CNC operater</v>
      </c>
      <c r="G45" s="5" t="n">
        <f aca="false">IFERROR(INDEX(Sheet11_Zarade!$D$2:$D$151,MATCH(A45,Sheet11_Zarade!$A$2:$A$151,0)),0)</f>
        <v>12</v>
      </c>
      <c r="H45" s="5" t="n">
        <f aca="false">IFERROR(D45*G45,0)</f>
        <v>132</v>
      </c>
      <c r="I45" s="5" t="n">
        <f aca="false">H45*0.5%</f>
        <v>0.66</v>
      </c>
      <c r="J45" s="5" t="n">
        <f aca="false">H45+I45</f>
        <v>132.66</v>
      </c>
      <c r="K45" s="0" t="str">
        <f aca="false">IF(D45="","",IF(D45&gt;12,"FLAG",IF(D45&gt;8,"OVERTIME","OK")))</f>
        <v>OVERTIME</v>
      </c>
      <c r="L45" s="0" t="str">
        <f aca="false">IF(OR(A45="",E45="",C45=""),"",IF(COUNTIFS($A:$A,A45,$E:$E,E45,$C:$C,C45)&gt;1,"DUPLIKAT","OK"))</f>
        <v>OK</v>
      </c>
    </row>
    <row r="46" customFormat="false" ht="15" hidden="false" customHeight="false" outlineLevel="0" collapsed="false">
      <c r="A46" s="6" t="s">
        <v>267</v>
      </c>
      <c r="B46" s="0" t="str">
        <f aca="false">IFERROR(INDEX(Master_Lista!$B$2:$B$151,MATCH(A46,Master_Lista!$A$2:$A$151,0)),"")</f>
        <v>Petar Cvetkovic</v>
      </c>
      <c r="C46" s="6" t="s">
        <v>331</v>
      </c>
      <c r="D46" s="7" t="n">
        <v>8.5</v>
      </c>
      <c r="E46" s="8" t="n">
        <v>46092</v>
      </c>
      <c r="F46" s="0" t="str">
        <f aca="false">IFERROR(INDEX(Sheet11_Zarade!$C$2:$C$151,MATCH(A46,Sheet11_Zarade!$A$2:$A$151,0)),"")</f>
        <v>Magacioner</v>
      </c>
      <c r="G46" s="5" t="n">
        <f aca="false">IFERROR(INDEX(Sheet11_Zarade!$D$2:$D$151,MATCH(A46,Sheet11_Zarade!$A$2:$A$151,0)),0)</f>
        <v>7.5</v>
      </c>
      <c r="H46" s="5" t="n">
        <f aca="false">IFERROR(D46*G46,0)</f>
        <v>63.75</v>
      </c>
      <c r="I46" s="5" t="n">
        <f aca="false">H46*0.5%</f>
        <v>0.31875</v>
      </c>
      <c r="J46" s="5" t="n">
        <f aca="false">H46+I46</f>
        <v>64.06875</v>
      </c>
      <c r="K46" s="0" t="str">
        <f aca="false">IF(D46="","",IF(D46&gt;12,"FLAG",IF(D46&gt;8,"OVERTIME","OK")))</f>
        <v>OVERTIME</v>
      </c>
      <c r="L46" s="0" t="str">
        <f aca="false">IF(OR(A46="",E46="",C46=""),"",IF(COUNTIFS($A:$A,A46,$E:$E,E46,$C:$C,C46)&gt;1,"DUPLIKAT","OK"))</f>
        <v>OK</v>
      </c>
    </row>
    <row r="47" customFormat="false" ht="15" hidden="false" customHeight="false" outlineLevel="0" collapsed="false">
      <c r="A47" s="6" t="s">
        <v>20</v>
      </c>
      <c r="B47" s="0" t="str">
        <f aca="false">IFERROR(INDEX(Master_Lista!$B$2:$B$151,MATCH(A47,Master_Lista!$A$2:$A$151,0)),"")</f>
        <v>Branko Babic</v>
      </c>
      <c r="C47" s="6" t="s">
        <v>336</v>
      </c>
      <c r="D47" s="7" t="n">
        <v>12</v>
      </c>
      <c r="E47" s="8" t="n">
        <v>46094</v>
      </c>
      <c r="F47" s="0" t="str">
        <f aca="false">IFERROR(INDEX(Sheet11_Zarade!$C$2:$C$151,MATCH(A47,Sheet11_Zarade!$A$2:$A$151,0)),"")</f>
        <v>Elektro inženjer</v>
      </c>
      <c r="G47" s="5" t="n">
        <f aca="false">IFERROR(INDEX(Sheet11_Zarade!$D$2:$D$151,MATCH(A47,Sheet11_Zarade!$A$2:$A$151,0)),0)</f>
        <v>22</v>
      </c>
      <c r="H47" s="5" t="n">
        <f aca="false">IFERROR(D47*G47,0)</f>
        <v>264</v>
      </c>
      <c r="I47" s="5" t="n">
        <f aca="false">H47*0.5%</f>
        <v>1.32</v>
      </c>
      <c r="J47" s="5" t="n">
        <f aca="false">H47+I47</f>
        <v>265.32</v>
      </c>
      <c r="K47" s="0" t="str">
        <f aca="false">IF(D47="","",IF(D47&gt;12,"FLAG",IF(D47&gt;8,"OVERTIME","OK")))</f>
        <v>OVERTIME</v>
      </c>
      <c r="L47" s="0" t="str">
        <f aca="false">IF(OR(A47="",E47="",C47=""),"",IF(COUNTIFS($A:$A,A47,$E:$E,E47,$C:$C,C47)&gt;1,"DUPLIKAT","OK"))</f>
        <v>OK</v>
      </c>
    </row>
    <row r="48" customFormat="false" ht="15" hidden="false" customHeight="false" outlineLevel="0" collapsed="false">
      <c r="A48" s="6" t="s">
        <v>130</v>
      </c>
      <c r="B48" s="0" t="str">
        <f aca="false">IFERROR(INDEX(Master_Lista!$B$2:$B$151,MATCH(A48,Master_Lista!$A$2:$A$151,0)),"")</f>
        <v>Petar Pavlovic</v>
      </c>
      <c r="C48" s="6" t="s">
        <v>327</v>
      </c>
      <c r="D48" s="7" t="n">
        <v>8.5</v>
      </c>
      <c r="E48" s="8" t="n">
        <v>46135</v>
      </c>
      <c r="F48" s="0" t="str">
        <f aca="false">IFERROR(INDEX(Sheet11_Zarade!$C$2:$C$151,MATCH(A48,Sheet11_Zarade!$A$2:$A$151,0)),"")</f>
        <v>Magacioner</v>
      </c>
      <c r="G48" s="5" t="n">
        <f aca="false">IFERROR(INDEX(Sheet11_Zarade!$D$2:$D$151,MATCH(A48,Sheet11_Zarade!$A$2:$A$151,0)),0)</f>
        <v>7.5</v>
      </c>
      <c r="H48" s="5" t="n">
        <f aca="false">IFERROR(D48*G48,0)</f>
        <v>63.75</v>
      </c>
      <c r="I48" s="5" t="n">
        <f aca="false">H48*0.5%</f>
        <v>0.31875</v>
      </c>
      <c r="J48" s="5" t="n">
        <f aca="false">H48+I48</f>
        <v>64.06875</v>
      </c>
      <c r="K48" s="0" t="str">
        <f aca="false">IF(D48="","",IF(D48&gt;12,"FLAG",IF(D48&gt;8,"OVERTIME","OK")))</f>
        <v>OVERTIME</v>
      </c>
      <c r="L48" s="0" t="str">
        <f aca="false">IF(OR(A48="",E48="",C48=""),"",IF(COUNTIFS($A:$A,A48,$E:$E,E48,$C:$C,C48)&gt;1,"DUPLIKAT","OK"))</f>
        <v>OK</v>
      </c>
    </row>
    <row r="49" customFormat="false" ht="15" hidden="false" customHeight="false" outlineLevel="0" collapsed="false">
      <c r="A49" s="6" t="s">
        <v>182</v>
      </c>
      <c r="B49" s="0" t="str">
        <f aca="false">IFERROR(INDEX(Master_Lista!$B$2:$B$151,MATCH(A49,Master_Lista!$A$2:$A$151,0)),"")</f>
        <v>Nikola Pavlovic</v>
      </c>
      <c r="C49" s="6" t="s">
        <v>329</v>
      </c>
      <c r="D49" s="7" t="n">
        <v>11</v>
      </c>
      <c r="E49" s="8" t="n">
        <v>46032</v>
      </c>
      <c r="F49" s="0" t="str">
        <f aca="false">IFERROR(INDEX(Sheet11_Zarade!$C$2:$C$151,MATCH(A49,Sheet11_Zarade!$A$2:$A$151,0)),"")</f>
        <v>Projekt menadžer</v>
      </c>
      <c r="G49" s="5" t="n">
        <f aca="false">IFERROR(INDEX(Sheet11_Zarade!$D$2:$D$151,MATCH(A49,Sheet11_Zarade!$A$2:$A$151,0)),0)</f>
        <v>28</v>
      </c>
      <c r="H49" s="5" t="n">
        <f aca="false">IFERROR(D49*G49,0)</f>
        <v>308</v>
      </c>
      <c r="I49" s="5" t="n">
        <f aca="false">H49*0.5%</f>
        <v>1.54</v>
      </c>
      <c r="J49" s="5" t="n">
        <f aca="false">H49+I49</f>
        <v>309.54</v>
      </c>
      <c r="K49" s="0" t="str">
        <f aca="false">IF(D49="","",IF(D49&gt;12,"FLAG",IF(D49&gt;8,"OVERTIME","OK")))</f>
        <v>OVERTIME</v>
      </c>
      <c r="L49" s="0" t="str">
        <f aca="false">IF(OR(A49="",E49="",C49=""),"",IF(COUNTIFS($A:$A,A49,$E:$E,E49,$C:$C,C49)&gt;1,"DUPLIKAT","OK"))</f>
        <v>OK</v>
      </c>
    </row>
    <row r="50" customFormat="false" ht="15" hidden="false" customHeight="false" outlineLevel="0" collapsed="false">
      <c r="A50" s="6" t="s">
        <v>220</v>
      </c>
      <c r="B50" s="0" t="str">
        <f aca="false">IFERROR(INDEX(Master_Lista!$B$2:$B$151,MATCH(A50,Master_Lista!$A$2:$A$151,0)),"")</f>
        <v>Petar Tomic</v>
      </c>
      <c r="C50" s="6" t="s">
        <v>332</v>
      </c>
      <c r="D50" s="7" t="n">
        <v>8.5</v>
      </c>
      <c r="E50" s="8" t="n">
        <v>46085</v>
      </c>
      <c r="F50" s="0" t="str">
        <f aca="false">IFERROR(INDEX(Sheet11_Zarade!$C$2:$C$151,MATCH(A50,Sheet11_Zarade!$A$2:$A$151,0)),"")</f>
        <v>Zavarivač</v>
      </c>
      <c r="G50" s="5" t="n">
        <f aca="false">IFERROR(INDEX(Sheet11_Zarade!$D$2:$D$151,MATCH(A50,Sheet11_Zarade!$A$2:$A$151,0)),0)</f>
        <v>10</v>
      </c>
      <c r="H50" s="5" t="n">
        <f aca="false">IFERROR(D50*G50,0)</f>
        <v>85</v>
      </c>
      <c r="I50" s="5" t="n">
        <f aca="false">H50*0.5%</f>
        <v>0.425</v>
      </c>
      <c r="J50" s="5" t="n">
        <f aca="false">H50+I50</f>
        <v>85.425</v>
      </c>
      <c r="K50" s="0" t="str">
        <f aca="false">IF(D50="","",IF(D50&gt;12,"FLAG",IF(D50&gt;8,"OVERTIME","OK")))</f>
        <v>OVERTIME</v>
      </c>
      <c r="L50" s="0" t="str">
        <f aca="false">IF(OR(A50="",E50="",C50=""),"",IF(COUNTIFS($A:$A,A50,$E:$E,E50,$C:$C,C50)&gt;1,"DUPLIKAT","OK"))</f>
        <v>OK</v>
      </c>
    </row>
    <row r="51" customFormat="false" ht="15" hidden="false" customHeight="false" outlineLevel="0" collapsed="false">
      <c r="A51" s="6" t="s">
        <v>106</v>
      </c>
      <c r="B51" s="0" t="str">
        <f aca="false">IFERROR(INDEX(Master_Lista!$B$2:$B$151,MATCH(A51,Master_Lista!$A$2:$A$151,0)),"")</f>
        <v>Kosta Lazic</v>
      </c>
      <c r="C51" s="6" t="s">
        <v>333</v>
      </c>
      <c r="D51" s="7" t="n">
        <v>10</v>
      </c>
      <c r="E51" s="8" t="n">
        <v>46100</v>
      </c>
      <c r="F51" s="0" t="str">
        <f aca="false">IFERROR(INDEX(Sheet11_Zarade!$C$2:$C$151,MATCH(A51,Sheet11_Zarade!$A$2:$A$151,0)),"")</f>
        <v>Elektromonter</v>
      </c>
      <c r="G51" s="5" t="n">
        <f aca="false">IFERROR(INDEX(Sheet11_Zarade!$D$2:$D$151,MATCH(A51,Sheet11_Zarade!$A$2:$A$151,0)),0)</f>
        <v>8.5</v>
      </c>
      <c r="H51" s="5" t="n">
        <f aca="false">IFERROR(D51*G51,0)</f>
        <v>85</v>
      </c>
      <c r="I51" s="5" t="n">
        <f aca="false">H51*0.5%</f>
        <v>0.425</v>
      </c>
      <c r="J51" s="5" t="n">
        <f aca="false">H51+I51</f>
        <v>85.425</v>
      </c>
      <c r="K51" s="0" t="str">
        <f aca="false">IF(D51="","",IF(D51&gt;12,"FLAG",IF(D51&gt;8,"OVERTIME","OK")))</f>
        <v>OVERTIME</v>
      </c>
      <c r="L51" s="0" t="str">
        <f aca="false">IF(OR(A51="",E51="",C51=""),"",IF(COUNTIFS($A:$A,A51,$E:$E,E51,$C:$C,C51)&gt;1,"DUPLIKAT","OK"))</f>
        <v>OK</v>
      </c>
    </row>
    <row r="52" customFormat="false" ht="15" hidden="false" customHeight="false" outlineLevel="0" collapsed="false">
      <c r="A52" s="6" t="s">
        <v>184</v>
      </c>
      <c r="B52" s="0" t="str">
        <f aca="false">IFERROR(INDEX(Master_Lista!$B$2:$B$151,MATCH(A52,Master_Lista!$A$2:$A$151,0)),"")</f>
        <v>Tamara Babic</v>
      </c>
      <c r="C52" s="6" t="s">
        <v>339</v>
      </c>
      <c r="D52" s="7" t="n">
        <v>8.5</v>
      </c>
      <c r="E52" s="8" t="n">
        <v>46040</v>
      </c>
      <c r="F52" s="0" t="str">
        <f aca="false">IFERROR(INDEX(Sheet11_Zarade!$C$2:$C$151,MATCH(A52,Sheet11_Zarade!$A$2:$A$151,0)),"")</f>
        <v>Bravar</v>
      </c>
      <c r="G52" s="5" t="n">
        <f aca="false">IFERROR(INDEX(Sheet11_Zarade!$D$2:$D$151,MATCH(A52,Sheet11_Zarade!$A$2:$A$151,0)),0)</f>
        <v>9</v>
      </c>
      <c r="H52" s="5" t="n">
        <f aca="false">IFERROR(D52*G52,0)</f>
        <v>76.5</v>
      </c>
      <c r="I52" s="5" t="n">
        <f aca="false">H52*0.5%</f>
        <v>0.3825</v>
      </c>
      <c r="J52" s="5" t="n">
        <f aca="false">H52+I52</f>
        <v>76.8825</v>
      </c>
      <c r="K52" s="0" t="str">
        <f aca="false">IF(D52="","",IF(D52&gt;12,"FLAG",IF(D52&gt;8,"OVERTIME","OK")))</f>
        <v>OVERTIME</v>
      </c>
      <c r="L52" s="0" t="str">
        <f aca="false">IF(OR(A52="",E52="",C52=""),"",IF(COUNTIFS($A:$A,A52,$E:$E,E52,$C:$C,C52)&gt;1,"DUPLIKAT","OK"))</f>
        <v>OK</v>
      </c>
    </row>
    <row r="53" customFormat="false" ht="15" hidden="false" customHeight="false" outlineLevel="0" collapsed="false">
      <c r="A53" s="6" t="s">
        <v>124</v>
      </c>
      <c r="B53" s="0" t="str">
        <f aca="false">IFERROR(INDEX(Master_Lista!$B$2:$B$151,MATCH(A53,Master_Lista!$A$2:$A$151,0)),"")</f>
        <v>Branko Cvetkovic</v>
      </c>
      <c r="C53" s="6" t="s">
        <v>338</v>
      </c>
      <c r="D53" s="7" t="n">
        <v>12</v>
      </c>
      <c r="E53" s="8" t="n">
        <v>46151</v>
      </c>
      <c r="F53" s="0" t="str">
        <f aca="false">IFERROR(INDEX(Sheet11_Zarade!$C$2:$C$151,MATCH(A53,Sheet11_Zarade!$A$2:$A$151,0)),"")</f>
        <v>Elektro inženjer</v>
      </c>
      <c r="G53" s="5" t="n">
        <f aca="false">IFERROR(INDEX(Sheet11_Zarade!$D$2:$D$151,MATCH(A53,Sheet11_Zarade!$A$2:$A$151,0)),0)</f>
        <v>22</v>
      </c>
      <c r="H53" s="5" t="n">
        <f aca="false">IFERROR(D53*G53,0)</f>
        <v>264</v>
      </c>
      <c r="I53" s="5" t="n">
        <f aca="false">H53*0.5%</f>
        <v>1.32</v>
      </c>
      <c r="J53" s="5" t="n">
        <f aca="false">H53+I53</f>
        <v>265.32</v>
      </c>
      <c r="K53" s="0" t="str">
        <f aca="false">IF(D53="","",IF(D53&gt;12,"FLAG",IF(D53&gt;8,"OVERTIME","OK")))</f>
        <v>OVERTIME</v>
      </c>
      <c r="L53" s="0" t="str">
        <f aca="false">IF(OR(A53="",E53="",C53=""),"",IF(COUNTIFS($A:$A,A53,$E:$E,E53,$C:$C,C53)&gt;1,"DUPLIKAT","OK"))</f>
        <v>OK</v>
      </c>
    </row>
    <row r="54" customFormat="false" ht="15" hidden="false" customHeight="false" outlineLevel="0" collapsed="false">
      <c r="A54" s="6" t="s">
        <v>224</v>
      </c>
      <c r="B54" s="0" t="str">
        <f aca="false">IFERROR(INDEX(Master_Lista!$B$2:$B$151,MATCH(A54,Master_Lista!$A$2:$A$151,0)),"")</f>
        <v>Ana Urosevic</v>
      </c>
      <c r="C54" s="6" t="s">
        <v>338</v>
      </c>
      <c r="D54" s="7" t="n">
        <v>9</v>
      </c>
      <c r="E54" s="8" t="n">
        <v>46070</v>
      </c>
      <c r="F54" s="0" t="str">
        <f aca="false">IFERROR(INDEX(Sheet11_Zarade!$C$2:$C$151,MATCH(A54,Sheet11_Zarade!$A$2:$A$151,0)),"")</f>
        <v>Kontrola kvaliteta</v>
      </c>
      <c r="G54" s="5" t="n">
        <f aca="false">IFERROR(INDEX(Sheet11_Zarade!$D$2:$D$151,MATCH(A54,Sheet11_Zarade!$A$2:$A$151,0)),0)</f>
        <v>14</v>
      </c>
      <c r="H54" s="5" t="n">
        <f aca="false">IFERROR(D54*G54,0)</f>
        <v>126</v>
      </c>
      <c r="I54" s="5" t="n">
        <f aca="false">H54*0.5%</f>
        <v>0.63</v>
      </c>
      <c r="J54" s="5" t="n">
        <f aca="false">H54+I54</f>
        <v>126.63</v>
      </c>
      <c r="K54" s="0" t="str">
        <f aca="false">IF(D54="","",IF(D54&gt;12,"FLAG",IF(D54&gt;8,"OVERTIME","OK")))</f>
        <v>OVERTIME</v>
      </c>
      <c r="L54" s="0" t="str">
        <f aca="false">IF(OR(A54="",E54="",C54=""),"",IF(COUNTIFS($A:$A,A54,$E:$E,E54,$C:$C,C54)&gt;1,"DUPLIKAT","OK"))</f>
        <v>OK</v>
      </c>
    </row>
    <row r="55" customFormat="false" ht="15" hidden="false" customHeight="false" outlineLevel="0" collapsed="false">
      <c r="A55" s="6" t="s">
        <v>207</v>
      </c>
      <c r="B55" s="0" t="str">
        <f aca="false">IFERROR(INDEX(Master_Lista!$B$2:$B$151,MATCH(A55,Master_Lista!$A$2:$A$151,0)),"")</f>
        <v>Jelena Urosevic</v>
      </c>
      <c r="C55" s="6" t="s">
        <v>336</v>
      </c>
      <c r="D55" s="7" t="n">
        <v>7.5</v>
      </c>
      <c r="E55" s="8" t="n">
        <v>46147</v>
      </c>
      <c r="F55" s="0" t="str">
        <f aca="false">IFERROR(INDEX(Sheet11_Zarade!$C$2:$C$151,MATCH(A55,Sheet11_Zarade!$A$2:$A$151,0)),"")</f>
        <v>Administrator</v>
      </c>
      <c r="G55" s="5" t="n">
        <f aca="false">IFERROR(INDEX(Sheet11_Zarade!$D$2:$D$151,MATCH(A55,Sheet11_Zarade!$A$2:$A$151,0)),0)</f>
        <v>12.5</v>
      </c>
      <c r="H55" s="5" t="n">
        <f aca="false">IFERROR(D55*G55,0)</f>
        <v>93.75</v>
      </c>
      <c r="I55" s="5" t="n">
        <f aca="false">H55*0.5%</f>
        <v>0.46875</v>
      </c>
      <c r="J55" s="5" t="n">
        <f aca="false">H55+I55</f>
        <v>94.21875</v>
      </c>
      <c r="K55" s="0" t="str">
        <f aca="false">IF(D55="","",IF(D55&gt;12,"FLAG",IF(D55&gt;8,"OVERTIME","OK")))</f>
        <v>OK</v>
      </c>
      <c r="L55" s="0" t="str">
        <f aca="false">IF(OR(A55="",E55="",C55=""),"",IF(COUNTIFS($A:$A,A55,$E:$E,E55,$C:$C,C55)&gt;1,"DUPLIKAT","OK"))</f>
        <v>OK</v>
      </c>
    </row>
    <row r="56" customFormat="false" ht="15" hidden="false" customHeight="false" outlineLevel="0" collapsed="false">
      <c r="A56" s="6" t="s">
        <v>79</v>
      </c>
      <c r="B56" s="0" t="str">
        <f aca="false">IFERROR(INDEX(Master_Lista!$B$2:$B$151,MATCH(A56,Master_Lista!$A$2:$A$151,0)),"")</f>
        <v>Zorica Vasic</v>
      </c>
      <c r="C56" s="6" t="s">
        <v>335</v>
      </c>
      <c r="D56" s="7" t="n">
        <v>12</v>
      </c>
      <c r="E56" s="8" t="n">
        <v>46025</v>
      </c>
      <c r="F56" s="0" t="str">
        <f aca="false">IFERROR(INDEX(Sheet11_Zarade!$C$2:$C$151,MATCH(A56,Sheet11_Zarade!$A$2:$A$151,0)),"")</f>
        <v>Projekt menadžer</v>
      </c>
      <c r="G56" s="5" t="n">
        <f aca="false">IFERROR(INDEX(Sheet11_Zarade!$D$2:$D$151,MATCH(A56,Sheet11_Zarade!$A$2:$A$151,0)),0)</f>
        <v>28</v>
      </c>
      <c r="H56" s="5" t="n">
        <f aca="false">IFERROR(D56*G56,0)</f>
        <v>336</v>
      </c>
      <c r="I56" s="5" t="n">
        <f aca="false">H56*0.5%</f>
        <v>1.68</v>
      </c>
      <c r="J56" s="5" t="n">
        <f aca="false">H56+I56</f>
        <v>337.68</v>
      </c>
      <c r="K56" s="0" t="str">
        <f aca="false">IF(D56="","",IF(D56&gt;12,"FLAG",IF(D56&gt;8,"OVERTIME","OK")))</f>
        <v>OVERTIME</v>
      </c>
      <c r="L56" s="0" t="str">
        <f aca="false">IF(OR(A56="",E56="",C56=""),"",IF(COUNTIFS($A:$A,A56,$E:$E,E56,$C:$C,C56)&gt;1,"DUPLIKAT","OK"))</f>
        <v>OK</v>
      </c>
    </row>
    <row r="57" customFormat="false" ht="15" hidden="false" customHeight="false" outlineLevel="0" collapsed="false">
      <c r="A57" s="6" t="s">
        <v>2</v>
      </c>
      <c r="B57" s="0" t="str">
        <f aca="false">IFERROR(INDEX(Master_Lista!$B$2:$B$151,MATCH(A57,Master_Lista!$A$2:$A$151,0)),"")</f>
        <v>Branko Vasic</v>
      </c>
      <c r="C57" s="6" t="s">
        <v>335</v>
      </c>
      <c r="D57" s="7" t="n">
        <v>11</v>
      </c>
      <c r="E57" s="8" t="n">
        <v>46093</v>
      </c>
      <c r="F57" s="0" t="str">
        <f aca="false">IFERROR(INDEX(Sheet11_Zarade!$C$2:$C$151,MATCH(A57,Sheet11_Zarade!$A$2:$A$151,0)),"")</f>
        <v>Elektromonter</v>
      </c>
      <c r="G57" s="5" t="n">
        <f aca="false">IFERROR(INDEX(Sheet11_Zarade!$D$2:$D$151,MATCH(A57,Sheet11_Zarade!$A$2:$A$151,0)),0)</f>
        <v>8.5</v>
      </c>
      <c r="H57" s="5" t="n">
        <f aca="false">IFERROR(D57*G57,0)</f>
        <v>93.5</v>
      </c>
      <c r="I57" s="5" t="n">
        <f aca="false">H57*0.5%</f>
        <v>0.4675</v>
      </c>
      <c r="J57" s="5" t="n">
        <f aca="false">H57+I57</f>
        <v>93.9675</v>
      </c>
      <c r="K57" s="0" t="str">
        <f aca="false">IF(D57="","",IF(D57&gt;12,"FLAG",IF(D57&gt;8,"OVERTIME","OK")))</f>
        <v>OVERTIME</v>
      </c>
      <c r="L57" s="0" t="str">
        <f aca="false">IF(OR(A57="",E57="",C57=""),"",IF(COUNTIFS($A:$A,A57,$E:$E,E57,$C:$C,C57)&gt;1,"DUPLIKAT","OK"))</f>
        <v>OK</v>
      </c>
    </row>
    <row r="58" customFormat="false" ht="15" hidden="false" customHeight="false" outlineLevel="0" collapsed="false">
      <c r="A58" s="6" t="s">
        <v>142</v>
      </c>
      <c r="B58" s="0" t="str">
        <f aca="false">IFERROR(INDEX(Master_Lista!$B$2:$B$151,MATCH(A58,Master_Lista!$A$2:$A$151,0)),"")</f>
        <v>Cedomir Markovic</v>
      </c>
      <c r="C58" s="6" t="s">
        <v>335</v>
      </c>
      <c r="D58" s="7" t="n">
        <v>8.5</v>
      </c>
      <c r="E58" s="8" t="n">
        <v>46172</v>
      </c>
      <c r="F58" s="0" t="str">
        <f aca="false">IFERROR(INDEX(Sheet11_Zarade!$C$2:$C$151,MATCH(A58,Sheet11_Zarade!$A$2:$A$151,0)),"")</f>
        <v>Elektromonter</v>
      </c>
      <c r="G58" s="5" t="n">
        <f aca="false">IFERROR(INDEX(Sheet11_Zarade!$D$2:$D$151,MATCH(A58,Sheet11_Zarade!$A$2:$A$151,0)),0)</f>
        <v>8.5</v>
      </c>
      <c r="H58" s="5" t="n">
        <f aca="false">IFERROR(D58*G58,0)</f>
        <v>72.25</v>
      </c>
      <c r="I58" s="5" t="n">
        <f aca="false">H58*0.5%</f>
        <v>0.36125</v>
      </c>
      <c r="J58" s="5" t="n">
        <f aca="false">H58+I58</f>
        <v>72.61125</v>
      </c>
      <c r="K58" s="0" t="str">
        <f aca="false">IF(D58="","",IF(D58&gt;12,"FLAG",IF(D58&gt;8,"OVERTIME","OK")))</f>
        <v>OVERTIME</v>
      </c>
      <c r="L58" s="0" t="str">
        <f aca="false">IF(OR(A58="",E58="",C58=""),"",IF(COUNTIFS($A:$A,A58,$E:$E,E58,$C:$C,C58)&gt;1,"DUPLIKAT","OK"))</f>
        <v>OK</v>
      </c>
    </row>
    <row r="59" customFormat="false" ht="15" hidden="false" customHeight="false" outlineLevel="0" collapsed="false">
      <c r="A59" s="6" t="s">
        <v>153</v>
      </c>
      <c r="B59" s="0" t="str">
        <f aca="false">IFERROR(INDEX(Master_Lista!$B$2:$B$151,MATCH(A59,Master_Lista!$A$2:$A$151,0)),"")</f>
        <v>Dragan Djordjevic</v>
      </c>
      <c r="C59" s="6" t="s">
        <v>332</v>
      </c>
      <c r="D59" s="7" t="n">
        <v>8.5</v>
      </c>
      <c r="E59" s="8" t="n">
        <v>46085</v>
      </c>
      <c r="F59" s="0" t="str">
        <f aca="false">IFERROR(INDEX(Sheet11_Zarade!$C$2:$C$151,MATCH(A59,Sheet11_Zarade!$A$2:$A$151,0)),"")</f>
        <v>CNC operater</v>
      </c>
      <c r="G59" s="5" t="n">
        <f aca="false">IFERROR(INDEX(Sheet11_Zarade!$D$2:$D$151,MATCH(A59,Sheet11_Zarade!$A$2:$A$151,0)),0)</f>
        <v>12</v>
      </c>
      <c r="H59" s="5" t="n">
        <f aca="false">IFERROR(D59*G59,0)</f>
        <v>102</v>
      </c>
      <c r="I59" s="5" t="n">
        <f aca="false">H59*0.5%</f>
        <v>0.51</v>
      </c>
      <c r="J59" s="5" t="n">
        <f aca="false">H59+I59</f>
        <v>102.51</v>
      </c>
      <c r="K59" s="0" t="str">
        <f aca="false">IF(D59="","",IF(D59&gt;12,"FLAG",IF(D59&gt;8,"OVERTIME","OK")))</f>
        <v>OVERTIME</v>
      </c>
      <c r="L59" s="0" t="str">
        <f aca="false">IF(OR(A59="",E59="",C59=""),"",IF(COUNTIFS($A:$A,A59,$E:$E,E59,$C:$C,C59)&gt;1,"DUPLIKAT","OK"))</f>
        <v>OK</v>
      </c>
    </row>
    <row r="60" customFormat="false" ht="15" hidden="false" customHeight="false" outlineLevel="0" collapsed="false">
      <c r="A60" s="6" t="s">
        <v>73</v>
      </c>
      <c r="B60" s="0" t="str">
        <f aca="false">IFERROR(INDEX(Master_Lista!$B$2:$B$151,MATCH(A60,Master_Lista!$A$2:$A$151,0)),"")</f>
        <v>Filip Tomic</v>
      </c>
      <c r="C60" s="6" t="s">
        <v>334</v>
      </c>
      <c r="D60" s="7" t="n">
        <v>10</v>
      </c>
      <c r="E60" s="8" t="n">
        <v>46048</v>
      </c>
      <c r="F60" s="0" t="str">
        <f aca="false">IFERROR(INDEX(Sheet11_Zarade!$C$2:$C$151,MATCH(A60,Sheet11_Zarade!$A$2:$A$151,0)),"")</f>
        <v>Elektromonter</v>
      </c>
      <c r="G60" s="5" t="n">
        <f aca="false">IFERROR(INDEX(Sheet11_Zarade!$D$2:$D$151,MATCH(A60,Sheet11_Zarade!$A$2:$A$151,0)),0)</f>
        <v>8.5</v>
      </c>
      <c r="H60" s="5" t="n">
        <f aca="false">IFERROR(D60*G60,0)</f>
        <v>85</v>
      </c>
      <c r="I60" s="5" t="n">
        <f aca="false">H60*0.5%</f>
        <v>0.425</v>
      </c>
      <c r="J60" s="5" t="n">
        <f aca="false">H60+I60</f>
        <v>85.425</v>
      </c>
      <c r="K60" s="0" t="str">
        <f aca="false">IF(D60="","",IF(D60&gt;12,"FLAG",IF(D60&gt;8,"OVERTIME","OK")))</f>
        <v>OVERTIME</v>
      </c>
      <c r="L60" s="0" t="str">
        <f aca="false">IF(OR(A60="",E60="",C60=""),"",IF(COUNTIFS($A:$A,A60,$E:$E,E60,$C:$C,C60)&gt;1,"DUPLIKAT","OK"))</f>
        <v>OK</v>
      </c>
    </row>
    <row r="61" customFormat="false" ht="15" hidden="false" customHeight="false" outlineLevel="0" collapsed="false">
      <c r="A61" s="6" t="s">
        <v>282</v>
      </c>
      <c r="B61" s="0" t="str">
        <f aca="false">IFERROR(INDEX(Master_Lista!$B$2:$B$151,MATCH(A61,Master_Lista!$A$2:$A$151,0)),"")</f>
        <v>Elena Ilic</v>
      </c>
      <c r="C61" s="6" t="s">
        <v>328</v>
      </c>
      <c r="D61" s="7" t="n">
        <v>8.5</v>
      </c>
      <c r="E61" s="8" t="n">
        <v>46029</v>
      </c>
      <c r="F61" s="0" t="str">
        <f aca="false">IFERROR(INDEX(Sheet11_Zarade!$C$2:$C$151,MATCH(A61,Sheet11_Zarade!$A$2:$A$151,0)),"")</f>
        <v>Inženjer na gradilištu</v>
      </c>
      <c r="G61" s="5" t="n">
        <f aca="false">IFERROR(INDEX(Sheet11_Zarade!$D$2:$D$151,MATCH(A61,Sheet11_Zarade!$A$2:$A$151,0)),0)</f>
        <v>18</v>
      </c>
      <c r="H61" s="5" t="n">
        <f aca="false">IFERROR(D61*G61,0)</f>
        <v>153</v>
      </c>
      <c r="I61" s="5" t="n">
        <f aca="false">H61*0.5%</f>
        <v>0.765</v>
      </c>
      <c r="J61" s="5" t="n">
        <f aca="false">H61+I61</f>
        <v>153.765</v>
      </c>
      <c r="K61" s="0" t="str">
        <f aca="false">IF(D61="","",IF(D61&gt;12,"FLAG",IF(D61&gt;8,"OVERTIME","OK")))</f>
        <v>OVERTIME</v>
      </c>
      <c r="L61" s="0" t="str">
        <f aca="false">IF(OR(A61="",E61="",C61=""),"",IF(COUNTIFS($A:$A,A61,$E:$E,E61,$C:$C,C61)&gt;1,"DUPLIKAT","OK"))</f>
        <v>OK</v>
      </c>
    </row>
    <row r="62" customFormat="false" ht="15" hidden="false" customHeight="false" outlineLevel="0" collapsed="false">
      <c r="A62" s="6" t="s">
        <v>186</v>
      </c>
      <c r="B62" s="0" t="str">
        <f aca="false">IFERROR(INDEX(Master_Lista!$B$2:$B$151,MATCH(A62,Master_Lista!$A$2:$A$151,0)),"")</f>
        <v>Petar Markovic</v>
      </c>
      <c r="C62" s="6" t="s">
        <v>338</v>
      </c>
      <c r="D62" s="7" t="n">
        <v>12</v>
      </c>
      <c r="E62" s="8" t="n">
        <v>46102</v>
      </c>
      <c r="F62" s="0" t="str">
        <f aca="false">IFERROR(INDEX(Sheet11_Zarade!$C$2:$C$151,MATCH(A62,Sheet11_Zarade!$A$2:$A$151,0)),"")</f>
        <v>Zavarivač</v>
      </c>
      <c r="G62" s="5" t="n">
        <f aca="false">IFERROR(INDEX(Sheet11_Zarade!$D$2:$D$151,MATCH(A62,Sheet11_Zarade!$A$2:$A$151,0)),0)</f>
        <v>10</v>
      </c>
      <c r="H62" s="5" t="n">
        <f aca="false">IFERROR(D62*G62,0)</f>
        <v>120</v>
      </c>
      <c r="I62" s="5" t="n">
        <f aca="false">H62*0.5%</f>
        <v>0.6</v>
      </c>
      <c r="J62" s="5" t="n">
        <f aca="false">H62+I62</f>
        <v>120.6</v>
      </c>
      <c r="K62" s="0" t="str">
        <f aca="false">IF(D62="","",IF(D62&gt;12,"FLAG",IF(D62&gt;8,"OVERTIME","OK")))</f>
        <v>OVERTIME</v>
      </c>
      <c r="L62" s="0" t="str">
        <f aca="false">IF(OR(A62="",E62="",C62=""),"",IF(COUNTIFS($A:$A,A62,$E:$E,E62,$C:$C,C62)&gt;1,"DUPLIKAT","OK"))</f>
        <v>OK</v>
      </c>
    </row>
    <row r="63" customFormat="false" ht="15" hidden="false" customHeight="false" outlineLevel="0" collapsed="false">
      <c r="A63" s="6" t="s">
        <v>233</v>
      </c>
      <c r="B63" s="0" t="str">
        <f aca="false">IFERROR(INDEX(Master_Lista!$B$2:$B$151,MATCH(A63,Master_Lista!$A$2:$A$151,0)),"")</f>
        <v>Vesna Kostic</v>
      </c>
      <c r="C63" s="6" t="s">
        <v>327</v>
      </c>
      <c r="D63" s="7" t="n">
        <v>9</v>
      </c>
      <c r="E63" s="8" t="n">
        <v>46103</v>
      </c>
      <c r="F63" s="0" t="str">
        <f aca="false">IFERROR(INDEX(Sheet11_Zarade!$C$2:$C$151,MATCH(A63,Sheet11_Zarade!$A$2:$A$151,0)),"")</f>
        <v>Magacioner</v>
      </c>
      <c r="G63" s="5" t="n">
        <f aca="false">IFERROR(INDEX(Sheet11_Zarade!$D$2:$D$151,MATCH(A63,Sheet11_Zarade!$A$2:$A$151,0)),0)</f>
        <v>7.5</v>
      </c>
      <c r="H63" s="5" t="n">
        <f aca="false">IFERROR(D63*G63,0)</f>
        <v>67.5</v>
      </c>
      <c r="I63" s="5" t="n">
        <f aca="false">H63*0.5%</f>
        <v>0.3375</v>
      </c>
      <c r="J63" s="5" t="n">
        <f aca="false">H63+I63</f>
        <v>67.8375</v>
      </c>
      <c r="K63" s="0" t="str">
        <f aca="false">IF(D63="","",IF(D63&gt;12,"FLAG",IF(D63&gt;8,"OVERTIME","OK")))</f>
        <v>OVERTIME</v>
      </c>
      <c r="L63" s="0" t="str">
        <f aca="false">IF(OR(A63="",E63="",C63=""),"",IF(COUNTIFS($A:$A,A63,$E:$E,E63,$C:$C,C63)&gt;1,"DUPLIKAT","OK"))</f>
        <v>OK</v>
      </c>
    </row>
    <row r="64" customFormat="false" ht="15" hidden="false" customHeight="false" outlineLevel="0" collapsed="false">
      <c r="A64" s="6" t="s">
        <v>194</v>
      </c>
      <c r="B64" s="0" t="str">
        <f aca="false">IFERROR(INDEX(Master_Lista!$B$2:$B$151,MATCH(A64,Master_Lista!$A$2:$A$151,0)),"")</f>
        <v>Uros Tomic</v>
      </c>
      <c r="C64" s="6" t="s">
        <v>332</v>
      </c>
      <c r="D64" s="7" t="n">
        <v>8.5</v>
      </c>
      <c r="E64" s="8" t="n">
        <v>46165</v>
      </c>
      <c r="F64" s="0" t="str">
        <f aca="false">IFERROR(INDEX(Sheet11_Zarade!$C$2:$C$151,MATCH(A64,Sheet11_Zarade!$A$2:$A$151,0)),"")</f>
        <v>Elektro inženjer</v>
      </c>
      <c r="G64" s="5" t="n">
        <f aca="false">IFERROR(INDEX(Sheet11_Zarade!$D$2:$D$151,MATCH(A64,Sheet11_Zarade!$A$2:$A$151,0)),0)</f>
        <v>22</v>
      </c>
      <c r="H64" s="5" t="n">
        <f aca="false">IFERROR(D64*G64,0)</f>
        <v>187</v>
      </c>
      <c r="I64" s="5" t="n">
        <f aca="false">H64*0.5%</f>
        <v>0.935</v>
      </c>
      <c r="J64" s="5" t="n">
        <f aca="false">H64+I64</f>
        <v>187.935</v>
      </c>
      <c r="K64" s="0" t="str">
        <f aca="false">IF(D64="","",IF(D64&gt;12,"FLAG",IF(D64&gt;8,"OVERTIME","OK")))</f>
        <v>OVERTIME</v>
      </c>
      <c r="L64" s="0" t="str">
        <f aca="false">IF(OR(A64="",E64="",C64=""),"",IF(COUNTIFS($A:$A,A64,$E:$E,E64,$C:$C,C64)&gt;1,"DUPLIKAT","OK"))</f>
        <v>OK</v>
      </c>
    </row>
    <row r="65" customFormat="false" ht="15" hidden="false" customHeight="false" outlineLevel="0" collapsed="false">
      <c r="A65" s="6" t="s">
        <v>110</v>
      </c>
      <c r="B65" s="0" t="str">
        <f aca="false">IFERROR(INDEX(Master_Lista!$B$2:$B$151,MATCH(A65,Master_Lista!$A$2:$A$151,0)),"")</f>
        <v>Vuk Markovic</v>
      </c>
      <c r="C65" s="6" t="s">
        <v>330</v>
      </c>
      <c r="D65" s="7" t="n">
        <v>11</v>
      </c>
      <c r="E65" s="8" t="n">
        <v>46036</v>
      </c>
      <c r="F65" s="0" t="str">
        <f aca="false">IFERROR(INDEX(Sheet11_Zarade!$C$2:$C$151,MATCH(A65,Sheet11_Zarade!$A$2:$A$151,0)),"")</f>
        <v>Inženjer na gradilištu</v>
      </c>
      <c r="G65" s="5" t="n">
        <f aca="false">IFERROR(INDEX(Sheet11_Zarade!$D$2:$D$151,MATCH(A65,Sheet11_Zarade!$A$2:$A$151,0)),0)</f>
        <v>18</v>
      </c>
      <c r="H65" s="5" t="n">
        <f aca="false">IFERROR(D65*G65,0)</f>
        <v>198</v>
      </c>
      <c r="I65" s="5" t="n">
        <f aca="false">H65*0.5%</f>
        <v>0.99</v>
      </c>
      <c r="J65" s="5" t="n">
        <f aca="false">H65+I65</f>
        <v>198.99</v>
      </c>
      <c r="K65" s="0" t="str">
        <f aca="false">IF(D65="","",IF(D65&gt;12,"FLAG",IF(D65&gt;8,"OVERTIME","OK")))</f>
        <v>OVERTIME</v>
      </c>
      <c r="L65" s="0" t="str">
        <f aca="false">IF(OR(A65="",E65="",C65=""),"",IF(COUNTIFS($A:$A,A65,$E:$E,E65,$C:$C,C65)&gt;1,"DUPLIKAT","OK"))</f>
        <v>OK</v>
      </c>
    </row>
    <row r="66" customFormat="false" ht="15" hidden="false" customHeight="false" outlineLevel="0" collapsed="false">
      <c r="A66" s="6" t="s">
        <v>282</v>
      </c>
      <c r="B66" s="0" t="str">
        <f aca="false">IFERROR(INDEX(Master_Lista!$B$2:$B$151,MATCH(A66,Master_Lista!$A$2:$A$151,0)),"")</f>
        <v>Elena Ilic</v>
      </c>
      <c r="C66" s="6" t="s">
        <v>329</v>
      </c>
      <c r="D66" s="7" t="n">
        <v>8.5</v>
      </c>
      <c r="E66" s="8" t="n">
        <v>46036</v>
      </c>
      <c r="F66" s="0" t="str">
        <f aca="false">IFERROR(INDEX(Sheet11_Zarade!$C$2:$C$151,MATCH(A66,Sheet11_Zarade!$A$2:$A$151,0)),"")</f>
        <v>Inženjer na gradilištu</v>
      </c>
      <c r="G66" s="5" t="n">
        <f aca="false">IFERROR(INDEX(Sheet11_Zarade!$D$2:$D$151,MATCH(A66,Sheet11_Zarade!$A$2:$A$151,0)),0)</f>
        <v>18</v>
      </c>
      <c r="H66" s="5" t="n">
        <f aca="false">IFERROR(D66*G66,0)</f>
        <v>153</v>
      </c>
      <c r="I66" s="5" t="n">
        <f aca="false">H66*0.5%</f>
        <v>0.765</v>
      </c>
      <c r="J66" s="5" t="n">
        <f aca="false">H66+I66</f>
        <v>153.765</v>
      </c>
      <c r="K66" s="0" t="str">
        <f aca="false">IF(D66="","",IF(D66&gt;12,"FLAG",IF(D66&gt;8,"OVERTIME","OK")))</f>
        <v>OVERTIME</v>
      </c>
      <c r="L66" s="0" t="str">
        <f aca="false">IF(OR(A66="",E66="",C66=""),"",IF(COUNTIFS($A:$A,A66,$E:$E,E66,$C:$C,C66)&gt;1,"DUPLIKAT","OK"))</f>
        <v>OK</v>
      </c>
    </row>
    <row r="67" customFormat="false" ht="15" hidden="false" customHeight="false" outlineLevel="0" collapsed="false">
      <c r="A67" s="6" t="s">
        <v>205</v>
      </c>
      <c r="B67" s="0" t="str">
        <f aca="false">IFERROR(INDEX(Master_Lista!$B$2:$B$151,MATCH(A67,Master_Lista!$A$2:$A$151,0)),"")</f>
        <v>Ivana Jankovic</v>
      </c>
      <c r="C67" s="6" t="s">
        <v>326</v>
      </c>
      <c r="D67" s="7" t="n">
        <v>10</v>
      </c>
      <c r="E67" s="8" t="n">
        <v>46093</v>
      </c>
      <c r="F67" s="0" t="str">
        <f aca="false">IFERROR(INDEX(Sheet11_Zarade!$C$2:$C$151,MATCH(A67,Sheet11_Zarade!$A$2:$A$151,0)),"")</f>
        <v>Logističar</v>
      </c>
      <c r="G67" s="5" t="n">
        <f aca="false">IFERROR(INDEX(Sheet11_Zarade!$D$2:$D$151,MATCH(A67,Sheet11_Zarade!$A$2:$A$151,0)),0)</f>
        <v>15</v>
      </c>
      <c r="H67" s="5" t="n">
        <f aca="false">IFERROR(D67*G67,0)</f>
        <v>150</v>
      </c>
      <c r="I67" s="5" t="n">
        <f aca="false">H67*0.5%</f>
        <v>0.75</v>
      </c>
      <c r="J67" s="5" t="n">
        <f aca="false">H67+I67</f>
        <v>150.75</v>
      </c>
      <c r="K67" s="0" t="str">
        <f aca="false">IF(D67="","",IF(D67&gt;12,"FLAG",IF(D67&gt;8,"OVERTIME","OK")))</f>
        <v>OVERTIME</v>
      </c>
      <c r="L67" s="0" t="str">
        <f aca="false">IF(OR(A67="",E67="",C67=""),"",IF(COUNTIFS($A:$A,A67,$E:$E,E67,$C:$C,C67)&gt;1,"DUPLIKAT","OK"))</f>
        <v>OK</v>
      </c>
    </row>
    <row r="68" customFormat="false" ht="15" hidden="false" customHeight="false" outlineLevel="0" collapsed="false">
      <c r="A68" s="6" t="s">
        <v>55</v>
      </c>
      <c r="B68" s="0" t="str">
        <f aca="false">IFERROR(INDEX(Master_Lista!$B$2:$B$151,MATCH(A68,Master_Lista!$A$2:$A$151,0)),"")</f>
        <v>Aleksandar Cvetkovic</v>
      </c>
      <c r="C68" s="6" t="s">
        <v>330</v>
      </c>
      <c r="D68" s="7" t="n">
        <v>6</v>
      </c>
      <c r="E68" s="8" t="n">
        <v>46107</v>
      </c>
      <c r="F68" s="0" t="str">
        <f aca="false">IFERROR(INDEX(Sheet11_Zarade!$C$2:$C$151,MATCH(A68,Sheet11_Zarade!$A$2:$A$151,0)),"")</f>
        <v>Elektro inženjer</v>
      </c>
      <c r="G68" s="5" t="n">
        <f aca="false">IFERROR(INDEX(Sheet11_Zarade!$D$2:$D$151,MATCH(A68,Sheet11_Zarade!$A$2:$A$151,0)),0)</f>
        <v>22</v>
      </c>
      <c r="H68" s="5" t="n">
        <f aca="false">IFERROR(D68*G68,0)</f>
        <v>132</v>
      </c>
      <c r="I68" s="5" t="n">
        <f aca="false">H68*0.5%</f>
        <v>0.66</v>
      </c>
      <c r="J68" s="5" t="n">
        <f aca="false">H68+I68</f>
        <v>132.66</v>
      </c>
      <c r="K68" s="0" t="str">
        <f aca="false">IF(D68="","",IF(D68&gt;12,"FLAG",IF(D68&gt;8,"OVERTIME","OK")))</f>
        <v>OK</v>
      </c>
      <c r="L68" s="0" t="str">
        <f aca="false">IF(OR(A68="",E68="",C68=""),"",IF(COUNTIFS($A:$A,A68,$E:$E,E68,$C:$C,C68)&gt;1,"DUPLIKAT","OK"))</f>
        <v>OK</v>
      </c>
    </row>
    <row r="69" customFormat="false" ht="15" hidden="false" customHeight="false" outlineLevel="0" collapsed="false">
      <c r="A69" s="6" t="s">
        <v>124</v>
      </c>
      <c r="B69" s="0" t="str">
        <f aca="false">IFERROR(INDEX(Master_Lista!$B$2:$B$151,MATCH(A69,Master_Lista!$A$2:$A$151,0)),"")</f>
        <v>Branko Cvetkovic</v>
      </c>
      <c r="C69" s="6" t="s">
        <v>328</v>
      </c>
      <c r="D69" s="7" t="n">
        <v>12</v>
      </c>
      <c r="E69" s="8" t="n">
        <v>46133</v>
      </c>
      <c r="F69" s="0" t="str">
        <f aca="false">IFERROR(INDEX(Sheet11_Zarade!$C$2:$C$151,MATCH(A69,Sheet11_Zarade!$A$2:$A$151,0)),"")</f>
        <v>Elektro inženjer</v>
      </c>
      <c r="G69" s="5" t="n">
        <f aca="false">IFERROR(INDEX(Sheet11_Zarade!$D$2:$D$151,MATCH(A69,Sheet11_Zarade!$A$2:$A$151,0)),0)</f>
        <v>22</v>
      </c>
      <c r="H69" s="5" t="n">
        <f aca="false">IFERROR(D69*G69,0)</f>
        <v>264</v>
      </c>
      <c r="I69" s="5" t="n">
        <f aca="false">H69*0.5%</f>
        <v>1.32</v>
      </c>
      <c r="J69" s="5" t="n">
        <f aca="false">H69+I69</f>
        <v>265.32</v>
      </c>
      <c r="K69" s="0" t="str">
        <f aca="false">IF(D69="","",IF(D69&gt;12,"FLAG",IF(D69&gt;8,"OVERTIME","OK")))</f>
        <v>OVERTIME</v>
      </c>
      <c r="L69" s="0" t="str">
        <f aca="false">IF(OR(A69="",E69="",C69=""),"",IF(COUNTIFS($A:$A,A69,$E:$E,E69,$C:$C,C69)&gt;1,"DUPLIKAT","OK"))</f>
        <v>OK</v>
      </c>
    </row>
    <row r="70" customFormat="false" ht="15" hidden="false" customHeight="false" outlineLevel="0" collapsed="false">
      <c r="A70" s="6" t="s">
        <v>73</v>
      </c>
      <c r="B70" s="0" t="str">
        <f aca="false">IFERROR(INDEX(Master_Lista!$B$2:$B$151,MATCH(A70,Master_Lista!$A$2:$A$151,0)),"")</f>
        <v>Filip Tomic</v>
      </c>
      <c r="C70" s="6" t="s">
        <v>330</v>
      </c>
      <c r="D70" s="7" t="n">
        <v>6</v>
      </c>
      <c r="E70" s="8" t="n">
        <v>46103</v>
      </c>
      <c r="F70" s="0" t="str">
        <f aca="false">IFERROR(INDEX(Sheet11_Zarade!$C$2:$C$151,MATCH(A70,Sheet11_Zarade!$A$2:$A$151,0)),"")</f>
        <v>Elektromonter</v>
      </c>
      <c r="G70" s="5" t="n">
        <f aca="false">IFERROR(INDEX(Sheet11_Zarade!$D$2:$D$151,MATCH(A70,Sheet11_Zarade!$A$2:$A$151,0)),0)</f>
        <v>8.5</v>
      </c>
      <c r="H70" s="5" t="n">
        <f aca="false">IFERROR(D70*G70,0)</f>
        <v>51</v>
      </c>
      <c r="I70" s="5" t="n">
        <f aca="false">H70*0.5%</f>
        <v>0.255</v>
      </c>
      <c r="J70" s="5" t="n">
        <f aca="false">H70+I70</f>
        <v>51.255</v>
      </c>
      <c r="K70" s="0" t="str">
        <f aca="false">IF(D70="","",IF(D70&gt;12,"FLAG",IF(D70&gt;8,"OVERTIME","OK")))</f>
        <v>OK</v>
      </c>
      <c r="L70" s="0" t="str">
        <f aca="false">IF(OR(A70="",E70="",C70=""),"",IF(COUNTIFS($A:$A,A70,$E:$E,E70,$C:$C,C70)&gt;1,"DUPLIKAT","OK"))</f>
        <v>OK</v>
      </c>
    </row>
    <row r="71" customFormat="false" ht="15" hidden="false" customHeight="false" outlineLevel="0" collapsed="false">
      <c r="A71" s="6" t="s">
        <v>157</v>
      </c>
      <c r="B71" s="0" t="str">
        <f aca="false">IFERROR(INDEX(Master_Lista!$B$2:$B$151,MATCH(A71,Master_Lista!$A$2:$A$151,0)),"")</f>
        <v>Kosta Zivkovic</v>
      </c>
      <c r="C71" s="6" t="s">
        <v>330</v>
      </c>
      <c r="D71" s="7" t="n">
        <v>6</v>
      </c>
      <c r="E71" s="8" t="n">
        <v>46128</v>
      </c>
      <c r="F71" s="0" t="str">
        <f aca="false">IFERROR(INDEX(Sheet11_Zarade!$C$2:$C$151,MATCH(A71,Sheet11_Zarade!$A$2:$A$151,0)),"")</f>
        <v>Mašinski inženjer</v>
      </c>
      <c r="G71" s="5" t="n">
        <f aca="false">IFERROR(INDEX(Sheet11_Zarade!$D$2:$D$151,MATCH(A71,Sheet11_Zarade!$A$2:$A$151,0)),0)</f>
        <v>20</v>
      </c>
      <c r="H71" s="5" t="n">
        <f aca="false">IFERROR(D71*G71,0)</f>
        <v>120</v>
      </c>
      <c r="I71" s="5" t="n">
        <f aca="false">H71*0.5%</f>
        <v>0.6</v>
      </c>
      <c r="J71" s="5" t="n">
        <f aca="false">H71+I71</f>
        <v>120.6</v>
      </c>
      <c r="K71" s="0" t="str">
        <f aca="false">IF(D71="","",IF(D71&gt;12,"FLAG",IF(D71&gt;8,"OVERTIME","OK")))</f>
        <v>OK</v>
      </c>
      <c r="L71" s="0" t="str">
        <f aca="false">IF(OR(A71="",E71="",C71=""),"",IF(COUNTIFS($A:$A,A71,$E:$E,E71,$C:$C,C71)&gt;1,"DUPLIKAT","OK"))</f>
        <v>OK</v>
      </c>
    </row>
    <row r="72" customFormat="false" ht="15" hidden="false" customHeight="false" outlineLevel="0" collapsed="false">
      <c r="A72" s="6" t="s">
        <v>112</v>
      </c>
      <c r="B72" s="0" t="str">
        <f aca="false">IFERROR(INDEX(Master_Lista!$B$2:$B$151,MATCH(A72,Master_Lista!$A$2:$A$151,0)),"")</f>
        <v>Milan Grujic</v>
      </c>
      <c r="C72" s="6" t="s">
        <v>327</v>
      </c>
      <c r="D72" s="7" t="n">
        <v>12</v>
      </c>
      <c r="E72" s="8" t="n">
        <v>46163</v>
      </c>
      <c r="F72" s="0" t="str">
        <f aca="false">IFERROR(INDEX(Sheet11_Zarade!$C$2:$C$151,MATCH(A72,Sheet11_Zarade!$A$2:$A$151,0)),"")</f>
        <v>Projekt menadžer</v>
      </c>
      <c r="G72" s="5" t="n">
        <f aca="false">IFERROR(INDEX(Sheet11_Zarade!$D$2:$D$151,MATCH(A72,Sheet11_Zarade!$A$2:$A$151,0)),0)</f>
        <v>28</v>
      </c>
      <c r="H72" s="5" t="n">
        <f aca="false">IFERROR(D72*G72,0)</f>
        <v>336</v>
      </c>
      <c r="I72" s="5" t="n">
        <f aca="false">H72*0.5%</f>
        <v>1.68</v>
      </c>
      <c r="J72" s="5" t="n">
        <f aca="false">H72+I72</f>
        <v>337.68</v>
      </c>
      <c r="K72" s="0" t="str">
        <f aca="false">IF(D72="","",IF(D72&gt;12,"FLAG",IF(D72&gt;8,"OVERTIME","OK")))</f>
        <v>OVERTIME</v>
      </c>
      <c r="L72" s="0" t="str">
        <f aca="false">IF(OR(A72="",E72="",C72=""),"",IF(COUNTIFS($A:$A,A72,$E:$E,E72,$C:$C,C72)&gt;1,"DUPLIKAT","OK"))</f>
        <v>OK</v>
      </c>
    </row>
    <row r="73" customFormat="false" ht="15" hidden="false" customHeight="false" outlineLevel="0" collapsed="false">
      <c r="A73" s="6" t="s">
        <v>73</v>
      </c>
      <c r="B73" s="0" t="str">
        <f aca="false">IFERROR(INDEX(Master_Lista!$B$2:$B$151,MATCH(A73,Master_Lista!$A$2:$A$151,0)),"")</f>
        <v>Filip Tomic</v>
      </c>
      <c r="C73" s="6" t="s">
        <v>339</v>
      </c>
      <c r="D73" s="7" t="n">
        <v>6</v>
      </c>
      <c r="E73" s="8" t="n">
        <v>46150</v>
      </c>
      <c r="F73" s="0" t="str">
        <f aca="false">IFERROR(INDEX(Sheet11_Zarade!$C$2:$C$151,MATCH(A73,Sheet11_Zarade!$A$2:$A$151,0)),"")</f>
        <v>Elektromonter</v>
      </c>
      <c r="G73" s="5" t="n">
        <f aca="false">IFERROR(INDEX(Sheet11_Zarade!$D$2:$D$151,MATCH(A73,Sheet11_Zarade!$A$2:$A$151,0)),0)</f>
        <v>8.5</v>
      </c>
      <c r="H73" s="5" t="n">
        <f aca="false">IFERROR(D73*G73,0)</f>
        <v>51</v>
      </c>
      <c r="I73" s="5" t="n">
        <f aca="false">H73*0.5%</f>
        <v>0.255</v>
      </c>
      <c r="J73" s="5" t="n">
        <f aca="false">H73+I73</f>
        <v>51.255</v>
      </c>
      <c r="K73" s="0" t="str">
        <f aca="false">IF(D73="","",IF(D73&gt;12,"FLAG",IF(D73&gt;8,"OVERTIME","OK")))</f>
        <v>OK</v>
      </c>
      <c r="L73" s="0" t="str">
        <f aca="false">IF(OR(A73="",E73="",C73=""),"",IF(COUNTIFS($A:$A,A73,$E:$E,E73,$C:$C,C73)&gt;1,"DUPLIKAT","OK"))</f>
        <v>OK</v>
      </c>
    </row>
    <row r="74" customFormat="false" ht="15" hidden="false" customHeight="false" outlineLevel="0" collapsed="false">
      <c r="A74" s="6" t="s">
        <v>235</v>
      </c>
      <c r="B74" s="0" t="str">
        <f aca="false">IFERROR(INDEX(Master_Lista!$B$2:$B$151,MATCH(A74,Master_Lista!$A$2:$A$151,0)),"")</f>
        <v>Luka Ilic</v>
      </c>
      <c r="C74" s="6" t="s">
        <v>325</v>
      </c>
      <c r="D74" s="7" t="n">
        <v>9</v>
      </c>
      <c r="E74" s="8" t="n">
        <v>46146</v>
      </c>
      <c r="F74" s="0" t="str">
        <f aca="false">IFERROR(INDEX(Sheet11_Zarade!$C$2:$C$151,MATCH(A74,Sheet11_Zarade!$A$2:$A$151,0)),"")</f>
        <v>Tehničar održavanja</v>
      </c>
      <c r="G74" s="5" t="n">
        <f aca="false">IFERROR(INDEX(Sheet11_Zarade!$D$2:$D$151,MATCH(A74,Sheet11_Zarade!$A$2:$A$151,0)),0)</f>
        <v>10.5</v>
      </c>
      <c r="H74" s="5" t="n">
        <f aca="false">IFERROR(D74*G74,0)</f>
        <v>94.5</v>
      </c>
      <c r="I74" s="5" t="n">
        <f aca="false">H74*0.5%</f>
        <v>0.4725</v>
      </c>
      <c r="J74" s="5" t="n">
        <f aca="false">H74+I74</f>
        <v>94.9725</v>
      </c>
      <c r="K74" s="0" t="str">
        <f aca="false">IF(D74="","",IF(D74&gt;12,"FLAG",IF(D74&gt;8,"OVERTIME","OK")))</f>
        <v>OVERTIME</v>
      </c>
      <c r="L74" s="0" t="str">
        <f aca="false">IF(OR(A74="",E74="",C74=""),"",IF(COUNTIFS($A:$A,A74,$E:$E,E74,$C:$C,C74)&gt;1,"DUPLIKAT","OK"))</f>
        <v>OK</v>
      </c>
    </row>
    <row r="75" customFormat="false" ht="15" hidden="false" customHeight="false" outlineLevel="0" collapsed="false">
      <c r="A75" s="6" t="s">
        <v>237</v>
      </c>
      <c r="B75" s="0" t="str">
        <f aca="false">IFERROR(INDEX(Master_Lista!$B$2:$B$151,MATCH(A75,Master_Lista!$A$2:$A$151,0)),"")</f>
        <v>Petra Filipovic</v>
      </c>
      <c r="C75" s="6" t="s">
        <v>326</v>
      </c>
      <c r="D75" s="7" t="n">
        <v>6</v>
      </c>
      <c r="E75" s="8" t="n">
        <v>46110</v>
      </c>
      <c r="F75" s="0" t="str">
        <f aca="false">IFERROR(INDEX(Sheet11_Zarade!$C$2:$C$151,MATCH(A75,Sheet11_Zarade!$A$2:$A$151,0)),"")</f>
        <v>Menadžer kvaliteta</v>
      </c>
      <c r="G75" s="5" t="n">
        <f aca="false">IFERROR(INDEX(Sheet11_Zarade!$D$2:$D$151,MATCH(A75,Sheet11_Zarade!$A$2:$A$151,0)),0)</f>
        <v>25</v>
      </c>
      <c r="H75" s="5" t="n">
        <f aca="false">IFERROR(D75*G75,0)</f>
        <v>150</v>
      </c>
      <c r="I75" s="5" t="n">
        <f aca="false">H75*0.5%</f>
        <v>0.75</v>
      </c>
      <c r="J75" s="5" t="n">
        <f aca="false">H75+I75</f>
        <v>150.75</v>
      </c>
      <c r="K75" s="0" t="str">
        <f aca="false">IF(D75="","",IF(D75&gt;12,"FLAG",IF(D75&gt;8,"OVERTIME","OK")))</f>
        <v>OK</v>
      </c>
      <c r="L75" s="0" t="str">
        <f aca="false">IF(OR(A75="",E75="",C75=""),"",IF(COUNTIFS($A:$A,A75,$E:$E,E75,$C:$C,C75)&gt;1,"DUPLIKAT","OK"))</f>
        <v>OK</v>
      </c>
    </row>
    <row r="76" customFormat="false" ht="15" hidden="false" customHeight="false" outlineLevel="0" collapsed="false">
      <c r="A76" s="6" t="s">
        <v>118</v>
      </c>
      <c r="B76" s="0" t="str">
        <f aca="false">IFERROR(INDEX(Master_Lista!$B$2:$B$151,MATCH(A76,Master_Lista!$A$2:$A$151,0)),"")</f>
        <v>Vesna Filipovic</v>
      </c>
      <c r="C76" s="6" t="s">
        <v>337</v>
      </c>
      <c r="D76" s="7" t="n">
        <v>7.5</v>
      </c>
      <c r="E76" s="8" t="n">
        <v>46143</v>
      </c>
      <c r="F76" s="0" t="str">
        <f aca="false">IFERROR(INDEX(Sheet11_Zarade!$C$2:$C$151,MATCH(A76,Sheet11_Zarade!$A$2:$A$151,0)),"")</f>
        <v>CNC operater</v>
      </c>
      <c r="G76" s="5" t="n">
        <f aca="false">IFERROR(INDEX(Sheet11_Zarade!$D$2:$D$151,MATCH(A76,Sheet11_Zarade!$A$2:$A$151,0)),0)</f>
        <v>12</v>
      </c>
      <c r="H76" s="5" t="n">
        <f aca="false">IFERROR(D76*G76,0)</f>
        <v>90</v>
      </c>
      <c r="I76" s="5" t="n">
        <f aca="false">H76*0.5%</f>
        <v>0.45</v>
      </c>
      <c r="J76" s="5" t="n">
        <f aca="false">H76+I76</f>
        <v>90.45</v>
      </c>
      <c r="K76" s="0" t="str">
        <f aca="false">IF(D76="","",IF(D76&gt;12,"FLAG",IF(D76&gt;8,"OVERTIME","OK")))</f>
        <v>OK</v>
      </c>
      <c r="L76" s="0" t="str">
        <f aca="false">IF(OR(A76="",E76="",C76=""),"",IF(COUNTIFS($A:$A,A76,$E:$E,E76,$C:$C,C76)&gt;1,"DUPLIKAT","OK"))</f>
        <v>OK</v>
      </c>
    </row>
    <row r="77" customFormat="false" ht="15" hidden="false" customHeight="false" outlineLevel="0" collapsed="false">
      <c r="A77" s="6" t="s">
        <v>178</v>
      </c>
      <c r="B77" s="0" t="str">
        <f aca="false">IFERROR(INDEX(Master_Lista!$B$2:$B$151,MATCH(A77,Master_Lista!$A$2:$A$151,0)),"")</f>
        <v>Filip Filipovic</v>
      </c>
      <c r="C77" s="6" t="s">
        <v>336</v>
      </c>
      <c r="D77" s="7" t="n">
        <v>11</v>
      </c>
      <c r="E77" s="8" t="n">
        <v>46106</v>
      </c>
      <c r="F77" s="0" t="str">
        <f aca="false">IFERROR(INDEX(Sheet11_Zarade!$C$2:$C$151,MATCH(A77,Sheet11_Zarade!$A$2:$A$151,0)),"")</f>
        <v>Vodeći monter</v>
      </c>
      <c r="G77" s="5" t="n">
        <f aca="false">IFERROR(INDEX(Sheet11_Zarade!$D$2:$D$151,MATCH(A77,Sheet11_Zarade!$A$2:$A$151,0)),0)</f>
        <v>11</v>
      </c>
      <c r="H77" s="5" t="n">
        <f aca="false">IFERROR(D77*G77,0)</f>
        <v>121</v>
      </c>
      <c r="I77" s="5" t="n">
        <f aca="false">H77*0.5%</f>
        <v>0.605</v>
      </c>
      <c r="J77" s="5" t="n">
        <f aca="false">H77+I77</f>
        <v>121.605</v>
      </c>
      <c r="K77" s="0" t="str">
        <f aca="false">IF(D77="","",IF(D77&gt;12,"FLAG",IF(D77&gt;8,"OVERTIME","OK")))</f>
        <v>OVERTIME</v>
      </c>
      <c r="L77" s="0" t="str">
        <f aca="false">IF(OR(A77="",E77="",C77=""),"",IF(COUNTIFS($A:$A,A77,$E:$E,E77,$C:$C,C77)&gt;1,"DUPLIKAT","OK"))</f>
        <v>OK</v>
      </c>
    </row>
    <row r="78" customFormat="false" ht="15" hidden="false" customHeight="false" outlineLevel="0" collapsed="false">
      <c r="A78" s="6" t="s">
        <v>194</v>
      </c>
      <c r="B78" s="0" t="str">
        <f aca="false">IFERROR(INDEX(Master_Lista!$B$2:$B$151,MATCH(A78,Master_Lista!$A$2:$A$151,0)),"")</f>
        <v>Uros Tomic</v>
      </c>
      <c r="C78" s="6" t="s">
        <v>329</v>
      </c>
      <c r="D78" s="7" t="n">
        <v>11</v>
      </c>
      <c r="E78" s="8" t="n">
        <v>46080</v>
      </c>
      <c r="F78" s="0" t="str">
        <f aca="false">IFERROR(INDEX(Sheet11_Zarade!$C$2:$C$151,MATCH(A78,Sheet11_Zarade!$A$2:$A$151,0)),"")</f>
        <v>Elektro inženjer</v>
      </c>
      <c r="G78" s="5" t="n">
        <f aca="false">IFERROR(INDEX(Sheet11_Zarade!$D$2:$D$151,MATCH(A78,Sheet11_Zarade!$A$2:$A$151,0)),0)</f>
        <v>22</v>
      </c>
      <c r="H78" s="5" t="n">
        <f aca="false">IFERROR(D78*G78,0)</f>
        <v>242</v>
      </c>
      <c r="I78" s="5" t="n">
        <f aca="false">H78*0.5%</f>
        <v>1.21</v>
      </c>
      <c r="J78" s="5" t="n">
        <f aca="false">H78+I78</f>
        <v>243.21</v>
      </c>
      <c r="K78" s="0" t="str">
        <f aca="false">IF(D78="","",IF(D78&gt;12,"FLAG",IF(D78&gt;8,"OVERTIME","OK")))</f>
        <v>OVERTIME</v>
      </c>
      <c r="L78" s="0" t="str">
        <f aca="false">IF(OR(A78="",E78="",C78=""),"",IF(COUNTIFS($A:$A,A78,$E:$E,E78,$C:$C,C78)&gt;1,"DUPLIKAT","OK"))</f>
        <v>OK</v>
      </c>
    </row>
    <row r="79" customFormat="false" ht="15" hidden="false" customHeight="false" outlineLevel="0" collapsed="false">
      <c r="A79" s="6" t="s">
        <v>29</v>
      </c>
      <c r="B79" s="0" t="str">
        <f aca="false">IFERROR(INDEX(Master_Lista!$B$2:$B$151,MATCH(A79,Master_Lista!$A$2:$A$151,0)),"")</f>
        <v>Petar Antic</v>
      </c>
      <c r="C79" s="6" t="s">
        <v>326</v>
      </c>
      <c r="D79" s="7" t="n">
        <v>12</v>
      </c>
      <c r="E79" s="8" t="n">
        <v>46033</v>
      </c>
      <c r="F79" s="0" t="str">
        <f aca="false">IFERROR(INDEX(Sheet11_Zarade!$C$2:$C$151,MATCH(A79,Sheet11_Zarade!$A$2:$A$151,0)),"")</f>
        <v>Menadžer kvaliteta</v>
      </c>
      <c r="G79" s="5" t="n">
        <f aca="false">IFERROR(INDEX(Sheet11_Zarade!$D$2:$D$151,MATCH(A79,Sheet11_Zarade!$A$2:$A$151,0)),0)</f>
        <v>25</v>
      </c>
      <c r="H79" s="5" t="n">
        <f aca="false">IFERROR(D79*G79,0)</f>
        <v>300</v>
      </c>
      <c r="I79" s="5" t="n">
        <f aca="false">H79*0.5%</f>
        <v>1.5</v>
      </c>
      <c r="J79" s="5" t="n">
        <f aca="false">H79+I79</f>
        <v>301.5</v>
      </c>
      <c r="K79" s="0" t="str">
        <f aca="false">IF(D79="","",IF(D79&gt;12,"FLAG",IF(D79&gt;8,"OVERTIME","OK")))</f>
        <v>OVERTIME</v>
      </c>
      <c r="L79" s="0" t="str">
        <f aca="false">IF(OR(A79="",E79="",C79=""),"",IF(COUNTIFS($A:$A,A79,$E:$E,E79,$C:$C,C79)&gt;1,"DUPLIKAT","OK"))</f>
        <v>OK</v>
      </c>
    </row>
    <row r="80" customFormat="false" ht="15" hidden="false" customHeight="false" outlineLevel="0" collapsed="false">
      <c r="A80" s="6" t="s">
        <v>205</v>
      </c>
      <c r="B80" s="0" t="str">
        <f aca="false">IFERROR(INDEX(Master_Lista!$B$2:$B$151,MATCH(A80,Master_Lista!$A$2:$A$151,0)),"")</f>
        <v>Ivana Jankovic</v>
      </c>
      <c r="C80" s="6" t="s">
        <v>325</v>
      </c>
      <c r="D80" s="7" t="n">
        <v>11</v>
      </c>
      <c r="E80" s="8" t="n">
        <v>46058</v>
      </c>
      <c r="F80" s="0" t="str">
        <f aca="false">IFERROR(INDEX(Sheet11_Zarade!$C$2:$C$151,MATCH(A80,Sheet11_Zarade!$A$2:$A$151,0)),"")</f>
        <v>Logističar</v>
      </c>
      <c r="G80" s="5" t="n">
        <f aca="false">IFERROR(INDEX(Sheet11_Zarade!$D$2:$D$151,MATCH(A80,Sheet11_Zarade!$A$2:$A$151,0)),0)</f>
        <v>15</v>
      </c>
      <c r="H80" s="5" t="n">
        <f aca="false">IFERROR(D80*G80,0)</f>
        <v>165</v>
      </c>
      <c r="I80" s="5" t="n">
        <f aca="false">H80*0.5%</f>
        <v>0.825</v>
      </c>
      <c r="J80" s="5" t="n">
        <f aca="false">H80+I80</f>
        <v>165.825</v>
      </c>
      <c r="K80" s="0" t="str">
        <f aca="false">IF(D80="","",IF(D80&gt;12,"FLAG",IF(D80&gt;8,"OVERTIME","OK")))</f>
        <v>OVERTIME</v>
      </c>
      <c r="L80" s="0" t="str">
        <f aca="false">IF(OR(A80="",E80="",C80=""),"",IF(COUNTIFS($A:$A,A80,$E:$E,E80,$C:$C,C80)&gt;1,"DUPLIKAT","OK"))</f>
        <v>OK</v>
      </c>
    </row>
    <row r="81" customFormat="false" ht="15" hidden="false" customHeight="false" outlineLevel="0" collapsed="false">
      <c r="A81" s="6" t="s">
        <v>256</v>
      </c>
      <c r="B81" s="0" t="str">
        <f aca="false">IFERROR(INDEX(Master_Lista!$B$2:$B$151,MATCH(A81,Master_Lista!$A$2:$A$151,0)),"")</f>
        <v>Milan Jankovic</v>
      </c>
      <c r="C81" s="6" t="s">
        <v>338</v>
      </c>
      <c r="D81" s="7" t="n">
        <v>10</v>
      </c>
      <c r="E81" s="8" t="n">
        <v>46133</v>
      </c>
      <c r="F81" s="0" t="str">
        <f aca="false">IFERROR(INDEX(Sheet11_Zarade!$C$2:$C$151,MATCH(A81,Sheet11_Zarade!$A$2:$A$151,0)),"")</f>
        <v>CNC operater</v>
      </c>
      <c r="G81" s="5" t="n">
        <f aca="false">IFERROR(INDEX(Sheet11_Zarade!$D$2:$D$151,MATCH(A81,Sheet11_Zarade!$A$2:$A$151,0)),0)</f>
        <v>12</v>
      </c>
      <c r="H81" s="5" t="n">
        <f aca="false">IFERROR(D81*G81,0)</f>
        <v>120</v>
      </c>
      <c r="I81" s="5" t="n">
        <f aca="false">H81*0.5%</f>
        <v>0.6</v>
      </c>
      <c r="J81" s="5" t="n">
        <f aca="false">H81+I81</f>
        <v>120.6</v>
      </c>
      <c r="K81" s="0" t="str">
        <f aca="false">IF(D81="","",IF(D81&gt;12,"FLAG",IF(D81&gt;8,"OVERTIME","OK")))</f>
        <v>OVERTIME</v>
      </c>
      <c r="L81" s="0" t="str">
        <f aca="false">IF(OR(A81="",E81="",C81=""),"",IF(COUNTIFS($A:$A,A81,$E:$E,E81,$C:$C,C81)&gt;1,"DUPLIKAT","OK"))</f>
        <v>OK</v>
      </c>
    </row>
    <row r="82" customFormat="false" ht="15" hidden="false" customHeight="false" outlineLevel="0" collapsed="false">
      <c r="A82" s="6" t="s">
        <v>120</v>
      </c>
      <c r="B82" s="0" t="str">
        <f aca="false">IFERROR(INDEX(Master_Lista!$B$2:$B$151,MATCH(A82,Master_Lista!$A$2:$A$151,0)),"")</f>
        <v>Ana Pavlovic</v>
      </c>
      <c r="C82" s="6" t="s">
        <v>327</v>
      </c>
      <c r="D82" s="7" t="n">
        <v>9</v>
      </c>
      <c r="E82" s="8" t="n">
        <v>46047</v>
      </c>
      <c r="F82" s="0" t="str">
        <f aca="false">IFERROR(INDEX(Sheet11_Zarade!$C$2:$C$151,MATCH(A82,Sheet11_Zarade!$A$2:$A$151,0)),"")</f>
        <v>Kontrola kvaliteta</v>
      </c>
      <c r="G82" s="5" t="n">
        <f aca="false">IFERROR(INDEX(Sheet11_Zarade!$D$2:$D$151,MATCH(A82,Sheet11_Zarade!$A$2:$A$151,0)),0)</f>
        <v>14</v>
      </c>
      <c r="H82" s="5" t="n">
        <f aca="false">IFERROR(D82*G82,0)</f>
        <v>126</v>
      </c>
      <c r="I82" s="5" t="n">
        <f aca="false">H82*0.5%</f>
        <v>0.63</v>
      </c>
      <c r="J82" s="5" t="n">
        <f aca="false">H82+I82</f>
        <v>126.63</v>
      </c>
      <c r="K82" s="0" t="str">
        <f aca="false">IF(D82="","",IF(D82&gt;12,"FLAG",IF(D82&gt;8,"OVERTIME","OK")))</f>
        <v>OVERTIME</v>
      </c>
      <c r="L82" s="0" t="str">
        <f aca="false">IF(OR(A82="",E82="",C82=""),"",IF(COUNTIFS($A:$A,A82,$E:$E,E82,$C:$C,C82)&gt;1,"DUPLIKAT","OK"))</f>
        <v>OK</v>
      </c>
    </row>
    <row r="83" customFormat="false" ht="15" hidden="false" customHeight="false" outlineLevel="0" collapsed="false">
      <c r="A83" s="6" t="s">
        <v>226</v>
      </c>
      <c r="B83" s="0" t="str">
        <f aca="false">IFERROR(INDEX(Master_Lista!$B$2:$B$151,MATCH(A83,Master_Lista!$A$2:$A$151,0)),"")</f>
        <v>Radoslav Zivkovic</v>
      </c>
      <c r="C83" s="6" t="s">
        <v>336</v>
      </c>
      <c r="D83" s="7" t="n">
        <v>8</v>
      </c>
      <c r="E83" s="8" t="n">
        <v>46173</v>
      </c>
      <c r="F83" s="0" t="str">
        <f aca="false">IFERROR(INDEX(Sheet11_Zarade!$C$2:$C$151,MATCH(A83,Sheet11_Zarade!$A$2:$A$151,0)),"")</f>
        <v>Mašinski inženjer</v>
      </c>
      <c r="G83" s="5" t="n">
        <f aca="false">IFERROR(INDEX(Sheet11_Zarade!$D$2:$D$151,MATCH(A83,Sheet11_Zarade!$A$2:$A$151,0)),0)</f>
        <v>20</v>
      </c>
      <c r="H83" s="5" t="n">
        <f aca="false">IFERROR(D83*G83,0)</f>
        <v>160</v>
      </c>
      <c r="I83" s="5" t="n">
        <f aca="false">H83*0.5%</f>
        <v>0.8</v>
      </c>
      <c r="J83" s="5" t="n">
        <f aca="false">H83+I83</f>
        <v>160.8</v>
      </c>
      <c r="K83" s="0" t="str">
        <f aca="false">IF(D83="","",IF(D83&gt;12,"FLAG",IF(D83&gt;8,"OVERTIME","OK")))</f>
        <v>OK</v>
      </c>
      <c r="L83" s="0" t="str">
        <f aca="false">IF(OR(A83="",E83="",C83=""),"",IF(COUNTIFS($A:$A,A83,$E:$E,E83,$C:$C,C83)&gt;1,"DUPLIKAT","OK"))</f>
        <v>OK</v>
      </c>
    </row>
    <row r="84" customFormat="false" ht="15" hidden="false" customHeight="false" outlineLevel="0" collapsed="false">
      <c r="A84" s="6" t="s">
        <v>153</v>
      </c>
      <c r="B84" s="0" t="str">
        <f aca="false">IFERROR(INDEX(Master_Lista!$B$2:$B$151,MATCH(A84,Master_Lista!$A$2:$A$151,0)),"")</f>
        <v>Dragan Djordjevic</v>
      </c>
      <c r="C84" s="6" t="s">
        <v>334</v>
      </c>
      <c r="D84" s="7" t="n">
        <v>8.5</v>
      </c>
      <c r="E84" s="8" t="n">
        <v>46056</v>
      </c>
      <c r="F84" s="0" t="str">
        <f aca="false">IFERROR(INDEX(Sheet11_Zarade!$C$2:$C$151,MATCH(A84,Sheet11_Zarade!$A$2:$A$151,0)),"")</f>
        <v>CNC operater</v>
      </c>
      <c r="G84" s="5" t="n">
        <f aca="false">IFERROR(INDEX(Sheet11_Zarade!$D$2:$D$151,MATCH(A84,Sheet11_Zarade!$A$2:$A$151,0)),0)</f>
        <v>12</v>
      </c>
      <c r="H84" s="5" t="n">
        <f aca="false">IFERROR(D84*G84,0)</f>
        <v>102</v>
      </c>
      <c r="I84" s="5" t="n">
        <f aca="false">H84*0.5%</f>
        <v>0.51</v>
      </c>
      <c r="J84" s="5" t="n">
        <f aca="false">H84+I84</f>
        <v>102.51</v>
      </c>
      <c r="K84" s="0" t="str">
        <f aca="false">IF(D84="","",IF(D84&gt;12,"FLAG",IF(D84&gt;8,"OVERTIME","OK")))</f>
        <v>OVERTIME</v>
      </c>
      <c r="L84" s="0" t="str">
        <f aca="false">IF(OR(A84="",E84="",C84=""),"",IF(COUNTIFS($A:$A,A84,$E:$E,E84,$C:$C,C84)&gt;1,"DUPLIKAT","OK"))</f>
        <v>OK</v>
      </c>
    </row>
    <row r="85" customFormat="false" ht="15" hidden="false" customHeight="false" outlineLevel="0" collapsed="false">
      <c r="A85" s="6" t="s">
        <v>190</v>
      </c>
      <c r="B85" s="0" t="str">
        <f aca="false">IFERROR(INDEX(Master_Lista!$B$2:$B$151,MATCH(A85,Master_Lista!$A$2:$A$151,0)),"")</f>
        <v>Danica Cvetkovic</v>
      </c>
      <c r="C85" s="6" t="s">
        <v>325</v>
      </c>
      <c r="D85" s="7" t="n">
        <v>8.5</v>
      </c>
      <c r="E85" s="8" t="n">
        <v>46094</v>
      </c>
      <c r="F85" s="0" t="str">
        <f aca="false">IFERROR(INDEX(Sheet11_Zarade!$C$2:$C$151,MATCH(A85,Sheet11_Zarade!$A$2:$A$151,0)),"")</f>
        <v>Kontrola kvaliteta</v>
      </c>
      <c r="G85" s="5" t="n">
        <f aca="false">IFERROR(INDEX(Sheet11_Zarade!$D$2:$D$151,MATCH(A85,Sheet11_Zarade!$A$2:$A$151,0)),0)</f>
        <v>14</v>
      </c>
      <c r="H85" s="5" t="n">
        <f aca="false">IFERROR(D85*G85,0)</f>
        <v>119</v>
      </c>
      <c r="I85" s="5" t="n">
        <f aca="false">H85*0.5%</f>
        <v>0.595</v>
      </c>
      <c r="J85" s="5" t="n">
        <f aca="false">H85+I85</f>
        <v>119.595</v>
      </c>
      <c r="K85" s="0" t="str">
        <f aca="false">IF(D85="","",IF(D85&gt;12,"FLAG",IF(D85&gt;8,"OVERTIME","OK")))</f>
        <v>OVERTIME</v>
      </c>
      <c r="L85" s="0" t="str">
        <f aca="false">IF(OR(A85="",E85="",C85=""),"",IF(COUNTIFS($A:$A,A85,$E:$E,E85,$C:$C,C85)&gt;1,"DUPLIKAT","OK"))</f>
        <v>OK</v>
      </c>
    </row>
    <row r="86" customFormat="false" ht="15" hidden="false" customHeight="false" outlineLevel="0" collapsed="false">
      <c r="A86" s="6" t="s">
        <v>171</v>
      </c>
      <c r="B86" s="0" t="str">
        <f aca="false">IFERROR(INDEX(Master_Lista!$B$2:$B$151,MATCH(A86,Master_Lista!$A$2:$A$151,0)),"")</f>
        <v>Katarina Tomic</v>
      </c>
      <c r="C86" s="6" t="s">
        <v>333</v>
      </c>
      <c r="D86" s="7" t="n">
        <v>11</v>
      </c>
      <c r="E86" s="8" t="n">
        <v>46104</v>
      </c>
      <c r="F86" s="0" t="str">
        <f aca="false">IFERROR(INDEX(Sheet11_Zarade!$C$2:$C$151,MATCH(A86,Sheet11_Zarade!$A$2:$A$151,0)),"")</f>
        <v>Logističar</v>
      </c>
      <c r="G86" s="5" t="n">
        <f aca="false">IFERROR(INDEX(Sheet11_Zarade!$D$2:$D$151,MATCH(A86,Sheet11_Zarade!$A$2:$A$151,0)),0)</f>
        <v>15</v>
      </c>
      <c r="H86" s="5" t="n">
        <f aca="false">IFERROR(D86*G86,0)</f>
        <v>165</v>
      </c>
      <c r="I86" s="5" t="n">
        <f aca="false">H86*0.5%</f>
        <v>0.825</v>
      </c>
      <c r="J86" s="5" t="n">
        <f aca="false">H86+I86</f>
        <v>165.825</v>
      </c>
      <c r="K86" s="0" t="str">
        <f aca="false">IF(D86="","",IF(D86&gt;12,"FLAG",IF(D86&gt;8,"OVERTIME","OK")))</f>
        <v>OVERTIME</v>
      </c>
      <c r="L86" s="0" t="str">
        <f aca="false">IF(OR(A86="",E86="",C86=""),"",IF(COUNTIFS($A:$A,A86,$E:$E,E86,$C:$C,C86)&gt;1,"DUPLIKAT","OK"))</f>
        <v>OK</v>
      </c>
    </row>
    <row r="87" customFormat="false" ht="15" hidden="false" customHeight="false" outlineLevel="0" collapsed="false">
      <c r="A87" s="6" t="s">
        <v>136</v>
      </c>
      <c r="B87" s="0" t="str">
        <f aca="false">IFERROR(INDEX(Master_Lista!$B$2:$B$151,MATCH(A87,Master_Lista!$A$2:$A$151,0)),"")</f>
        <v>Radoslav Tomic</v>
      </c>
      <c r="C87" s="6" t="s">
        <v>331</v>
      </c>
      <c r="D87" s="7" t="n">
        <v>12</v>
      </c>
      <c r="E87" s="8" t="n">
        <v>46131</v>
      </c>
      <c r="F87" s="0" t="str">
        <f aca="false">IFERROR(INDEX(Sheet11_Zarade!$C$2:$C$151,MATCH(A87,Sheet11_Zarade!$A$2:$A$151,0)),"")</f>
        <v>Logističar</v>
      </c>
      <c r="G87" s="5" t="n">
        <f aca="false">IFERROR(INDEX(Sheet11_Zarade!$D$2:$D$151,MATCH(A87,Sheet11_Zarade!$A$2:$A$151,0)),0)</f>
        <v>15</v>
      </c>
      <c r="H87" s="5" t="n">
        <f aca="false">IFERROR(D87*G87,0)</f>
        <v>180</v>
      </c>
      <c r="I87" s="5" t="n">
        <f aca="false">H87*0.5%</f>
        <v>0.9</v>
      </c>
      <c r="J87" s="5" t="n">
        <f aca="false">H87+I87</f>
        <v>180.9</v>
      </c>
      <c r="K87" s="0" t="str">
        <f aca="false">IF(D87="","",IF(D87&gt;12,"FLAG",IF(D87&gt;8,"OVERTIME","OK")))</f>
        <v>OVERTIME</v>
      </c>
      <c r="L87" s="0" t="str">
        <f aca="false">IF(OR(A87="",E87="",C87=""),"",IF(COUNTIFS($A:$A,A87,$E:$E,E87,$C:$C,C87)&gt;1,"DUPLIKAT","OK"))</f>
        <v>OK</v>
      </c>
    </row>
    <row r="88" customFormat="false" ht="15" hidden="false" customHeight="false" outlineLevel="0" collapsed="false">
      <c r="A88" s="6" t="s">
        <v>171</v>
      </c>
      <c r="B88" s="0" t="str">
        <f aca="false">IFERROR(INDEX(Master_Lista!$B$2:$B$151,MATCH(A88,Master_Lista!$A$2:$A$151,0)),"")</f>
        <v>Katarina Tomic</v>
      </c>
      <c r="C88" s="6" t="s">
        <v>339</v>
      </c>
      <c r="D88" s="7" t="n">
        <v>8</v>
      </c>
      <c r="E88" s="8" t="n">
        <v>46081</v>
      </c>
      <c r="F88" s="0" t="str">
        <f aca="false">IFERROR(INDEX(Sheet11_Zarade!$C$2:$C$151,MATCH(A88,Sheet11_Zarade!$A$2:$A$151,0)),"")</f>
        <v>Logističar</v>
      </c>
      <c r="G88" s="5" t="n">
        <f aca="false">IFERROR(INDEX(Sheet11_Zarade!$D$2:$D$151,MATCH(A88,Sheet11_Zarade!$A$2:$A$151,0)),0)</f>
        <v>15</v>
      </c>
      <c r="H88" s="5" t="n">
        <f aca="false">IFERROR(D88*G88,0)</f>
        <v>120</v>
      </c>
      <c r="I88" s="5" t="n">
        <f aca="false">H88*0.5%</f>
        <v>0.6</v>
      </c>
      <c r="J88" s="5" t="n">
        <f aca="false">H88+I88</f>
        <v>120.6</v>
      </c>
      <c r="K88" s="0" t="str">
        <f aca="false">IF(D88="","",IF(D88&gt;12,"FLAG",IF(D88&gt;8,"OVERTIME","OK")))</f>
        <v>OK</v>
      </c>
      <c r="L88" s="0" t="str">
        <f aca="false">IF(OR(A88="",E88="",C88=""),"",IF(COUNTIFS($A:$A,A88,$E:$E,E88,$C:$C,C88)&gt;1,"DUPLIKAT","OK"))</f>
        <v>OK</v>
      </c>
    </row>
    <row r="89" customFormat="false" ht="15" hidden="false" customHeight="false" outlineLevel="0" collapsed="false">
      <c r="A89" s="6" t="s">
        <v>130</v>
      </c>
      <c r="B89" s="0" t="str">
        <f aca="false">IFERROR(INDEX(Master_Lista!$B$2:$B$151,MATCH(A89,Master_Lista!$A$2:$A$151,0)),"")</f>
        <v>Petar Pavlovic</v>
      </c>
      <c r="C89" s="6" t="s">
        <v>334</v>
      </c>
      <c r="D89" s="7" t="n">
        <v>8</v>
      </c>
      <c r="E89" s="8" t="n">
        <v>46053</v>
      </c>
      <c r="F89" s="0" t="str">
        <f aca="false">IFERROR(INDEX(Sheet11_Zarade!$C$2:$C$151,MATCH(A89,Sheet11_Zarade!$A$2:$A$151,0)),"")</f>
        <v>Magacioner</v>
      </c>
      <c r="G89" s="5" t="n">
        <f aca="false">IFERROR(INDEX(Sheet11_Zarade!$D$2:$D$151,MATCH(A89,Sheet11_Zarade!$A$2:$A$151,0)),0)</f>
        <v>7.5</v>
      </c>
      <c r="H89" s="5" t="n">
        <f aca="false">IFERROR(D89*G89,0)</f>
        <v>60</v>
      </c>
      <c r="I89" s="5" t="n">
        <f aca="false">H89*0.5%</f>
        <v>0.3</v>
      </c>
      <c r="J89" s="5" t="n">
        <f aca="false">H89+I89</f>
        <v>60.3</v>
      </c>
      <c r="K89" s="0" t="str">
        <f aca="false">IF(D89="","",IF(D89&gt;12,"FLAG",IF(D89&gt;8,"OVERTIME","OK")))</f>
        <v>OK</v>
      </c>
      <c r="L89" s="0" t="str">
        <f aca="false">IF(OR(A89="",E89="",C89=""),"",IF(COUNTIFS($A:$A,A89,$E:$E,E89,$C:$C,C89)&gt;1,"DUPLIKAT","OK"))</f>
        <v>OK</v>
      </c>
    </row>
    <row r="90" customFormat="false" ht="15" hidden="false" customHeight="false" outlineLevel="0" collapsed="false">
      <c r="A90" s="6" t="s">
        <v>55</v>
      </c>
      <c r="B90" s="0" t="str">
        <f aca="false">IFERROR(INDEX(Master_Lista!$B$2:$B$151,MATCH(A90,Master_Lista!$A$2:$A$151,0)),"")</f>
        <v>Aleksandar Cvetkovic</v>
      </c>
      <c r="C90" s="6" t="s">
        <v>328</v>
      </c>
      <c r="D90" s="7" t="n">
        <v>9</v>
      </c>
      <c r="E90" s="8" t="n">
        <v>46092</v>
      </c>
      <c r="F90" s="0" t="str">
        <f aca="false">IFERROR(INDEX(Sheet11_Zarade!$C$2:$C$151,MATCH(A90,Sheet11_Zarade!$A$2:$A$151,0)),"")</f>
        <v>Elektro inženjer</v>
      </c>
      <c r="G90" s="5" t="n">
        <f aca="false">IFERROR(INDEX(Sheet11_Zarade!$D$2:$D$151,MATCH(A90,Sheet11_Zarade!$A$2:$A$151,0)),0)</f>
        <v>22</v>
      </c>
      <c r="H90" s="5" t="n">
        <f aca="false">IFERROR(D90*G90,0)</f>
        <v>198</v>
      </c>
      <c r="I90" s="5" t="n">
        <f aca="false">H90*0.5%</f>
        <v>0.99</v>
      </c>
      <c r="J90" s="5" t="n">
        <f aca="false">H90+I90</f>
        <v>198.99</v>
      </c>
      <c r="K90" s="0" t="str">
        <f aca="false">IF(D90="","",IF(D90&gt;12,"FLAG",IF(D90&gt;8,"OVERTIME","OK")))</f>
        <v>OVERTIME</v>
      </c>
      <c r="L90" s="0" t="str">
        <f aca="false">IF(OR(A90="",E90="",C90=""),"",IF(COUNTIFS($A:$A,A90,$E:$E,E90,$C:$C,C90)&gt;1,"DUPLIKAT","OK"))</f>
        <v>OK</v>
      </c>
    </row>
    <row r="91" customFormat="false" ht="15" hidden="false" customHeight="false" outlineLevel="0" collapsed="false">
      <c r="A91" s="6" t="s">
        <v>224</v>
      </c>
      <c r="B91" s="0" t="str">
        <f aca="false">IFERROR(INDEX(Master_Lista!$B$2:$B$151,MATCH(A91,Master_Lista!$A$2:$A$151,0)),"")</f>
        <v>Ana Urosevic</v>
      </c>
      <c r="C91" s="6" t="s">
        <v>332</v>
      </c>
      <c r="D91" s="7" t="n">
        <v>8.5</v>
      </c>
      <c r="E91" s="8" t="n">
        <v>46044</v>
      </c>
      <c r="F91" s="0" t="str">
        <f aca="false">IFERROR(INDEX(Sheet11_Zarade!$C$2:$C$151,MATCH(A91,Sheet11_Zarade!$A$2:$A$151,0)),"")</f>
        <v>Kontrola kvaliteta</v>
      </c>
      <c r="G91" s="5" t="n">
        <f aca="false">IFERROR(INDEX(Sheet11_Zarade!$D$2:$D$151,MATCH(A91,Sheet11_Zarade!$A$2:$A$151,0)),0)</f>
        <v>14</v>
      </c>
      <c r="H91" s="5" t="n">
        <f aca="false">IFERROR(D91*G91,0)</f>
        <v>119</v>
      </c>
      <c r="I91" s="5" t="n">
        <f aca="false">H91*0.5%</f>
        <v>0.595</v>
      </c>
      <c r="J91" s="5" t="n">
        <f aca="false">H91+I91</f>
        <v>119.595</v>
      </c>
      <c r="K91" s="0" t="str">
        <f aca="false">IF(D91="","",IF(D91&gt;12,"FLAG",IF(D91&gt;8,"OVERTIME","OK")))</f>
        <v>OVERTIME</v>
      </c>
      <c r="L91" s="0" t="str">
        <f aca="false">IF(OR(A91="",E91="",C91=""),"",IF(COUNTIFS($A:$A,A91,$E:$E,E91,$C:$C,C91)&gt;1,"DUPLIKAT","OK"))</f>
        <v>OK</v>
      </c>
    </row>
    <row r="92" customFormat="false" ht="15" hidden="false" customHeight="false" outlineLevel="0" collapsed="false">
      <c r="A92" s="6" t="s">
        <v>253</v>
      </c>
      <c r="B92" s="0" t="str">
        <f aca="false">IFERROR(INDEX(Master_Lista!$B$2:$B$151,MATCH(A92,Master_Lista!$A$2:$A$151,0)),"")</f>
        <v>Dragan Kostic</v>
      </c>
      <c r="C92" s="6" t="s">
        <v>339</v>
      </c>
      <c r="D92" s="7" t="n">
        <v>10</v>
      </c>
      <c r="E92" s="8" t="n">
        <v>46162</v>
      </c>
      <c r="F92" s="0" t="str">
        <f aca="false">IFERROR(INDEX(Sheet11_Zarade!$C$2:$C$151,MATCH(A92,Sheet11_Zarade!$A$2:$A$151,0)),"")</f>
        <v>Bravar</v>
      </c>
      <c r="G92" s="5" t="n">
        <f aca="false">IFERROR(INDEX(Sheet11_Zarade!$D$2:$D$151,MATCH(A92,Sheet11_Zarade!$A$2:$A$151,0)),0)</f>
        <v>9</v>
      </c>
      <c r="H92" s="5" t="n">
        <f aca="false">IFERROR(D92*G92,0)</f>
        <v>90</v>
      </c>
      <c r="I92" s="5" t="n">
        <f aca="false">H92*0.5%</f>
        <v>0.45</v>
      </c>
      <c r="J92" s="5" t="n">
        <f aca="false">H92+I92</f>
        <v>90.45</v>
      </c>
      <c r="K92" s="0" t="str">
        <f aca="false">IF(D92="","",IF(D92&gt;12,"FLAG",IF(D92&gt;8,"OVERTIME","OK")))</f>
        <v>OVERTIME</v>
      </c>
      <c r="L92" s="0" t="str">
        <f aca="false">IF(OR(A92="",E92="",C92=""),"",IF(COUNTIFS($A:$A,A92,$E:$E,E92,$C:$C,C92)&gt;1,"DUPLIKAT","OK"))</f>
        <v>OK</v>
      </c>
    </row>
    <row r="93" customFormat="false" ht="15" hidden="false" customHeight="false" outlineLevel="0" collapsed="false">
      <c r="A93" s="6" t="s">
        <v>241</v>
      </c>
      <c r="B93" s="0" t="str">
        <f aca="false">IFERROR(INDEX(Master_Lista!$B$2:$B$151,MATCH(A93,Master_Lista!$A$2:$A$151,0)),"")</f>
        <v>Petar Ilic</v>
      </c>
      <c r="C93" s="6" t="s">
        <v>325</v>
      </c>
      <c r="D93" s="7" t="n">
        <v>10</v>
      </c>
      <c r="E93" s="8" t="n">
        <v>46060</v>
      </c>
      <c r="F93" s="0" t="str">
        <f aca="false">IFERROR(INDEX(Sheet11_Zarade!$C$2:$C$151,MATCH(A93,Sheet11_Zarade!$A$2:$A$151,0)),"")</f>
        <v>Administrator</v>
      </c>
      <c r="G93" s="5" t="n">
        <f aca="false">IFERROR(INDEX(Sheet11_Zarade!$D$2:$D$151,MATCH(A93,Sheet11_Zarade!$A$2:$A$151,0)),0)</f>
        <v>12.5</v>
      </c>
      <c r="H93" s="5" t="n">
        <f aca="false">IFERROR(D93*G93,0)</f>
        <v>125</v>
      </c>
      <c r="I93" s="5" t="n">
        <f aca="false">H93*0.5%</f>
        <v>0.625</v>
      </c>
      <c r="J93" s="5" t="n">
        <f aca="false">H93+I93</f>
        <v>125.625</v>
      </c>
      <c r="K93" s="0" t="str">
        <f aca="false">IF(D93="","",IF(D93&gt;12,"FLAG",IF(D93&gt;8,"OVERTIME","OK")))</f>
        <v>OVERTIME</v>
      </c>
      <c r="L93" s="0" t="str">
        <f aca="false">IF(OR(A93="",E93="",C93=""),"",IF(COUNTIFS($A:$A,A93,$E:$E,E93,$C:$C,C93)&gt;1,"DUPLIKAT","OK"))</f>
        <v>OK</v>
      </c>
    </row>
    <row r="94" customFormat="false" ht="15" hidden="false" customHeight="false" outlineLevel="0" collapsed="false">
      <c r="A94" s="6" t="s">
        <v>216</v>
      </c>
      <c r="B94" s="0" t="str">
        <f aca="false">IFERROR(INDEX(Master_Lista!$B$2:$B$151,MATCH(A94,Master_Lista!$A$2:$A$151,0)),"")</f>
        <v>Cedomir Obradovic</v>
      </c>
      <c r="C94" s="6" t="s">
        <v>325</v>
      </c>
      <c r="D94" s="7" t="n">
        <v>8</v>
      </c>
      <c r="E94" s="8" t="n">
        <v>46039</v>
      </c>
      <c r="F94" s="0" t="str">
        <f aca="false">IFERROR(INDEX(Sheet11_Zarade!$C$2:$C$151,MATCH(A94,Sheet11_Zarade!$A$2:$A$151,0)),"")</f>
        <v>Projekt menadžer</v>
      </c>
      <c r="G94" s="5" t="n">
        <f aca="false">IFERROR(INDEX(Sheet11_Zarade!$D$2:$D$151,MATCH(A94,Sheet11_Zarade!$A$2:$A$151,0)),0)</f>
        <v>28</v>
      </c>
      <c r="H94" s="5" t="n">
        <f aca="false">IFERROR(D94*G94,0)</f>
        <v>224</v>
      </c>
      <c r="I94" s="5" t="n">
        <f aca="false">H94*0.5%</f>
        <v>1.12</v>
      </c>
      <c r="J94" s="5" t="n">
        <f aca="false">H94+I94</f>
        <v>225.12</v>
      </c>
      <c r="K94" s="0" t="str">
        <f aca="false">IF(D94="","",IF(D94&gt;12,"FLAG",IF(D94&gt;8,"OVERTIME","OK")))</f>
        <v>OK</v>
      </c>
      <c r="L94" s="0" t="str">
        <f aca="false">IF(OR(A94="",E94="",C94=""),"",IF(COUNTIFS($A:$A,A94,$E:$E,E94,$C:$C,C94)&gt;1,"DUPLIKAT","OK"))</f>
        <v>OK</v>
      </c>
    </row>
    <row r="95" customFormat="false" ht="15" hidden="false" customHeight="false" outlineLevel="0" collapsed="false">
      <c r="A95" s="6" t="s">
        <v>128</v>
      </c>
      <c r="B95" s="0" t="str">
        <f aca="false">IFERROR(INDEX(Master_Lista!$B$2:$B$151,MATCH(A95,Master_Lista!$A$2:$A$151,0)),"")</f>
        <v>Filip Zivkovic</v>
      </c>
      <c r="C95" s="6" t="s">
        <v>331</v>
      </c>
      <c r="D95" s="7" t="n">
        <v>10</v>
      </c>
      <c r="E95" s="8" t="n">
        <v>46104</v>
      </c>
      <c r="F95" s="0" t="str">
        <f aca="false">IFERROR(INDEX(Sheet11_Zarade!$C$2:$C$151,MATCH(A95,Sheet11_Zarade!$A$2:$A$151,0)),"")</f>
        <v>Slikar</v>
      </c>
      <c r="G95" s="5" t="n">
        <f aca="false">IFERROR(INDEX(Sheet11_Zarade!$D$2:$D$151,MATCH(A95,Sheet11_Zarade!$A$2:$A$151,0)),0)</f>
        <v>8</v>
      </c>
      <c r="H95" s="5" t="n">
        <f aca="false">IFERROR(D95*G95,0)</f>
        <v>80</v>
      </c>
      <c r="I95" s="5" t="n">
        <f aca="false">H95*0.5%</f>
        <v>0.4</v>
      </c>
      <c r="J95" s="5" t="n">
        <f aca="false">H95+I95</f>
        <v>80.4</v>
      </c>
      <c r="K95" s="0" t="str">
        <f aca="false">IF(D95="","",IF(D95&gt;12,"FLAG",IF(D95&gt;8,"OVERTIME","OK")))</f>
        <v>OVERTIME</v>
      </c>
      <c r="L95" s="0" t="str">
        <f aca="false">IF(OR(A95="",E95="",C95=""),"",IF(COUNTIFS($A:$A,A95,$E:$E,E95,$C:$C,C95)&gt;1,"DUPLIKAT","OK"))</f>
        <v>OK</v>
      </c>
    </row>
    <row r="96" customFormat="false" ht="15" hidden="false" customHeight="false" outlineLevel="0" collapsed="false">
      <c r="A96" s="6" t="s">
        <v>153</v>
      </c>
      <c r="B96" s="0" t="str">
        <f aca="false">IFERROR(INDEX(Master_Lista!$B$2:$B$151,MATCH(A96,Master_Lista!$A$2:$A$151,0)),"")</f>
        <v>Dragan Djordjevic</v>
      </c>
      <c r="C96" s="6" t="s">
        <v>327</v>
      </c>
      <c r="D96" s="7" t="n">
        <v>6</v>
      </c>
      <c r="E96" s="8" t="n">
        <v>46107</v>
      </c>
      <c r="F96" s="0" t="str">
        <f aca="false">IFERROR(INDEX(Sheet11_Zarade!$C$2:$C$151,MATCH(A96,Sheet11_Zarade!$A$2:$A$151,0)),"")</f>
        <v>CNC operater</v>
      </c>
      <c r="G96" s="5" t="n">
        <f aca="false">IFERROR(INDEX(Sheet11_Zarade!$D$2:$D$151,MATCH(A96,Sheet11_Zarade!$A$2:$A$151,0)),0)</f>
        <v>12</v>
      </c>
      <c r="H96" s="5" t="n">
        <f aca="false">IFERROR(D96*G96,0)</f>
        <v>72</v>
      </c>
      <c r="I96" s="5" t="n">
        <f aca="false">H96*0.5%</f>
        <v>0.36</v>
      </c>
      <c r="J96" s="5" t="n">
        <f aca="false">H96+I96</f>
        <v>72.36</v>
      </c>
      <c r="K96" s="0" t="str">
        <f aca="false">IF(D96="","",IF(D96&gt;12,"FLAG",IF(D96&gt;8,"OVERTIME","OK")))</f>
        <v>OK</v>
      </c>
      <c r="L96" s="0" t="str">
        <f aca="false">IF(OR(A96="",E96="",C96=""),"",IF(COUNTIFS($A:$A,A96,$E:$E,E96,$C:$C,C96)&gt;1,"DUPLIKAT","OK"))</f>
        <v>OK</v>
      </c>
    </row>
    <row r="97" customFormat="false" ht="15" hidden="false" customHeight="false" outlineLevel="0" collapsed="false">
      <c r="A97" s="6" t="s">
        <v>61</v>
      </c>
      <c r="B97" s="0" t="str">
        <f aca="false">IFERROR(INDEX(Master_Lista!$B$2:$B$151,MATCH(A97,Master_Lista!$A$2:$A$151,0)),"")</f>
        <v>Stefan Nikolic</v>
      </c>
      <c r="C97" s="6" t="s">
        <v>328</v>
      </c>
      <c r="D97" s="7" t="n">
        <v>8.5</v>
      </c>
      <c r="E97" s="8" t="n">
        <v>46165</v>
      </c>
      <c r="F97" s="0" t="str">
        <f aca="false">IFERROR(INDEX(Sheet11_Zarade!$C$2:$C$151,MATCH(A97,Sheet11_Zarade!$A$2:$A$151,0)),"")</f>
        <v>Magacioner</v>
      </c>
      <c r="G97" s="5" t="n">
        <f aca="false">IFERROR(INDEX(Sheet11_Zarade!$D$2:$D$151,MATCH(A97,Sheet11_Zarade!$A$2:$A$151,0)),0)</f>
        <v>7.5</v>
      </c>
      <c r="H97" s="5" t="n">
        <f aca="false">IFERROR(D97*G97,0)</f>
        <v>63.75</v>
      </c>
      <c r="I97" s="5" t="n">
        <f aca="false">H97*0.5%</f>
        <v>0.31875</v>
      </c>
      <c r="J97" s="5" t="n">
        <f aca="false">H97+I97</f>
        <v>64.06875</v>
      </c>
      <c r="K97" s="0" t="str">
        <f aca="false">IF(D97="","",IF(D97&gt;12,"FLAG",IF(D97&gt;8,"OVERTIME","OK")))</f>
        <v>OVERTIME</v>
      </c>
      <c r="L97" s="0" t="str">
        <f aca="false">IF(OR(A97="",E97="",C97=""),"",IF(COUNTIFS($A:$A,A97,$E:$E,E97,$C:$C,C97)&gt;1,"DUPLIKAT","OK"))</f>
        <v>OK</v>
      </c>
    </row>
    <row r="98" customFormat="false" ht="15" hidden="false" customHeight="false" outlineLevel="0" collapsed="false">
      <c r="A98" s="6" t="s">
        <v>253</v>
      </c>
      <c r="B98" s="0" t="str">
        <f aca="false">IFERROR(INDEX(Master_Lista!$B$2:$B$151,MATCH(A98,Master_Lista!$A$2:$A$151,0)),"")</f>
        <v>Dragan Kostic</v>
      </c>
      <c r="C98" s="6" t="s">
        <v>331</v>
      </c>
      <c r="D98" s="7" t="n">
        <v>8</v>
      </c>
      <c r="E98" s="8" t="n">
        <v>46091</v>
      </c>
      <c r="F98" s="0" t="str">
        <f aca="false">IFERROR(INDEX(Sheet11_Zarade!$C$2:$C$151,MATCH(A98,Sheet11_Zarade!$A$2:$A$151,0)),"")</f>
        <v>Bravar</v>
      </c>
      <c r="G98" s="5" t="n">
        <f aca="false">IFERROR(INDEX(Sheet11_Zarade!$D$2:$D$151,MATCH(A98,Sheet11_Zarade!$A$2:$A$151,0)),0)</f>
        <v>9</v>
      </c>
      <c r="H98" s="5" t="n">
        <f aca="false">IFERROR(D98*G98,0)</f>
        <v>72</v>
      </c>
      <c r="I98" s="5" t="n">
        <f aca="false">H98*0.5%</f>
        <v>0.36</v>
      </c>
      <c r="J98" s="5" t="n">
        <f aca="false">H98+I98</f>
        <v>72.36</v>
      </c>
      <c r="K98" s="0" t="str">
        <f aca="false">IF(D98="","",IF(D98&gt;12,"FLAG",IF(D98&gt;8,"OVERTIME","OK")))</f>
        <v>OK</v>
      </c>
      <c r="L98" s="0" t="str">
        <f aca="false">IF(OR(A98="",E98="",C98=""),"",IF(COUNTIFS($A:$A,A98,$E:$E,E98,$C:$C,C98)&gt;1,"DUPLIKAT","OK"))</f>
        <v>OK</v>
      </c>
    </row>
    <row r="99" customFormat="false" ht="15" hidden="false" customHeight="false" outlineLevel="0" collapsed="false">
      <c r="A99" s="6" t="s">
        <v>71</v>
      </c>
      <c r="B99" s="0" t="str">
        <f aca="false">IFERROR(INDEX(Master_Lista!$B$2:$B$151,MATCH(A99,Master_Lista!$A$2:$A$151,0)),"")</f>
        <v>Olga Zivkovic</v>
      </c>
      <c r="C99" s="6" t="s">
        <v>327</v>
      </c>
      <c r="D99" s="7" t="n">
        <v>9</v>
      </c>
      <c r="E99" s="8" t="n">
        <v>46123</v>
      </c>
      <c r="F99" s="0" t="str">
        <f aca="false">IFERROR(INDEX(Sheet11_Zarade!$C$2:$C$151,MATCH(A99,Sheet11_Zarade!$A$2:$A$151,0)),"")</f>
        <v>Finansijski analitičar</v>
      </c>
      <c r="G99" s="5" t="n">
        <f aca="false">IFERROR(INDEX(Sheet11_Zarade!$D$2:$D$151,MATCH(A99,Sheet11_Zarade!$A$2:$A$151,0)),0)</f>
        <v>16</v>
      </c>
      <c r="H99" s="5" t="n">
        <f aca="false">IFERROR(D99*G99,0)</f>
        <v>144</v>
      </c>
      <c r="I99" s="5" t="n">
        <f aca="false">H99*0.5%</f>
        <v>0.72</v>
      </c>
      <c r="J99" s="5" t="n">
        <f aca="false">H99+I99</f>
        <v>144.72</v>
      </c>
      <c r="K99" s="0" t="str">
        <f aca="false">IF(D99="","",IF(D99&gt;12,"FLAG",IF(D99&gt;8,"OVERTIME","OK")))</f>
        <v>OVERTIME</v>
      </c>
      <c r="L99" s="0" t="str">
        <f aca="false">IF(OR(A99="",E99="",C99=""),"",IF(COUNTIFS($A:$A,A99,$E:$E,E99,$C:$C,C99)&gt;1,"DUPLIKAT","OK"))</f>
        <v>OK</v>
      </c>
    </row>
    <row r="100" customFormat="false" ht="15" hidden="false" customHeight="false" outlineLevel="0" collapsed="false">
      <c r="A100" s="6" t="s">
        <v>218</v>
      </c>
      <c r="B100" s="0" t="str">
        <f aca="false">IFERROR(INDEX(Master_Lista!$B$2:$B$151,MATCH(A100,Master_Lista!$A$2:$A$151,0)),"")</f>
        <v>Zoran Markovic</v>
      </c>
      <c r="C100" s="6" t="s">
        <v>327</v>
      </c>
      <c r="D100" s="7" t="n">
        <v>10</v>
      </c>
      <c r="E100" s="8" t="n">
        <v>46090</v>
      </c>
      <c r="F100" s="0" t="str">
        <f aca="false">IFERROR(INDEX(Sheet11_Zarade!$C$2:$C$151,MATCH(A100,Sheet11_Zarade!$A$2:$A$151,0)),"")</f>
        <v>Bravar</v>
      </c>
      <c r="G100" s="5" t="n">
        <f aca="false">IFERROR(INDEX(Sheet11_Zarade!$D$2:$D$151,MATCH(A100,Sheet11_Zarade!$A$2:$A$151,0)),0)</f>
        <v>9</v>
      </c>
      <c r="H100" s="5" t="n">
        <f aca="false">IFERROR(D100*G100,0)</f>
        <v>90</v>
      </c>
      <c r="I100" s="5" t="n">
        <f aca="false">H100*0.5%</f>
        <v>0.45</v>
      </c>
      <c r="J100" s="5" t="n">
        <f aca="false">H100+I100</f>
        <v>90.45</v>
      </c>
      <c r="K100" s="0" t="str">
        <f aca="false">IF(D100="","",IF(D100&gt;12,"FLAG",IF(D100&gt;8,"OVERTIME","OK")))</f>
        <v>OVERTIME</v>
      </c>
      <c r="L100" s="0" t="str">
        <f aca="false">IF(OR(A100="",E100="",C100=""),"",IF(COUNTIFS($A:$A,A100,$E:$E,E100,$C:$C,C100)&gt;1,"DUPLIKAT","OK"))</f>
        <v>OK</v>
      </c>
    </row>
    <row r="101" customFormat="false" ht="15" hidden="false" customHeight="false" outlineLevel="0" collapsed="false">
      <c r="A101" s="6" t="s">
        <v>39</v>
      </c>
      <c r="B101" s="0" t="str">
        <f aca="false">IFERROR(INDEX(Master_Lista!$B$2:$B$151,MATCH(A101,Master_Lista!$A$2:$A$151,0)),"")</f>
        <v>Luka Kostic</v>
      </c>
      <c r="C101" s="6" t="s">
        <v>326</v>
      </c>
      <c r="D101" s="7" t="n">
        <v>8</v>
      </c>
      <c r="E101" s="8" t="n">
        <v>46062</v>
      </c>
      <c r="F101" s="0" t="str">
        <f aca="false">IFERROR(INDEX(Sheet11_Zarade!$C$2:$C$151,MATCH(A101,Sheet11_Zarade!$A$2:$A$151,0)),"")</f>
        <v>Vodeći monter</v>
      </c>
      <c r="G101" s="5" t="n">
        <f aca="false">IFERROR(INDEX(Sheet11_Zarade!$D$2:$D$151,MATCH(A101,Sheet11_Zarade!$A$2:$A$151,0)),0)</f>
        <v>11</v>
      </c>
      <c r="H101" s="5" t="n">
        <f aca="false">IFERROR(D101*G101,0)</f>
        <v>88</v>
      </c>
      <c r="I101" s="5" t="n">
        <f aca="false">H101*0.5%</f>
        <v>0.44</v>
      </c>
      <c r="J101" s="5" t="n">
        <f aca="false">H101+I101</f>
        <v>88.44</v>
      </c>
      <c r="K101" s="0" t="str">
        <f aca="false">IF(D101="","",IF(D101&gt;12,"FLAG",IF(D101&gt;8,"OVERTIME","OK")))</f>
        <v>OK</v>
      </c>
      <c r="L101" s="0" t="str">
        <f aca="false">IF(OR(A101="",E101="",C101=""),"",IF(COUNTIFS($A:$A,A101,$E:$E,E101,$C:$C,C101)&gt;1,"DUPLIKAT","OK"))</f>
        <v>OK</v>
      </c>
    </row>
    <row r="102" customFormat="false" ht="15" hidden="false" customHeight="false" outlineLevel="0" collapsed="false">
      <c r="A102" s="6" t="s">
        <v>73</v>
      </c>
      <c r="B102" s="0" t="str">
        <f aca="false">IFERROR(INDEX(Master_Lista!$B$2:$B$151,MATCH(A102,Master_Lista!$A$2:$A$151,0)),"")</f>
        <v>Filip Tomic</v>
      </c>
      <c r="C102" s="6" t="s">
        <v>325</v>
      </c>
      <c r="D102" s="7" t="n">
        <v>8</v>
      </c>
      <c r="E102" s="8" t="n">
        <v>46133</v>
      </c>
      <c r="F102" s="0" t="str">
        <f aca="false">IFERROR(INDEX(Sheet11_Zarade!$C$2:$C$151,MATCH(A102,Sheet11_Zarade!$A$2:$A$151,0)),"")</f>
        <v>Elektromonter</v>
      </c>
      <c r="G102" s="5" t="n">
        <f aca="false">IFERROR(INDEX(Sheet11_Zarade!$D$2:$D$151,MATCH(A102,Sheet11_Zarade!$A$2:$A$151,0)),0)</f>
        <v>8.5</v>
      </c>
      <c r="H102" s="5" t="n">
        <f aca="false">IFERROR(D102*G102,0)</f>
        <v>68</v>
      </c>
      <c r="I102" s="5" t="n">
        <f aca="false">H102*0.5%</f>
        <v>0.34</v>
      </c>
      <c r="J102" s="5" t="n">
        <f aca="false">H102+I102</f>
        <v>68.34</v>
      </c>
      <c r="K102" s="0" t="str">
        <f aca="false">IF(D102="","",IF(D102&gt;12,"FLAG",IF(D102&gt;8,"OVERTIME","OK")))</f>
        <v>OK</v>
      </c>
      <c r="L102" s="0" t="str">
        <f aca="false">IF(OR(A102="",E102="",C102=""),"",IF(COUNTIFS($A:$A,A102,$E:$E,E102,$C:$C,C102)&gt;1,"DUPLIKAT","OK"))</f>
        <v>OK</v>
      </c>
    </row>
    <row r="103" customFormat="false" ht="15" hidden="false" customHeight="false" outlineLevel="0" collapsed="false">
      <c r="A103" s="6" t="s">
        <v>226</v>
      </c>
      <c r="B103" s="0" t="str">
        <f aca="false">IFERROR(INDEX(Master_Lista!$B$2:$B$151,MATCH(A103,Master_Lista!$A$2:$A$151,0)),"")</f>
        <v>Radoslav Zivkovic</v>
      </c>
      <c r="C103" s="6" t="s">
        <v>337</v>
      </c>
      <c r="D103" s="7" t="n">
        <v>8</v>
      </c>
      <c r="E103" s="8" t="n">
        <v>46141</v>
      </c>
      <c r="F103" s="0" t="str">
        <f aca="false">IFERROR(INDEX(Sheet11_Zarade!$C$2:$C$151,MATCH(A103,Sheet11_Zarade!$A$2:$A$151,0)),"")</f>
        <v>Mašinski inženjer</v>
      </c>
      <c r="G103" s="5" t="n">
        <f aca="false">IFERROR(INDEX(Sheet11_Zarade!$D$2:$D$151,MATCH(A103,Sheet11_Zarade!$A$2:$A$151,0)),0)</f>
        <v>20</v>
      </c>
      <c r="H103" s="5" t="n">
        <f aca="false">IFERROR(D103*G103,0)</f>
        <v>160</v>
      </c>
      <c r="I103" s="5" t="n">
        <f aca="false">H103*0.5%</f>
        <v>0.8</v>
      </c>
      <c r="J103" s="5" t="n">
        <f aca="false">H103+I103</f>
        <v>160.8</v>
      </c>
      <c r="K103" s="0" t="str">
        <f aca="false">IF(D103="","",IF(D103&gt;12,"FLAG",IF(D103&gt;8,"OVERTIME","OK")))</f>
        <v>OK</v>
      </c>
      <c r="L103" s="0" t="str">
        <f aca="false">IF(OR(A103="",E103="",C103=""),"",IF(COUNTIFS($A:$A,A103,$E:$E,E103,$C:$C,C103)&gt;1,"DUPLIKAT","OK"))</f>
        <v>OK</v>
      </c>
    </row>
    <row r="104" customFormat="false" ht="15" hidden="false" customHeight="false" outlineLevel="0" collapsed="false">
      <c r="A104" s="6" t="s">
        <v>255</v>
      </c>
      <c r="B104" s="0" t="str">
        <f aca="false">IFERROR(INDEX(Master_Lista!$B$2:$B$151,MATCH(A104,Master_Lista!$A$2:$A$151,0)),"")</f>
        <v>Petar Antic</v>
      </c>
      <c r="C104" s="6" t="s">
        <v>337</v>
      </c>
      <c r="D104" s="7" t="n">
        <v>10</v>
      </c>
      <c r="E104" s="8" t="n">
        <v>46123</v>
      </c>
      <c r="F104" s="0" t="str">
        <f aca="false">IFERROR(INDEX(Sheet11_Zarade!$C$2:$C$151,MATCH(A104,Sheet11_Zarade!$A$2:$A$151,0)),"")</f>
        <v>Zavarivač</v>
      </c>
      <c r="G104" s="5" t="n">
        <f aca="false">IFERROR(INDEX(Sheet11_Zarade!$D$2:$D$151,MATCH(A104,Sheet11_Zarade!$A$2:$A$151,0)),0)</f>
        <v>10</v>
      </c>
      <c r="H104" s="5" t="n">
        <f aca="false">IFERROR(D104*G104,0)</f>
        <v>100</v>
      </c>
      <c r="I104" s="5" t="n">
        <f aca="false">H104*0.5%</f>
        <v>0.5</v>
      </c>
      <c r="J104" s="5" t="n">
        <f aca="false">H104+I104</f>
        <v>100.5</v>
      </c>
      <c r="K104" s="0" t="str">
        <f aca="false">IF(D104="","",IF(D104&gt;12,"FLAG",IF(D104&gt;8,"OVERTIME","OK")))</f>
        <v>OVERTIME</v>
      </c>
      <c r="L104" s="0" t="str">
        <f aca="false">IF(OR(A104="",E104="",C104=""),"",IF(COUNTIFS($A:$A,A104,$E:$E,E104,$C:$C,C104)&gt;1,"DUPLIKAT","OK"))</f>
        <v>OK</v>
      </c>
    </row>
    <row r="105" customFormat="false" ht="15" hidden="false" customHeight="false" outlineLevel="0" collapsed="false">
      <c r="A105" s="6" t="s">
        <v>241</v>
      </c>
      <c r="B105" s="0" t="str">
        <f aca="false">IFERROR(INDEX(Master_Lista!$B$2:$B$151,MATCH(A105,Master_Lista!$A$2:$A$151,0)),"")</f>
        <v>Petar Ilic</v>
      </c>
      <c r="C105" s="6" t="s">
        <v>338</v>
      </c>
      <c r="D105" s="7" t="n">
        <v>8.5</v>
      </c>
      <c r="E105" s="8" t="n">
        <v>46147</v>
      </c>
      <c r="F105" s="0" t="str">
        <f aca="false">IFERROR(INDEX(Sheet11_Zarade!$C$2:$C$151,MATCH(A105,Sheet11_Zarade!$A$2:$A$151,0)),"")</f>
        <v>Administrator</v>
      </c>
      <c r="G105" s="5" t="n">
        <f aca="false">IFERROR(INDEX(Sheet11_Zarade!$D$2:$D$151,MATCH(A105,Sheet11_Zarade!$A$2:$A$151,0)),0)</f>
        <v>12.5</v>
      </c>
      <c r="H105" s="5" t="n">
        <f aca="false">IFERROR(D105*G105,0)</f>
        <v>106.25</v>
      </c>
      <c r="I105" s="5" t="n">
        <f aca="false">H105*0.5%</f>
        <v>0.53125</v>
      </c>
      <c r="J105" s="5" t="n">
        <f aca="false">H105+I105</f>
        <v>106.78125</v>
      </c>
      <c r="K105" s="0" t="str">
        <f aca="false">IF(D105="","",IF(D105&gt;12,"FLAG",IF(D105&gt;8,"OVERTIME","OK")))</f>
        <v>OVERTIME</v>
      </c>
      <c r="L105" s="0" t="str">
        <f aca="false">IF(OR(A105="",E105="",C105=""),"",IF(COUNTIFS($A:$A,A105,$E:$E,E105,$C:$C,C105)&gt;1,"DUPLIKAT","OK"))</f>
        <v>OK</v>
      </c>
    </row>
    <row r="106" customFormat="false" ht="15" hidden="false" customHeight="false" outlineLevel="0" collapsed="false">
      <c r="A106" s="6" t="s">
        <v>169</v>
      </c>
      <c r="B106" s="0" t="str">
        <f aca="false">IFERROR(INDEX(Master_Lista!$B$2:$B$151,MATCH(A106,Master_Lista!$A$2:$A$151,0)),"")</f>
        <v>Ognjen Cvetkovic</v>
      </c>
      <c r="C106" s="6" t="s">
        <v>336</v>
      </c>
      <c r="D106" s="7" t="n">
        <v>12</v>
      </c>
      <c r="E106" s="8" t="n">
        <v>46119</v>
      </c>
      <c r="F106" s="0" t="str">
        <f aca="false">IFERROR(INDEX(Sheet11_Zarade!$C$2:$C$151,MATCH(A106,Sheet11_Zarade!$A$2:$A$151,0)),"")</f>
        <v>Menadžer kvaliteta</v>
      </c>
      <c r="G106" s="5" t="n">
        <f aca="false">IFERROR(INDEX(Sheet11_Zarade!$D$2:$D$151,MATCH(A106,Sheet11_Zarade!$A$2:$A$151,0)),0)</f>
        <v>25</v>
      </c>
      <c r="H106" s="5" t="n">
        <f aca="false">IFERROR(D106*G106,0)</f>
        <v>300</v>
      </c>
      <c r="I106" s="5" t="n">
        <f aca="false">H106*0.5%</f>
        <v>1.5</v>
      </c>
      <c r="J106" s="5" t="n">
        <f aca="false">H106+I106</f>
        <v>301.5</v>
      </c>
      <c r="K106" s="0" t="str">
        <f aca="false">IF(D106="","",IF(D106&gt;12,"FLAG",IF(D106&gt;8,"OVERTIME","OK")))</f>
        <v>OVERTIME</v>
      </c>
      <c r="L106" s="0" t="str">
        <f aca="false">IF(OR(A106="",E106="",C106=""),"",IF(COUNTIFS($A:$A,A106,$E:$E,E106,$C:$C,C106)&gt;1,"DUPLIKAT","OK"))</f>
        <v>OK</v>
      </c>
    </row>
    <row r="107" customFormat="false" ht="15" hidden="false" customHeight="false" outlineLevel="0" collapsed="false">
      <c r="A107" s="6" t="s">
        <v>96</v>
      </c>
      <c r="B107" s="0" t="str">
        <f aca="false">IFERROR(INDEX(Master_Lista!$B$2:$B$151,MATCH(A107,Master_Lista!$A$2:$A$151,0)),"")</f>
        <v>Cedomir Vasic</v>
      </c>
      <c r="C107" s="6" t="s">
        <v>328</v>
      </c>
      <c r="D107" s="7" t="n">
        <v>8</v>
      </c>
      <c r="E107" s="8" t="n">
        <v>46147</v>
      </c>
      <c r="F107" s="0" t="str">
        <f aca="false">IFERROR(INDEX(Sheet11_Zarade!$C$2:$C$151,MATCH(A107,Sheet11_Zarade!$A$2:$A$151,0)),"")</f>
        <v>Magacioner</v>
      </c>
      <c r="G107" s="5" t="n">
        <f aca="false">IFERROR(INDEX(Sheet11_Zarade!$D$2:$D$151,MATCH(A107,Sheet11_Zarade!$A$2:$A$151,0)),0)</f>
        <v>7.5</v>
      </c>
      <c r="H107" s="5" t="n">
        <f aca="false">IFERROR(D107*G107,0)</f>
        <v>60</v>
      </c>
      <c r="I107" s="5" t="n">
        <f aca="false">H107*0.5%</f>
        <v>0.3</v>
      </c>
      <c r="J107" s="5" t="n">
        <f aca="false">H107+I107</f>
        <v>60.3</v>
      </c>
      <c r="K107" s="0" t="str">
        <f aca="false">IF(D107="","",IF(D107&gt;12,"FLAG",IF(D107&gt;8,"OVERTIME","OK")))</f>
        <v>OK</v>
      </c>
      <c r="L107" s="0" t="str">
        <f aca="false">IF(OR(A107="",E107="",C107=""),"",IF(COUNTIFS($A:$A,A107,$E:$E,E107,$C:$C,C107)&gt;1,"DUPLIKAT","OK"))</f>
        <v>OK</v>
      </c>
    </row>
    <row r="108" customFormat="false" ht="15" hidden="false" customHeight="false" outlineLevel="0" collapsed="false">
      <c r="A108" s="6" t="s">
        <v>153</v>
      </c>
      <c r="B108" s="0" t="str">
        <f aca="false">IFERROR(INDEX(Master_Lista!$B$2:$B$151,MATCH(A108,Master_Lista!$A$2:$A$151,0)),"")</f>
        <v>Dragan Djordjevic</v>
      </c>
      <c r="C108" s="6" t="s">
        <v>337</v>
      </c>
      <c r="D108" s="7" t="n">
        <v>8.5</v>
      </c>
      <c r="E108" s="8" t="n">
        <v>46048</v>
      </c>
      <c r="F108" s="0" t="str">
        <f aca="false">IFERROR(INDEX(Sheet11_Zarade!$C$2:$C$151,MATCH(A108,Sheet11_Zarade!$A$2:$A$151,0)),"")</f>
        <v>CNC operater</v>
      </c>
      <c r="G108" s="5" t="n">
        <f aca="false">IFERROR(INDEX(Sheet11_Zarade!$D$2:$D$151,MATCH(A108,Sheet11_Zarade!$A$2:$A$151,0)),0)</f>
        <v>12</v>
      </c>
      <c r="H108" s="5" t="n">
        <f aca="false">IFERROR(D108*G108,0)</f>
        <v>102</v>
      </c>
      <c r="I108" s="5" t="n">
        <f aca="false">H108*0.5%</f>
        <v>0.51</v>
      </c>
      <c r="J108" s="5" t="n">
        <f aca="false">H108+I108</f>
        <v>102.51</v>
      </c>
      <c r="K108" s="0" t="str">
        <f aca="false">IF(D108="","",IF(D108&gt;12,"FLAG",IF(D108&gt;8,"OVERTIME","OK")))</f>
        <v>OVERTIME</v>
      </c>
      <c r="L108" s="0" t="str">
        <f aca="false">IF(OR(A108="",E108="",C108=""),"",IF(COUNTIFS($A:$A,A108,$E:$E,E108,$C:$C,C108)&gt;1,"DUPLIKAT","OK"))</f>
        <v>OK</v>
      </c>
    </row>
    <row r="109" customFormat="false" ht="15" hidden="false" customHeight="false" outlineLevel="0" collapsed="false">
      <c r="A109" s="6" t="s">
        <v>229</v>
      </c>
      <c r="B109" s="0" t="str">
        <f aca="false">IFERROR(INDEX(Master_Lista!$B$2:$B$151,MATCH(A109,Master_Lista!$A$2:$A$151,0)),"")</f>
        <v>Ivana Ilic</v>
      </c>
      <c r="C109" s="6" t="s">
        <v>331</v>
      </c>
      <c r="D109" s="7" t="n">
        <v>12</v>
      </c>
      <c r="E109" s="8" t="n">
        <v>46112</v>
      </c>
      <c r="F109" s="0" t="str">
        <f aca="false">IFERROR(INDEX(Sheet11_Zarade!$C$2:$C$151,MATCH(A109,Sheet11_Zarade!$A$2:$A$151,0)),"")</f>
        <v>Operater prese</v>
      </c>
      <c r="G109" s="5" t="n">
        <f aca="false">IFERROR(INDEX(Sheet11_Zarade!$D$2:$D$151,MATCH(A109,Sheet11_Zarade!$A$2:$A$151,0)),0)</f>
        <v>9.5</v>
      </c>
      <c r="H109" s="5" t="n">
        <f aca="false">IFERROR(D109*G109,0)</f>
        <v>114</v>
      </c>
      <c r="I109" s="5" t="n">
        <f aca="false">H109*0.5%</f>
        <v>0.57</v>
      </c>
      <c r="J109" s="5" t="n">
        <f aca="false">H109+I109</f>
        <v>114.57</v>
      </c>
      <c r="K109" s="0" t="str">
        <f aca="false">IF(D109="","",IF(D109&gt;12,"FLAG",IF(D109&gt;8,"OVERTIME","OK")))</f>
        <v>OVERTIME</v>
      </c>
      <c r="L109" s="0" t="str">
        <f aca="false">IF(OR(A109="",E109="",C109=""),"",IF(COUNTIFS($A:$A,A109,$E:$E,E109,$C:$C,C109)&gt;1,"DUPLIKAT","OK"))</f>
        <v>OK</v>
      </c>
    </row>
    <row r="110" customFormat="false" ht="15" hidden="false" customHeight="false" outlineLevel="0" collapsed="false">
      <c r="A110" s="6" t="s">
        <v>69</v>
      </c>
      <c r="B110" s="0" t="str">
        <f aca="false">IFERROR(INDEX(Master_Lista!$B$2:$B$151,MATCH(A110,Master_Lista!$A$2:$A$151,0)),"")</f>
        <v>Olga Markovic</v>
      </c>
      <c r="C110" s="6" t="s">
        <v>330</v>
      </c>
      <c r="D110" s="7" t="n">
        <v>7.5</v>
      </c>
      <c r="E110" s="8" t="n">
        <v>46098</v>
      </c>
      <c r="F110" s="0" t="str">
        <f aca="false">IFERROR(INDEX(Sheet11_Zarade!$C$2:$C$151,MATCH(A110,Sheet11_Zarade!$A$2:$A$151,0)),"")</f>
        <v>Administrator</v>
      </c>
      <c r="G110" s="5" t="n">
        <f aca="false">IFERROR(INDEX(Sheet11_Zarade!$D$2:$D$151,MATCH(A110,Sheet11_Zarade!$A$2:$A$151,0)),0)</f>
        <v>12.5</v>
      </c>
      <c r="H110" s="5" t="n">
        <f aca="false">IFERROR(D110*G110,0)</f>
        <v>93.75</v>
      </c>
      <c r="I110" s="5" t="n">
        <f aca="false">H110*0.5%</f>
        <v>0.46875</v>
      </c>
      <c r="J110" s="5" t="n">
        <f aca="false">H110+I110</f>
        <v>94.21875</v>
      </c>
      <c r="K110" s="0" t="str">
        <f aca="false">IF(D110="","",IF(D110&gt;12,"FLAG",IF(D110&gt;8,"OVERTIME","OK")))</f>
        <v>OK</v>
      </c>
      <c r="L110" s="0" t="str">
        <f aca="false">IF(OR(A110="",E110="",C110=""),"",IF(COUNTIFS($A:$A,A110,$E:$E,E110,$C:$C,C110)&gt;1,"DUPLIKAT","OK"))</f>
        <v>OK</v>
      </c>
    </row>
    <row r="111" customFormat="false" ht="15" hidden="false" customHeight="false" outlineLevel="0" collapsed="false">
      <c r="A111" s="6" t="s">
        <v>86</v>
      </c>
      <c r="B111" s="0" t="str">
        <f aca="false">IFERROR(INDEX(Master_Lista!$B$2:$B$151,MATCH(A111,Master_Lista!$A$2:$A$151,0)),"")</f>
        <v>Radmila Ilic</v>
      </c>
      <c r="C111" s="6" t="s">
        <v>339</v>
      </c>
      <c r="D111" s="7" t="n">
        <v>7.5</v>
      </c>
      <c r="E111" s="8" t="n">
        <v>46028</v>
      </c>
      <c r="F111" s="0" t="str">
        <f aca="false">IFERROR(INDEX(Sheet11_Zarade!$C$2:$C$151,MATCH(A111,Sheet11_Zarade!$A$2:$A$151,0)),"")</f>
        <v>Kontrola kvaliteta</v>
      </c>
      <c r="G111" s="5" t="n">
        <f aca="false">IFERROR(INDEX(Sheet11_Zarade!$D$2:$D$151,MATCH(A111,Sheet11_Zarade!$A$2:$A$151,0)),0)</f>
        <v>14</v>
      </c>
      <c r="H111" s="5" t="n">
        <f aca="false">IFERROR(D111*G111,0)</f>
        <v>105</v>
      </c>
      <c r="I111" s="5" t="n">
        <f aca="false">H111*0.5%</f>
        <v>0.525</v>
      </c>
      <c r="J111" s="5" t="n">
        <f aca="false">H111+I111</f>
        <v>105.525</v>
      </c>
      <c r="K111" s="0" t="str">
        <f aca="false">IF(D111="","",IF(D111&gt;12,"FLAG",IF(D111&gt;8,"OVERTIME","OK")))</f>
        <v>OK</v>
      </c>
      <c r="L111" s="0" t="str">
        <f aca="false">IF(OR(A111="",E111="",C111=""),"",IF(COUNTIFS($A:$A,A111,$E:$E,E111,$C:$C,C111)&gt;1,"DUPLIKAT","OK"))</f>
        <v>OK</v>
      </c>
    </row>
    <row r="112" customFormat="false" ht="15" hidden="false" customHeight="false" outlineLevel="0" collapsed="false">
      <c r="A112" s="6" t="s">
        <v>27</v>
      </c>
      <c r="B112" s="0" t="str">
        <f aca="false">IFERROR(INDEX(Master_Lista!$B$2:$B$151,MATCH(A112,Master_Lista!$A$2:$A$151,0)),"")</f>
        <v>Nikola Jankovic</v>
      </c>
      <c r="C112" s="6" t="s">
        <v>334</v>
      </c>
      <c r="D112" s="7" t="n">
        <v>10</v>
      </c>
      <c r="E112" s="8" t="n">
        <v>46169</v>
      </c>
      <c r="F112" s="0" t="str">
        <f aca="false">IFERROR(INDEX(Sheet11_Zarade!$C$2:$C$151,MATCH(A112,Sheet11_Zarade!$A$2:$A$151,0)),"")</f>
        <v>Tehničar održavanja</v>
      </c>
      <c r="G112" s="5" t="n">
        <f aca="false">IFERROR(INDEX(Sheet11_Zarade!$D$2:$D$151,MATCH(A112,Sheet11_Zarade!$A$2:$A$151,0)),0)</f>
        <v>10.5</v>
      </c>
      <c r="H112" s="5" t="n">
        <f aca="false">IFERROR(D112*G112,0)</f>
        <v>105</v>
      </c>
      <c r="I112" s="5" t="n">
        <f aca="false">H112*0.5%</f>
        <v>0.525</v>
      </c>
      <c r="J112" s="5" t="n">
        <f aca="false">H112+I112</f>
        <v>105.525</v>
      </c>
      <c r="K112" s="0" t="str">
        <f aca="false">IF(D112="","",IF(D112&gt;12,"FLAG",IF(D112&gt;8,"OVERTIME","OK")))</f>
        <v>OVERTIME</v>
      </c>
      <c r="L112" s="0" t="str">
        <f aca="false">IF(OR(A112="",E112="",C112=""),"",IF(COUNTIFS($A:$A,A112,$E:$E,E112,$C:$C,C112)&gt;1,"DUPLIKAT","OK"))</f>
        <v>OK</v>
      </c>
    </row>
    <row r="113" customFormat="false" ht="15" hidden="false" customHeight="false" outlineLevel="0" collapsed="false">
      <c r="A113" s="6" t="s">
        <v>92</v>
      </c>
      <c r="B113" s="0" t="str">
        <f aca="false">IFERROR(INDEX(Master_Lista!$B$2:$B$151,MATCH(A113,Master_Lista!$A$2:$A$151,0)),"")</f>
        <v>Aleksandar Zivkovic</v>
      </c>
      <c r="C113" s="6" t="s">
        <v>329</v>
      </c>
      <c r="D113" s="7" t="n">
        <v>7.5</v>
      </c>
      <c r="E113" s="8" t="n">
        <v>46118</v>
      </c>
      <c r="F113" s="0" t="str">
        <f aca="false">IFERROR(INDEX(Sheet11_Zarade!$C$2:$C$151,MATCH(A113,Sheet11_Zarade!$A$2:$A$151,0)),"")</f>
        <v>Operater prese</v>
      </c>
      <c r="G113" s="5" t="n">
        <f aca="false">IFERROR(INDEX(Sheet11_Zarade!$D$2:$D$151,MATCH(A113,Sheet11_Zarade!$A$2:$A$151,0)),0)</f>
        <v>9.5</v>
      </c>
      <c r="H113" s="5" t="n">
        <f aca="false">IFERROR(D113*G113,0)</f>
        <v>71.25</v>
      </c>
      <c r="I113" s="5" t="n">
        <f aca="false">H113*0.5%</f>
        <v>0.35625</v>
      </c>
      <c r="J113" s="5" t="n">
        <f aca="false">H113+I113</f>
        <v>71.60625</v>
      </c>
      <c r="K113" s="0" t="str">
        <f aca="false">IF(D113="","",IF(D113&gt;12,"FLAG",IF(D113&gt;8,"OVERTIME","OK")))</f>
        <v>OK</v>
      </c>
      <c r="L113" s="0" t="str">
        <f aca="false">IF(OR(A113="",E113="",C113=""),"",IF(COUNTIFS($A:$A,A113,$E:$E,E113,$C:$C,C113)&gt;1,"DUPLIKAT","OK"))</f>
        <v>OK</v>
      </c>
    </row>
    <row r="114" customFormat="false" ht="15" hidden="false" customHeight="false" outlineLevel="0" collapsed="false">
      <c r="A114" s="6" t="s">
        <v>205</v>
      </c>
      <c r="B114" s="0" t="str">
        <f aca="false">IFERROR(INDEX(Master_Lista!$B$2:$B$151,MATCH(A114,Master_Lista!$A$2:$A$151,0)),"")</f>
        <v>Ivana Jankovic</v>
      </c>
      <c r="C114" s="6" t="s">
        <v>332</v>
      </c>
      <c r="D114" s="7" t="n">
        <v>9</v>
      </c>
      <c r="E114" s="8" t="n">
        <v>46156</v>
      </c>
      <c r="F114" s="0" t="str">
        <f aca="false">IFERROR(INDEX(Sheet11_Zarade!$C$2:$C$151,MATCH(A114,Sheet11_Zarade!$A$2:$A$151,0)),"")</f>
        <v>Logističar</v>
      </c>
      <c r="G114" s="5" t="n">
        <f aca="false">IFERROR(INDEX(Sheet11_Zarade!$D$2:$D$151,MATCH(A114,Sheet11_Zarade!$A$2:$A$151,0)),0)</f>
        <v>15</v>
      </c>
      <c r="H114" s="5" t="n">
        <f aca="false">IFERROR(D114*G114,0)</f>
        <v>135</v>
      </c>
      <c r="I114" s="5" t="n">
        <f aca="false">H114*0.5%</f>
        <v>0.675</v>
      </c>
      <c r="J114" s="5" t="n">
        <f aca="false">H114+I114</f>
        <v>135.675</v>
      </c>
      <c r="K114" s="0" t="str">
        <f aca="false">IF(D114="","",IF(D114&gt;12,"FLAG",IF(D114&gt;8,"OVERTIME","OK")))</f>
        <v>OVERTIME</v>
      </c>
      <c r="L114" s="0" t="str">
        <f aca="false">IF(OR(A114="",E114="",C114=""),"",IF(COUNTIFS($A:$A,A114,$E:$E,E114,$C:$C,C114)&gt;1,"DUPLIKAT","OK"))</f>
        <v>OK</v>
      </c>
    </row>
    <row r="115" customFormat="false" ht="15" hidden="false" customHeight="false" outlineLevel="0" collapsed="false">
      <c r="A115" s="6" t="s">
        <v>27</v>
      </c>
      <c r="B115" s="0" t="str">
        <f aca="false">IFERROR(INDEX(Master_Lista!$B$2:$B$151,MATCH(A115,Master_Lista!$A$2:$A$151,0)),"")</f>
        <v>Nikola Jankovic</v>
      </c>
      <c r="C115" s="6" t="s">
        <v>335</v>
      </c>
      <c r="D115" s="7" t="n">
        <v>11</v>
      </c>
      <c r="E115" s="8" t="n">
        <v>46049</v>
      </c>
      <c r="F115" s="0" t="str">
        <f aca="false">IFERROR(INDEX(Sheet11_Zarade!$C$2:$C$151,MATCH(A115,Sheet11_Zarade!$A$2:$A$151,0)),"")</f>
        <v>Tehničar održavanja</v>
      </c>
      <c r="G115" s="5" t="n">
        <f aca="false">IFERROR(INDEX(Sheet11_Zarade!$D$2:$D$151,MATCH(A115,Sheet11_Zarade!$A$2:$A$151,0)),0)</f>
        <v>10.5</v>
      </c>
      <c r="H115" s="5" t="n">
        <f aca="false">IFERROR(D115*G115,0)</f>
        <v>115.5</v>
      </c>
      <c r="I115" s="5" t="n">
        <f aca="false">H115*0.5%</f>
        <v>0.5775</v>
      </c>
      <c r="J115" s="5" t="n">
        <f aca="false">H115+I115</f>
        <v>116.0775</v>
      </c>
      <c r="K115" s="0" t="str">
        <f aca="false">IF(D115="","",IF(D115&gt;12,"FLAG",IF(D115&gt;8,"OVERTIME","OK")))</f>
        <v>OVERTIME</v>
      </c>
      <c r="L115" s="0" t="str">
        <f aca="false">IF(OR(A115="",E115="",C115=""),"",IF(COUNTIFS($A:$A,A115,$E:$E,E115,$C:$C,C115)&gt;1,"DUPLIKAT","OK"))</f>
        <v>OK</v>
      </c>
    </row>
    <row r="116" customFormat="false" ht="15" hidden="false" customHeight="false" outlineLevel="0" collapsed="false">
      <c r="A116" s="6" t="s">
        <v>33</v>
      </c>
      <c r="B116" s="0" t="str">
        <f aca="false">IFERROR(INDEX(Master_Lista!$B$2:$B$151,MATCH(A116,Master_Lista!$A$2:$A$151,0)),"")</f>
        <v>Cedomir Markovic</v>
      </c>
      <c r="C116" s="6" t="s">
        <v>339</v>
      </c>
      <c r="D116" s="7" t="n">
        <v>11</v>
      </c>
      <c r="E116" s="8" t="n">
        <v>46065</v>
      </c>
      <c r="F116" s="0" t="str">
        <f aca="false">IFERROR(INDEX(Sheet11_Zarade!$C$2:$C$151,MATCH(A116,Sheet11_Zarade!$A$2:$A$151,0)),"")</f>
        <v>Administrator</v>
      </c>
      <c r="G116" s="5" t="n">
        <f aca="false">IFERROR(INDEX(Sheet11_Zarade!$D$2:$D$151,MATCH(A116,Sheet11_Zarade!$A$2:$A$151,0)),0)</f>
        <v>12.5</v>
      </c>
      <c r="H116" s="5" t="n">
        <f aca="false">IFERROR(D116*G116,0)</f>
        <v>137.5</v>
      </c>
      <c r="I116" s="5" t="n">
        <f aca="false">H116*0.5%</f>
        <v>0.6875</v>
      </c>
      <c r="J116" s="5" t="n">
        <f aca="false">H116+I116</f>
        <v>138.1875</v>
      </c>
      <c r="K116" s="0" t="str">
        <f aca="false">IF(D116="","",IF(D116&gt;12,"FLAG",IF(D116&gt;8,"OVERTIME","OK")))</f>
        <v>OVERTIME</v>
      </c>
      <c r="L116" s="0" t="str">
        <f aca="false">IF(OR(A116="",E116="",C116=""),"",IF(COUNTIFS($A:$A,A116,$E:$E,E116,$C:$C,C116)&gt;1,"DUPLIKAT","OK"))</f>
        <v>OK</v>
      </c>
    </row>
    <row r="117" customFormat="false" ht="15" hidden="false" customHeight="false" outlineLevel="0" collapsed="false">
      <c r="A117" s="6" t="s">
        <v>255</v>
      </c>
      <c r="B117" s="0" t="str">
        <f aca="false">IFERROR(INDEX(Master_Lista!$B$2:$B$151,MATCH(A117,Master_Lista!$A$2:$A$151,0)),"")</f>
        <v>Petar Antic</v>
      </c>
      <c r="C117" s="6" t="s">
        <v>335</v>
      </c>
      <c r="D117" s="7" t="n">
        <v>8</v>
      </c>
      <c r="E117" s="8" t="n">
        <v>46033</v>
      </c>
      <c r="F117" s="0" t="str">
        <f aca="false">IFERROR(INDEX(Sheet11_Zarade!$C$2:$C$151,MATCH(A117,Sheet11_Zarade!$A$2:$A$151,0)),"")</f>
        <v>Zavarivač</v>
      </c>
      <c r="G117" s="5" t="n">
        <f aca="false">IFERROR(INDEX(Sheet11_Zarade!$D$2:$D$151,MATCH(A117,Sheet11_Zarade!$A$2:$A$151,0)),0)</f>
        <v>10</v>
      </c>
      <c r="H117" s="5" t="n">
        <f aca="false">IFERROR(D117*G117,0)</f>
        <v>80</v>
      </c>
      <c r="I117" s="5" t="n">
        <f aca="false">H117*0.5%</f>
        <v>0.4</v>
      </c>
      <c r="J117" s="5" t="n">
        <f aca="false">H117+I117</f>
        <v>80.4</v>
      </c>
      <c r="K117" s="0" t="str">
        <f aca="false">IF(D117="","",IF(D117&gt;12,"FLAG",IF(D117&gt;8,"OVERTIME","OK")))</f>
        <v>OK</v>
      </c>
      <c r="L117" s="0" t="str">
        <f aca="false">IF(OR(A117="",E117="",C117=""),"",IF(COUNTIFS($A:$A,A117,$E:$E,E117,$C:$C,C117)&gt;1,"DUPLIKAT","OK"))</f>
        <v>OK</v>
      </c>
    </row>
    <row r="118" customFormat="false" ht="15" hidden="false" customHeight="false" outlineLevel="0" collapsed="false">
      <c r="A118" s="6" t="s">
        <v>173</v>
      </c>
      <c r="B118" s="0" t="str">
        <f aca="false">IFERROR(INDEX(Master_Lista!$B$2:$B$151,MATCH(A118,Master_Lista!$A$2:$A$151,0)),"")</f>
        <v>Ivan Nikolic</v>
      </c>
      <c r="C118" s="6" t="s">
        <v>339</v>
      </c>
      <c r="D118" s="7" t="n">
        <v>8</v>
      </c>
      <c r="E118" s="8" t="n">
        <v>46125</v>
      </c>
      <c r="F118" s="0" t="str">
        <f aca="false">IFERROR(INDEX(Sheet11_Zarade!$C$2:$C$151,MATCH(A118,Sheet11_Zarade!$A$2:$A$151,0)),"")</f>
        <v>Administrator</v>
      </c>
      <c r="G118" s="5" t="n">
        <f aca="false">IFERROR(INDEX(Sheet11_Zarade!$D$2:$D$151,MATCH(A118,Sheet11_Zarade!$A$2:$A$151,0)),0)</f>
        <v>12.5</v>
      </c>
      <c r="H118" s="5" t="n">
        <f aca="false">IFERROR(D118*G118,0)</f>
        <v>100</v>
      </c>
      <c r="I118" s="5" t="n">
        <f aca="false">H118*0.5%</f>
        <v>0.5</v>
      </c>
      <c r="J118" s="5" t="n">
        <f aca="false">H118+I118</f>
        <v>100.5</v>
      </c>
      <c r="K118" s="0" t="str">
        <f aca="false">IF(D118="","",IF(D118&gt;12,"FLAG",IF(D118&gt;8,"OVERTIME","OK")))</f>
        <v>OK</v>
      </c>
      <c r="L118" s="0" t="str">
        <f aca="false">IF(OR(A118="",E118="",C118=""),"",IF(COUNTIFS($A:$A,A118,$E:$E,E118,$C:$C,C118)&gt;1,"DUPLIKAT","OK"))</f>
        <v>OK</v>
      </c>
    </row>
    <row r="119" customFormat="false" ht="15" hidden="false" customHeight="false" outlineLevel="0" collapsed="false">
      <c r="A119" s="6" t="s">
        <v>143</v>
      </c>
      <c r="B119" s="0" t="str">
        <f aca="false">IFERROR(INDEX(Master_Lista!$B$2:$B$151,MATCH(A119,Master_Lista!$A$2:$A$151,0)),"")</f>
        <v>Sanja Tomic</v>
      </c>
      <c r="C119" s="6" t="s">
        <v>334</v>
      </c>
      <c r="D119" s="7" t="n">
        <v>7.5</v>
      </c>
      <c r="E119" s="8" t="n">
        <v>46107</v>
      </c>
      <c r="F119" s="0" t="str">
        <f aca="false">IFERROR(INDEX(Sheet11_Zarade!$C$2:$C$151,MATCH(A119,Sheet11_Zarade!$A$2:$A$151,0)),"")</f>
        <v>Vodeći monter</v>
      </c>
      <c r="G119" s="5" t="n">
        <f aca="false">IFERROR(INDEX(Sheet11_Zarade!$D$2:$D$151,MATCH(A119,Sheet11_Zarade!$A$2:$A$151,0)),0)</f>
        <v>11</v>
      </c>
      <c r="H119" s="5" t="n">
        <f aca="false">IFERROR(D119*G119,0)</f>
        <v>82.5</v>
      </c>
      <c r="I119" s="5" t="n">
        <f aca="false">H119*0.5%</f>
        <v>0.4125</v>
      </c>
      <c r="J119" s="5" t="n">
        <f aca="false">H119+I119</f>
        <v>82.9125</v>
      </c>
      <c r="K119" s="0" t="str">
        <f aca="false">IF(D119="","",IF(D119&gt;12,"FLAG",IF(D119&gt;8,"OVERTIME","OK")))</f>
        <v>OK</v>
      </c>
      <c r="L119" s="0" t="str">
        <f aca="false">IF(OR(A119="",E119="",C119=""),"",IF(COUNTIFS($A:$A,A119,$E:$E,E119,$C:$C,C119)&gt;1,"DUPLIKAT","OK"))</f>
        <v>OK</v>
      </c>
    </row>
    <row r="120" customFormat="false" ht="15" hidden="false" customHeight="false" outlineLevel="0" collapsed="false">
      <c r="A120" s="6" t="s">
        <v>122</v>
      </c>
      <c r="B120" s="0" t="str">
        <f aca="false">IFERROR(INDEX(Master_Lista!$B$2:$B$151,MATCH(A120,Master_Lista!$A$2:$A$151,0)),"")</f>
        <v>Dragan Cvetkovic</v>
      </c>
      <c r="C120" s="6" t="s">
        <v>329</v>
      </c>
      <c r="D120" s="7" t="n">
        <v>12</v>
      </c>
      <c r="E120" s="8" t="n">
        <v>46115</v>
      </c>
      <c r="F120" s="0" t="str">
        <f aca="false">IFERROR(INDEX(Sheet11_Zarade!$C$2:$C$151,MATCH(A120,Sheet11_Zarade!$A$2:$A$151,0)),"")</f>
        <v>Mašinski inženjer</v>
      </c>
      <c r="G120" s="5" t="n">
        <f aca="false">IFERROR(INDEX(Sheet11_Zarade!$D$2:$D$151,MATCH(A120,Sheet11_Zarade!$A$2:$A$151,0)),0)</f>
        <v>20</v>
      </c>
      <c r="H120" s="5" t="n">
        <f aca="false">IFERROR(D120*G120,0)</f>
        <v>240</v>
      </c>
      <c r="I120" s="5" t="n">
        <f aca="false">H120*0.5%</f>
        <v>1.2</v>
      </c>
      <c r="J120" s="5" t="n">
        <f aca="false">H120+I120</f>
        <v>241.2</v>
      </c>
      <c r="K120" s="0" t="str">
        <f aca="false">IF(D120="","",IF(D120&gt;12,"FLAG",IF(D120&gt;8,"OVERTIME","OK")))</f>
        <v>OVERTIME</v>
      </c>
      <c r="L120" s="0" t="str">
        <f aca="false">IF(OR(A120="",E120="",C120=""),"",IF(COUNTIFS($A:$A,A120,$E:$E,E120,$C:$C,C120)&gt;1,"DUPLIKAT","OK"))</f>
        <v>OK</v>
      </c>
    </row>
    <row r="121" customFormat="false" ht="15" hidden="false" customHeight="false" outlineLevel="0" collapsed="false">
      <c r="A121" s="6" t="s">
        <v>258</v>
      </c>
      <c r="B121" s="0" t="str">
        <f aca="false">IFERROR(INDEX(Master_Lista!$B$2:$B$151,MATCH(A121,Master_Lista!$A$2:$A$151,0)),"")</f>
        <v>Radoslav Antic</v>
      </c>
      <c r="C121" s="6" t="s">
        <v>332</v>
      </c>
      <c r="D121" s="7" t="n">
        <v>11</v>
      </c>
      <c r="E121" s="8" t="n">
        <v>46066</v>
      </c>
      <c r="F121" s="0" t="str">
        <f aca="false">IFERROR(INDEX(Sheet11_Zarade!$C$2:$C$151,MATCH(A121,Sheet11_Zarade!$A$2:$A$151,0)),"")</f>
        <v>Kontrola kvaliteta</v>
      </c>
      <c r="G121" s="5" t="n">
        <f aca="false">IFERROR(INDEX(Sheet11_Zarade!$D$2:$D$151,MATCH(A121,Sheet11_Zarade!$A$2:$A$151,0)),0)</f>
        <v>14</v>
      </c>
      <c r="H121" s="5" t="n">
        <f aca="false">IFERROR(D121*G121,0)</f>
        <v>154</v>
      </c>
      <c r="I121" s="5" t="n">
        <f aca="false">H121*0.5%</f>
        <v>0.77</v>
      </c>
      <c r="J121" s="5" t="n">
        <f aca="false">H121+I121</f>
        <v>154.77</v>
      </c>
      <c r="K121" s="0" t="str">
        <f aca="false">IF(D121="","",IF(D121&gt;12,"FLAG",IF(D121&gt;8,"OVERTIME","OK")))</f>
        <v>OVERTIME</v>
      </c>
      <c r="L121" s="0" t="str">
        <f aca="false">IF(OR(A121="",E121="",C121=""),"",IF(COUNTIFS($A:$A,A121,$E:$E,E121,$C:$C,C121)&gt;1,"DUPLIKAT","OK"))</f>
        <v>OK</v>
      </c>
    </row>
    <row r="122" customFormat="false" ht="15" hidden="false" customHeight="false" outlineLevel="0" collapsed="false">
      <c r="A122" s="6" t="s">
        <v>132</v>
      </c>
      <c r="B122" s="0" t="str">
        <f aca="false">IFERROR(INDEX(Master_Lista!$B$2:$B$151,MATCH(A122,Master_Lista!$A$2:$A$151,0)),"")</f>
        <v>Branko Kostic</v>
      </c>
      <c r="C122" s="6" t="s">
        <v>328</v>
      </c>
      <c r="D122" s="7" t="n">
        <v>6</v>
      </c>
      <c r="E122" s="8" t="n">
        <v>46167</v>
      </c>
      <c r="F122" s="0" t="str">
        <f aca="false">IFERROR(INDEX(Sheet11_Zarade!$C$2:$C$151,MATCH(A122,Sheet11_Zarade!$A$2:$A$151,0)),"")</f>
        <v>Tehničar održavanja</v>
      </c>
      <c r="G122" s="5" t="n">
        <f aca="false">IFERROR(INDEX(Sheet11_Zarade!$D$2:$D$151,MATCH(A122,Sheet11_Zarade!$A$2:$A$151,0)),0)</f>
        <v>10.5</v>
      </c>
      <c r="H122" s="5" t="n">
        <f aca="false">IFERROR(D122*G122,0)</f>
        <v>63</v>
      </c>
      <c r="I122" s="5" t="n">
        <f aca="false">H122*0.5%</f>
        <v>0.315</v>
      </c>
      <c r="J122" s="5" t="n">
        <f aca="false">H122+I122</f>
        <v>63.315</v>
      </c>
      <c r="K122" s="0" t="str">
        <f aca="false">IF(D122="","",IF(D122&gt;12,"FLAG",IF(D122&gt;8,"OVERTIME","OK")))</f>
        <v>OK</v>
      </c>
      <c r="L122" s="0" t="str">
        <f aca="false">IF(OR(A122="",E122="",C122=""),"",IF(COUNTIFS($A:$A,A122,$E:$E,E122,$C:$C,C122)&gt;1,"DUPLIKAT","OK"))</f>
        <v>OK</v>
      </c>
    </row>
    <row r="123" customFormat="false" ht="15" hidden="false" customHeight="false" outlineLevel="0" collapsed="false">
      <c r="A123" s="6" t="s">
        <v>120</v>
      </c>
      <c r="B123" s="0" t="str">
        <f aca="false">IFERROR(INDEX(Master_Lista!$B$2:$B$151,MATCH(A123,Master_Lista!$A$2:$A$151,0)),"")</f>
        <v>Ana Pavlovic</v>
      </c>
      <c r="C123" s="6" t="s">
        <v>338</v>
      </c>
      <c r="D123" s="7" t="n">
        <v>8.5</v>
      </c>
      <c r="E123" s="8" t="n">
        <v>46169</v>
      </c>
      <c r="F123" s="0" t="str">
        <f aca="false">IFERROR(INDEX(Sheet11_Zarade!$C$2:$C$151,MATCH(A123,Sheet11_Zarade!$A$2:$A$151,0)),"")</f>
        <v>Kontrola kvaliteta</v>
      </c>
      <c r="G123" s="5" t="n">
        <f aca="false">IFERROR(INDEX(Sheet11_Zarade!$D$2:$D$151,MATCH(A123,Sheet11_Zarade!$A$2:$A$151,0)),0)</f>
        <v>14</v>
      </c>
      <c r="H123" s="5" t="n">
        <f aca="false">IFERROR(D123*G123,0)</f>
        <v>119</v>
      </c>
      <c r="I123" s="5" t="n">
        <f aca="false">H123*0.5%</f>
        <v>0.595</v>
      </c>
      <c r="J123" s="5" t="n">
        <f aca="false">H123+I123</f>
        <v>119.595</v>
      </c>
      <c r="K123" s="0" t="str">
        <f aca="false">IF(D123="","",IF(D123&gt;12,"FLAG",IF(D123&gt;8,"OVERTIME","OK")))</f>
        <v>OVERTIME</v>
      </c>
      <c r="L123" s="0" t="str">
        <f aca="false">IF(OR(A123="",E123="",C123=""),"",IF(COUNTIFS($A:$A,A123,$E:$E,E123,$C:$C,C123)&gt;1,"DUPLIKAT","OK"))</f>
        <v>OK</v>
      </c>
    </row>
    <row r="124" customFormat="false" ht="15" hidden="false" customHeight="false" outlineLevel="0" collapsed="false">
      <c r="A124" s="6" t="s">
        <v>10</v>
      </c>
      <c r="B124" s="0" t="str">
        <f aca="false">IFERROR(INDEX(Master_Lista!$B$2:$B$151,MATCH(A124,Master_Lista!$A$2:$A$151,0)),"")</f>
        <v>Jelena Nikolic</v>
      </c>
      <c r="C124" s="6" t="s">
        <v>337</v>
      </c>
      <c r="D124" s="7" t="n">
        <v>7.5</v>
      </c>
      <c r="E124" s="8" t="n">
        <v>46095</v>
      </c>
      <c r="F124" s="0" t="str">
        <f aca="false">IFERROR(INDEX(Sheet11_Zarade!$C$2:$C$151,MATCH(A124,Sheet11_Zarade!$A$2:$A$151,0)),"")</f>
        <v>Bravar</v>
      </c>
      <c r="G124" s="5" t="n">
        <f aca="false">IFERROR(INDEX(Sheet11_Zarade!$D$2:$D$151,MATCH(A124,Sheet11_Zarade!$A$2:$A$151,0)),0)</f>
        <v>9</v>
      </c>
      <c r="H124" s="5" t="n">
        <f aca="false">IFERROR(D124*G124,0)</f>
        <v>67.5</v>
      </c>
      <c r="I124" s="5" t="n">
        <f aca="false">H124*0.5%</f>
        <v>0.3375</v>
      </c>
      <c r="J124" s="5" t="n">
        <f aca="false">H124+I124</f>
        <v>67.8375</v>
      </c>
      <c r="K124" s="0" t="str">
        <f aca="false">IF(D124="","",IF(D124&gt;12,"FLAG",IF(D124&gt;8,"OVERTIME","OK")))</f>
        <v>OK</v>
      </c>
      <c r="L124" s="0" t="str">
        <f aca="false">IF(OR(A124="",E124="",C124=""),"",IF(COUNTIFS($A:$A,A124,$E:$E,E124,$C:$C,C124)&gt;1,"DUPLIKAT","OK"))</f>
        <v>OK</v>
      </c>
    </row>
    <row r="125" customFormat="false" ht="15" hidden="false" customHeight="false" outlineLevel="0" collapsed="false">
      <c r="A125" s="6" t="s">
        <v>96</v>
      </c>
      <c r="B125" s="0" t="str">
        <f aca="false">IFERROR(INDEX(Master_Lista!$B$2:$B$151,MATCH(A125,Master_Lista!$A$2:$A$151,0)),"")</f>
        <v>Cedomir Vasic</v>
      </c>
      <c r="C125" s="6" t="s">
        <v>325</v>
      </c>
      <c r="D125" s="7" t="n">
        <v>8.5</v>
      </c>
      <c r="E125" s="8" t="n">
        <v>46112</v>
      </c>
      <c r="F125" s="0" t="str">
        <f aca="false">IFERROR(INDEX(Sheet11_Zarade!$C$2:$C$151,MATCH(A125,Sheet11_Zarade!$A$2:$A$151,0)),"")</f>
        <v>Magacioner</v>
      </c>
      <c r="G125" s="5" t="n">
        <f aca="false">IFERROR(INDEX(Sheet11_Zarade!$D$2:$D$151,MATCH(A125,Sheet11_Zarade!$A$2:$A$151,0)),0)</f>
        <v>7.5</v>
      </c>
      <c r="H125" s="5" t="n">
        <f aca="false">IFERROR(D125*G125,0)</f>
        <v>63.75</v>
      </c>
      <c r="I125" s="5" t="n">
        <f aca="false">H125*0.5%</f>
        <v>0.31875</v>
      </c>
      <c r="J125" s="5" t="n">
        <f aca="false">H125+I125</f>
        <v>64.06875</v>
      </c>
      <c r="K125" s="0" t="str">
        <f aca="false">IF(D125="","",IF(D125&gt;12,"FLAG",IF(D125&gt;8,"OVERTIME","OK")))</f>
        <v>OVERTIME</v>
      </c>
      <c r="L125" s="0" t="str">
        <f aca="false">IF(OR(A125="",E125="",C125=""),"",IF(COUNTIFS($A:$A,A125,$E:$E,E125,$C:$C,C125)&gt;1,"DUPLIKAT","OK"))</f>
        <v>OK</v>
      </c>
    </row>
    <row r="126" customFormat="false" ht="15" hidden="false" customHeight="false" outlineLevel="0" collapsed="false">
      <c r="A126" s="6" t="s">
        <v>226</v>
      </c>
      <c r="B126" s="0" t="str">
        <f aca="false">IFERROR(INDEX(Master_Lista!$B$2:$B$151,MATCH(A126,Master_Lista!$A$2:$A$151,0)),"")</f>
        <v>Radoslav Zivkovic</v>
      </c>
      <c r="C126" s="6" t="s">
        <v>337</v>
      </c>
      <c r="D126" s="7" t="n">
        <v>9</v>
      </c>
      <c r="E126" s="8" t="n">
        <v>46143</v>
      </c>
      <c r="F126" s="0" t="str">
        <f aca="false">IFERROR(INDEX(Sheet11_Zarade!$C$2:$C$151,MATCH(A126,Sheet11_Zarade!$A$2:$A$151,0)),"")</f>
        <v>Mašinski inženjer</v>
      </c>
      <c r="G126" s="5" t="n">
        <f aca="false">IFERROR(INDEX(Sheet11_Zarade!$D$2:$D$151,MATCH(A126,Sheet11_Zarade!$A$2:$A$151,0)),0)</f>
        <v>20</v>
      </c>
      <c r="H126" s="5" t="n">
        <f aca="false">IFERROR(D126*G126,0)</f>
        <v>180</v>
      </c>
      <c r="I126" s="5" t="n">
        <f aca="false">H126*0.5%</f>
        <v>0.9</v>
      </c>
      <c r="J126" s="5" t="n">
        <f aca="false">H126+I126</f>
        <v>180.9</v>
      </c>
      <c r="K126" s="0" t="str">
        <f aca="false">IF(D126="","",IF(D126&gt;12,"FLAG",IF(D126&gt;8,"OVERTIME","OK")))</f>
        <v>OVERTIME</v>
      </c>
      <c r="L126" s="0" t="str">
        <f aca="false">IF(OR(A126="",E126="",C126=""),"",IF(COUNTIFS($A:$A,A126,$E:$E,E126,$C:$C,C126)&gt;1,"DUPLIKAT","OK"))</f>
        <v>OK</v>
      </c>
    </row>
    <row r="127" customFormat="false" ht="15" hidden="false" customHeight="false" outlineLevel="0" collapsed="false">
      <c r="A127" s="6" t="s">
        <v>182</v>
      </c>
      <c r="B127" s="0" t="str">
        <f aca="false">IFERROR(INDEX(Master_Lista!$B$2:$B$151,MATCH(A127,Master_Lista!$A$2:$A$151,0)),"")</f>
        <v>Nikola Pavlovic</v>
      </c>
      <c r="C127" s="6" t="s">
        <v>329</v>
      </c>
      <c r="D127" s="7" t="n">
        <v>9</v>
      </c>
      <c r="E127" s="8" t="n">
        <v>46115</v>
      </c>
      <c r="F127" s="0" t="str">
        <f aca="false">IFERROR(INDEX(Sheet11_Zarade!$C$2:$C$151,MATCH(A127,Sheet11_Zarade!$A$2:$A$151,0)),"")</f>
        <v>Projekt menadžer</v>
      </c>
      <c r="G127" s="5" t="n">
        <f aca="false">IFERROR(INDEX(Sheet11_Zarade!$D$2:$D$151,MATCH(A127,Sheet11_Zarade!$A$2:$A$151,0)),0)</f>
        <v>28</v>
      </c>
      <c r="H127" s="5" t="n">
        <f aca="false">IFERROR(D127*G127,0)</f>
        <v>252</v>
      </c>
      <c r="I127" s="5" t="n">
        <f aca="false">H127*0.5%</f>
        <v>1.26</v>
      </c>
      <c r="J127" s="5" t="n">
        <f aca="false">H127+I127</f>
        <v>253.26</v>
      </c>
      <c r="K127" s="0" t="str">
        <f aca="false">IF(D127="","",IF(D127&gt;12,"FLAG",IF(D127&gt;8,"OVERTIME","OK")))</f>
        <v>OVERTIME</v>
      </c>
      <c r="L127" s="0" t="str">
        <f aca="false">IF(OR(A127="",E127="",C127=""),"",IF(COUNTIFS($A:$A,A127,$E:$E,E127,$C:$C,C127)&gt;1,"DUPLIKAT","OK"))</f>
        <v>OK</v>
      </c>
    </row>
    <row r="128" customFormat="false" ht="15" hidden="false" customHeight="false" outlineLevel="0" collapsed="false">
      <c r="A128" s="6" t="s">
        <v>134</v>
      </c>
      <c r="B128" s="0" t="str">
        <f aca="false">IFERROR(INDEX(Master_Lista!$B$2:$B$151,MATCH(A128,Master_Lista!$A$2:$A$151,0)),"")</f>
        <v>Jovan Lazic</v>
      </c>
      <c r="C128" s="6" t="s">
        <v>338</v>
      </c>
      <c r="D128" s="7" t="n">
        <v>12</v>
      </c>
      <c r="E128" s="8" t="n">
        <v>46111</v>
      </c>
      <c r="F128" s="0" t="str">
        <f aca="false">IFERROR(INDEX(Sheet11_Zarade!$C$2:$C$151,MATCH(A128,Sheet11_Zarade!$A$2:$A$151,0)),"")</f>
        <v>Menadžer kvaliteta</v>
      </c>
      <c r="G128" s="5" t="n">
        <f aca="false">IFERROR(INDEX(Sheet11_Zarade!$D$2:$D$151,MATCH(A128,Sheet11_Zarade!$A$2:$A$151,0)),0)</f>
        <v>25</v>
      </c>
      <c r="H128" s="5" t="n">
        <f aca="false">IFERROR(D128*G128,0)</f>
        <v>300</v>
      </c>
      <c r="I128" s="5" t="n">
        <f aca="false">H128*0.5%</f>
        <v>1.5</v>
      </c>
      <c r="J128" s="5" t="n">
        <f aca="false">H128+I128</f>
        <v>301.5</v>
      </c>
      <c r="K128" s="0" t="str">
        <f aca="false">IF(D128="","",IF(D128&gt;12,"FLAG",IF(D128&gt;8,"OVERTIME","OK")))</f>
        <v>OVERTIME</v>
      </c>
      <c r="L128" s="0" t="str">
        <f aca="false">IF(OR(A128="",E128="",C128=""),"",IF(COUNTIFS($A:$A,A128,$E:$E,E128,$C:$C,C128)&gt;1,"DUPLIKAT","OK"))</f>
        <v>OK</v>
      </c>
    </row>
    <row r="129" customFormat="false" ht="15" hidden="false" customHeight="false" outlineLevel="0" collapsed="false">
      <c r="A129" s="6" t="s">
        <v>188</v>
      </c>
      <c r="B129" s="0" t="str">
        <f aca="false">IFERROR(INDEX(Master_Lista!$B$2:$B$151,MATCH(A129,Master_Lista!$A$2:$A$151,0)),"")</f>
        <v>Goran Pavlovic</v>
      </c>
      <c r="C129" s="6" t="s">
        <v>329</v>
      </c>
      <c r="D129" s="7" t="n">
        <v>11</v>
      </c>
      <c r="E129" s="8" t="n">
        <v>46130</v>
      </c>
      <c r="F129" s="0" t="str">
        <f aca="false">IFERROR(INDEX(Sheet11_Zarade!$C$2:$C$151,MATCH(A129,Sheet11_Zarade!$A$2:$A$151,0)),"")</f>
        <v>CNC operater</v>
      </c>
      <c r="G129" s="5" t="n">
        <f aca="false">IFERROR(INDEX(Sheet11_Zarade!$D$2:$D$151,MATCH(A129,Sheet11_Zarade!$A$2:$A$151,0)),0)</f>
        <v>12</v>
      </c>
      <c r="H129" s="5" t="n">
        <f aca="false">IFERROR(D129*G129,0)</f>
        <v>132</v>
      </c>
      <c r="I129" s="5" t="n">
        <f aca="false">H129*0.5%</f>
        <v>0.66</v>
      </c>
      <c r="J129" s="5" t="n">
        <f aca="false">H129+I129</f>
        <v>132.66</v>
      </c>
      <c r="K129" s="0" t="str">
        <f aca="false">IF(D129="","",IF(D129&gt;12,"FLAG",IF(D129&gt;8,"OVERTIME","OK")))</f>
        <v>OVERTIME</v>
      </c>
      <c r="L129" s="0" t="str">
        <f aca="false">IF(OR(A129="",E129="",C129=""),"",IF(COUNTIFS($A:$A,A129,$E:$E,E129,$C:$C,C129)&gt;1,"DUPLIKAT","OK"))</f>
        <v>OK</v>
      </c>
    </row>
    <row r="130" customFormat="false" ht="15" hidden="false" customHeight="false" outlineLevel="0" collapsed="false">
      <c r="A130" s="6" t="s">
        <v>280</v>
      </c>
      <c r="B130" s="0" t="str">
        <f aca="false">IFERROR(INDEX(Master_Lista!$B$2:$B$151,MATCH(A130,Master_Lista!$A$2:$A$151,0)),"")</f>
        <v>Jovan Urosevic</v>
      </c>
      <c r="C130" s="6" t="s">
        <v>327</v>
      </c>
      <c r="D130" s="7" t="n">
        <v>6</v>
      </c>
      <c r="E130" s="8" t="n">
        <v>46028</v>
      </c>
      <c r="F130" s="0" t="str">
        <f aca="false">IFERROR(INDEX(Sheet11_Zarade!$C$2:$C$151,MATCH(A130,Sheet11_Zarade!$A$2:$A$151,0)),"")</f>
        <v>Vodeći monter</v>
      </c>
      <c r="G130" s="5" t="n">
        <f aca="false">IFERROR(INDEX(Sheet11_Zarade!$D$2:$D$151,MATCH(A130,Sheet11_Zarade!$A$2:$A$151,0)),0)</f>
        <v>11</v>
      </c>
      <c r="H130" s="5" t="n">
        <f aca="false">IFERROR(D130*G130,0)</f>
        <v>66</v>
      </c>
      <c r="I130" s="5" t="n">
        <f aca="false">H130*0.5%</f>
        <v>0.33</v>
      </c>
      <c r="J130" s="5" t="n">
        <f aca="false">H130+I130</f>
        <v>66.33</v>
      </c>
      <c r="K130" s="0" t="str">
        <f aca="false">IF(D130="","",IF(D130&gt;12,"FLAG",IF(D130&gt;8,"OVERTIME","OK")))</f>
        <v>OK</v>
      </c>
      <c r="L130" s="0" t="str">
        <f aca="false">IF(OR(A130="",E130="",C130=""),"",IF(COUNTIFS($A:$A,A130,$E:$E,E130,$C:$C,C130)&gt;1,"DUPLIKAT","OK"))</f>
        <v>OK</v>
      </c>
    </row>
    <row r="131" customFormat="false" ht="15" hidden="false" customHeight="false" outlineLevel="0" collapsed="false">
      <c r="A131" s="6" t="s">
        <v>229</v>
      </c>
      <c r="B131" s="0" t="str">
        <f aca="false">IFERROR(INDEX(Master_Lista!$B$2:$B$151,MATCH(A131,Master_Lista!$A$2:$A$151,0)),"")</f>
        <v>Ivana Ilic</v>
      </c>
      <c r="C131" s="6" t="s">
        <v>327</v>
      </c>
      <c r="D131" s="7" t="n">
        <v>10</v>
      </c>
      <c r="E131" s="8" t="n">
        <v>46159</v>
      </c>
      <c r="F131" s="0" t="str">
        <f aca="false">IFERROR(INDEX(Sheet11_Zarade!$C$2:$C$151,MATCH(A131,Sheet11_Zarade!$A$2:$A$151,0)),"")</f>
        <v>Operater prese</v>
      </c>
      <c r="G131" s="5" t="n">
        <f aca="false">IFERROR(INDEX(Sheet11_Zarade!$D$2:$D$151,MATCH(A131,Sheet11_Zarade!$A$2:$A$151,0)),0)</f>
        <v>9.5</v>
      </c>
      <c r="H131" s="5" t="n">
        <f aca="false">IFERROR(D131*G131,0)</f>
        <v>95</v>
      </c>
      <c r="I131" s="5" t="n">
        <f aca="false">H131*0.5%</f>
        <v>0.475</v>
      </c>
      <c r="J131" s="5" t="n">
        <f aca="false">H131+I131</f>
        <v>95.475</v>
      </c>
      <c r="K131" s="0" t="str">
        <f aca="false">IF(D131="","",IF(D131&gt;12,"FLAG",IF(D131&gt;8,"OVERTIME","OK")))</f>
        <v>OVERTIME</v>
      </c>
      <c r="L131" s="0" t="str">
        <f aca="false">IF(OR(A131="",E131="",C131=""),"",IF(COUNTIFS($A:$A,A131,$E:$E,E131,$C:$C,C131)&gt;1,"DUPLIKAT","OK"))</f>
        <v>OK</v>
      </c>
    </row>
    <row r="132" customFormat="false" ht="15" hidden="false" customHeight="false" outlineLevel="0" collapsed="false">
      <c r="A132" s="6" t="s">
        <v>233</v>
      </c>
      <c r="B132" s="0" t="str">
        <f aca="false">IFERROR(INDEX(Master_Lista!$B$2:$B$151,MATCH(A132,Master_Lista!$A$2:$A$151,0)),"")</f>
        <v>Vesna Kostic</v>
      </c>
      <c r="C132" s="6" t="s">
        <v>332</v>
      </c>
      <c r="D132" s="7" t="n">
        <v>7.5</v>
      </c>
      <c r="E132" s="8" t="n">
        <v>46154</v>
      </c>
      <c r="F132" s="0" t="str">
        <f aca="false">IFERROR(INDEX(Sheet11_Zarade!$C$2:$C$151,MATCH(A132,Sheet11_Zarade!$A$2:$A$151,0)),"")</f>
        <v>Magacioner</v>
      </c>
      <c r="G132" s="5" t="n">
        <f aca="false">IFERROR(INDEX(Sheet11_Zarade!$D$2:$D$151,MATCH(A132,Sheet11_Zarade!$A$2:$A$151,0)),0)</f>
        <v>7.5</v>
      </c>
      <c r="H132" s="5" t="n">
        <f aca="false">IFERROR(D132*G132,0)</f>
        <v>56.25</v>
      </c>
      <c r="I132" s="5" t="n">
        <f aca="false">H132*0.5%</f>
        <v>0.28125</v>
      </c>
      <c r="J132" s="5" t="n">
        <f aca="false">H132+I132</f>
        <v>56.53125</v>
      </c>
      <c r="K132" s="0" t="str">
        <f aca="false">IF(D132="","",IF(D132&gt;12,"FLAG",IF(D132&gt;8,"OVERTIME","OK")))</f>
        <v>OK</v>
      </c>
      <c r="L132" s="0" t="str">
        <f aca="false">IF(OR(A132="",E132="",C132=""),"",IF(COUNTIFS($A:$A,A132,$E:$E,E132,$C:$C,C132)&gt;1,"DUPLIKAT","OK"))</f>
        <v>OK</v>
      </c>
    </row>
    <row r="133" customFormat="false" ht="15" hidden="false" customHeight="false" outlineLevel="0" collapsed="false">
      <c r="A133" s="6" t="s">
        <v>229</v>
      </c>
      <c r="B133" s="0" t="str">
        <f aca="false">IFERROR(INDEX(Master_Lista!$B$2:$B$151,MATCH(A133,Master_Lista!$A$2:$A$151,0)),"")</f>
        <v>Ivana Ilic</v>
      </c>
      <c r="C133" s="6" t="s">
        <v>325</v>
      </c>
      <c r="D133" s="7" t="n">
        <v>6</v>
      </c>
      <c r="E133" s="8" t="n">
        <v>46024</v>
      </c>
      <c r="F133" s="0" t="str">
        <f aca="false">IFERROR(INDEX(Sheet11_Zarade!$C$2:$C$151,MATCH(A133,Sheet11_Zarade!$A$2:$A$151,0)),"")</f>
        <v>Operater prese</v>
      </c>
      <c r="G133" s="5" t="n">
        <f aca="false">IFERROR(INDEX(Sheet11_Zarade!$D$2:$D$151,MATCH(A133,Sheet11_Zarade!$A$2:$A$151,0)),0)</f>
        <v>9.5</v>
      </c>
      <c r="H133" s="5" t="n">
        <f aca="false">IFERROR(D133*G133,0)</f>
        <v>57</v>
      </c>
      <c r="I133" s="5" t="n">
        <f aca="false">H133*0.5%</f>
        <v>0.285</v>
      </c>
      <c r="J133" s="5" t="n">
        <f aca="false">H133+I133</f>
        <v>57.285</v>
      </c>
      <c r="K133" s="0" t="str">
        <f aca="false">IF(D133="","",IF(D133&gt;12,"FLAG",IF(D133&gt;8,"OVERTIME","OK")))</f>
        <v>OK</v>
      </c>
      <c r="L133" s="0" t="str">
        <f aca="false">IF(OR(A133="",E133="",C133=""),"",IF(COUNTIFS($A:$A,A133,$E:$E,E133,$C:$C,C133)&gt;1,"DUPLIKAT","OK"))</f>
        <v>OK</v>
      </c>
    </row>
    <row r="134" customFormat="false" ht="15" hidden="false" customHeight="false" outlineLevel="0" collapsed="false">
      <c r="A134" s="6" t="s">
        <v>120</v>
      </c>
      <c r="B134" s="0" t="str">
        <f aca="false">IFERROR(INDEX(Master_Lista!$B$2:$B$151,MATCH(A134,Master_Lista!$A$2:$A$151,0)),"")</f>
        <v>Ana Pavlovic</v>
      </c>
      <c r="C134" s="6" t="s">
        <v>327</v>
      </c>
      <c r="D134" s="7" t="n">
        <v>6</v>
      </c>
      <c r="E134" s="8" t="n">
        <v>46124</v>
      </c>
      <c r="F134" s="0" t="str">
        <f aca="false">IFERROR(INDEX(Sheet11_Zarade!$C$2:$C$151,MATCH(A134,Sheet11_Zarade!$A$2:$A$151,0)),"")</f>
        <v>Kontrola kvaliteta</v>
      </c>
      <c r="G134" s="5" t="n">
        <f aca="false">IFERROR(INDEX(Sheet11_Zarade!$D$2:$D$151,MATCH(A134,Sheet11_Zarade!$A$2:$A$151,0)),0)</f>
        <v>14</v>
      </c>
      <c r="H134" s="5" t="n">
        <f aca="false">IFERROR(D134*G134,0)</f>
        <v>84</v>
      </c>
      <c r="I134" s="5" t="n">
        <f aca="false">H134*0.5%</f>
        <v>0.42</v>
      </c>
      <c r="J134" s="5" t="n">
        <f aca="false">H134+I134</f>
        <v>84.42</v>
      </c>
      <c r="K134" s="0" t="str">
        <f aca="false">IF(D134="","",IF(D134&gt;12,"FLAG",IF(D134&gt;8,"OVERTIME","OK")))</f>
        <v>OK</v>
      </c>
      <c r="L134" s="0" t="str">
        <f aca="false">IF(OR(A134="",E134="",C134=""),"",IF(COUNTIFS($A:$A,A134,$E:$E,E134,$C:$C,C134)&gt;1,"DUPLIKAT","OK"))</f>
        <v>OK</v>
      </c>
    </row>
    <row r="135" customFormat="false" ht="15" hidden="false" customHeight="false" outlineLevel="0" collapsed="false">
      <c r="A135" s="6" t="s">
        <v>142</v>
      </c>
      <c r="B135" s="0" t="str">
        <f aca="false">IFERROR(INDEX(Master_Lista!$B$2:$B$151,MATCH(A135,Master_Lista!$A$2:$A$151,0)),"")</f>
        <v>Cedomir Markovic</v>
      </c>
      <c r="C135" s="6" t="s">
        <v>330</v>
      </c>
      <c r="D135" s="7" t="n">
        <v>11</v>
      </c>
      <c r="E135" s="8" t="n">
        <v>46095</v>
      </c>
      <c r="F135" s="0" t="str">
        <f aca="false">IFERROR(INDEX(Sheet11_Zarade!$C$2:$C$151,MATCH(A135,Sheet11_Zarade!$A$2:$A$151,0)),"")</f>
        <v>Elektromonter</v>
      </c>
      <c r="G135" s="5" t="n">
        <f aca="false">IFERROR(INDEX(Sheet11_Zarade!$D$2:$D$151,MATCH(A135,Sheet11_Zarade!$A$2:$A$151,0)),0)</f>
        <v>8.5</v>
      </c>
      <c r="H135" s="5" t="n">
        <f aca="false">IFERROR(D135*G135,0)</f>
        <v>93.5</v>
      </c>
      <c r="I135" s="5" t="n">
        <f aca="false">H135*0.5%</f>
        <v>0.4675</v>
      </c>
      <c r="J135" s="5" t="n">
        <f aca="false">H135+I135</f>
        <v>93.9675</v>
      </c>
      <c r="K135" s="0" t="str">
        <f aca="false">IF(D135="","",IF(D135&gt;12,"FLAG",IF(D135&gt;8,"OVERTIME","OK")))</f>
        <v>OVERTIME</v>
      </c>
      <c r="L135" s="0" t="str">
        <f aca="false">IF(OR(A135="",E135="",C135=""),"",IF(COUNTIFS($A:$A,A135,$E:$E,E135,$C:$C,C135)&gt;1,"DUPLIKAT","OK"))</f>
        <v>OK</v>
      </c>
    </row>
    <row r="136" customFormat="false" ht="15" hidden="false" customHeight="false" outlineLevel="0" collapsed="false">
      <c r="A136" s="6" t="s">
        <v>45</v>
      </c>
      <c r="B136" s="0" t="str">
        <f aca="false">IFERROR(INDEX(Master_Lista!$B$2:$B$151,MATCH(A136,Master_Lista!$A$2:$A$151,0)),"")</f>
        <v>Petra Lazic</v>
      </c>
      <c r="C136" s="6" t="s">
        <v>325</v>
      </c>
      <c r="D136" s="7" t="n">
        <v>8.5</v>
      </c>
      <c r="E136" s="8" t="n">
        <v>46064</v>
      </c>
      <c r="F136" s="0" t="str">
        <f aca="false">IFERROR(INDEX(Sheet11_Zarade!$C$2:$C$151,MATCH(A136,Sheet11_Zarade!$A$2:$A$151,0)),"")</f>
        <v>Bravar</v>
      </c>
      <c r="G136" s="5" t="n">
        <f aca="false">IFERROR(INDEX(Sheet11_Zarade!$D$2:$D$151,MATCH(A136,Sheet11_Zarade!$A$2:$A$151,0)),0)</f>
        <v>9</v>
      </c>
      <c r="H136" s="5" t="n">
        <f aca="false">IFERROR(D136*G136,0)</f>
        <v>76.5</v>
      </c>
      <c r="I136" s="5" t="n">
        <f aca="false">H136*0.5%</f>
        <v>0.3825</v>
      </c>
      <c r="J136" s="5" t="n">
        <f aca="false">H136+I136</f>
        <v>76.8825</v>
      </c>
      <c r="K136" s="0" t="str">
        <f aca="false">IF(D136="","",IF(D136&gt;12,"FLAG",IF(D136&gt;8,"OVERTIME","OK")))</f>
        <v>OVERTIME</v>
      </c>
      <c r="L136" s="0" t="str">
        <f aca="false">IF(OR(A136="",E136="",C136=""),"",IF(COUNTIFS($A:$A,A136,$E:$E,E136,$C:$C,C136)&gt;1,"DUPLIKAT","OK"))</f>
        <v>OK</v>
      </c>
    </row>
    <row r="137" customFormat="false" ht="15" hidden="false" customHeight="false" outlineLevel="0" collapsed="false">
      <c r="A137" s="6" t="s">
        <v>222</v>
      </c>
      <c r="B137" s="0" t="str">
        <f aca="false">IFERROR(INDEX(Master_Lista!$B$2:$B$151,MATCH(A137,Master_Lista!$A$2:$A$151,0)),"")</f>
        <v>Vuk Grujic</v>
      </c>
      <c r="C137" s="6" t="s">
        <v>331</v>
      </c>
      <c r="D137" s="7" t="n">
        <v>8.5</v>
      </c>
      <c r="E137" s="8" t="n">
        <v>46124</v>
      </c>
      <c r="F137" s="0" t="str">
        <f aca="false">IFERROR(INDEX(Sheet11_Zarade!$C$2:$C$151,MATCH(A137,Sheet11_Zarade!$A$2:$A$151,0)),"")</f>
        <v>CNC operater</v>
      </c>
      <c r="G137" s="5" t="n">
        <f aca="false">IFERROR(INDEX(Sheet11_Zarade!$D$2:$D$151,MATCH(A137,Sheet11_Zarade!$A$2:$A$151,0)),0)</f>
        <v>12</v>
      </c>
      <c r="H137" s="5" t="n">
        <f aca="false">IFERROR(D137*G137,0)</f>
        <v>102</v>
      </c>
      <c r="I137" s="5" t="n">
        <f aca="false">H137*0.5%</f>
        <v>0.51</v>
      </c>
      <c r="J137" s="5" t="n">
        <f aca="false">H137+I137</f>
        <v>102.51</v>
      </c>
      <c r="K137" s="0" t="str">
        <f aca="false">IF(D137="","",IF(D137&gt;12,"FLAG",IF(D137&gt;8,"OVERTIME","OK")))</f>
        <v>OVERTIME</v>
      </c>
      <c r="L137" s="0" t="str">
        <f aca="false">IF(OR(A137="",E137="",C137=""),"",IF(COUNTIFS($A:$A,A137,$E:$E,E137,$C:$C,C137)&gt;1,"DUPLIKAT","OK"))</f>
        <v>OK</v>
      </c>
    </row>
    <row r="138" customFormat="false" ht="15" hidden="false" customHeight="false" outlineLevel="0" collapsed="false">
      <c r="A138" s="6" t="s">
        <v>94</v>
      </c>
      <c r="B138" s="0" t="str">
        <f aca="false">IFERROR(INDEX(Master_Lista!$B$2:$B$151,MATCH(A138,Master_Lista!$A$2:$A$151,0)),"")</f>
        <v>Jelena Urosevic</v>
      </c>
      <c r="C138" s="6" t="s">
        <v>326</v>
      </c>
      <c r="D138" s="7" t="n">
        <v>12</v>
      </c>
      <c r="E138" s="8" t="n">
        <v>46082</v>
      </c>
      <c r="F138" s="0" t="str">
        <f aca="false">IFERROR(INDEX(Sheet11_Zarade!$C$2:$C$151,MATCH(A138,Sheet11_Zarade!$A$2:$A$151,0)),"")</f>
        <v>Slikar</v>
      </c>
      <c r="G138" s="5" t="n">
        <f aca="false">IFERROR(INDEX(Sheet11_Zarade!$D$2:$D$151,MATCH(A138,Sheet11_Zarade!$A$2:$A$151,0)),0)</f>
        <v>8</v>
      </c>
      <c r="H138" s="5" t="n">
        <f aca="false">IFERROR(D138*G138,0)</f>
        <v>96</v>
      </c>
      <c r="I138" s="5" t="n">
        <f aca="false">H138*0.5%</f>
        <v>0.48</v>
      </c>
      <c r="J138" s="5" t="n">
        <f aca="false">H138+I138</f>
        <v>96.48</v>
      </c>
      <c r="K138" s="0" t="str">
        <f aca="false">IF(D138="","",IF(D138&gt;12,"FLAG",IF(D138&gt;8,"OVERTIME","OK")))</f>
        <v>OVERTIME</v>
      </c>
      <c r="L138" s="0" t="str">
        <f aca="false">IF(OR(A138="",E138="",C138=""),"",IF(COUNTIFS($A:$A,A138,$E:$E,E138,$C:$C,C138)&gt;1,"DUPLIKAT","OK"))</f>
        <v>OK</v>
      </c>
    </row>
    <row r="139" customFormat="false" ht="15" hidden="false" customHeight="false" outlineLevel="0" collapsed="false">
      <c r="A139" s="6" t="s">
        <v>65</v>
      </c>
      <c r="B139" s="0" t="str">
        <f aca="false">IFERROR(INDEX(Master_Lista!$B$2:$B$151,MATCH(A139,Master_Lista!$A$2:$A$151,0)),"")</f>
        <v>Uros Tomic</v>
      </c>
      <c r="C139" s="6" t="s">
        <v>331</v>
      </c>
      <c r="D139" s="7" t="n">
        <v>9</v>
      </c>
      <c r="E139" s="8" t="n">
        <v>46111</v>
      </c>
      <c r="F139" s="0" t="str">
        <f aca="false">IFERROR(INDEX(Sheet11_Zarade!$C$2:$C$151,MATCH(A139,Sheet11_Zarade!$A$2:$A$151,0)),"")</f>
        <v>Menadžer kvaliteta</v>
      </c>
      <c r="G139" s="5" t="n">
        <f aca="false">IFERROR(INDEX(Sheet11_Zarade!$D$2:$D$151,MATCH(A139,Sheet11_Zarade!$A$2:$A$151,0)),0)</f>
        <v>25</v>
      </c>
      <c r="H139" s="5" t="n">
        <f aca="false">IFERROR(D139*G139,0)</f>
        <v>225</v>
      </c>
      <c r="I139" s="5" t="n">
        <f aca="false">H139*0.5%</f>
        <v>1.125</v>
      </c>
      <c r="J139" s="5" t="n">
        <f aca="false">H139+I139</f>
        <v>226.125</v>
      </c>
      <c r="K139" s="0" t="str">
        <f aca="false">IF(D139="","",IF(D139&gt;12,"FLAG",IF(D139&gt;8,"OVERTIME","OK")))</f>
        <v>OVERTIME</v>
      </c>
      <c r="L139" s="0" t="str">
        <f aca="false">IF(OR(A139="",E139="",C139=""),"",IF(COUNTIFS($A:$A,A139,$E:$E,E139,$C:$C,C139)&gt;1,"DUPLIKAT","OK"))</f>
        <v>OK</v>
      </c>
    </row>
    <row r="140" customFormat="false" ht="15" hidden="false" customHeight="false" outlineLevel="0" collapsed="false">
      <c r="A140" s="6" t="s">
        <v>20</v>
      </c>
      <c r="B140" s="0" t="str">
        <f aca="false">IFERROR(INDEX(Master_Lista!$B$2:$B$151,MATCH(A140,Master_Lista!$A$2:$A$151,0)),"")</f>
        <v>Branko Babic</v>
      </c>
      <c r="C140" s="6" t="s">
        <v>335</v>
      </c>
      <c r="D140" s="7" t="n">
        <v>9</v>
      </c>
      <c r="E140" s="8" t="n">
        <v>46050</v>
      </c>
      <c r="F140" s="0" t="str">
        <f aca="false">IFERROR(INDEX(Sheet11_Zarade!$C$2:$C$151,MATCH(A140,Sheet11_Zarade!$A$2:$A$151,0)),"")</f>
        <v>Elektro inženjer</v>
      </c>
      <c r="G140" s="5" t="n">
        <f aca="false">IFERROR(INDEX(Sheet11_Zarade!$D$2:$D$151,MATCH(A140,Sheet11_Zarade!$A$2:$A$151,0)),0)</f>
        <v>22</v>
      </c>
      <c r="H140" s="5" t="n">
        <f aca="false">IFERROR(D140*G140,0)</f>
        <v>198</v>
      </c>
      <c r="I140" s="5" t="n">
        <f aca="false">H140*0.5%</f>
        <v>0.99</v>
      </c>
      <c r="J140" s="5" t="n">
        <f aca="false">H140+I140</f>
        <v>198.99</v>
      </c>
      <c r="K140" s="0" t="str">
        <f aca="false">IF(D140="","",IF(D140&gt;12,"FLAG",IF(D140&gt;8,"OVERTIME","OK")))</f>
        <v>OVERTIME</v>
      </c>
      <c r="L140" s="0" t="str">
        <f aca="false">IF(OR(A140="",E140="",C140=""),"",IF(COUNTIFS($A:$A,A140,$E:$E,E140,$C:$C,C140)&gt;1,"DUPLIKAT","OK"))</f>
        <v>OK</v>
      </c>
    </row>
    <row r="141" customFormat="false" ht="15" hidden="false" customHeight="false" outlineLevel="0" collapsed="false">
      <c r="A141" s="6" t="s">
        <v>14</v>
      </c>
      <c r="B141" s="0" t="str">
        <f aca="false">IFERROR(INDEX(Master_Lista!$B$2:$B$151,MATCH(A141,Master_Lista!$A$2:$A$151,0)),"")</f>
        <v>Filip Kostic</v>
      </c>
      <c r="C141" s="6" t="s">
        <v>338</v>
      </c>
      <c r="D141" s="7" t="n">
        <v>11</v>
      </c>
      <c r="E141" s="8" t="n">
        <v>46126</v>
      </c>
      <c r="F141" s="0" t="str">
        <f aca="false">IFERROR(INDEX(Sheet11_Zarade!$C$2:$C$151,MATCH(A141,Sheet11_Zarade!$A$2:$A$151,0)),"")</f>
        <v>CNC operater</v>
      </c>
      <c r="G141" s="5" t="n">
        <f aca="false">IFERROR(INDEX(Sheet11_Zarade!$D$2:$D$151,MATCH(A141,Sheet11_Zarade!$A$2:$A$151,0)),0)</f>
        <v>12</v>
      </c>
      <c r="H141" s="5" t="n">
        <f aca="false">IFERROR(D141*G141,0)</f>
        <v>132</v>
      </c>
      <c r="I141" s="5" t="n">
        <f aca="false">H141*0.5%</f>
        <v>0.66</v>
      </c>
      <c r="J141" s="5" t="n">
        <f aca="false">H141+I141</f>
        <v>132.66</v>
      </c>
      <c r="K141" s="0" t="str">
        <f aca="false">IF(D141="","",IF(D141&gt;12,"FLAG",IF(D141&gt;8,"OVERTIME","OK")))</f>
        <v>OVERTIME</v>
      </c>
      <c r="L141" s="0" t="str">
        <f aca="false">IF(OR(A141="",E141="",C141=""),"",IF(COUNTIFS($A:$A,A141,$E:$E,E141,$C:$C,C141)&gt;1,"DUPLIKAT","OK"))</f>
        <v>OK</v>
      </c>
    </row>
    <row r="142" customFormat="false" ht="15" hidden="false" customHeight="false" outlineLevel="0" collapsed="false">
      <c r="A142" s="6" t="s">
        <v>22</v>
      </c>
      <c r="B142" s="0" t="str">
        <f aca="false">IFERROR(INDEX(Master_Lista!$B$2:$B$151,MATCH(A142,Master_Lista!$A$2:$A$151,0)),"")</f>
        <v>Uros Djordjevic</v>
      </c>
      <c r="C142" s="6" t="s">
        <v>325</v>
      </c>
      <c r="D142" s="7" t="n">
        <v>7.5</v>
      </c>
      <c r="E142" s="8" t="n">
        <v>46138</v>
      </c>
      <c r="F142" s="0" t="str">
        <f aca="false">IFERROR(INDEX(Sheet11_Zarade!$C$2:$C$151,MATCH(A142,Sheet11_Zarade!$A$2:$A$151,0)),"")</f>
        <v>Operater prese</v>
      </c>
      <c r="G142" s="5" t="n">
        <f aca="false">IFERROR(INDEX(Sheet11_Zarade!$D$2:$D$151,MATCH(A142,Sheet11_Zarade!$A$2:$A$151,0)),0)</f>
        <v>9.5</v>
      </c>
      <c r="H142" s="5" t="n">
        <f aca="false">IFERROR(D142*G142,0)</f>
        <v>71.25</v>
      </c>
      <c r="I142" s="5" t="n">
        <f aca="false">H142*0.5%</f>
        <v>0.35625</v>
      </c>
      <c r="J142" s="5" t="n">
        <f aca="false">H142+I142</f>
        <v>71.60625</v>
      </c>
      <c r="K142" s="0" t="str">
        <f aca="false">IF(D142="","",IF(D142&gt;12,"FLAG",IF(D142&gt;8,"OVERTIME","OK")))</f>
        <v>OK</v>
      </c>
      <c r="L142" s="0" t="str">
        <f aca="false">IF(OR(A142="",E142="",C142=""),"",IF(COUNTIFS($A:$A,A142,$E:$E,E142,$C:$C,C142)&gt;1,"DUPLIKAT","OK"))</f>
        <v>OK</v>
      </c>
    </row>
    <row r="143" customFormat="false" ht="15" hidden="false" customHeight="false" outlineLevel="0" collapsed="false">
      <c r="A143" s="6" t="s">
        <v>59</v>
      </c>
      <c r="B143" s="0" t="str">
        <f aca="false">IFERROR(INDEX(Master_Lista!$B$2:$B$151,MATCH(A143,Master_Lista!$A$2:$A$151,0)),"")</f>
        <v>Uros Pavlovic</v>
      </c>
      <c r="C143" s="6" t="s">
        <v>327</v>
      </c>
      <c r="D143" s="7" t="n">
        <v>12</v>
      </c>
      <c r="E143" s="8" t="n">
        <v>46122</v>
      </c>
      <c r="F143" s="0" t="str">
        <f aca="false">IFERROR(INDEX(Sheet11_Zarade!$C$2:$C$151,MATCH(A143,Sheet11_Zarade!$A$2:$A$151,0)),"")</f>
        <v>Slikar</v>
      </c>
      <c r="G143" s="5" t="n">
        <f aca="false">IFERROR(INDEX(Sheet11_Zarade!$D$2:$D$151,MATCH(A143,Sheet11_Zarade!$A$2:$A$151,0)),0)</f>
        <v>8</v>
      </c>
      <c r="H143" s="5" t="n">
        <f aca="false">IFERROR(D143*G143,0)</f>
        <v>96</v>
      </c>
      <c r="I143" s="5" t="n">
        <f aca="false">H143*0.5%</f>
        <v>0.48</v>
      </c>
      <c r="J143" s="5" t="n">
        <f aca="false">H143+I143</f>
        <v>96.48</v>
      </c>
      <c r="K143" s="0" t="str">
        <f aca="false">IF(D143="","",IF(D143&gt;12,"FLAG",IF(D143&gt;8,"OVERTIME","OK")))</f>
        <v>OVERTIME</v>
      </c>
      <c r="L143" s="0" t="str">
        <f aca="false">IF(OR(A143="",E143="",C143=""),"",IF(COUNTIFS($A:$A,A143,$E:$E,E143,$C:$C,C143)&gt;1,"DUPLIKAT","OK"))</f>
        <v>OK</v>
      </c>
    </row>
    <row r="144" customFormat="false" ht="15" hidden="false" customHeight="false" outlineLevel="0" collapsed="false">
      <c r="A144" s="6" t="s">
        <v>151</v>
      </c>
      <c r="B144" s="0" t="str">
        <f aca="false">IFERROR(INDEX(Master_Lista!$B$2:$B$151,MATCH(A144,Master_Lista!$A$2:$A$151,0)),"")</f>
        <v>Natasa Tomic</v>
      </c>
      <c r="C144" s="6" t="s">
        <v>338</v>
      </c>
      <c r="D144" s="7" t="n">
        <v>8</v>
      </c>
      <c r="E144" s="8" t="n">
        <v>46042</v>
      </c>
      <c r="F144" s="0" t="str">
        <f aca="false">IFERROR(INDEX(Sheet11_Zarade!$C$2:$C$151,MATCH(A144,Sheet11_Zarade!$A$2:$A$151,0)),"")</f>
        <v>Zavarivač</v>
      </c>
      <c r="G144" s="5" t="n">
        <f aca="false">IFERROR(INDEX(Sheet11_Zarade!$D$2:$D$151,MATCH(A144,Sheet11_Zarade!$A$2:$A$151,0)),0)</f>
        <v>10</v>
      </c>
      <c r="H144" s="5" t="n">
        <f aca="false">IFERROR(D144*G144,0)</f>
        <v>80</v>
      </c>
      <c r="I144" s="5" t="n">
        <f aca="false">H144*0.5%</f>
        <v>0.4</v>
      </c>
      <c r="J144" s="5" t="n">
        <f aca="false">H144+I144</f>
        <v>80.4</v>
      </c>
      <c r="K144" s="0" t="str">
        <f aca="false">IF(D144="","",IF(D144&gt;12,"FLAG",IF(D144&gt;8,"OVERTIME","OK")))</f>
        <v>OK</v>
      </c>
      <c r="L144" s="0" t="str">
        <f aca="false">IF(OR(A144="",E144="",C144=""),"",IF(COUNTIFS($A:$A,A144,$E:$E,E144,$C:$C,C144)&gt;1,"DUPLIKAT","OK"))</f>
        <v>OK</v>
      </c>
    </row>
    <row r="145" customFormat="false" ht="15" hidden="false" customHeight="false" outlineLevel="0" collapsed="false">
      <c r="A145" s="6" t="s">
        <v>169</v>
      </c>
      <c r="B145" s="0" t="str">
        <f aca="false">IFERROR(INDEX(Master_Lista!$B$2:$B$151,MATCH(A145,Master_Lista!$A$2:$A$151,0)),"")</f>
        <v>Ognjen Cvetkovic</v>
      </c>
      <c r="C145" s="6" t="s">
        <v>333</v>
      </c>
      <c r="D145" s="7" t="n">
        <v>8</v>
      </c>
      <c r="E145" s="8" t="n">
        <v>46097</v>
      </c>
      <c r="F145" s="0" t="str">
        <f aca="false">IFERROR(INDEX(Sheet11_Zarade!$C$2:$C$151,MATCH(A145,Sheet11_Zarade!$A$2:$A$151,0)),"")</f>
        <v>Menadžer kvaliteta</v>
      </c>
      <c r="G145" s="5" t="n">
        <f aca="false">IFERROR(INDEX(Sheet11_Zarade!$D$2:$D$151,MATCH(A145,Sheet11_Zarade!$A$2:$A$151,0)),0)</f>
        <v>25</v>
      </c>
      <c r="H145" s="5" t="n">
        <f aca="false">IFERROR(D145*G145,0)</f>
        <v>200</v>
      </c>
      <c r="I145" s="5" t="n">
        <f aca="false">H145*0.5%</f>
        <v>1</v>
      </c>
      <c r="J145" s="5" t="n">
        <f aca="false">H145+I145</f>
        <v>201</v>
      </c>
      <c r="K145" s="0" t="str">
        <f aca="false">IF(D145="","",IF(D145&gt;12,"FLAG",IF(D145&gt;8,"OVERTIME","OK")))</f>
        <v>OK</v>
      </c>
      <c r="L145" s="0" t="str">
        <f aca="false">IF(OR(A145="",E145="",C145=""),"",IF(COUNTIFS($A:$A,A145,$E:$E,E145,$C:$C,C145)&gt;1,"DUPLIKAT","OK"))</f>
        <v>OK</v>
      </c>
    </row>
    <row r="146" customFormat="false" ht="15" hidden="false" customHeight="false" outlineLevel="0" collapsed="false">
      <c r="A146" s="6" t="s">
        <v>186</v>
      </c>
      <c r="B146" s="0" t="str">
        <f aca="false">IFERROR(INDEX(Master_Lista!$B$2:$B$151,MATCH(A146,Master_Lista!$A$2:$A$151,0)),"")</f>
        <v>Petar Markovic</v>
      </c>
      <c r="C146" s="6" t="s">
        <v>335</v>
      </c>
      <c r="D146" s="7" t="n">
        <v>8</v>
      </c>
      <c r="E146" s="8" t="n">
        <v>46054</v>
      </c>
      <c r="F146" s="0" t="str">
        <f aca="false">IFERROR(INDEX(Sheet11_Zarade!$C$2:$C$151,MATCH(A146,Sheet11_Zarade!$A$2:$A$151,0)),"")</f>
        <v>Zavarivač</v>
      </c>
      <c r="G146" s="5" t="n">
        <f aca="false">IFERROR(INDEX(Sheet11_Zarade!$D$2:$D$151,MATCH(A146,Sheet11_Zarade!$A$2:$A$151,0)),0)</f>
        <v>10</v>
      </c>
      <c r="H146" s="5" t="n">
        <f aca="false">IFERROR(D146*G146,0)</f>
        <v>80</v>
      </c>
      <c r="I146" s="5" t="n">
        <f aca="false">H146*0.5%</f>
        <v>0.4</v>
      </c>
      <c r="J146" s="5" t="n">
        <f aca="false">H146+I146</f>
        <v>80.4</v>
      </c>
      <c r="K146" s="0" t="str">
        <f aca="false">IF(D146="","",IF(D146&gt;12,"FLAG",IF(D146&gt;8,"OVERTIME","OK")))</f>
        <v>OK</v>
      </c>
      <c r="L146" s="0" t="str">
        <f aca="false">IF(OR(A146="",E146="",C146=""),"",IF(COUNTIFS($A:$A,A146,$E:$E,E146,$C:$C,C146)&gt;1,"DUPLIKAT","OK"))</f>
        <v>OK</v>
      </c>
    </row>
    <row r="147" customFormat="false" ht="15" hidden="false" customHeight="false" outlineLevel="0" collapsed="false">
      <c r="A147" s="6" t="s">
        <v>79</v>
      </c>
      <c r="B147" s="0" t="str">
        <f aca="false">IFERROR(INDEX(Master_Lista!$B$2:$B$151,MATCH(A147,Master_Lista!$A$2:$A$151,0)),"")</f>
        <v>Zorica Vasic</v>
      </c>
      <c r="C147" s="6" t="s">
        <v>335</v>
      </c>
      <c r="D147" s="7" t="n">
        <v>7.5</v>
      </c>
      <c r="E147" s="8" t="n">
        <v>46041</v>
      </c>
      <c r="F147" s="0" t="str">
        <f aca="false">IFERROR(INDEX(Sheet11_Zarade!$C$2:$C$151,MATCH(A147,Sheet11_Zarade!$A$2:$A$151,0)),"")</f>
        <v>Projekt menadžer</v>
      </c>
      <c r="G147" s="5" t="n">
        <f aca="false">IFERROR(INDEX(Sheet11_Zarade!$D$2:$D$151,MATCH(A147,Sheet11_Zarade!$A$2:$A$151,0)),0)</f>
        <v>28</v>
      </c>
      <c r="H147" s="5" t="n">
        <f aca="false">IFERROR(D147*G147,0)</f>
        <v>210</v>
      </c>
      <c r="I147" s="5" t="n">
        <f aca="false">H147*0.5%</f>
        <v>1.05</v>
      </c>
      <c r="J147" s="5" t="n">
        <f aca="false">H147+I147</f>
        <v>211.05</v>
      </c>
      <c r="K147" s="0" t="str">
        <f aca="false">IF(D147="","",IF(D147&gt;12,"FLAG",IF(D147&gt;8,"OVERTIME","OK")))</f>
        <v>OK</v>
      </c>
      <c r="L147" s="0" t="str">
        <f aca="false">IF(OR(A147="",E147="",C147=""),"",IF(COUNTIFS($A:$A,A147,$E:$E,E147,$C:$C,C147)&gt;1,"DUPLIKAT","OK"))</f>
        <v>OK</v>
      </c>
    </row>
    <row r="148" customFormat="false" ht="15" hidden="false" customHeight="false" outlineLevel="0" collapsed="false">
      <c r="A148" s="6" t="s">
        <v>108</v>
      </c>
      <c r="B148" s="0" t="str">
        <f aca="false">IFERROR(INDEX(Master_Lista!$B$2:$B$151,MATCH(A148,Master_Lista!$A$2:$A$151,0)),"")</f>
        <v>Kosta Urosevic</v>
      </c>
      <c r="C148" s="6" t="s">
        <v>325</v>
      </c>
      <c r="D148" s="7" t="n">
        <v>6</v>
      </c>
      <c r="E148" s="8" t="n">
        <v>46101</v>
      </c>
      <c r="F148" s="0" t="str">
        <f aca="false">IFERROR(INDEX(Sheet11_Zarade!$C$2:$C$151,MATCH(A148,Sheet11_Zarade!$A$2:$A$151,0)),"")</f>
        <v>Vodeći monter</v>
      </c>
      <c r="G148" s="5" t="n">
        <f aca="false">IFERROR(INDEX(Sheet11_Zarade!$D$2:$D$151,MATCH(A148,Sheet11_Zarade!$A$2:$A$151,0)),0)</f>
        <v>11</v>
      </c>
      <c r="H148" s="5" t="n">
        <f aca="false">IFERROR(D148*G148,0)</f>
        <v>66</v>
      </c>
      <c r="I148" s="5" t="n">
        <f aca="false">H148*0.5%</f>
        <v>0.33</v>
      </c>
      <c r="J148" s="5" t="n">
        <f aca="false">H148+I148</f>
        <v>66.33</v>
      </c>
      <c r="K148" s="0" t="str">
        <f aca="false">IF(D148="","",IF(D148&gt;12,"FLAG",IF(D148&gt;8,"OVERTIME","OK")))</f>
        <v>OK</v>
      </c>
      <c r="L148" s="0" t="str">
        <f aca="false">IF(OR(A148="",E148="",C148=""),"",IF(COUNTIFS($A:$A,A148,$E:$E,E148,$C:$C,C148)&gt;1,"DUPLIKAT","OK"))</f>
        <v>OK</v>
      </c>
    </row>
    <row r="149" customFormat="false" ht="15" hidden="false" customHeight="false" outlineLevel="0" collapsed="false">
      <c r="A149" s="6" t="s">
        <v>271</v>
      </c>
      <c r="B149" s="0" t="str">
        <f aca="false">IFERROR(INDEX(Master_Lista!$B$2:$B$151,MATCH(A149,Master_Lista!$A$2:$A$151,0)),"")</f>
        <v>Tomas Urosevic</v>
      </c>
      <c r="C149" s="6" t="s">
        <v>325</v>
      </c>
      <c r="D149" s="7" t="n">
        <v>8.5</v>
      </c>
      <c r="E149" s="8" t="n">
        <v>46088</v>
      </c>
      <c r="F149" s="0" t="str">
        <f aca="false">IFERROR(INDEX(Sheet11_Zarade!$C$2:$C$151,MATCH(A149,Sheet11_Zarade!$A$2:$A$151,0)),"")</f>
        <v>Menadžer kvaliteta</v>
      </c>
      <c r="G149" s="5" t="n">
        <f aca="false">IFERROR(INDEX(Sheet11_Zarade!$D$2:$D$151,MATCH(A149,Sheet11_Zarade!$A$2:$A$151,0)),0)</f>
        <v>25</v>
      </c>
      <c r="H149" s="5" t="n">
        <f aca="false">IFERROR(D149*G149,0)</f>
        <v>212.5</v>
      </c>
      <c r="I149" s="5" t="n">
        <f aca="false">H149*0.5%</f>
        <v>1.0625</v>
      </c>
      <c r="J149" s="5" t="n">
        <f aca="false">H149+I149</f>
        <v>213.5625</v>
      </c>
      <c r="K149" s="0" t="str">
        <f aca="false">IF(D149="","",IF(D149&gt;12,"FLAG",IF(D149&gt;8,"OVERTIME","OK")))</f>
        <v>OVERTIME</v>
      </c>
      <c r="L149" s="0" t="str">
        <f aca="false">IF(OR(A149="",E149="",C149=""),"",IF(COUNTIFS($A:$A,A149,$E:$E,E149,$C:$C,C149)&gt;1,"DUPLIKAT","OK"))</f>
        <v>OK</v>
      </c>
    </row>
    <row r="150" customFormat="false" ht="15" hidden="false" customHeight="false" outlineLevel="0" collapsed="false">
      <c r="A150" s="6" t="s">
        <v>53</v>
      </c>
      <c r="B150" s="0" t="str">
        <f aca="false">IFERROR(INDEX(Master_Lista!$B$2:$B$151,MATCH(A150,Master_Lista!$A$2:$A$151,0)),"")</f>
        <v>Branko Jankovic</v>
      </c>
      <c r="C150" s="6" t="s">
        <v>328</v>
      </c>
      <c r="D150" s="7" t="n">
        <v>6</v>
      </c>
      <c r="E150" s="8" t="n">
        <v>46169</v>
      </c>
      <c r="F150" s="0" t="str">
        <f aca="false">IFERROR(INDEX(Sheet11_Zarade!$C$2:$C$151,MATCH(A150,Sheet11_Zarade!$A$2:$A$151,0)),"")</f>
        <v>Mašinski inženjer</v>
      </c>
      <c r="G150" s="5" t="n">
        <f aca="false">IFERROR(INDEX(Sheet11_Zarade!$D$2:$D$151,MATCH(A150,Sheet11_Zarade!$A$2:$A$151,0)),0)</f>
        <v>20</v>
      </c>
      <c r="H150" s="5" t="n">
        <f aca="false">IFERROR(D150*G150,0)</f>
        <v>120</v>
      </c>
      <c r="I150" s="5" t="n">
        <f aca="false">H150*0.5%</f>
        <v>0.6</v>
      </c>
      <c r="J150" s="5" t="n">
        <f aca="false">H150+I150</f>
        <v>120.6</v>
      </c>
      <c r="K150" s="0" t="str">
        <f aca="false">IF(D150="","",IF(D150&gt;12,"FLAG",IF(D150&gt;8,"OVERTIME","OK")))</f>
        <v>OK</v>
      </c>
      <c r="L150" s="0" t="str">
        <f aca="false">IF(OR(A150="",E150="",C150=""),"",IF(COUNTIFS($A:$A,A150,$E:$E,E150,$C:$C,C150)&gt;1,"DUPLIKAT","OK"))</f>
        <v>OK</v>
      </c>
    </row>
    <row r="151" customFormat="false" ht="15" hidden="false" customHeight="false" outlineLevel="0" collapsed="false">
      <c r="A151" s="6" t="s">
        <v>190</v>
      </c>
      <c r="B151" s="0" t="str">
        <f aca="false">IFERROR(INDEX(Master_Lista!$B$2:$B$151,MATCH(A151,Master_Lista!$A$2:$A$151,0)),"")</f>
        <v>Danica Cvetkovic</v>
      </c>
      <c r="C151" s="6" t="s">
        <v>327</v>
      </c>
      <c r="D151" s="7" t="n">
        <v>6</v>
      </c>
      <c r="E151" s="8" t="n">
        <v>46035</v>
      </c>
      <c r="F151" s="0" t="str">
        <f aca="false">IFERROR(INDEX(Sheet11_Zarade!$C$2:$C$151,MATCH(A151,Sheet11_Zarade!$A$2:$A$151,0)),"")</f>
        <v>Kontrola kvaliteta</v>
      </c>
      <c r="G151" s="5" t="n">
        <f aca="false">IFERROR(INDEX(Sheet11_Zarade!$D$2:$D$151,MATCH(A151,Sheet11_Zarade!$A$2:$A$151,0)),0)</f>
        <v>14</v>
      </c>
      <c r="H151" s="5" t="n">
        <f aca="false">IFERROR(D151*G151,0)</f>
        <v>84</v>
      </c>
      <c r="I151" s="5" t="n">
        <f aca="false">H151*0.5%</f>
        <v>0.42</v>
      </c>
      <c r="J151" s="5" t="n">
        <f aca="false">H151+I151</f>
        <v>84.42</v>
      </c>
      <c r="K151" s="0" t="str">
        <f aca="false">IF(D151="","",IF(D151&gt;12,"FLAG",IF(D151&gt;8,"OVERTIME","OK")))</f>
        <v>OK</v>
      </c>
      <c r="L151" s="0" t="str">
        <f aca="false">IF(OR(A151="",E151="",C151=""),"",IF(COUNTIFS($A:$A,A151,$E:$E,E151,$C:$C,C151)&gt;1,"DUPLIKAT","OK"))</f>
        <v>OK</v>
      </c>
    </row>
    <row r="152" customFormat="false" ht="15" hidden="false" customHeight="false" outlineLevel="0" collapsed="false">
      <c r="A152" s="6" t="s">
        <v>18</v>
      </c>
      <c r="B152" s="0" t="str">
        <f aca="false">IFERROR(INDEX(Master_Lista!$B$2:$B$151,MATCH(A152,Master_Lista!$A$2:$A$151,0)),"")</f>
        <v>Petar Lazic</v>
      </c>
      <c r="C152" s="6" t="s">
        <v>331</v>
      </c>
      <c r="D152" s="7" t="n">
        <v>8.5</v>
      </c>
      <c r="E152" s="8" t="n">
        <v>46063</v>
      </c>
      <c r="F152" s="0" t="str">
        <f aca="false">IFERROR(INDEX(Sheet11_Zarade!$C$2:$C$151,MATCH(A152,Sheet11_Zarade!$A$2:$A$151,0)),"")</f>
        <v>Mašinski inženjer</v>
      </c>
      <c r="G152" s="5" t="n">
        <f aca="false">IFERROR(INDEX(Sheet11_Zarade!$D$2:$D$151,MATCH(A152,Sheet11_Zarade!$A$2:$A$151,0)),0)</f>
        <v>20</v>
      </c>
      <c r="H152" s="5" t="n">
        <f aca="false">IFERROR(D152*G152,0)</f>
        <v>170</v>
      </c>
      <c r="I152" s="5" t="n">
        <f aca="false">H152*0.5%</f>
        <v>0.85</v>
      </c>
      <c r="J152" s="5" t="n">
        <f aca="false">H152+I152</f>
        <v>170.85</v>
      </c>
      <c r="K152" s="0" t="str">
        <f aca="false">IF(D152="","",IF(D152&gt;12,"FLAG",IF(D152&gt;8,"OVERTIME","OK")))</f>
        <v>OVERTIME</v>
      </c>
      <c r="L152" s="0" t="str">
        <f aca="false">IF(OR(A152="",E152="",C152=""),"",IF(COUNTIFS($A:$A,A152,$E:$E,E152,$C:$C,C152)&gt;1,"DUPLIKAT","OK"))</f>
        <v>OK</v>
      </c>
    </row>
    <row r="153" customFormat="false" ht="15" hidden="false" customHeight="false" outlineLevel="0" collapsed="false">
      <c r="A153" s="6" t="s">
        <v>128</v>
      </c>
      <c r="B153" s="0" t="str">
        <f aca="false">IFERROR(INDEX(Master_Lista!$B$2:$B$151,MATCH(A153,Master_Lista!$A$2:$A$151,0)),"")</f>
        <v>Filip Zivkovic</v>
      </c>
      <c r="C153" s="6" t="s">
        <v>339</v>
      </c>
      <c r="D153" s="7" t="n">
        <v>12</v>
      </c>
      <c r="E153" s="8" t="n">
        <v>46166</v>
      </c>
      <c r="F153" s="0" t="str">
        <f aca="false">IFERROR(INDEX(Sheet11_Zarade!$C$2:$C$151,MATCH(A153,Sheet11_Zarade!$A$2:$A$151,0)),"")</f>
        <v>Slikar</v>
      </c>
      <c r="G153" s="5" t="n">
        <f aca="false">IFERROR(INDEX(Sheet11_Zarade!$D$2:$D$151,MATCH(A153,Sheet11_Zarade!$A$2:$A$151,0)),0)</f>
        <v>8</v>
      </c>
      <c r="H153" s="5" t="n">
        <f aca="false">IFERROR(D153*G153,0)</f>
        <v>96</v>
      </c>
      <c r="I153" s="5" t="n">
        <f aca="false">H153*0.5%</f>
        <v>0.48</v>
      </c>
      <c r="J153" s="5" t="n">
        <f aca="false">H153+I153</f>
        <v>96.48</v>
      </c>
      <c r="K153" s="0" t="str">
        <f aca="false">IF(D153="","",IF(D153&gt;12,"FLAG",IF(D153&gt;8,"OVERTIME","OK")))</f>
        <v>OVERTIME</v>
      </c>
      <c r="L153" s="0" t="str">
        <f aca="false">IF(OR(A153="",E153="",C153=""),"",IF(COUNTIFS($A:$A,A153,$E:$E,E153,$C:$C,C153)&gt;1,"DUPLIKAT","OK"))</f>
        <v>OK</v>
      </c>
    </row>
    <row r="154" customFormat="false" ht="15" hidden="false" customHeight="false" outlineLevel="0" collapsed="false">
      <c r="A154" s="6" t="s">
        <v>41</v>
      </c>
      <c r="B154" s="0" t="str">
        <f aca="false">IFERROR(INDEX(Master_Lista!$B$2:$B$151,MATCH(A154,Master_Lista!$A$2:$A$151,0)),"")</f>
        <v>Lidija Obradovic</v>
      </c>
      <c r="C154" s="6" t="s">
        <v>339</v>
      </c>
      <c r="D154" s="7" t="n">
        <v>7.5</v>
      </c>
      <c r="E154" s="8" t="n">
        <v>46043</v>
      </c>
      <c r="F154" s="0" t="str">
        <f aca="false">IFERROR(INDEX(Sheet11_Zarade!$C$2:$C$151,MATCH(A154,Sheet11_Zarade!$A$2:$A$151,0)),"")</f>
        <v>Inženjer na gradilištu</v>
      </c>
      <c r="G154" s="5" t="n">
        <f aca="false">IFERROR(INDEX(Sheet11_Zarade!$D$2:$D$151,MATCH(A154,Sheet11_Zarade!$A$2:$A$151,0)),0)</f>
        <v>18</v>
      </c>
      <c r="H154" s="5" t="n">
        <f aca="false">IFERROR(D154*G154,0)</f>
        <v>135</v>
      </c>
      <c r="I154" s="5" t="n">
        <f aca="false">H154*0.5%</f>
        <v>0.675</v>
      </c>
      <c r="J154" s="5" t="n">
        <f aca="false">H154+I154</f>
        <v>135.675</v>
      </c>
      <c r="K154" s="0" t="str">
        <f aca="false">IF(D154="","",IF(D154&gt;12,"FLAG",IF(D154&gt;8,"OVERTIME","OK")))</f>
        <v>OK</v>
      </c>
      <c r="L154" s="0" t="str">
        <f aca="false">IF(OR(A154="",E154="",C154=""),"",IF(COUNTIFS($A:$A,A154,$E:$E,E154,$C:$C,C154)&gt;1,"DUPLIKAT","OK"))</f>
        <v>OK</v>
      </c>
    </row>
    <row r="155" customFormat="false" ht="15" hidden="false" customHeight="false" outlineLevel="0" collapsed="false">
      <c r="A155" s="6" t="s">
        <v>69</v>
      </c>
      <c r="B155" s="0" t="str">
        <f aca="false">IFERROR(INDEX(Master_Lista!$B$2:$B$151,MATCH(A155,Master_Lista!$A$2:$A$151,0)),"")</f>
        <v>Olga Markovic</v>
      </c>
      <c r="C155" s="6" t="s">
        <v>333</v>
      </c>
      <c r="D155" s="7" t="n">
        <v>11</v>
      </c>
      <c r="E155" s="8" t="n">
        <v>46097</v>
      </c>
      <c r="F155" s="0" t="str">
        <f aca="false">IFERROR(INDEX(Sheet11_Zarade!$C$2:$C$151,MATCH(A155,Sheet11_Zarade!$A$2:$A$151,0)),"")</f>
        <v>Administrator</v>
      </c>
      <c r="G155" s="5" t="n">
        <f aca="false">IFERROR(INDEX(Sheet11_Zarade!$D$2:$D$151,MATCH(A155,Sheet11_Zarade!$A$2:$A$151,0)),0)</f>
        <v>12.5</v>
      </c>
      <c r="H155" s="5" t="n">
        <f aca="false">IFERROR(D155*G155,0)</f>
        <v>137.5</v>
      </c>
      <c r="I155" s="5" t="n">
        <f aca="false">H155*0.5%</f>
        <v>0.6875</v>
      </c>
      <c r="J155" s="5" t="n">
        <f aca="false">H155+I155</f>
        <v>138.1875</v>
      </c>
      <c r="K155" s="0" t="str">
        <f aca="false">IF(D155="","",IF(D155&gt;12,"FLAG",IF(D155&gt;8,"OVERTIME","OK")))</f>
        <v>OVERTIME</v>
      </c>
      <c r="L155" s="0" t="str">
        <f aca="false">IF(OR(A155="",E155="",C155=""),"",IF(COUNTIFS($A:$A,A155,$E:$E,E155,$C:$C,C155)&gt;1,"DUPLIKAT","OK"))</f>
        <v>OK</v>
      </c>
    </row>
    <row r="156" customFormat="false" ht="15" hidden="false" customHeight="false" outlineLevel="0" collapsed="false">
      <c r="A156" s="6" t="s">
        <v>163</v>
      </c>
      <c r="B156" s="0" t="str">
        <f aca="false">IFERROR(INDEX(Master_Lista!$B$2:$B$151,MATCH(A156,Master_Lista!$A$2:$A$151,0)),"")</f>
        <v>Tomas Simic</v>
      </c>
      <c r="C156" s="6" t="s">
        <v>339</v>
      </c>
      <c r="D156" s="7" t="n">
        <v>10</v>
      </c>
      <c r="E156" s="8" t="n">
        <v>46036</v>
      </c>
      <c r="F156" s="0" t="str">
        <f aca="false">IFERROR(INDEX(Sheet11_Zarade!$C$2:$C$151,MATCH(A156,Sheet11_Zarade!$A$2:$A$151,0)),"")</f>
        <v>Slikar</v>
      </c>
      <c r="G156" s="5" t="n">
        <f aca="false">IFERROR(INDEX(Sheet11_Zarade!$D$2:$D$151,MATCH(A156,Sheet11_Zarade!$A$2:$A$151,0)),0)</f>
        <v>8</v>
      </c>
      <c r="H156" s="5" t="n">
        <f aca="false">IFERROR(D156*G156,0)</f>
        <v>80</v>
      </c>
      <c r="I156" s="5" t="n">
        <f aca="false">H156*0.5%</f>
        <v>0.4</v>
      </c>
      <c r="J156" s="5" t="n">
        <f aca="false">H156+I156</f>
        <v>80.4</v>
      </c>
      <c r="K156" s="0" t="str">
        <f aca="false">IF(D156="","",IF(D156&gt;12,"FLAG",IF(D156&gt;8,"OVERTIME","OK")))</f>
        <v>OVERTIME</v>
      </c>
      <c r="L156" s="0" t="str">
        <f aca="false">IF(OR(A156="",E156="",C156=""),"",IF(COUNTIFS($A:$A,A156,$E:$E,E156,$C:$C,C156)&gt;1,"DUPLIKAT","OK"))</f>
        <v>OK</v>
      </c>
    </row>
    <row r="157" customFormat="false" ht="15" hidden="false" customHeight="false" outlineLevel="0" collapsed="false">
      <c r="A157" s="6" t="s">
        <v>84</v>
      </c>
      <c r="B157" s="0" t="str">
        <f aca="false">IFERROR(INDEX(Master_Lista!$B$2:$B$151,MATCH(A157,Master_Lista!$A$2:$A$151,0)),"")</f>
        <v>Stefan Filipovic</v>
      </c>
      <c r="C157" s="6" t="s">
        <v>338</v>
      </c>
      <c r="D157" s="7" t="n">
        <v>11</v>
      </c>
      <c r="E157" s="8" t="n">
        <v>46162</v>
      </c>
      <c r="F157" s="0" t="str">
        <f aca="false">IFERROR(INDEX(Sheet11_Zarade!$C$2:$C$151,MATCH(A157,Sheet11_Zarade!$A$2:$A$151,0)),"")</f>
        <v>CNC operater</v>
      </c>
      <c r="G157" s="5" t="n">
        <f aca="false">IFERROR(INDEX(Sheet11_Zarade!$D$2:$D$151,MATCH(A157,Sheet11_Zarade!$A$2:$A$151,0)),0)</f>
        <v>12</v>
      </c>
      <c r="H157" s="5" t="n">
        <f aca="false">IFERROR(D157*G157,0)</f>
        <v>132</v>
      </c>
      <c r="I157" s="5" t="n">
        <f aca="false">H157*0.5%</f>
        <v>0.66</v>
      </c>
      <c r="J157" s="5" t="n">
        <f aca="false">H157+I157</f>
        <v>132.66</v>
      </c>
      <c r="K157" s="0" t="str">
        <f aca="false">IF(D157="","",IF(D157&gt;12,"FLAG",IF(D157&gt;8,"OVERTIME","OK")))</f>
        <v>OVERTIME</v>
      </c>
      <c r="L157" s="0" t="str">
        <f aca="false">IF(OR(A157="",E157="",C157=""),"",IF(COUNTIFS($A:$A,A157,$E:$E,E157,$C:$C,C157)&gt;1,"DUPLIKAT","OK"))</f>
        <v>OK</v>
      </c>
    </row>
    <row r="158" customFormat="false" ht="15" hidden="false" customHeight="false" outlineLevel="0" collapsed="false">
      <c r="A158" s="6" t="s">
        <v>247</v>
      </c>
      <c r="B158" s="0" t="str">
        <f aca="false">IFERROR(INDEX(Master_Lista!$B$2:$B$151,MATCH(A158,Master_Lista!$A$2:$A$151,0)),"")</f>
        <v>Jelena Tomic</v>
      </c>
      <c r="C158" s="6" t="s">
        <v>329</v>
      </c>
      <c r="D158" s="7" t="n">
        <v>12</v>
      </c>
      <c r="E158" s="8" t="n">
        <v>46082</v>
      </c>
      <c r="F158" s="0" t="str">
        <f aca="false">IFERROR(INDEX(Sheet11_Zarade!$C$2:$C$151,MATCH(A158,Sheet11_Zarade!$A$2:$A$151,0)),"")</f>
        <v>Vodeći monter</v>
      </c>
      <c r="G158" s="5" t="n">
        <f aca="false">IFERROR(INDEX(Sheet11_Zarade!$D$2:$D$151,MATCH(A158,Sheet11_Zarade!$A$2:$A$151,0)),0)</f>
        <v>11</v>
      </c>
      <c r="H158" s="5" t="n">
        <f aca="false">IFERROR(D158*G158,0)</f>
        <v>132</v>
      </c>
      <c r="I158" s="5" t="n">
        <f aca="false">H158*0.5%</f>
        <v>0.66</v>
      </c>
      <c r="J158" s="5" t="n">
        <f aca="false">H158+I158</f>
        <v>132.66</v>
      </c>
      <c r="K158" s="0" t="str">
        <f aca="false">IF(D158="","",IF(D158&gt;12,"FLAG",IF(D158&gt;8,"OVERTIME","OK")))</f>
        <v>OVERTIME</v>
      </c>
      <c r="L158" s="0" t="str">
        <f aca="false">IF(OR(A158="",E158="",C158=""),"",IF(COUNTIFS($A:$A,A158,$E:$E,E158,$C:$C,C158)&gt;1,"DUPLIKAT","OK"))</f>
        <v>OK</v>
      </c>
    </row>
    <row r="159" customFormat="false" ht="15" hidden="false" customHeight="false" outlineLevel="0" collapsed="false">
      <c r="A159" s="6" t="s">
        <v>278</v>
      </c>
      <c r="B159" s="0" t="str">
        <f aca="false">IFERROR(INDEX(Master_Lista!$B$2:$B$151,MATCH(A159,Master_Lista!$A$2:$A$151,0)),"")</f>
        <v>Filip Pavlovic</v>
      </c>
      <c r="C159" s="6" t="s">
        <v>327</v>
      </c>
      <c r="D159" s="7" t="n">
        <v>6</v>
      </c>
      <c r="E159" s="8" t="n">
        <v>46038</v>
      </c>
      <c r="F159" s="0" t="str">
        <f aca="false">IFERROR(INDEX(Sheet11_Zarade!$C$2:$C$151,MATCH(A159,Sheet11_Zarade!$A$2:$A$151,0)),"")</f>
        <v>Elektromonter</v>
      </c>
      <c r="G159" s="5" t="n">
        <f aca="false">IFERROR(INDEX(Sheet11_Zarade!$D$2:$D$151,MATCH(A159,Sheet11_Zarade!$A$2:$A$151,0)),0)</f>
        <v>8.5</v>
      </c>
      <c r="H159" s="5" t="n">
        <f aca="false">IFERROR(D159*G159,0)</f>
        <v>51</v>
      </c>
      <c r="I159" s="5" t="n">
        <f aca="false">H159*0.5%</f>
        <v>0.255</v>
      </c>
      <c r="J159" s="5" t="n">
        <f aca="false">H159+I159</f>
        <v>51.255</v>
      </c>
      <c r="K159" s="0" t="str">
        <f aca="false">IF(D159="","",IF(D159&gt;12,"FLAG",IF(D159&gt;8,"OVERTIME","OK")))</f>
        <v>OK</v>
      </c>
      <c r="L159" s="0" t="str">
        <f aca="false">IF(OR(A159="",E159="",C159=""),"",IF(COUNTIFS($A:$A,A159,$E:$E,E159,$C:$C,C159)&gt;1,"DUPLIKAT","OK"))</f>
        <v>OK</v>
      </c>
    </row>
    <row r="160" customFormat="false" ht="15" hidden="false" customHeight="false" outlineLevel="0" collapsed="false">
      <c r="A160" s="6" t="s">
        <v>278</v>
      </c>
      <c r="B160" s="0" t="str">
        <f aca="false">IFERROR(INDEX(Master_Lista!$B$2:$B$151,MATCH(A160,Master_Lista!$A$2:$A$151,0)),"")</f>
        <v>Filip Pavlovic</v>
      </c>
      <c r="C160" s="6" t="s">
        <v>334</v>
      </c>
      <c r="D160" s="7" t="n">
        <v>10</v>
      </c>
      <c r="E160" s="8" t="n">
        <v>46156</v>
      </c>
      <c r="F160" s="0" t="str">
        <f aca="false">IFERROR(INDEX(Sheet11_Zarade!$C$2:$C$151,MATCH(A160,Sheet11_Zarade!$A$2:$A$151,0)),"")</f>
        <v>Elektromonter</v>
      </c>
      <c r="G160" s="5" t="n">
        <f aca="false">IFERROR(INDEX(Sheet11_Zarade!$D$2:$D$151,MATCH(A160,Sheet11_Zarade!$A$2:$A$151,0)),0)</f>
        <v>8.5</v>
      </c>
      <c r="H160" s="5" t="n">
        <f aca="false">IFERROR(D160*G160,0)</f>
        <v>85</v>
      </c>
      <c r="I160" s="5" t="n">
        <f aca="false">H160*0.5%</f>
        <v>0.425</v>
      </c>
      <c r="J160" s="5" t="n">
        <f aca="false">H160+I160</f>
        <v>85.425</v>
      </c>
      <c r="K160" s="0" t="str">
        <f aca="false">IF(D160="","",IF(D160&gt;12,"FLAG",IF(D160&gt;8,"OVERTIME","OK")))</f>
        <v>OVERTIME</v>
      </c>
      <c r="L160" s="0" t="str">
        <f aca="false">IF(OR(A160="",E160="",C160=""),"",IF(COUNTIFS($A:$A,A160,$E:$E,E160,$C:$C,C160)&gt;1,"DUPLIKAT","OK"))</f>
        <v>OK</v>
      </c>
    </row>
    <row r="161" customFormat="false" ht="15" hidden="false" customHeight="false" outlineLevel="0" collapsed="false">
      <c r="A161" s="6" t="s">
        <v>124</v>
      </c>
      <c r="B161" s="0" t="str">
        <f aca="false">IFERROR(INDEX(Master_Lista!$B$2:$B$151,MATCH(A161,Master_Lista!$A$2:$A$151,0)),"")</f>
        <v>Branko Cvetkovic</v>
      </c>
      <c r="C161" s="6" t="s">
        <v>331</v>
      </c>
      <c r="D161" s="7" t="n">
        <v>8.5</v>
      </c>
      <c r="E161" s="8" t="n">
        <v>46061</v>
      </c>
      <c r="F161" s="0" t="str">
        <f aca="false">IFERROR(INDEX(Sheet11_Zarade!$C$2:$C$151,MATCH(A161,Sheet11_Zarade!$A$2:$A$151,0)),"")</f>
        <v>Elektro inženjer</v>
      </c>
      <c r="G161" s="5" t="n">
        <f aca="false">IFERROR(INDEX(Sheet11_Zarade!$D$2:$D$151,MATCH(A161,Sheet11_Zarade!$A$2:$A$151,0)),0)</f>
        <v>22</v>
      </c>
      <c r="H161" s="5" t="n">
        <f aca="false">IFERROR(D161*G161,0)</f>
        <v>187</v>
      </c>
      <c r="I161" s="5" t="n">
        <f aca="false">H161*0.5%</f>
        <v>0.935</v>
      </c>
      <c r="J161" s="5" t="n">
        <f aca="false">H161+I161</f>
        <v>187.935</v>
      </c>
      <c r="K161" s="0" t="str">
        <f aca="false">IF(D161="","",IF(D161&gt;12,"FLAG",IF(D161&gt;8,"OVERTIME","OK")))</f>
        <v>OVERTIME</v>
      </c>
      <c r="L161" s="0" t="str">
        <f aca="false">IF(OR(A161="",E161="",C161=""),"",IF(COUNTIFS($A:$A,A161,$E:$E,E161,$C:$C,C161)&gt;1,"DUPLIKAT","OK"))</f>
        <v>OK</v>
      </c>
    </row>
    <row r="162" customFormat="false" ht="15" hidden="false" customHeight="false" outlineLevel="0" collapsed="false">
      <c r="A162" s="6" t="s">
        <v>29</v>
      </c>
      <c r="B162" s="0" t="str">
        <f aca="false">IFERROR(INDEX(Master_Lista!$B$2:$B$151,MATCH(A162,Master_Lista!$A$2:$A$151,0)),"")</f>
        <v>Petar Antic</v>
      </c>
      <c r="C162" s="6" t="s">
        <v>325</v>
      </c>
      <c r="D162" s="7" t="n">
        <v>8</v>
      </c>
      <c r="E162" s="8" t="n">
        <v>46170</v>
      </c>
      <c r="F162" s="0" t="str">
        <f aca="false">IFERROR(INDEX(Sheet11_Zarade!$C$2:$C$151,MATCH(A162,Sheet11_Zarade!$A$2:$A$151,0)),"")</f>
        <v>Menadžer kvaliteta</v>
      </c>
      <c r="G162" s="5" t="n">
        <f aca="false">IFERROR(INDEX(Sheet11_Zarade!$D$2:$D$151,MATCH(A162,Sheet11_Zarade!$A$2:$A$151,0)),0)</f>
        <v>25</v>
      </c>
      <c r="H162" s="5" t="n">
        <f aca="false">IFERROR(D162*G162,0)</f>
        <v>200</v>
      </c>
      <c r="I162" s="5" t="n">
        <f aca="false">H162*0.5%</f>
        <v>1</v>
      </c>
      <c r="J162" s="5" t="n">
        <f aca="false">H162+I162</f>
        <v>201</v>
      </c>
      <c r="K162" s="0" t="str">
        <f aca="false">IF(D162="","",IF(D162&gt;12,"FLAG",IF(D162&gt;8,"OVERTIME","OK")))</f>
        <v>OK</v>
      </c>
      <c r="L162" s="0" t="str">
        <f aca="false">IF(OR(A162="",E162="",C162=""),"",IF(COUNTIFS($A:$A,A162,$E:$E,E162,$C:$C,C162)&gt;1,"DUPLIKAT","OK"))</f>
        <v>OK</v>
      </c>
    </row>
    <row r="163" customFormat="false" ht="15" hidden="false" customHeight="false" outlineLevel="0" collapsed="false">
      <c r="A163" s="6" t="s">
        <v>280</v>
      </c>
      <c r="B163" s="0" t="str">
        <f aca="false">IFERROR(INDEX(Master_Lista!$B$2:$B$151,MATCH(A163,Master_Lista!$A$2:$A$151,0)),"")</f>
        <v>Jovan Urosevic</v>
      </c>
      <c r="C163" s="6" t="s">
        <v>331</v>
      </c>
      <c r="D163" s="7" t="n">
        <v>7.5</v>
      </c>
      <c r="E163" s="8" t="n">
        <v>46161</v>
      </c>
      <c r="F163" s="0" t="str">
        <f aca="false">IFERROR(INDEX(Sheet11_Zarade!$C$2:$C$151,MATCH(A163,Sheet11_Zarade!$A$2:$A$151,0)),"")</f>
        <v>Vodeći monter</v>
      </c>
      <c r="G163" s="5" t="n">
        <f aca="false">IFERROR(INDEX(Sheet11_Zarade!$D$2:$D$151,MATCH(A163,Sheet11_Zarade!$A$2:$A$151,0)),0)</f>
        <v>11</v>
      </c>
      <c r="H163" s="5" t="n">
        <f aca="false">IFERROR(D163*G163,0)</f>
        <v>82.5</v>
      </c>
      <c r="I163" s="5" t="n">
        <f aca="false">H163*0.5%</f>
        <v>0.4125</v>
      </c>
      <c r="J163" s="5" t="n">
        <f aca="false">H163+I163</f>
        <v>82.9125</v>
      </c>
      <c r="K163" s="0" t="str">
        <f aca="false">IF(D163="","",IF(D163&gt;12,"FLAG",IF(D163&gt;8,"OVERTIME","OK")))</f>
        <v>OK</v>
      </c>
      <c r="L163" s="0" t="str">
        <f aca="false">IF(OR(A163="",E163="",C163=""),"",IF(COUNTIFS($A:$A,A163,$E:$E,E163,$C:$C,C163)&gt;1,"DUPLIKAT","OK"))</f>
        <v>OK</v>
      </c>
    </row>
    <row r="164" customFormat="false" ht="15" hidden="false" customHeight="false" outlineLevel="0" collapsed="false">
      <c r="A164" s="6" t="s">
        <v>195</v>
      </c>
      <c r="B164" s="0" t="str">
        <f aca="false">IFERROR(INDEX(Master_Lista!$B$2:$B$151,MATCH(A164,Master_Lista!$A$2:$A$151,0)),"")</f>
        <v>Biljana Lazic</v>
      </c>
      <c r="C164" s="6" t="s">
        <v>326</v>
      </c>
      <c r="D164" s="7" t="n">
        <v>10</v>
      </c>
      <c r="E164" s="8" t="n">
        <v>46045</v>
      </c>
      <c r="F164" s="0" t="str">
        <f aca="false">IFERROR(INDEX(Sheet11_Zarade!$C$2:$C$151,MATCH(A164,Sheet11_Zarade!$A$2:$A$151,0)),"")</f>
        <v>Operater prese</v>
      </c>
      <c r="G164" s="5" t="n">
        <f aca="false">IFERROR(INDEX(Sheet11_Zarade!$D$2:$D$151,MATCH(A164,Sheet11_Zarade!$A$2:$A$151,0)),0)</f>
        <v>9.5</v>
      </c>
      <c r="H164" s="5" t="n">
        <f aca="false">IFERROR(D164*G164,0)</f>
        <v>95</v>
      </c>
      <c r="I164" s="5" t="n">
        <f aca="false">H164*0.5%</f>
        <v>0.475</v>
      </c>
      <c r="J164" s="5" t="n">
        <f aca="false">H164+I164</f>
        <v>95.475</v>
      </c>
      <c r="K164" s="0" t="str">
        <f aca="false">IF(D164="","",IF(D164&gt;12,"FLAG",IF(D164&gt;8,"OVERTIME","OK")))</f>
        <v>OVERTIME</v>
      </c>
      <c r="L164" s="0" t="str">
        <f aca="false">IF(OR(A164="",E164="",C164=""),"",IF(COUNTIFS($A:$A,A164,$E:$E,E164,$C:$C,C164)&gt;1,"DUPLIKAT","OK"))</f>
        <v>OK</v>
      </c>
    </row>
    <row r="165" customFormat="false" ht="15" hidden="false" customHeight="false" outlineLevel="0" collapsed="false">
      <c r="A165" s="6" t="s">
        <v>126</v>
      </c>
      <c r="B165" s="0" t="str">
        <f aca="false">IFERROR(INDEX(Master_Lista!$B$2:$B$151,MATCH(A165,Master_Lista!$A$2:$A$151,0)),"")</f>
        <v>Nikola Cvetkovic</v>
      </c>
      <c r="C165" s="6" t="s">
        <v>325</v>
      </c>
      <c r="D165" s="7" t="n">
        <v>10</v>
      </c>
      <c r="E165" s="8" t="n">
        <v>46159</v>
      </c>
      <c r="F165" s="0" t="str">
        <f aca="false">IFERROR(INDEX(Sheet11_Zarade!$C$2:$C$151,MATCH(A165,Sheet11_Zarade!$A$2:$A$151,0)),"")</f>
        <v>Operater prese</v>
      </c>
      <c r="G165" s="5" t="n">
        <f aca="false">IFERROR(INDEX(Sheet11_Zarade!$D$2:$D$151,MATCH(A165,Sheet11_Zarade!$A$2:$A$151,0)),0)</f>
        <v>9.5</v>
      </c>
      <c r="H165" s="5" t="n">
        <f aca="false">IFERROR(D165*G165,0)</f>
        <v>95</v>
      </c>
      <c r="I165" s="5" t="n">
        <f aca="false">H165*0.5%</f>
        <v>0.475</v>
      </c>
      <c r="J165" s="5" t="n">
        <f aca="false">H165+I165</f>
        <v>95.475</v>
      </c>
      <c r="K165" s="0" t="str">
        <f aca="false">IF(D165="","",IF(D165&gt;12,"FLAG",IF(D165&gt;8,"OVERTIME","OK")))</f>
        <v>OVERTIME</v>
      </c>
      <c r="L165" s="0" t="str">
        <f aca="false">IF(OR(A165="",E165="",C165=""),"",IF(COUNTIFS($A:$A,A165,$E:$E,E165,$C:$C,C165)&gt;1,"DUPLIKAT","OK"))</f>
        <v>OK</v>
      </c>
    </row>
    <row r="166" customFormat="false" ht="15" hidden="false" customHeight="false" outlineLevel="0" collapsed="false">
      <c r="A166" s="6" t="s">
        <v>145</v>
      </c>
      <c r="B166" s="0" t="str">
        <f aca="false">IFERROR(INDEX(Master_Lista!$B$2:$B$151,MATCH(A166,Master_Lista!$A$2:$A$151,0)),"")</f>
        <v>Milan Nikolic</v>
      </c>
      <c r="C166" s="6" t="s">
        <v>326</v>
      </c>
      <c r="D166" s="7" t="n">
        <v>11</v>
      </c>
      <c r="E166" s="8" t="n">
        <v>46153</v>
      </c>
      <c r="F166" s="0" t="str">
        <f aca="false">IFERROR(INDEX(Sheet11_Zarade!$C$2:$C$151,MATCH(A166,Sheet11_Zarade!$A$2:$A$151,0)),"")</f>
        <v>Inženjer na gradilištu</v>
      </c>
      <c r="G166" s="5" t="n">
        <f aca="false">IFERROR(INDEX(Sheet11_Zarade!$D$2:$D$151,MATCH(A166,Sheet11_Zarade!$A$2:$A$151,0)),0)</f>
        <v>18</v>
      </c>
      <c r="H166" s="5" t="n">
        <f aca="false">IFERROR(D166*G166,0)</f>
        <v>198</v>
      </c>
      <c r="I166" s="5" t="n">
        <f aca="false">H166*0.5%</f>
        <v>0.99</v>
      </c>
      <c r="J166" s="5" t="n">
        <f aca="false">H166+I166</f>
        <v>198.99</v>
      </c>
      <c r="K166" s="0" t="str">
        <f aca="false">IF(D166="","",IF(D166&gt;12,"FLAG",IF(D166&gt;8,"OVERTIME","OK")))</f>
        <v>OVERTIME</v>
      </c>
      <c r="L166" s="0" t="str">
        <f aca="false">IF(OR(A166="",E166="",C166=""),"",IF(COUNTIFS($A:$A,A166,$E:$E,E166,$C:$C,C166)&gt;1,"DUPLIKAT","OK"))</f>
        <v>OK</v>
      </c>
    </row>
    <row r="167" customFormat="false" ht="15" hidden="false" customHeight="false" outlineLevel="0" collapsed="false">
      <c r="A167" s="6" t="s">
        <v>177</v>
      </c>
      <c r="B167" s="0" t="str">
        <f aca="false">IFERROR(INDEX(Master_Lista!$B$2:$B$151,MATCH(A167,Master_Lista!$A$2:$A$151,0)),"")</f>
        <v>Cedomir Markovic</v>
      </c>
      <c r="C167" s="6" t="s">
        <v>339</v>
      </c>
      <c r="D167" s="7" t="n">
        <v>11</v>
      </c>
      <c r="E167" s="8" t="n">
        <v>46167</v>
      </c>
      <c r="F167" s="0" t="str">
        <f aca="false">IFERROR(INDEX(Sheet11_Zarade!$C$2:$C$151,MATCH(A167,Sheet11_Zarade!$A$2:$A$151,0)),"")</f>
        <v>Elektromonter</v>
      </c>
      <c r="G167" s="5" t="n">
        <f aca="false">IFERROR(INDEX(Sheet11_Zarade!$D$2:$D$151,MATCH(A167,Sheet11_Zarade!$A$2:$A$151,0)),0)</f>
        <v>8.5</v>
      </c>
      <c r="H167" s="5" t="n">
        <f aca="false">IFERROR(D167*G167,0)</f>
        <v>93.5</v>
      </c>
      <c r="I167" s="5" t="n">
        <f aca="false">H167*0.5%</f>
        <v>0.4675</v>
      </c>
      <c r="J167" s="5" t="n">
        <f aca="false">H167+I167</f>
        <v>93.9675</v>
      </c>
      <c r="K167" s="0" t="str">
        <f aca="false">IF(D167="","",IF(D167&gt;12,"FLAG",IF(D167&gt;8,"OVERTIME","OK")))</f>
        <v>OVERTIME</v>
      </c>
      <c r="L167" s="0" t="str">
        <f aca="false">IF(OR(A167="",E167="",C167=""),"",IF(COUNTIFS($A:$A,A167,$E:$E,E167,$C:$C,C167)&gt;1,"DUPLIKAT","OK"))</f>
        <v>OK</v>
      </c>
    </row>
    <row r="168" customFormat="false" ht="15" hidden="false" customHeight="false" outlineLevel="0" collapsed="false">
      <c r="A168" s="6" t="s">
        <v>25</v>
      </c>
      <c r="B168" s="0" t="str">
        <f aca="false">IFERROR(INDEX(Master_Lista!$B$2:$B$151,MATCH(A168,Master_Lista!$A$2:$A$151,0)),"")</f>
        <v>Cedomir Vasic</v>
      </c>
      <c r="C168" s="6" t="s">
        <v>337</v>
      </c>
      <c r="D168" s="7" t="n">
        <v>10</v>
      </c>
      <c r="E168" s="8" t="n">
        <v>46024</v>
      </c>
      <c r="F168" s="0" t="str">
        <f aca="false">IFERROR(INDEX(Sheet11_Zarade!$C$2:$C$151,MATCH(A168,Sheet11_Zarade!$A$2:$A$151,0)),"")</f>
        <v>Magacioner</v>
      </c>
      <c r="G168" s="5" t="n">
        <f aca="false">IFERROR(INDEX(Sheet11_Zarade!$D$2:$D$151,MATCH(A168,Sheet11_Zarade!$A$2:$A$151,0)),0)</f>
        <v>7.5</v>
      </c>
      <c r="H168" s="5" t="n">
        <f aca="false">IFERROR(D168*G168,0)</f>
        <v>75</v>
      </c>
      <c r="I168" s="5" t="n">
        <f aca="false">H168*0.5%</f>
        <v>0.375</v>
      </c>
      <c r="J168" s="5" t="n">
        <f aca="false">H168+I168</f>
        <v>75.375</v>
      </c>
      <c r="K168" s="0" t="str">
        <f aca="false">IF(D168="","",IF(D168&gt;12,"FLAG",IF(D168&gt;8,"OVERTIME","OK")))</f>
        <v>OVERTIME</v>
      </c>
      <c r="L168" s="0" t="str">
        <f aca="false">IF(OR(A168="",E168="",C168=""),"",IF(COUNTIFS($A:$A,A168,$E:$E,E168,$C:$C,C168)&gt;1,"DUPLIKAT","OK"))</f>
        <v>OK</v>
      </c>
    </row>
    <row r="169" customFormat="false" ht="15" hidden="false" customHeight="false" outlineLevel="0" collapsed="false">
      <c r="A169" s="6" t="s">
        <v>77</v>
      </c>
      <c r="B169" s="0" t="str">
        <f aca="false">IFERROR(INDEX(Master_Lista!$B$2:$B$151,MATCH(A169,Master_Lista!$A$2:$A$151,0)),"")</f>
        <v>Radoslav Kostic</v>
      </c>
      <c r="C169" s="6" t="s">
        <v>334</v>
      </c>
      <c r="D169" s="7" t="n">
        <v>8.5</v>
      </c>
      <c r="E169" s="8" t="n">
        <v>46053</v>
      </c>
      <c r="F169" s="0" t="str">
        <f aca="false">IFERROR(INDEX(Sheet11_Zarade!$C$2:$C$151,MATCH(A169,Sheet11_Zarade!$A$2:$A$151,0)),"")</f>
        <v>Inženjer na gradilištu</v>
      </c>
      <c r="G169" s="5" t="n">
        <f aca="false">IFERROR(INDEX(Sheet11_Zarade!$D$2:$D$151,MATCH(A169,Sheet11_Zarade!$A$2:$A$151,0)),0)</f>
        <v>18</v>
      </c>
      <c r="H169" s="5" t="n">
        <f aca="false">IFERROR(D169*G169,0)</f>
        <v>153</v>
      </c>
      <c r="I169" s="5" t="n">
        <f aca="false">H169*0.5%</f>
        <v>0.765</v>
      </c>
      <c r="J169" s="5" t="n">
        <f aca="false">H169+I169</f>
        <v>153.765</v>
      </c>
      <c r="K169" s="0" t="str">
        <f aca="false">IF(D169="","",IF(D169&gt;12,"FLAG",IF(D169&gt;8,"OVERTIME","OK")))</f>
        <v>OVERTIME</v>
      </c>
      <c r="L169" s="0" t="str">
        <f aca="false">IF(OR(A169="",E169="",C169=""),"",IF(COUNTIFS($A:$A,A169,$E:$E,E169,$C:$C,C169)&gt;1,"DUPLIKAT","OK"))</f>
        <v>OK</v>
      </c>
    </row>
    <row r="170" customFormat="false" ht="15" hidden="false" customHeight="false" outlineLevel="0" collapsed="false">
      <c r="A170" s="6" t="s">
        <v>247</v>
      </c>
      <c r="B170" s="0" t="str">
        <f aca="false">IFERROR(INDEX(Master_Lista!$B$2:$B$151,MATCH(A170,Master_Lista!$A$2:$A$151,0)),"")</f>
        <v>Jelena Tomic</v>
      </c>
      <c r="C170" s="6" t="s">
        <v>337</v>
      </c>
      <c r="D170" s="7" t="n">
        <v>8.5</v>
      </c>
      <c r="E170" s="8" t="n">
        <v>46115</v>
      </c>
      <c r="F170" s="0" t="str">
        <f aca="false">IFERROR(INDEX(Sheet11_Zarade!$C$2:$C$151,MATCH(A170,Sheet11_Zarade!$A$2:$A$151,0)),"")</f>
        <v>Vodeći monter</v>
      </c>
      <c r="G170" s="5" t="n">
        <f aca="false">IFERROR(INDEX(Sheet11_Zarade!$D$2:$D$151,MATCH(A170,Sheet11_Zarade!$A$2:$A$151,0)),0)</f>
        <v>11</v>
      </c>
      <c r="H170" s="5" t="n">
        <f aca="false">IFERROR(D170*G170,0)</f>
        <v>93.5</v>
      </c>
      <c r="I170" s="5" t="n">
        <f aca="false">H170*0.5%</f>
        <v>0.4675</v>
      </c>
      <c r="J170" s="5" t="n">
        <f aca="false">H170+I170</f>
        <v>93.9675</v>
      </c>
      <c r="K170" s="0" t="str">
        <f aca="false">IF(D170="","",IF(D170&gt;12,"FLAG",IF(D170&gt;8,"OVERTIME","OK")))</f>
        <v>OVERTIME</v>
      </c>
      <c r="L170" s="0" t="str">
        <f aca="false">IF(OR(A170="",E170="",C170=""),"",IF(COUNTIFS($A:$A,A170,$E:$E,E170,$C:$C,C170)&gt;1,"DUPLIKAT","OK"))</f>
        <v>OK</v>
      </c>
    </row>
    <row r="171" customFormat="false" ht="15" hidden="false" customHeight="false" outlineLevel="0" collapsed="false">
      <c r="A171" s="6" t="s">
        <v>96</v>
      </c>
      <c r="B171" s="0" t="str">
        <f aca="false">IFERROR(INDEX(Master_Lista!$B$2:$B$151,MATCH(A171,Master_Lista!$A$2:$A$151,0)),"")</f>
        <v>Cedomir Vasic</v>
      </c>
      <c r="C171" s="6" t="s">
        <v>328</v>
      </c>
      <c r="D171" s="7" t="n">
        <v>10</v>
      </c>
      <c r="E171" s="8" t="n">
        <v>46028</v>
      </c>
      <c r="F171" s="0" t="str">
        <f aca="false">IFERROR(INDEX(Sheet11_Zarade!$C$2:$C$151,MATCH(A171,Sheet11_Zarade!$A$2:$A$151,0)),"")</f>
        <v>Magacioner</v>
      </c>
      <c r="G171" s="5" t="n">
        <f aca="false">IFERROR(INDEX(Sheet11_Zarade!$D$2:$D$151,MATCH(A171,Sheet11_Zarade!$A$2:$A$151,0)),0)</f>
        <v>7.5</v>
      </c>
      <c r="H171" s="5" t="n">
        <f aca="false">IFERROR(D171*G171,0)</f>
        <v>75</v>
      </c>
      <c r="I171" s="5" t="n">
        <f aca="false">H171*0.5%</f>
        <v>0.375</v>
      </c>
      <c r="J171" s="5" t="n">
        <f aca="false">H171+I171</f>
        <v>75.375</v>
      </c>
      <c r="K171" s="0" t="str">
        <f aca="false">IF(D171="","",IF(D171&gt;12,"FLAG",IF(D171&gt;8,"OVERTIME","OK")))</f>
        <v>OVERTIME</v>
      </c>
      <c r="L171" s="0" t="str">
        <f aca="false">IF(OR(A171="",E171="",C171=""),"",IF(COUNTIFS($A:$A,A171,$E:$E,E171,$C:$C,C171)&gt;1,"DUPLIKAT","OK"))</f>
        <v>OK</v>
      </c>
    </row>
    <row r="172" customFormat="false" ht="15" hidden="false" customHeight="false" outlineLevel="0" collapsed="false">
      <c r="A172" s="6" t="s">
        <v>130</v>
      </c>
      <c r="B172" s="0" t="str">
        <f aca="false">IFERROR(INDEX(Master_Lista!$B$2:$B$151,MATCH(A172,Master_Lista!$A$2:$A$151,0)),"")</f>
        <v>Petar Pavlovic</v>
      </c>
      <c r="C172" s="6" t="s">
        <v>326</v>
      </c>
      <c r="D172" s="7" t="n">
        <v>9</v>
      </c>
      <c r="E172" s="8" t="n">
        <v>46125</v>
      </c>
      <c r="F172" s="0" t="str">
        <f aca="false">IFERROR(INDEX(Sheet11_Zarade!$C$2:$C$151,MATCH(A172,Sheet11_Zarade!$A$2:$A$151,0)),"")</f>
        <v>Magacioner</v>
      </c>
      <c r="G172" s="5" t="n">
        <f aca="false">IFERROR(INDEX(Sheet11_Zarade!$D$2:$D$151,MATCH(A172,Sheet11_Zarade!$A$2:$A$151,0)),0)</f>
        <v>7.5</v>
      </c>
      <c r="H172" s="5" t="n">
        <f aca="false">IFERROR(D172*G172,0)</f>
        <v>67.5</v>
      </c>
      <c r="I172" s="5" t="n">
        <f aca="false">H172*0.5%</f>
        <v>0.3375</v>
      </c>
      <c r="J172" s="5" t="n">
        <f aca="false">H172+I172</f>
        <v>67.8375</v>
      </c>
      <c r="K172" s="0" t="str">
        <f aca="false">IF(D172="","",IF(D172&gt;12,"FLAG",IF(D172&gt;8,"OVERTIME","OK")))</f>
        <v>OVERTIME</v>
      </c>
      <c r="L172" s="0" t="str">
        <f aca="false">IF(OR(A172="",E172="",C172=""),"",IF(COUNTIFS($A:$A,A172,$E:$E,E172,$C:$C,C172)&gt;1,"DUPLIKAT","OK"))</f>
        <v>OK</v>
      </c>
    </row>
    <row r="173" customFormat="false" ht="15" hidden="false" customHeight="false" outlineLevel="0" collapsed="false">
      <c r="A173" s="6" t="s">
        <v>190</v>
      </c>
      <c r="B173" s="0" t="str">
        <f aca="false">IFERROR(INDEX(Master_Lista!$B$2:$B$151,MATCH(A173,Master_Lista!$A$2:$A$151,0)),"")</f>
        <v>Danica Cvetkovic</v>
      </c>
      <c r="C173" s="6" t="s">
        <v>335</v>
      </c>
      <c r="D173" s="7" t="n">
        <v>10</v>
      </c>
      <c r="E173" s="8" t="n">
        <v>46077</v>
      </c>
      <c r="F173" s="0" t="str">
        <f aca="false">IFERROR(INDEX(Sheet11_Zarade!$C$2:$C$151,MATCH(A173,Sheet11_Zarade!$A$2:$A$151,0)),"")</f>
        <v>Kontrola kvaliteta</v>
      </c>
      <c r="G173" s="5" t="n">
        <f aca="false">IFERROR(INDEX(Sheet11_Zarade!$D$2:$D$151,MATCH(A173,Sheet11_Zarade!$A$2:$A$151,0)),0)</f>
        <v>14</v>
      </c>
      <c r="H173" s="5" t="n">
        <f aca="false">IFERROR(D173*G173,0)</f>
        <v>140</v>
      </c>
      <c r="I173" s="5" t="n">
        <f aca="false">H173*0.5%</f>
        <v>0.7</v>
      </c>
      <c r="J173" s="5" t="n">
        <f aca="false">H173+I173</f>
        <v>140.7</v>
      </c>
      <c r="K173" s="0" t="str">
        <f aca="false">IF(D173="","",IF(D173&gt;12,"FLAG",IF(D173&gt;8,"OVERTIME","OK")))</f>
        <v>OVERTIME</v>
      </c>
      <c r="L173" s="0" t="str">
        <f aca="false">IF(OR(A173="",E173="",C173=""),"",IF(COUNTIFS($A:$A,A173,$E:$E,E173,$C:$C,C173)&gt;1,"DUPLIKAT","OK"))</f>
        <v>OK</v>
      </c>
    </row>
    <row r="174" customFormat="false" ht="15" hidden="false" customHeight="false" outlineLevel="0" collapsed="false">
      <c r="A174" s="6" t="s">
        <v>159</v>
      </c>
      <c r="B174" s="0" t="str">
        <f aca="false">IFERROR(INDEX(Master_Lista!$B$2:$B$151,MATCH(A174,Master_Lista!$A$2:$A$151,0)),"")</f>
        <v>Stefan Zivkovic</v>
      </c>
      <c r="C174" s="6" t="s">
        <v>329</v>
      </c>
      <c r="D174" s="7" t="n">
        <v>7.5</v>
      </c>
      <c r="E174" s="8" t="n">
        <v>46132</v>
      </c>
      <c r="F174" s="0" t="str">
        <f aca="false">IFERROR(INDEX(Sheet11_Zarade!$C$2:$C$151,MATCH(A174,Sheet11_Zarade!$A$2:$A$151,0)),"")</f>
        <v>Elektro inženjer</v>
      </c>
      <c r="G174" s="5" t="n">
        <f aca="false">IFERROR(INDEX(Sheet11_Zarade!$D$2:$D$151,MATCH(A174,Sheet11_Zarade!$A$2:$A$151,0)),0)</f>
        <v>22</v>
      </c>
      <c r="H174" s="5" t="n">
        <f aca="false">IFERROR(D174*G174,0)</f>
        <v>165</v>
      </c>
      <c r="I174" s="5" t="n">
        <f aca="false">H174*0.5%</f>
        <v>0.825</v>
      </c>
      <c r="J174" s="5" t="n">
        <f aca="false">H174+I174</f>
        <v>165.825</v>
      </c>
      <c r="K174" s="0" t="str">
        <f aca="false">IF(D174="","",IF(D174&gt;12,"FLAG",IF(D174&gt;8,"OVERTIME","OK")))</f>
        <v>OK</v>
      </c>
      <c r="L174" s="0" t="str">
        <f aca="false">IF(OR(A174="",E174="",C174=""),"",IF(COUNTIFS($A:$A,A174,$E:$E,E174,$C:$C,C174)&gt;1,"DUPLIKAT","OK"))</f>
        <v>OK</v>
      </c>
    </row>
    <row r="175" customFormat="false" ht="15" hidden="false" customHeight="false" outlineLevel="0" collapsed="false">
      <c r="A175" s="6" t="s">
        <v>284</v>
      </c>
      <c r="B175" s="0" t="str">
        <f aca="false">IFERROR(INDEX(Master_Lista!$B$2:$B$151,MATCH(A175,Master_Lista!$A$2:$A$151,0)),"")</f>
        <v>Dragan Tomic</v>
      </c>
      <c r="C175" s="6" t="s">
        <v>333</v>
      </c>
      <c r="D175" s="7" t="n">
        <v>9</v>
      </c>
      <c r="E175" s="8" t="n">
        <v>46163</v>
      </c>
      <c r="F175" s="0" t="str">
        <f aca="false">IFERROR(INDEX(Sheet11_Zarade!$C$2:$C$151,MATCH(A175,Sheet11_Zarade!$A$2:$A$151,0)),"")</f>
        <v>Projekt menadžer</v>
      </c>
      <c r="G175" s="5" t="n">
        <f aca="false">IFERROR(INDEX(Sheet11_Zarade!$D$2:$D$151,MATCH(A175,Sheet11_Zarade!$A$2:$A$151,0)),0)</f>
        <v>28</v>
      </c>
      <c r="H175" s="5" t="n">
        <f aca="false">IFERROR(D175*G175,0)</f>
        <v>252</v>
      </c>
      <c r="I175" s="5" t="n">
        <f aca="false">H175*0.5%</f>
        <v>1.26</v>
      </c>
      <c r="J175" s="5" t="n">
        <f aca="false">H175+I175</f>
        <v>253.26</v>
      </c>
      <c r="K175" s="0" t="str">
        <f aca="false">IF(D175="","",IF(D175&gt;12,"FLAG",IF(D175&gt;8,"OVERTIME","OK")))</f>
        <v>OVERTIME</v>
      </c>
      <c r="L175" s="0" t="str">
        <f aca="false">IF(OR(A175="",E175="",C175=""),"",IF(COUNTIFS($A:$A,A175,$E:$E,E175,$C:$C,C175)&gt;1,"DUPLIKAT","OK"))</f>
        <v>OK</v>
      </c>
    </row>
    <row r="176" customFormat="false" ht="15" hidden="false" customHeight="false" outlineLevel="0" collapsed="false">
      <c r="A176" s="6" t="s">
        <v>73</v>
      </c>
      <c r="B176" s="0" t="str">
        <f aca="false">IFERROR(INDEX(Master_Lista!$B$2:$B$151,MATCH(A176,Master_Lista!$A$2:$A$151,0)),"")</f>
        <v>Filip Tomic</v>
      </c>
      <c r="C176" s="6" t="s">
        <v>330</v>
      </c>
      <c r="D176" s="7" t="n">
        <v>8.5</v>
      </c>
      <c r="E176" s="8" t="n">
        <v>46167</v>
      </c>
      <c r="F176" s="0" t="str">
        <f aca="false">IFERROR(INDEX(Sheet11_Zarade!$C$2:$C$151,MATCH(A176,Sheet11_Zarade!$A$2:$A$151,0)),"")</f>
        <v>Elektromonter</v>
      </c>
      <c r="G176" s="5" t="n">
        <f aca="false">IFERROR(INDEX(Sheet11_Zarade!$D$2:$D$151,MATCH(A176,Sheet11_Zarade!$A$2:$A$151,0)),0)</f>
        <v>8.5</v>
      </c>
      <c r="H176" s="5" t="n">
        <f aca="false">IFERROR(D176*G176,0)</f>
        <v>72.25</v>
      </c>
      <c r="I176" s="5" t="n">
        <f aca="false">H176*0.5%</f>
        <v>0.36125</v>
      </c>
      <c r="J176" s="5" t="n">
        <f aca="false">H176+I176</f>
        <v>72.61125</v>
      </c>
      <c r="K176" s="0" t="str">
        <f aca="false">IF(D176="","",IF(D176&gt;12,"FLAG",IF(D176&gt;8,"OVERTIME","OK")))</f>
        <v>OVERTIME</v>
      </c>
      <c r="L176" s="0" t="str">
        <f aca="false">IF(OR(A176="",E176="",C176=""),"",IF(COUNTIFS($A:$A,A176,$E:$E,E176,$C:$C,C176)&gt;1,"DUPLIKAT","OK"))</f>
        <v>OK</v>
      </c>
    </row>
    <row r="177" customFormat="false" ht="15" hidden="false" customHeight="false" outlineLevel="0" collapsed="false">
      <c r="A177" s="6" t="s">
        <v>229</v>
      </c>
      <c r="B177" s="0" t="str">
        <f aca="false">IFERROR(INDEX(Master_Lista!$B$2:$B$151,MATCH(A177,Master_Lista!$A$2:$A$151,0)),"")</f>
        <v>Ivana Ilic</v>
      </c>
      <c r="C177" s="6" t="s">
        <v>328</v>
      </c>
      <c r="D177" s="7" t="n">
        <v>7.5</v>
      </c>
      <c r="E177" s="8" t="n">
        <v>46033</v>
      </c>
      <c r="F177" s="0" t="str">
        <f aca="false">IFERROR(INDEX(Sheet11_Zarade!$C$2:$C$151,MATCH(A177,Sheet11_Zarade!$A$2:$A$151,0)),"")</f>
        <v>Operater prese</v>
      </c>
      <c r="G177" s="5" t="n">
        <f aca="false">IFERROR(INDEX(Sheet11_Zarade!$D$2:$D$151,MATCH(A177,Sheet11_Zarade!$A$2:$A$151,0)),0)</f>
        <v>9.5</v>
      </c>
      <c r="H177" s="5" t="n">
        <f aca="false">IFERROR(D177*G177,0)</f>
        <v>71.25</v>
      </c>
      <c r="I177" s="5" t="n">
        <f aca="false">H177*0.5%</f>
        <v>0.35625</v>
      </c>
      <c r="J177" s="5" t="n">
        <f aca="false">H177+I177</f>
        <v>71.60625</v>
      </c>
      <c r="K177" s="0" t="str">
        <f aca="false">IF(D177="","",IF(D177&gt;12,"FLAG",IF(D177&gt;8,"OVERTIME","OK")))</f>
        <v>OK</v>
      </c>
      <c r="L177" s="0" t="str">
        <f aca="false">IF(OR(A177="",E177="",C177=""),"",IF(COUNTIFS($A:$A,A177,$E:$E,E177,$C:$C,C177)&gt;1,"DUPLIKAT","OK"))</f>
        <v>OK</v>
      </c>
    </row>
    <row r="178" customFormat="false" ht="15" hidden="false" customHeight="false" outlineLevel="0" collapsed="false">
      <c r="A178" s="6" t="s">
        <v>258</v>
      </c>
      <c r="B178" s="0" t="str">
        <f aca="false">IFERROR(INDEX(Master_Lista!$B$2:$B$151,MATCH(A178,Master_Lista!$A$2:$A$151,0)),"")</f>
        <v>Radoslav Antic</v>
      </c>
      <c r="C178" s="6" t="s">
        <v>335</v>
      </c>
      <c r="D178" s="7" t="n">
        <v>10</v>
      </c>
      <c r="E178" s="8" t="n">
        <v>46155</v>
      </c>
      <c r="F178" s="0" t="str">
        <f aca="false">IFERROR(INDEX(Sheet11_Zarade!$C$2:$C$151,MATCH(A178,Sheet11_Zarade!$A$2:$A$151,0)),"")</f>
        <v>Kontrola kvaliteta</v>
      </c>
      <c r="G178" s="5" t="n">
        <f aca="false">IFERROR(INDEX(Sheet11_Zarade!$D$2:$D$151,MATCH(A178,Sheet11_Zarade!$A$2:$A$151,0)),0)</f>
        <v>14</v>
      </c>
      <c r="H178" s="5" t="n">
        <f aca="false">IFERROR(D178*G178,0)</f>
        <v>140</v>
      </c>
      <c r="I178" s="5" t="n">
        <f aca="false">H178*0.5%</f>
        <v>0.7</v>
      </c>
      <c r="J178" s="5" t="n">
        <f aca="false">H178+I178</f>
        <v>140.7</v>
      </c>
      <c r="K178" s="0" t="str">
        <f aca="false">IF(D178="","",IF(D178&gt;12,"FLAG",IF(D178&gt;8,"OVERTIME","OK")))</f>
        <v>OVERTIME</v>
      </c>
      <c r="L178" s="0" t="str">
        <f aca="false">IF(OR(A178="",E178="",C178=""),"",IF(COUNTIFS($A:$A,A178,$E:$E,E178,$C:$C,C178)&gt;1,"DUPLIKAT","OK"))</f>
        <v>OK</v>
      </c>
    </row>
    <row r="179" customFormat="false" ht="15" hidden="false" customHeight="false" outlineLevel="0" collapsed="false">
      <c r="A179" s="6" t="s">
        <v>169</v>
      </c>
      <c r="B179" s="0" t="str">
        <f aca="false">IFERROR(INDEX(Master_Lista!$B$2:$B$151,MATCH(A179,Master_Lista!$A$2:$A$151,0)),"")</f>
        <v>Ognjen Cvetkovic</v>
      </c>
      <c r="C179" s="6" t="s">
        <v>331</v>
      </c>
      <c r="D179" s="7" t="n">
        <v>9</v>
      </c>
      <c r="E179" s="8" t="n">
        <v>46089</v>
      </c>
      <c r="F179" s="0" t="str">
        <f aca="false">IFERROR(INDEX(Sheet11_Zarade!$C$2:$C$151,MATCH(A179,Sheet11_Zarade!$A$2:$A$151,0)),"")</f>
        <v>Menadžer kvaliteta</v>
      </c>
      <c r="G179" s="5" t="n">
        <f aca="false">IFERROR(INDEX(Sheet11_Zarade!$D$2:$D$151,MATCH(A179,Sheet11_Zarade!$A$2:$A$151,0)),0)</f>
        <v>25</v>
      </c>
      <c r="H179" s="5" t="n">
        <f aca="false">IFERROR(D179*G179,0)</f>
        <v>225</v>
      </c>
      <c r="I179" s="5" t="n">
        <f aca="false">H179*0.5%</f>
        <v>1.125</v>
      </c>
      <c r="J179" s="5" t="n">
        <f aca="false">H179+I179</f>
        <v>226.125</v>
      </c>
      <c r="K179" s="0" t="str">
        <f aca="false">IF(D179="","",IF(D179&gt;12,"FLAG",IF(D179&gt;8,"OVERTIME","OK")))</f>
        <v>OVERTIME</v>
      </c>
      <c r="L179" s="0" t="str">
        <f aca="false">IF(OR(A179="",E179="",C179=""),"",IF(COUNTIFS($A:$A,A179,$E:$E,E179,$C:$C,C179)&gt;1,"DUPLIKAT","OK"))</f>
        <v>OK</v>
      </c>
    </row>
    <row r="180" customFormat="false" ht="15" hidden="false" customHeight="false" outlineLevel="0" collapsed="false">
      <c r="A180" s="6" t="s">
        <v>177</v>
      </c>
      <c r="B180" s="0" t="str">
        <f aca="false">IFERROR(INDEX(Master_Lista!$B$2:$B$151,MATCH(A180,Master_Lista!$A$2:$A$151,0)),"")</f>
        <v>Cedomir Markovic</v>
      </c>
      <c r="C180" s="6" t="s">
        <v>327</v>
      </c>
      <c r="D180" s="7" t="n">
        <v>11</v>
      </c>
      <c r="E180" s="8" t="n">
        <v>46172</v>
      </c>
      <c r="F180" s="0" t="str">
        <f aca="false">IFERROR(INDEX(Sheet11_Zarade!$C$2:$C$151,MATCH(A180,Sheet11_Zarade!$A$2:$A$151,0)),"")</f>
        <v>Elektromonter</v>
      </c>
      <c r="G180" s="5" t="n">
        <f aca="false">IFERROR(INDEX(Sheet11_Zarade!$D$2:$D$151,MATCH(A180,Sheet11_Zarade!$A$2:$A$151,0)),0)</f>
        <v>8.5</v>
      </c>
      <c r="H180" s="5" t="n">
        <f aca="false">IFERROR(D180*G180,0)</f>
        <v>93.5</v>
      </c>
      <c r="I180" s="5" t="n">
        <f aca="false">H180*0.5%</f>
        <v>0.4675</v>
      </c>
      <c r="J180" s="5" t="n">
        <f aca="false">H180+I180</f>
        <v>93.9675</v>
      </c>
      <c r="K180" s="0" t="str">
        <f aca="false">IF(D180="","",IF(D180&gt;12,"FLAG",IF(D180&gt;8,"OVERTIME","OK")))</f>
        <v>OVERTIME</v>
      </c>
      <c r="L180" s="0" t="str">
        <f aca="false">IF(OR(A180="",E180="",C180=""),"",IF(COUNTIFS($A:$A,A180,$E:$E,E180,$C:$C,C180)&gt;1,"DUPLIKAT","OK"))</f>
        <v>OK</v>
      </c>
    </row>
    <row r="181" customFormat="false" ht="15" hidden="false" customHeight="false" outlineLevel="0" collapsed="false">
      <c r="A181" s="6" t="s">
        <v>6</v>
      </c>
      <c r="B181" s="0" t="str">
        <f aca="false">IFERROR(INDEX(Master_Lista!$B$2:$B$151,MATCH(A181,Master_Lista!$A$2:$A$151,0)),"")</f>
        <v>Luka Filipovic</v>
      </c>
      <c r="C181" s="6" t="s">
        <v>326</v>
      </c>
      <c r="D181" s="7" t="n">
        <v>8.5</v>
      </c>
      <c r="E181" s="8" t="n">
        <v>46136</v>
      </c>
      <c r="F181" s="0" t="str">
        <f aca="false">IFERROR(INDEX(Sheet11_Zarade!$C$2:$C$151,MATCH(A181,Sheet11_Zarade!$A$2:$A$151,0)),"")</f>
        <v>Inženjer na gradilištu</v>
      </c>
      <c r="G181" s="5" t="n">
        <f aca="false">IFERROR(INDEX(Sheet11_Zarade!$D$2:$D$151,MATCH(A181,Sheet11_Zarade!$A$2:$A$151,0)),0)</f>
        <v>18</v>
      </c>
      <c r="H181" s="5" t="n">
        <f aca="false">IFERROR(D181*G181,0)</f>
        <v>153</v>
      </c>
      <c r="I181" s="5" t="n">
        <f aca="false">H181*0.5%</f>
        <v>0.765</v>
      </c>
      <c r="J181" s="5" t="n">
        <f aca="false">H181+I181</f>
        <v>153.765</v>
      </c>
      <c r="K181" s="0" t="str">
        <f aca="false">IF(D181="","",IF(D181&gt;12,"FLAG",IF(D181&gt;8,"OVERTIME","OK")))</f>
        <v>OVERTIME</v>
      </c>
      <c r="L181" s="0" t="str">
        <f aca="false">IF(OR(A181="",E181="",C181=""),"",IF(COUNTIFS($A:$A,A181,$E:$E,E181,$C:$C,C181)&gt;1,"DUPLIKAT","OK"))</f>
        <v>OK</v>
      </c>
    </row>
    <row r="182" customFormat="false" ht="15" hidden="false" customHeight="false" outlineLevel="0" collapsed="false">
      <c r="A182" s="6"/>
      <c r="B182" s="0" t="str">
        <f aca="false">IFERROR(INDEX(Master_Lista!$B$2:$B$151,MATCH(A182,Master_Lista!$A$2:$A$151,0)),"")</f>
        <v/>
      </c>
      <c r="C182" s="6"/>
      <c r="D182" s="7"/>
      <c r="E182" s="8"/>
      <c r="F182" s="0" t="str">
        <f aca="false">IFERROR(INDEX(Sheet11_Zarade!$C$2:$C$151,MATCH(A182,Sheet11_Zarade!$A$2:$A$151,0)),"")</f>
        <v/>
      </c>
      <c r="G182" s="5" t="n">
        <f aca="false">IFERROR(INDEX(Sheet11_Zarade!$D$2:$D$151,MATCH(A182,Sheet11_Zarade!$A$2:$A$151,0)),0)</f>
        <v>0</v>
      </c>
      <c r="H182" s="5" t="n">
        <f aca="false">IFERROR(D182*G182,0)</f>
        <v>0</v>
      </c>
      <c r="I182" s="5" t="n">
        <f aca="false">H182*0.5%</f>
        <v>0</v>
      </c>
      <c r="J182" s="5" t="n">
        <f aca="false">H182+I182</f>
        <v>0</v>
      </c>
      <c r="K182" s="0" t="str">
        <f aca="false">IF(D182="","",IF(D182&gt;12,"FLAG",IF(D182&gt;8,"OVERTIME","OK")))</f>
        <v/>
      </c>
      <c r="L182" s="0" t="str">
        <f aca="false">IF(OR(A182="",E182="",C182=""),"",IF(COUNTIFS($A:$A,A182,$E:$E,E182,$C:$C,C182)&gt;1,"DUPLIKAT","OK"))</f>
        <v/>
      </c>
    </row>
    <row r="183" customFormat="false" ht="15" hidden="false" customHeight="false" outlineLevel="0" collapsed="false">
      <c r="A183" s="6"/>
      <c r="B183" s="0" t="str">
        <f aca="false">IFERROR(INDEX(Master_Lista!$B$2:$B$151,MATCH(A183,Master_Lista!$A$2:$A$151,0)),"")</f>
        <v/>
      </c>
      <c r="C183" s="6"/>
      <c r="D183" s="7"/>
      <c r="E183" s="8"/>
      <c r="F183" s="0" t="str">
        <f aca="false">IFERROR(INDEX(Sheet11_Zarade!$C$2:$C$151,MATCH(A183,Sheet11_Zarade!$A$2:$A$151,0)),"")</f>
        <v/>
      </c>
      <c r="G183" s="5" t="n">
        <f aca="false">IFERROR(INDEX(Sheet11_Zarade!$D$2:$D$151,MATCH(A183,Sheet11_Zarade!$A$2:$A$151,0)),0)</f>
        <v>0</v>
      </c>
      <c r="H183" s="5" t="n">
        <f aca="false">IFERROR(D183*G183,0)</f>
        <v>0</v>
      </c>
      <c r="I183" s="5" t="n">
        <f aca="false">H183*0.5%</f>
        <v>0</v>
      </c>
      <c r="J183" s="5" t="n">
        <f aca="false">H183+I183</f>
        <v>0</v>
      </c>
      <c r="K183" s="0" t="str">
        <f aca="false">IF(D183="","",IF(D183&gt;12,"FLAG",IF(D183&gt;8,"OVERTIME","OK")))</f>
        <v/>
      </c>
      <c r="L183" s="0" t="str">
        <f aca="false">IF(OR(A183="",E183="",C183=""),"",IF(COUNTIFS($A:$A,A183,$E:$E,E183,$C:$C,C183)&gt;1,"DUPLIKAT","OK"))</f>
        <v/>
      </c>
    </row>
    <row r="184" customFormat="false" ht="15" hidden="false" customHeight="false" outlineLevel="0" collapsed="false">
      <c r="A184" s="6"/>
      <c r="B184" s="0" t="str">
        <f aca="false">IFERROR(INDEX(Master_Lista!$B$2:$B$151,MATCH(A184,Master_Lista!$A$2:$A$151,0)),"")</f>
        <v/>
      </c>
      <c r="C184" s="6"/>
      <c r="D184" s="7"/>
      <c r="E184" s="8"/>
      <c r="F184" s="0" t="str">
        <f aca="false">IFERROR(INDEX(Sheet11_Zarade!$C$2:$C$151,MATCH(A184,Sheet11_Zarade!$A$2:$A$151,0)),"")</f>
        <v/>
      </c>
      <c r="G184" s="5" t="n">
        <f aca="false">IFERROR(INDEX(Sheet11_Zarade!$D$2:$D$151,MATCH(A184,Sheet11_Zarade!$A$2:$A$151,0)),0)</f>
        <v>0</v>
      </c>
      <c r="H184" s="5" t="n">
        <f aca="false">IFERROR(D184*G184,0)</f>
        <v>0</v>
      </c>
      <c r="I184" s="5" t="n">
        <f aca="false">H184*0.5%</f>
        <v>0</v>
      </c>
      <c r="J184" s="5" t="n">
        <f aca="false">H184+I184</f>
        <v>0</v>
      </c>
      <c r="K184" s="0" t="str">
        <f aca="false">IF(D184="","",IF(D184&gt;12,"FLAG",IF(D184&gt;8,"OVERTIME","OK")))</f>
        <v/>
      </c>
      <c r="L184" s="0" t="str">
        <f aca="false">IF(OR(A184="",E184="",C184=""),"",IF(COUNTIFS($A:$A,A184,$E:$E,E184,$C:$C,C184)&gt;1,"DUPLIKAT","OK"))</f>
        <v/>
      </c>
    </row>
    <row r="185" customFormat="false" ht="15" hidden="false" customHeight="false" outlineLevel="0" collapsed="false">
      <c r="A185" s="6"/>
      <c r="B185" s="0" t="str">
        <f aca="false">IFERROR(INDEX(Master_Lista!$B$2:$B$151,MATCH(A185,Master_Lista!$A$2:$A$151,0)),"")</f>
        <v/>
      </c>
      <c r="C185" s="6"/>
      <c r="D185" s="7"/>
      <c r="E185" s="8"/>
      <c r="F185" s="0" t="str">
        <f aca="false">IFERROR(INDEX(Sheet11_Zarade!$C$2:$C$151,MATCH(A185,Sheet11_Zarade!$A$2:$A$151,0)),"")</f>
        <v/>
      </c>
      <c r="G185" s="5" t="n">
        <f aca="false">IFERROR(INDEX(Sheet11_Zarade!$D$2:$D$151,MATCH(A185,Sheet11_Zarade!$A$2:$A$151,0)),0)</f>
        <v>0</v>
      </c>
      <c r="H185" s="5" t="n">
        <f aca="false">IFERROR(D185*G185,0)</f>
        <v>0</v>
      </c>
      <c r="I185" s="5" t="n">
        <f aca="false">H185*0.5%</f>
        <v>0</v>
      </c>
      <c r="J185" s="5" t="n">
        <f aca="false">H185+I185</f>
        <v>0</v>
      </c>
      <c r="K185" s="0" t="str">
        <f aca="false">IF(D185="","",IF(D185&gt;12,"FLAG",IF(D185&gt;8,"OVERTIME","OK")))</f>
        <v/>
      </c>
      <c r="L185" s="0" t="str">
        <f aca="false">IF(OR(A185="",E185="",C185=""),"",IF(COUNTIFS($A:$A,A185,$E:$E,E185,$C:$C,C185)&gt;1,"DUPLIKAT","OK"))</f>
        <v/>
      </c>
    </row>
    <row r="186" customFormat="false" ht="15" hidden="false" customHeight="false" outlineLevel="0" collapsed="false">
      <c r="A186" s="6"/>
      <c r="B186" s="0" t="str">
        <f aca="false">IFERROR(INDEX(Master_Lista!$B$2:$B$151,MATCH(A186,Master_Lista!$A$2:$A$151,0)),"")</f>
        <v/>
      </c>
      <c r="C186" s="6"/>
      <c r="D186" s="7"/>
      <c r="E186" s="8"/>
      <c r="F186" s="0" t="str">
        <f aca="false">IFERROR(INDEX(Sheet11_Zarade!$C$2:$C$151,MATCH(A186,Sheet11_Zarade!$A$2:$A$151,0)),"")</f>
        <v/>
      </c>
      <c r="G186" s="5" t="n">
        <f aca="false">IFERROR(INDEX(Sheet11_Zarade!$D$2:$D$151,MATCH(A186,Sheet11_Zarade!$A$2:$A$151,0)),0)</f>
        <v>0</v>
      </c>
      <c r="H186" s="5" t="n">
        <f aca="false">IFERROR(D186*G186,0)</f>
        <v>0</v>
      </c>
      <c r="I186" s="5" t="n">
        <f aca="false">H186*0.5%</f>
        <v>0</v>
      </c>
      <c r="J186" s="5" t="n">
        <f aca="false">H186+I186</f>
        <v>0</v>
      </c>
      <c r="K186" s="0" t="str">
        <f aca="false">IF(D186="","",IF(D186&gt;12,"FLAG",IF(D186&gt;8,"OVERTIME","OK")))</f>
        <v/>
      </c>
      <c r="L186" s="0" t="str">
        <f aca="false">IF(OR(A186="",E186="",C186=""),"",IF(COUNTIFS($A:$A,A186,$E:$E,E186,$C:$C,C186)&gt;1,"DUPLIKAT","OK"))</f>
        <v/>
      </c>
    </row>
    <row r="187" customFormat="false" ht="15" hidden="false" customHeight="false" outlineLevel="0" collapsed="false">
      <c r="A187" s="6"/>
      <c r="B187" s="0" t="str">
        <f aca="false">IFERROR(INDEX(Master_Lista!$B$2:$B$151,MATCH(A187,Master_Lista!$A$2:$A$151,0)),"")</f>
        <v/>
      </c>
      <c r="C187" s="6"/>
      <c r="D187" s="7"/>
      <c r="E187" s="8"/>
      <c r="F187" s="0" t="str">
        <f aca="false">IFERROR(INDEX(Sheet11_Zarade!$C$2:$C$151,MATCH(A187,Sheet11_Zarade!$A$2:$A$151,0)),"")</f>
        <v/>
      </c>
      <c r="G187" s="5" t="n">
        <f aca="false">IFERROR(INDEX(Sheet11_Zarade!$D$2:$D$151,MATCH(A187,Sheet11_Zarade!$A$2:$A$151,0)),0)</f>
        <v>0</v>
      </c>
      <c r="H187" s="5" t="n">
        <f aca="false">IFERROR(D187*G187,0)</f>
        <v>0</v>
      </c>
      <c r="I187" s="5" t="n">
        <f aca="false">H187*0.5%</f>
        <v>0</v>
      </c>
      <c r="J187" s="5" t="n">
        <f aca="false">H187+I187</f>
        <v>0</v>
      </c>
      <c r="K187" s="0" t="str">
        <f aca="false">IF(D187="","",IF(D187&gt;12,"FLAG",IF(D187&gt;8,"OVERTIME","OK")))</f>
        <v/>
      </c>
      <c r="L187" s="0" t="str">
        <f aca="false">IF(OR(A187="",E187="",C187=""),"",IF(COUNTIFS($A:$A,A187,$E:$E,E187,$C:$C,C187)&gt;1,"DUPLIKAT","OK"))</f>
        <v/>
      </c>
    </row>
    <row r="188" customFormat="false" ht="15" hidden="false" customHeight="false" outlineLevel="0" collapsed="false">
      <c r="A188" s="6"/>
      <c r="B188" s="0" t="str">
        <f aca="false">IFERROR(INDEX(Master_Lista!$B$2:$B$151,MATCH(A188,Master_Lista!$A$2:$A$151,0)),"")</f>
        <v/>
      </c>
      <c r="C188" s="6"/>
      <c r="D188" s="7"/>
      <c r="E188" s="8"/>
      <c r="F188" s="0" t="str">
        <f aca="false">IFERROR(INDEX(Sheet11_Zarade!$C$2:$C$151,MATCH(A188,Sheet11_Zarade!$A$2:$A$151,0)),"")</f>
        <v/>
      </c>
      <c r="G188" s="5" t="n">
        <f aca="false">IFERROR(INDEX(Sheet11_Zarade!$D$2:$D$151,MATCH(A188,Sheet11_Zarade!$A$2:$A$151,0)),0)</f>
        <v>0</v>
      </c>
      <c r="H188" s="5" t="n">
        <f aca="false">IFERROR(D188*G188,0)</f>
        <v>0</v>
      </c>
      <c r="I188" s="5" t="n">
        <f aca="false">H188*0.5%</f>
        <v>0</v>
      </c>
      <c r="J188" s="5" t="n">
        <f aca="false">H188+I188</f>
        <v>0</v>
      </c>
      <c r="K188" s="0" t="str">
        <f aca="false">IF(D188="","",IF(D188&gt;12,"FLAG",IF(D188&gt;8,"OVERTIME","OK")))</f>
        <v/>
      </c>
      <c r="L188" s="0" t="str">
        <f aca="false">IF(OR(A188="",E188="",C188=""),"",IF(COUNTIFS($A:$A,A188,$E:$E,E188,$C:$C,C188)&gt;1,"DUPLIKAT","OK"))</f>
        <v/>
      </c>
    </row>
    <row r="189" customFormat="false" ht="15" hidden="false" customHeight="false" outlineLevel="0" collapsed="false">
      <c r="A189" s="6"/>
      <c r="B189" s="0" t="str">
        <f aca="false">IFERROR(INDEX(Master_Lista!$B$2:$B$151,MATCH(A189,Master_Lista!$A$2:$A$151,0)),"")</f>
        <v/>
      </c>
      <c r="C189" s="6"/>
      <c r="D189" s="7"/>
      <c r="E189" s="8"/>
      <c r="F189" s="0" t="str">
        <f aca="false">IFERROR(INDEX(Sheet11_Zarade!$C$2:$C$151,MATCH(A189,Sheet11_Zarade!$A$2:$A$151,0)),"")</f>
        <v/>
      </c>
      <c r="G189" s="5" t="n">
        <f aca="false">IFERROR(INDEX(Sheet11_Zarade!$D$2:$D$151,MATCH(A189,Sheet11_Zarade!$A$2:$A$151,0)),0)</f>
        <v>0</v>
      </c>
      <c r="H189" s="5" t="n">
        <f aca="false">IFERROR(D189*G189,0)</f>
        <v>0</v>
      </c>
      <c r="I189" s="5" t="n">
        <f aca="false">H189*0.5%</f>
        <v>0</v>
      </c>
      <c r="J189" s="5" t="n">
        <f aca="false">H189+I189</f>
        <v>0</v>
      </c>
      <c r="K189" s="0" t="str">
        <f aca="false">IF(D189="","",IF(D189&gt;12,"FLAG",IF(D189&gt;8,"OVERTIME","OK")))</f>
        <v/>
      </c>
      <c r="L189" s="0" t="str">
        <f aca="false">IF(OR(A189="",E189="",C189=""),"",IF(COUNTIFS($A:$A,A189,$E:$E,E189,$C:$C,C189)&gt;1,"DUPLIKAT","OK"))</f>
        <v/>
      </c>
    </row>
    <row r="190" customFormat="false" ht="15" hidden="false" customHeight="false" outlineLevel="0" collapsed="false">
      <c r="A190" s="6"/>
      <c r="B190" s="0" t="str">
        <f aca="false">IFERROR(INDEX(Master_Lista!$B$2:$B$151,MATCH(A190,Master_Lista!$A$2:$A$151,0)),"")</f>
        <v/>
      </c>
      <c r="C190" s="6"/>
      <c r="D190" s="7"/>
      <c r="E190" s="8"/>
      <c r="F190" s="0" t="str">
        <f aca="false">IFERROR(INDEX(Sheet11_Zarade!$C$2:$C$151,MATCH(A190,Sheet11_Zarade!$A$2:$A$151,0)),"")</f>
        <v/>
      </c>
      <c r="G190" s="5" t="n">
        <f aca="false">IFERROR(INDEX(Sheet11_Zarade!$D$2:$D$151,MATCH(A190,Sheet11_Zarade!$A$2:$A$151,0)),0)</f>
        <v>0</v>
      </c>
      <c r="H190" s="5" t="n">
        <f aca="false">IFERROR(D190*G190,0)</f>
        <v>0</v>
      </c>
      <c r="I190" s="5" t="n">
        <f aca="false">H190*0.5%</f>
        <v>0</v>
      </c>
      <c r="J190" s="5" t="n">
        <f aca="false">H190+I190</f>
        <v>0</v>
      </c>
      <c r="K190" s="0" t="str">
        <f aca="false">IF(D190="","",IF(D190&gt;12,"FLAG",IF(D190&gt;8,"OVERTIME","OK")))</f>
        <v/>
      </c>
      <c r="L190" s="0" t="str">
        <f aca="false">IF(OR(A190="",E190="",C190=""),"",IF(COUNTIFS($A:$A,A190,$E:$E,E190,$C:$C,C190)&gt;1,"DUPLIKAT","OK"))</f>
        <v/>
      </c>
    </row>
    <row r="191" customFormat="false" ht="15" hidden="false" customHeight="false" outlineLevel="0" collapsed="false">
      <c r="A191" s="6"/>
      <c r="B191" s="0" t="str">
        <f aca="false">IFERROR(INDEX(Master_Lista!$B$2:$B$151,MATCH(A191,Master_Lista!$A$2:$A$151,0)),"")</f>
        <v/>
      </c>
      <c r="C191" s="6"/>
      <c r="D191" s="7"/>
      <c r="E191" s="8"/>
      <c r="F191" s="0" t="str">
        <f aca="false">IFERROR(INDEX(Sheet11_Zarade!$C$2:$C$151,MATCH(A191,Sheet11_Zarade!$A$2:$A$151,0)),"")</f>
        <v/>
      </c>
      <c r="G191" s="5" t="n">
        <f aca="false">IFERROR(INDEX(Sheet11_Zarade!$D$2:$D$151,MATCH(A191,Sheet11_Zarade!$A$2:$A$151,0)),0)</f>
        <v>0</v>
      </c>
      <c r="H191" s="5" t="n">
        <f aca="false">IFERROR(D191*G191,0)</f>
        <v>0</v>
      </c>
      <c r="I191" s="5" t="n">
        <f aca="false">H191*0.5%</f>
        <v>0</v>
      </c>
      <c r="J191" s="5" t="n">
        <f aca="false">H191+I191</f>
        <v>0</v>
      </c>
      <c r="K191" s="0" t="str">
        <f aca="false">IF(D191="","",IF(D191&gt;12,"FLAG",IF(D191&gt;8,"OVERTIME","OK")))</f>
        <v/>
      </c>
      <c r="L191" s="0" t="str">
        <f aca="false">IF(OR(A191="",E191="",C191=""),"",IF(COUNTIFS($A:$A,A191,$E:$E,E191,$C:$C,C191)&gt;1,"DUPLIKAT","OK"))</f>
        <v/>
      </c>
    </row>
    <row r="192" customFormat="false" ht="15" hidden="false" customHeight="false" outlineLevel="0" collapsed="false">
      <c r="A192" s="6"/>
      <c r="B192" s="0" t="str">
        <f aca="false">IFERROR(INDEX(Master_Lista!$B$2:$B$151,MATCH(A192,Master_Lista!$A$2:$A$151,0)),"")</f>
        <v/>
      </c>
      <c r="C192" s="6"/>
      <c r="D192" s="7"/>
      <c r="E192" s="8"/>
      <c r="F192" s="0" t="str">
        <f aca="false">IFERROR(INDEX(Sheet11_Zarade!$C$2:$C$151,MATCH(A192,Sheet11_Zarade!$A$2:$A$151,0)),"")</f>
        <v/>
      </c>
      <c r="G192" s="5" t="n">
        <f aca="false">IFERROR(INDEX(Sheet11_Zarade!$D$2:$D$151,MATCH(A192,Sheet11_Zarade!$A$2:$A$151,0)),0)</f>
        <v>0</v>
      </c>
      <c r="H192" s="5" t="n">
        <f aca="false">IFERROR(D192*G192,0)</f>
        <v>0</v>
      </c>
      <c r="I192" s="5" t="n">
        <f aca="false">H192*0.5%</f>
        <v>0</v>
      </c>
      <c r="J192" s="5" t="n">
        <f aca="false">H192+I192</f>
        <v>0</v>
      </c>
      <c r="K192" s="0" t="str">
        <f aca="false">IF(D192="","",IF(D192&gt;12,"FLAG",IF(D192&gt;8,"OVERTIME","OK")))</f>
        <v/>
      </c>
      <c r="L192" s="0" t="str">
        <f aca="false">IF(OR(A192="",E192="",C192=""),"",IF(COUNTIFS($A:$A,A192,$E:$E,E192,$C:$C,C192)&gt;1,"DUPLIKAT","OK"))</f>
        <v/>
      </c>
    </row>
    <row r="193" customFormat="false" ht="15" hidden="false" customHeight="false" outlineLevel="0" collapsed="false">
      <c r="A193" s="6"/>
      <c r="B193" s="0" t="str">
        <f aca="false">IFERROR(INDEX(Master_Lista!$B$2:$B$151,MATCH(A193,Master_Lista!$A$2:$A$151,0)),"")</f>
        <v/>
      </c>
      <c r="C193" s="6"/>
      <c r="D193" s="7"/>
      <c r="E193" s="8"/>
      <c r="F193" s="0" t="str">
        <f aca="false">IFERROR(INDEX(Sheet11_Zarade!$C$2:$C$151,MATCH(A193,Sheet11_Zarade!$A$2:$A$151,0)),"")</f>
        <v/>
      </c>
      <c r="G193" s="5" t="n">
        <f aca="false">IFERROR(INDEX(Sheet11_Zarade!$D$2:$D$151,MATCH(A193,Sheet11_Zarade!$A$2:$A$151,0)),0)</f>
        <v>0</v>
      </c>
      <c r="H193" s="5" t="n">
        <f aca="false">IFERROR(D193*G193,0)</f>
        <v>0</v>
      </c>
      <c r="I193" s="5" t="n">
        <f aca="false">H193*0.5%</f>
        <v>0</v>
      </c>
      <c r="J193" s="5" t="n">
        <f aca="false">H193+I193</f>
        <v>0</v>
      </c>
      <c r="K193" s="0" t="str">
        <f aca="false">IF(D193="","",IF(D193&gt;12,"FLAG",IF(D193&gt;8,"OVERTIME","OK")))</f>
        <v/>
      </c>
      <c r="L193" s="0" t="str">
        <f aca="false">IF(OR(A193="",E193="",C193=""),"",IF(COUNTIFS($A:$A,A193,$E:$E,E193,$C:$C,C193)&gt;1,"DUPLIKAT","OK"))</f>
        <v/>
      </c>
    </row>
    <row r="194" customFormat="false" ht="15" hidden="false" customHeight="false" outlineLevel="0" collapsed="false">
      <c r="A194" s="6"/>
      <c r="B194" s="0" t="str">
        <f aca="false">IFERROR(INDEX(Master_Lista!$B$2:$B$151,MATCH(A194,Master_Lista!$A$2:$A$151,0)),"")</f>
        <v/>
      </c>
      <c r="C194" s="6"/>
      <c r="D194" s="7"/>
      <c r="E194" s="8"/>
      <c r="F194" s="0" t="str">
        <f aca="false">IFERROR(INDEX(Sheet11_Zarade!$C$2:$C$151,MATCH(A194,Sheet11_Zarade!$A$2:$A$151,0)),"")</f>
        <v/>
      </c>
      <c r="G194" s="5" t="n">
        <f aca="false">IFERROR(INDEX(Sheet11_Zarade!$D$2:$D$151,MATCH(A194,Sheet11_Zarade!$A$2:$A$151,0)),0)</f>
        <v>0</v>
      </c>
      <c r="H194" s="5" t="n">
        <f aca="false">IFERROR(D194*G194,0)</f>
        <v>0</v>
      </c>
      <c r="I194" s="5" t="n">
        <f aca="false">H194*0.5%</f>
        <v>0</v>
      </c>
      <c r="J194" s="5" t="n">
        <f aca="false">H194+I194</f>
        <v>0</v>
      </c>
      <c r="K194" s="0" t="str">
        <f aca="false">IF(D194="","",IF(D194&gt;12,"FLAG",IF(D194&gt;8,"OVERTIME","OK")))</f>
        <v/>
      </c>
      <c r="L194" s="0" t="str">
        <f aca="false">IF(OR(A194="",E194="",C194=""),"",IF(COUNTIFS($A:$A,A194,$E:$E,E194,$C:$C,C194)&gt;1,"DUPLIKAT","OK"))</f>
        <v/>
      </c>
    </row>
    <row r="195" customFormat="false" ht="15" hidden="false" customHeight="false" outlineLevel="0" collapsed="false">
      <c r="A195" s="6"/>
      <c r="B195" s="0" t="str">
        <f aca="false">IFERROR(INDEX(Master_Lista!$B$2:$B$151,MATCH(A195,Master_Lista!$A$2:$A$151,0)),"")</f>
        <v/>
      </c>
      <c r="C195" s="6"/>
      <c r="D195" s="7"/>
      <c r="E195" s="8"/>
      <c r="F195" s="0" t="str">
        <f aca="false">IFERROR(INDEX(Sheet11_Zarade!$C$2:$C$151,MATCH(A195,Sheet11_Zarade!$A$2:$A$151,0)),"")</f>
        <v/>
      </c>
      <c r="G195" s="5" t="n">
        <f aca="false">IFERROR(INDEX(Sheet11_Zarade!$D$2:$D$151,MATCH(A195,Sheet11_Zarade!$A$2:$A$151,0)),0)</f>
        <v>0</v>
      </c>
      <c r="H195" s="5" t="n">
        <f aca="false">IFERROR(D195*G195,0)</f>
        <v>0</v>
      </c>
      <c r="I195" s="5" t="n">
        <f aca="false">H195*0.5%</f>
        <v>0</v>
      </c>
      <c r="J195" s="5" t="n">
        <f aca="false">H195+I195</f>
        <v>0</v>
      </c>
      <c r="K195" s="0" t="str">
        <f aca="false">IF(D195="","",IF(D195&gt;12,"FLAG",IF(D195&gt;8,"OVERTIME","OK")))</f>
        <v/>
      </c>
      <c r="L195" s="0" t="str">
        <f aca="false">IF(OR(A195="",E195="",C195=""),"",IF(COUNTIFS($A:$A,A195,$E:$E,E195,$C:$C,C195)&gt;1,"DUPLIKAT","OK"))</f>
        <v/>
      </c>
    </row>
    <row r="196" customFormat="false" ht="15" hidden="false" customHeight="false" outlineLevel="0" collapsed="false">
      <c r="A196" s="6"/>
      <c r="B196" s="0" t="str">
        <f aca="false">IFERROR(INDEX(Master_Lista!$B$2:$B$151,MATCH(A196,Master_Lista!$A$2:$A$151,0)),"")</f>
        <v/>
      </c>
      <c r="C196" s="6"/>
      <c r="D196" s="7"/>
      <c r="E196" s="8"/>
      <c r="F196" s="0" t="str">
        <f aca="false">IFERROR(INDEX(Sheet11_Zarade!$C$2:$C$151,MATCH(A196,Sheet11_Zarade!$A$2:$A$151,0)),"")</f>
        <v/>
      </c>
      <c r="G196" s="5" t="n">
        <f aca="false">IFERROR(INDEX(Sheet11_Zarade!$D$2:$D$151,MATCH(A196,Sheet11_Zarade!$A$2:$A$151,0)),0)</f>
        <v>0</v>
      </c>
      <c r="H196" s="5" t="n">
        <f aca="false">IFERROR(D196*G196,0)</f>
        <v>0</v>
      </c>
      <c r="I196" s="5" t="n">
        <f aca="false">H196*0.5%</f>
        <v>0</v>
      </c>
      <c r="J196" s="5" t="n">
        <f aca="false">H196+I196</f>
        <v>0</v>
      </c>
      <c r="K196" s="0" t="str">
        <f aca="false">IF(D196="","",IF(D196&gt;12,"FLAG",IF(D196&gt;8,"OVERTIME","OK")))</f>
        <v/>
      </c>
      <c r="L196" s="0" t="str">
        <f aca="false">IF(OR(A196="",E196="",C196=""),"",IF(COUNTIFS($A:$A,A196,$E:$E,E196,$C:$C,C196)&gt;1,"DUPLIKAT","OK"))</f>
        <v/>
      </c>
    </row>
    <row r="197" customFormat="false" ht="15" hidden="false" customHeight="false" outlineLevel="0" collapsed="false">
      <c r="A197" s="6"/>
      <c r="B197" s="0" t="str">
        <f aca="false">IFERROR(INDEX(Master_Lista!$B$2:$B$151,MATCH(A197,Master_Lista!$A$2:$A$151,0)),"")</f>
        <v/>
      </c>
      <c r="C197" s="6"/>
      <c r="D197" s="7"/>
      <c r="E197" s="8"/>
      <c r="F197" s="0" t="str">
        <f aca="false">IFERROR(INDEX(Sheet11_Zarade!$C$2:$C$151,MATCH(A197,Sheet11_Zarade!$A$2:$A$151,0)),"")</f>
        <v/>
      </c>
      <c r="G197" s="5" t="n">
        <f aca="false">IFERROR(INDEX(Sheet11_Zarade!$D$2:$D$151,MATCH(A197,Sheet11_Zarade!$A$2:$A$151,0)),0)</f>
        <v>0</v>
      </c>
      <c r="H197" s="5" t="n">
        <f aca="false">IFERROR(D197*G197,0)</f>
        <v>0</v>
      </c>
      <c r="I197" s="5" t="n">
        <f aca="false">H197*0.5%</f>
        <v>0</v>
      </c>
      <c r="J197" s="5" t="n">
        <f aca="false">H197+I197</f>
        <v>0</v>
      </c>
      <c r="K197" s="0" t="str">
        <f aca="false">IF(D197="","",IF(D197&gt;12,"FLAG",IF(D197&gt;8,"OVERTIME","OK")))</f>
        <v/>
      </c>
      <c r="L197" s="0" t="str">
        <f aca="false">IF(OR(A197="",E197="",C197=""),"",IF(COUNTIFS($A:$A,A197,$E:$E,E197,$C:$C,C197)&gt;1,"DUPLIKAT","OK"))</f>
        <v/>
      </c>
    </row>
    <row r="198" customFormat="false" ht="15" hidden="false" customHeight="false" outlineLevel="0" collapsed="false">
      <c r="A198" s="6"/>
      <c r="B198" s="0" t="str">
        <f aca="false">IFERROR(INDEX(Master_Lista!$B$2:$B$151,MATCH(A198,Master_Lista!$A$2:$A$151,0)),"")</f>
        <v/>
      </c>
      <c r="C198" s="6"/>
      <c r="D198" s="7"/>
      <c r="E198" s="8"/>
      <c r="F198" s="0" t="str">
        <f aca="false">IFERROR(INDEX(Sheet11_Zarade!$C$2:$C$151,MATCH(A198,Sheet11_Zarade!$A$2:$A$151,0)),"")</f>
        <v/>
      </c>
      <c r="G198" s="5" t="n">
        <f aca="false">IFERROR(INDEX(Sheet11_Zarade!$D$2:$D$151,MATCH(A198,Sheet11_Zarade!$A$2:$A$151,0)),0)</f>
        <v>0</v>
      </c>
      <c r="H198" s="5" t="n">
        <f aca="false">IFERROR(D198*G198,0)</f>
        <v>0</v>
      </c>
      <c r="I198" s="5" t="n">
        <f aca="false">H198*0.5%</f>
        <v>0</v>
      </c>
      <c r="J198" s="5" t="n">
        <f aca="false">H198+I198</f>
        <v>0</v>
      </c>
      <c r="K198" s="0" t="str">
        <f aca="false">IF(D198="","",IF(D198&gt;12,"FLAG",IF(D198&gt;8,"OVERTIME","OK")))</f>
        <v/>
      </c>
      <c r="L198" s="0" t="str">
        <f aca="false">IF(OR(A198="",E198="",C198=""),"",IF(COUNTIFS($A:$A,A198,$E:$E,E198,$C:$C,C198)&gt;1,"DUPLIKAT","OK"))</f>
        <v/>
      </c>
    </row>
    <row r="199" customFormat="false" ht="15" hidden="false" customHeight="false" outlineLevel="0" collapsed="false">
      <c r="A199" s="6"/>
      <c r="B199" s="0" t="str">
        <f aca="false">IFERROR(INDEX(Master_Lista!$B$2:$B$151,MATCH(A199,Master_Lista!$A$2:$A$151,0)),"")</f>
        <v/>
      </c>
      <c r="C199" s="6"/>
      <c r="D199" s="7"/>
      <c r="E199" s="8"/>
      <c r="F199" s="0" t="str">
        <f aca="false">IFERROR(INDEX(Sheet11_Zarade!$C$2:$C$151,MATCH(A199,Sheet11_Zarade!$A$2:$A$151,0)),"")</f>
        <v/>
      </c>
      <c r="G199" s="5" t="n">
        <f aca="false">IFERROR(INDEX(Sheet11_Zarade!$D$2:$D$151,MATCH(A199,Sheet11_Zarade!$A$2:$A$151,0)),0)</f>
        <v>0</v>
      </c>
      <c r="H199" s="5" t="n">
        <f aca="false">IFERROR(D199*G199,0)</f>
        <v>0</v>
      </c>
      <c r="I199" s="5" t="n">
        <f aca="false">H199*0.5%</f>
        <v>0</v>
      </c>
      <c r="J199" s="5" t="n">
        <f aca="false">H199+I199</f>
        <v>0</v>
      </c>
      <c r="K199" s="0" t="str">
        <f aca="false">IF(D199="","",IF(D199&gt;12,"FLAG",IF(D199&gt;8,"OVERTIME","OK")))</f>
        <v/>
      </c>
      <c r="L199" s="0" t="str">
        <f aca="false">IF(OR(A199="",E199="",C199=""),"",IF(COUNTIFS($A:$A,A199,$E:$E,E199,$C:$C,C199)&gt;1,"DUPLIKAT","OK"))</f>
        <v/>
      </c>
    </row>
    <row r="200" customFormat="false" ht="15" hidden="false" customHeight="false" outlineLevel="0" collapsed="false">
      <c r="A200" s="6"/>
      <c r="B200" s="0" t="str">
        <f aca="false">IFERROR(INDEX(Master_Lista!$B$2:$B$151,MATCH(A200,Master_Lista!$A$2:$A$151,0)),"")</f>
        <v/>
      </c>
      <c r="C200" s="6"/>
      <c r="D200" s="7"/>
      <c r="E200" s="8"/>
      <c r="F200" s="0" t="str">
        <f aca="false">IFERROR(INDEX(Sheet11_Zarade!$C$2:$C$151,MATCH(A200,Sheet11_Zarade!$A$2:$A$151,0)),"")</f>
        <v/>
      </c>
      <c r="G200" s="5" t="n">
        <f aca="false">IFERROR(INDEX(Sheet11_Zarade!$D$2:$D$151,MATCH(A200,Sheet11_Zarade!$A$2:$A$151,0)),0)</f>
        <v>0</v>
      </c>
      <c r="H200" s="5" t="n">
        <f aca="false">IFERROR(D200*G200,0)</f>
        <v>0</v>
      </c>
      <c r="I200" s="5" t="n">
        <f aca="false">H200*0.5%</f>
        <v>0</v>
      </c>
      <c r="J200" s="5" t="n">
        <f aca="false">H200+I200</f>
        <v>0</v>
      </c>
      <c r="K200" s="0" t="str">
        <f aca="false">IF(D200="","",IF(D200&gt;12,"FLAG",IF(D200&gt;8,"OVERTIME","OK")))</f>
        <v/>
      </c>
      <c r="L200" s="0" t="str">
        <f aca="false">IF(OR(A200="",E200="",C200=""),"",IF(COUNTIFS($A:$A,A200,$E:$E,E200,$C:$C,C200)&gt;1,"DUPLIKAT","OK"))</f>
        <v/>
      </c>
    </row>
    <row r="201" customFormat="false" ht="15" hidden="false" customHeight="false" outlineLevel="0" collapsed="false">
      <c r="A201" s="6"/>
      <c r="B201" s="0" t="str">
        <f aca="false">IFERROR(INDEX(Master_Lista!$B$2:$B$151,MATCH(A201,Master_Lista!$A$2:$A$151,0)),"")</f>
        <v/>
      </c>
      <c r="C201" s="6"/>
      <c r="D201" s="7"/>
      <c r="E201" s="8"/>
      <c r="F201" s="0" t="str">
        <f aca="false">IFERROR(INDEX(Sheet11_Zarade!$C$2:$C$151,MATCH(A201,Sheet11_Zarade!$A$2:$A$151,0)),"")</f>
        <v/>
      </c>
      <c r="G201" s="5" t="n">
        <f aca="false">IFERROR(INDEX(Sheet11_Zarade!$D$2:$D$151,MATCH(A201,Sheet11_Zarade!$A$2:$A$151,0)),0)</f>
        <v>0</v>
      </c>
      <c r="H201" s="5" t="n">
        <f aca="false">IFERROR(D201*G201,0)</f>
        <v>0</v>
      </c>
      <c r="I201" s="5" t="n">
        <f aca="false">H201*0.5%</f>
        <v>0</v>
      </c>
      <c r="J201" s="5" t="n">
        <f aca="false">H201+I201</f>
        <v>0</v>
      </c>
      <c r="K201" s="0" t="str">
        <f aca="false">IF(D201="","",IF(D201&gt;12,"FLAG",IF(D201&gt;8,"OVERTIME","OK")))</f>
        <v/>
      </c>
      <c r="L201" s="0" t="str">
        <f aca="false">IF(OR(A201="",E201="",C201=""),"",IF(COUNTIFS($A:$A,A201,$E:$E,E201,$C:$C,C201)&gt;1,"DUPLIKAT","OK"))</f>
        <v/>
      </c>
    </row>
    <row r="202" customFormat="false" ht="15" hidden="false" customHeight="false" outlineLevel="0" collapsed="false">
      <c r="A202" s="6"/>
      <c r="B202" s="0" t="str">
        <f aca="false">IFERROR(INDEX(Master_Lista!$B$2:$B$151,MATCH(A202,Master_Lista!$A$2:$A$151,0)),"")</f>
        <v/>
      </c>
      <c r="C202" s="6"/>
      <c r="D202" s="7"/>
      <c r="E202" s="8"/>
      <c r="F202" s="0" t="str">
        <f aca="false">IFERROR(INDEX(Sheet11_Zarade!$C$2:$C$151,MATCH(A202,Sheet11_Zarade!$A$2:$A$151,0)),"")</f>
        <v/>
      </c>
      <c r="G202" s="5" t="n">
        <f aca="false">IFERROR(INDEX(Sheet11_Zarade!$D$2:$D$151,MATCH(A202,Sheet11_Zarade!$A$2:$A$151,0)),0)</f>
        <v>0</v>
      </c>
      <c r="H202" s="5" t="n">
        <f aca="false">IFERROR(D202*G202,0)</f>
        <v>0</v>
      </c>
      <c r="I202" s="5" t="n">
        <f aca="false">H202*0.5%</f>
        <v>0</v>
      </c>
      <c r="J202" s="5" t="n">
        <f aca="false">H202+I202</f>
        <v>0</v>
      </c>
      <c r="K202" s="0" t="str">
        <f aca="false">IF(D202="","",IF(D202&gt;12,"FLAG",IF(D202&gt;8,"OVERTIME","OK")))</f>
        <v/>
      </c>
      <c r="L202" s="0" t="str">
        <f aca="false">IF(OR(A202="",E202="",C202=""),"",IF(COUNTIFS($A:$A,A202,$E:$E,E202,$C:$C,C202)&gt;1,"DUPLIKAT","OK"))</f>
        <v/>
      </c>
    </row>
    <row r="203" customFormat="false" ht="15" hidden="false" customHeight="false" outlineLevel="0" collapsed="false">
      <c r="A203" s="6"/>
      <c r="B203" s="0" t="str">
        <f aca="false">IFERROR(INDEX(Master_Lista!$B$2:$B$151,MATCH(A203,Master_Lista!$A$2:$A$151,0)),"")</f>
        <v/>
      </c>
      <c r="C203" s="6"/>
      <c r="D203" s="7"/>
      <c r="E203" s="8"/>
      <c r="F203" s="0" t="str">
        <f aca="false">IFERROR(INDEX(Sheet11_Zarade!$C$2:$C$151,MATCH(A203,Sheet11_Zarade!$A$2:$A$151,0)),"")</f>
        <v/>
      </c>
      <c r="G203" s="5" t="n">
        <f aca="false">IFERROR(INDEX(Sheet11_Zarade!$D$2:$D$151,MATCH(A203,Sheet11_Zarade!$A$2:$A$151,0)),0)</f>
        <v>0</v>
      </c>
      <c r="H203" s="5" t="n">
        <f aca="false">IFERROR(D203*G203,0)</f>
        <v>0</v>
      </c>
      <c r="I203" s="5" t="n">
        <f aca="false">H203*0.5%</f>
        <v>0</v>
      </c>
      <c r="J203" s="5" t="n">
        <f aca="false">H203+I203</f>
        <v>0</v>
      </c>
      <c r="K203" s="0" t="str">
        <f aca="false">IF(D203="","",IF(D203&gt;12,"FLAG",IF(D203&gt;8,"OVERTIME","OK")))</f>
        <v/>
      </c>
      <c r="L203" s="0" t="str">
        <f aca="false">IF(OR(A203="",E203="",C203=""),"",IF(COUNTIFS($A:$A,A203,$E:$E,E203,$C:$C,C203)&gt;1,"DUPLIKAT","OK"))</f>
        <v/>
      </c>
    </row>
    <row r="204" customFormat="false" ht="15" hidden="false" customHeight="false" outlineLevel="0" collapsed="false">
      <c r="A204" s="6"/>
      <c r="B204" s="0" t="str">
        <f aca="false">IFERROR(INDEX(Master_Lista!$B$2:$B$151,MATCH(A204,Master_Lista!$A$2:$A$151,0)),"")</f>
        <v/>
      </c>
      <c r="C204" s="6"/>
      <c r="D204" s="7"/>
      <c r="E204" s="8"/>
      <c r="F204" s="0" t="str">
        <f aca="false">IFERROR(INDEX(Sheet11_Zarade!$C$2:$C$151,MATCH(A204,Sheet11_Zarade!$A$2:$A$151,0)),"")</f>
        <v/>
      </c>
      <c r="G204" s="5" t="n">
        <f aca="false">IFERROR(INDEX(Sheet11_Zarade!$D$2:$D$151,MATCH(A204,Sheet11_Zarade!$A$2:$A$151,0)),0)</f>
        <v>0</v>
      </c>
      <c r="H204" s="5" t="n">
        <f aca="false">IFERROR(D204*G204,0)</f>
        <v>0</v>
      </c>
      <c r="I204" s="5" t="n">
        <f aca="false">H204*0.5%</f>
        <v>0</v>
      </c>
      <c r="J204" s="5" t="n">
        <f aca="false">H204+I204</f>
        <v>0</v>
      </c>
      <c r="K204" s="0" t="str">
        <f aca="false">IF(D204="","",IF(D204&gt;12,"FLAG",IF(D204&gt;8,"OVERTIME","OK")))</f>
        <v/>
      </c>
      <c r="L204" s="0" t="str">
        <f aca="false">IF(OR(A204="",E204="",C204=""),"",IF(COUNTIFS($A:$A,A204,$E:$E,E204,$C:$C,C204)&gt;1,"DUPLIKAT","OK"))</f>
        <v/>
      </c>
    </row>
    <row r="205" customFormat="false" ht="15" hidden="false" customHeight="false" outlineLevel="0" collapsed="false">
      <c r="A205" s="6"/>
      <c r="B205" s="0" t="str">
        <f aca="false">IFERROR(INDEX(Master_Lista!$B$2:$B$151,MATCH(A205,Master_Lista!$A$2:$A$151,0)),"")</f>
        <v/>
      </c>
      <c r="C205" s="6"/>
      <c r="D205" s="7"/>
      <c r="E205" s="8"/>
      <c r="F205" s="0" t="str">
        <f aca="false">IFERROR(INDEX(Sheet11_Zarade!$C$2:$C$151,MATCH(A205,Sheet11_Zarade!$A$2:$A$151,0)),"")</f>
        <v/>
      </c>
      <c r="G205" s="5" t="n">
        <f aca="false">IFERROR(INDEX(Sheet11_Zarade!$D$2:$D$151,MATCH(A205,Sheet11_Zarade!$A$2:$A$151,0)),0)</f>
        <v>0</v>
      </c>
      <c r="H205" s="5" t="n">
        <f aca="false">IFERROR(D205*G205,0)</f>
        <v>0</v>
      </c>
      <c r="I205" s="5" t="n">
        <f aca="false">H205*0.5%</f>
        <v>0</v>
      </c>
      <c r="J205" s="5" t="n">
        <f aca="false">H205+I205</f>
        <v>0</v>
      </c>
      <c r="K205" s="0" t="str">
        <f aca="false">IF(D205="","",IF(D205&gt;12,"FLAG",IF(D205&gt;8,"OVERTIME","OK")))</f>
        <v/>
      </c>
      <c r="L205" s="0" t="str">
        <f aca="false">IF(OR(A205="",E205="",C205=""),"",IF(COUNTIFS($A:$A,A205,$E:$E,E205,$C:$C,C205)&gt;1,"DUPLIKAT","OK"))</f>
        <v/>
      </c>
    </row>
    <row r="206" customFormat="false" ht="15" hidden="false" customHeight="false" outlineLevel="0" collapsed="false">
      <c r="A206" s="6"/>
      <c r="B206" s="0" t="str">
        <f aca="false">IFERROR(INDEX(Master_Lista!$B$2:$B$151,MATCH(A206,Master_Lista!$A$2:$A$151,0)),"")</f>
        <v/>
      </c>
      <c r="C206" s="6"/>
      <c r="D206" s="7"/>
      <c r="E206" s="8"/>
      <c r="F206" s="0" t="str">
        <f aca="false">IFERROR(INDEX(Sheet11_Zarade!$C$2:$C$151,MATCH(A206,Sheet11_Zarade!$A$2:$A$151,0)),"")</f>
        <v/>
      </c>
      <c r="G206" s="5" t="n">
        <f aca="false">IFERROR(INDEX(Sheet11_Zarade!$D$2:$D$151,MATCH(A206,Sheet11_Zarade!$A$2:$A$151,0)),0)</f>
        <v>0</v>
      </c>
      <c r="H206" s="5" t="n">
        <f aca="false">IFERROR(D206*G206,0)</f>
        <v>0</v>
      </c>
      <c r="I206" s="5" t="n">
        <f aca="false">H206*0.5%</f>
        <v>0</v>
      </c>
      <c r="J206" s="5" t="n">
        <f aca="false">H206+I206</f>
        <v>0</v>
      </c>
      <c r="K206" s="0" t="str">
        <f aca="false">IF(D206="","",IF(D206&gt;12,"FLAG",IF(D206&gt;8,"OVERTIME","OK")))</f>
        <v/>
      </c>
      <c r="L206" s="0" t="str">
        <f aca="false">IF(OR(A206="",E206="",C206=""),"",IF(COUNTIFS($A:$A,A206,$E:$E,E206,$C:$C,C206)&gt;1,"DUPLIKAT","OK"))</f>
        <v/>
      </c>
    </row>
    <row r="207" customFormat="false" ht="15" hidden="false" customHeight="false" outlineLevel="0" collapsed="false">
      <c r="A207" s="6"/>
      <c r="B207" s="0" t="str">
        <f aca="false">IFERROR(INDEX(Master_Lista!$B$2:$B$151,MATCH(A207,Master_Lista!$A$2:$A$151,0)),"")</f>
        <v/>
      </c>
      <c r="C207" s="6"/>
      <c r="D207" s="7"/>
      <c r="E207" s="8"/>
      <c r="F207" s="0" t="str">
        <f aca="false">IFERROR(INDEX(Sheet11_Zarade!$C$2:$C$151,MATCH(A207,Sheet11_Zarade!$A$2:$A$151,0)),"")</f>
        <v/>
      </c>
      <c r="G207" s="5" t="n">
        <f aca="false">IFERROR(INDEX(Sheet11_Zarade!$D$2:$D$151,MATCH(A207,Sheet11_Zarade!$A$2:$A$151,0)),0)</f>
        <v>0</v>
      </c>
      <c r="H207" s="5" t="n">
        <f aca="false">IFERROR(D207*G207,0)</f>
        <v>0</v>
      </c>
      <c r="I207" s="5" t="n">
        <f aca="false">H207*0.5%</f>
        <v>0</v>
      </c>
      <c r="J207" s="5" t="n">
        <f aca="false">H207+I207</f>
        <v>0</v>
      </c>
      <c r="K207" s="0" t="str">
        <f aca="false">IF(D207="","",IF(D207&gt;12,"FLAG",IF(D207&gt;8,"OVERTIME","OK")))</f>
        <v/>
      </c>
      <c r="L207" s="0" t="str">
        <f aca="false">IF(OR(A207="",E207="",C207=""),"",IF(COUNTIFS($A:$A,A207,$E:$E,E207,$C:$C,C207)&gt;1,"DUPLIKAT","OK"))</f>
        <v/>
      </c>
    </row>
    <row r="208" customFormat="false" ht="15" hidden="false" customHeight="false" outlineLevel="0" collapsed="false">
      <c r="A208" s="6"/>
      <c r="B208" s="0" t="str">
        <f aca="false">IFERROR(INDEX(Master_Lista!$B$2:$B$151,MATCH(A208,Master_Lista!$A$2:$A$151,0)),"")</f>
        <v/>
      </c>
      <c r="C208" s="6"/>
      <c r="D208" s="7"/>
      <c r="E208" s="8"/>
      <c r="F208" s="0" t="str">
        <f aca="false">IFERROR(INDEX(Sheet11_Zarade!$C$2:$C$151,MATCH(A208,Sheet11_Zarade!$A$2:$A$151,0)),"")</f>
        <v/>
      </c>
      <c r="G208" s="5" t="n">
        <f aca="false">IFERROR(INDEX(Sheet11_Zarade!$D$2:$D$151,MATCH(A208,Sheet11_Zarade!$A$2:$A$151,0)),0)</f>
        <v>0</v>
      </c>
      <c r="H208" s="5" t="n">
        <f aca="false">IFERROR(D208*G208,0)</f>
        <v>0</v>
      </c>
      <c r="I208" s="5" t="n">
        <f aca="false">H208*0.5%</f>
        <v>0</v>
      </c>
      <c r="J208" s="5" t="n">
        <f aca="false">H208+I208</f>
        <v>0</v>
      </c>
      <c r="K208" s="0" t="str">
        <f aca="false">IF(D208="","",IF(D208&gt;12,"FLAG",IF(D208&gt;8,"OVERTIME","OK")))</f>
        <v/>
      </c>
      <c r="L208" s="0" t="str">
        <f aca="false">IF(OR(A208="",E208="",C208=""),"",IF(COUNTIFS($A:$A,A208,$E:$E,E208,$C:$C,C208)&gt;1,"DUPLIKAT","OK"))</f>
        <v/>
      </c>
    </row>
    <row r="209" customFormat="false" ht="15" hidden="false" customHeight="false" outlineLevel="0" collapsed="false">
      <c r="A209" s="6"/>
      <c r="B209" s="0" t="str">
        <f aca="false">IFERROR(INDEX(Master_Lista!$B$2:$B$151,MATCH(A209,Master_Lista!$A$2:$A$151,0)),"")</f>
        <v/>
      </c>
      <c r="C209" s="6"/>
      <c r="D209" s="7"/>
      <c r="E209" s="8"/>
      <c r="F209" s="0" t="str">
        <f aca="false">IFERROR(INDEX(Sheet11_Zarade!$C$2:$C$151,MATCH(A209,Sheet11_Zarade!$A$2:$A$151,0)),"")</f>
        <v/>
      </c>
      <c r="G209" s="5" t="n">
        <f aca="false">IFERROR(INDEX(Sheet11_Zarade!$D$2:$D$151,MATCH(A209,Sheet11_Zarade!$A$2:$A$151,0)),0)</f>
        <v>0</v>
      </c>
      <c r="H209" s="5" t="n">
        <f aca="false">IFERROR(D209*G209,0)</f>
        <v>0</v>
      </c>
      <c r="I209" s="5" t="n">
        <f aca="false">H209*0.5%</f>
        <v>0</v>
      </c>
      <c r="J209" s="5" t="n">
        <f aca="false">H209+I209</f>
        <v>0</v>
      </c>
      <c r="K209" s="0" t="str">
        <f aca="false">IF(D209="","",IF(D209&gt;12,"FLAG",IF(D209&gt;8,"OVERTIME","OK")))</f>
        <v/>
      </c>
      <c r="L209" s="0" t="str">
        <f aca="false">IF(OR(A209="",E209="",C209=""),"",IF(COUNTIFS($A:$A,A209,$E:$E,E209,$C:$C,C209)&gt;1,"DUPLIKAT","OK"))</f>
        <v/>
      </c>
    </row>
    <row r="210" customFormat="false" ht="15" hidden="false" customHeight="false" outlineLevel="0" collapsed="false">
      <c r="A210" s="6"/>
      <c r="B210" s="0" t="str">
        <f aca="false">IFERROR(INDEX(Master_Lista!$B$2:$B$151,MATCH(A210,Master_Lista!$A$2:$A$151,0)),"")</f>
        <v/>
      </c>
      <c r="C210" s="6"/>
      <c r="D210" s="7"/>
      <c r="E210" s="8"/>
      <c r="F210" s="0" t="str">
        <f aca="false">IFERROR(INDEX(Sheet11_Zarade!$C$2:$C$151,MATCH(A210,Sheet11_Zarade!$A$2:$A$151,0)),"")</f>
        <v/>
      </c>
      <c r="G210" s="5" t="n">
        <f aca="false">IFERROR(INDEX(Sheet11_Zarade!$D$2:$D$151,MATCH(A210,Sheet11_Zarade!$A$2:$A$151,0)),0)</f>
        <v>0</v>
      </c>
      <c r="H210" s="5" t="n">
        <f aca="false">IFERROR(D210*G210,0)</f>
        <v>0</v>
      </c>
      <c r="I210" s="5" t="n">
        <f aca="false">H210*0.5%</f>
        <v>0</v>
      </c>
      <c r="J210" s="5" t="n">
        <f aca="false">H210+I210</f>
        <v>0</v>
      </c>
      <c r="K210" s="0" t="str">
        <f aca="false">IF(D210="","",IF(D210&gt;12,"FLAG",IF(D210&gt;8,"OVERTIME","OK")))</f>
        <v/>
      </c>
      <c r="L210" s="0" t="str">
        <f aca="false">IF(OR(A210="",E210="",C210=""),"",IF(COUNTIFS($A:$A,A210,$E:$E,E210,$C:$C,C210)&gt;1,"DUPLIKAT","OK"))</f>
        <v/>
      </c>
    </row>
    <row r="211" customFormat="false" ht="15" hidden="false" customHeight="false" outlineLevel="0" collapsed="false">
      <c r="A211" s="6"/>
      <c r="B211" s="0" t="str">
        <f aca="false">IFERROR(INDEX(Master_Lista!$B$2:$B$151,MATCH(A211,Master_Lista!$A$2:$A$151,0)),"")</f>
        <v/>
      </c>
      <c r="C211" s="6"/>
      <c r="D211" s="7"/>
      <c r="E211" s="8"/>
      <c r="F211" s="0" t="str">
        <f aca="false">IFERROR(INDEX(Sheet11_Zarade!$C$2:$C$151,MATCH(A211,Sheet11_Zarade!$A$2:$A$151,0)),"")</f>
        <v/>
      </c>
      <c r="G211" s="5" t="n">
        <f aca="false">IFERROR(INDEX(Sheet11_Zarade!$D$2:$D$151,MATCH(A211,Sheet11_Zarade!$A$2:$A$151,0)),0)</f>
        <v>0</v>
      </c>
      <c r="H211" s="5" t="n">
        <f aca="false">IFERROR(D211*G211,0)</f>
        <v>0</v>
      </c>
      <c r="I211" s="5" t="n">
        <f aca="false">H211*0.5%</f>
        <v>0</v>
      </c>
      <c r="J211" s="5" t="n">
        <f aca="false">H211+I211</f>
        <v>0</v>
      </c>
      <c r="K211" s="0" t="str">
        <f aca="false">IF(D211="","",IF(D211&gt;12,"FLAG",IF(D211&gt;8,"OVERTIME","OK")))</f>
        <v/>
      </c>
      <c r="L211" s="0" t="str">
        <f aca="false">IF(OR(A211="",E211="",C211=""),"",IF(COUNTIFS($A:$A,A211,$E:$E,E211,$C:$C,C211)&gt;1,"DUPLIKAT","OK"))</f>
        <v/>
      </c>
    </row>
    <row r="212" customFormat="false" ht="15" hidden="false" customHeight="false" outlineLevel="0" collapsed="false">
      <c r="A212" s="6"/>
      <c r="B212" s="0" t="str">
        <f aca="false">IFERROR(INDEX(Master_Lista!$B$2:$B$151,MATCH(A212,Master_Lista!$A$2:$A$151,0)),"")</f>
        <v/>
      </c>
      <c r="C212" s="6"/>
      <c r="D212" s="7"/>
      <c r="E212" s="8"/>
      <c r="F212" s="0" t="str">
        <f aca="false">IFERROR(INDEX(Sheet11_Zarade!$C$2:$C$151,MATCH(A212,Sheet11_Zarade!$A$2:$A$151,0)),"")</f>
        <v/>
      </c>
      <c r="G212" s="5" t="n">
        <f aca="false">IFERROR(INDEX(Sheet11_Zarade!$D$2:$D$151,MATCH(A212,Sheet11_Zarade!$A$2:$A$151,0)),0)</f>
        <v>0</v>
      </c>
      <c r="H212" s="5" t="n">
        <f aca="false">IFERROR(D212*G212,0)</f>
        <v>0</v>
      </c>
      <c r="I212" s="5" t="n">
        <f aca="false">H212*0.5%</f>
        <v>0</v>
      </c>
      <c r="J212" s="5" t="n">
        <f aca="false">H212+I212</f>
        <v>0</v>
      </c>
      <c r="K212" s="0" t="str">
        <f aca="false">IF(D212="","",IF(D212&gt;12,"FLAG",IF(D212&gt;8,"OVERTIME","OK")))</f>
        <v/>
      </c>
      <c r="L212" s="0" t="str">
        <f aca="false">IF(OR(A212="",E212="",C212=""),"",IF(COUNTIFS($A:$A,A212,$E:$E,E212,$C:$C,C212)&gt;1,"DUPLIKAT","OK"))</f>
        <v/>
      </c>
    </row>
    <row r="213" customFormat="false" ht="15" hidden="false" customHeight="false" outlineLevel="0" collapsed="false">
      <c r="A213" s="6"/>
      <c r="B213" s="0" t="str">
        <f aca="false">IFERROR(INDEX(Master_Lista!$B$2:$B$151,MATCH(A213,Master_Lista!$A$2:$A$151,0)),"")</f>
        <v/>
      </c>
      <c r="C213" s="6"/>
      <c r="D213" s="7"/>
      <c r="E213" s="8"/>
      <c r="F213" s="0" t="str">
        <f aca="false">IFERROR(INDEX(Sheet11_Zarade!$C$2:$C$151,MATCH(A213,Sheet11_Zarade!$A$2:$A$151,0)),"")</f>
        <v/>
      </c>
      <c r="G213" s="5" t="n">
        <f aca="false">IFERROR(INDEX(Sheet11_Zarade!$D$2:$D$151,MATCH(A213,Sheet11_Zarade!$A$2:$A$151,0)),0)</f>
        <v>0</v>
      </c>
      <c r="H213" s="5" t="n">
        <f aca="false">IFERROR(D213*G213,0)</f>
        <v>0</v>
      </c>
      <c r="I213" s="5" t="n">
        <f aca="false">H213*0.5%</f>
        <v>0</v>
      </c>
      <c r="J213" s="5" t="n">
        <f aca="false">H213+I213</f>
        <v>0</v>
      </c>
      <c r="K213" s="0" t="str">
        <f aca="false">IF(D213="","",IF(D213&gt;12,"FLAG",IF(D213&gt;8,"OVERTIME","OK")))</f>
        <v/>
      </c>
      <c r="L213" s="0" t="str">
        <f aca="false">IF(OR(A213="",E213="",C213=""),"",IF(COUNTIFS($A:$A,A213,$E:$E,E213,$C:$C,C213)&gt;1,"DUPLIKAT","OK"))</f>
        <v/>
      </c>
    </row>
    <row r="214" customFormat="false" ht="15" hidden="false" customHeight="false" outlineLevel="0" collapsed="false">
      <c r="A214" s="6"/>
      <c r="B214" s="0" t="str">
        <f aca="false">IFERROR(INDEX(Master_Lista!$B$2:$B$151,MATCH(A214,Master_Lista!$A$2:$A$151,0)),"")</f>
        <v/>
      </c>
      <c r="C214" s="6"/>
      <c r="D214" s="7"/>
      <c r="E214" s="8"/>
      <c r="F214" s="0" t="str">
        <f aca="false">IFERROR(INDEX(Sheet11_Zarade!$C$2:$C$151,MATCH(A214,Sheet11_Zarade!$A$2:$A$151,0)),"")</f>
        <v/>
      </c>
      <c r="G214" s="5" t="n">
        <f aca="false">IFERROR(INDEX(Sheet11_Zarade!$D$2:$D$151,MATCH(A214,Sheet11_Zarade!$A$2:$A$151,0)),0)</f>
        <v>0</v>
      </c>
      <c r="H214" s="5" t="n">
        <f aca="false">IFERROR(D214*G214,0)</f>
        <v>0</v>
      </c>
      <c r="I214" s="5" t="n">
        <f aca="false">H214*0.5%</f>
        <v>0</v>
      </c>
      <c r="J214" s="5" t="n">
        <f aca="false">H214+I214</f>
        <v>0</v>
      </c>
      <c r="K214" s="0" t="str">
        <f aca="false">IF(D214="","",IF(D214&gt;12,"FLAG",IF(D214&gt;8,"OVERTIME","OK")))</f>
        <v/>
      </c>
      <c r="L214" s="0" t="str">
        <f aca="false">IF(OR(A214="",E214="",C214=""),"",IF(COUNTIFS($A:$A,A214,$E:$E,E214,$C:$C,C214)&gt;1,"DUPLIKAT","OK"))</f>
        <v/>
      </c>
    </row>
    <row r="215" customFormat="false" ht="15" hidden="false" customHeight="false" outlineLevel="0" collapsed="false">
      <c r="A215" s="6"/>
      <c r="B215" s="0" t="str">
        <f aca="false">IFERROR(INDEX(Master_Lista!$B$2:$B$151,MATCH(A215,Master_Lista!$A$2:$A$151,0)),"")</f>
        <v/>
      </c>
      <c r="C215" s="6"/>
      <c r="D215" s="7"/>
      <c r="E215" s="8"/>
      <c r="F215" s="0" t="str">
        <f aca="false">IFERROR(INDEX(Sheet11_Zarade!$C$2:$C$151,MATCH(A215,Sheet11_Zarade!$A$2:$A$151,0)),"")</f>
        <v/>
      </c>
      <c r="G215" s="5" t="n">
        <f aca="false">IFERROR(INDEX(Sheet11_Zarade!$D$2:$D$151,MATCH(A215,Sheet11_Zarade!$A$2:$A$151,0)),0)</f>
        <v>0</v>
      </c>
      <c r="H215" s="5" t="n">
        <f aca="false">IFERROR(D215*G215,0)</f>
        <v>0</v>
      </c>
      <c r="I215" s="5" t="n">
        <f aca="false">H215*0.5%</f>
        <v>0</v>
      </c>
      <c r="J215" s="5" t="n">
        <f aca="false">H215+I215</f>
        <v>0</v>
      </c>
      <c r="K215" s="0" t="str">
        <f aca="false">IF(D215="","",IF(D215&gt;12,"FLAG",IF(D215&gt;8,"OVERTIME","OK")))</f>
        <v/>
      </c>
      <c r="L215" s="0" t="str">
        <f aca="false">IF(OR(A215="",E215="",C215=""),"",IF(COUNTIFS($A:$A,A215,$E:$E,E215,$C:$C,C215)&gt;1,"DUPLIKAT","OK"))</f>
        <v/>
      </c>
    </row>
    <row r="216" customFormat="false" ht="15" hidden="false" customHeight="false" outlineLevel="0" collapsed="false">
      <c r="A216" s="6"/>
      <c r="B216" s="0" t="str">
        <f aca="false">IFERROR(INDEX(Master_Lista!$B$2:$B$151,MATCH(A216,Master_Lista!$A$2:$A$151,0)),"")</f>
        <v/>
      </c>
      <c r="C216" s="6"/>
      <c r="D216" s="7"/>
      <c r="E216" s="8"/>
      <c r="F216" s="0" t="str">
        <f aca="false">IFERROR(INDEX(Sheet11_Zarade!$C$2:$C$151,MATCH(A216,Sheet11_Zarade!$A$2:$A$151,0)),"")</f>
        <v/>
      </c>
      <c r="G216" s="5" t="n">
        <f aca="false">IFERROR(INDEX(Sheet11_Zarade!$D$2:$D$151,MATCH(A216,Sheet11_Zarade!$A$2:$A$151,0)),0)</f>
        <v>0</v>
      </c>
      <c r="H216" s="5" t="n">
        <f aca="false">IFERROR(D216*G216,0)</f>
        <v>0</v>
      </c>
      <c r="I216" s="5" t="n">
        <f aca="false">H216*0.5%</f>
        <v>0</v>
      </c>
      <c r="J216" s="5" t="n">
        <f aca="false">H216+I216</f>
        <v>0</v>
      </c>
      <c r="K216" s="0" t="str">
        <f aca="false">IF(D216="","",IF(D216&gt;12,"FLAG",IF(D216&gt;8,"OVERTIME","OK")))</f>
        <v/>
      </c>
      <c r="L216" s="0" t="str">
        <f aca="false">IF(OR(A216="",E216="",C216=""),"",IF(COUNTIFS($A:$A,A216,$E:$E,E216,$C:$C,C216)&gt;1,"DUPLIKAT","OK"))</f>
        <v/>
      </c>
    </row>
    <row r="217" customFormat="false" ht="15" hidden="false" customHeight="false" outlineLevel="0" collapsed="false">
      <c r="A217" s="6"/>
      <c r="B217" s="0" t="str">
        <f aca="false">IFERROR(INDEX(Master_Lista!$B$2:$B$151,MATCH(A217,Master_Lista!$A$2:$A$151,0)),"")</f>
        <v/>
      </c>
      <c r="C217" s="6"/>
      <c r="D217" s="7"/>
      <c r="E217" s="8"/>
      <c r="F217" s="0" t="str">
        <f aca="false">IFERROR(INDEX(Sheet11_Zarade!$C$2:$C$151,MATCH(A217,Sheet11_Zarade!$A$2:$A$151,0)),"")</f>
        <v/>
      </c>
      <c r="G217" s="5" t="n">
        <f aca="false">IFERROR(INDEX(Sheet11_Zarade!$D$2:$D$151,MATCH(A217,Sheet11_Zarade!$A$2:$A$151,0)),0)</f>
        <v>0</v>
      </c>
      <c r="H217" s="5" t="n">
        <f aca="false">IFERROR(D217*G217,0)</f>
        <v>0</v>
      </c>
      <c r="I217" s="5" t="n">
        <f aca="false">H217*0.5%</f>
        <v>0</v>
      </c>
      <c r="J217" s="5" t="n">
        <f aca="false">H217+I217</f>
        <v>0</v>
      </c>
      <c r="K217" s="0" t="str">
        <f aca="false">IF(D217="","",IF(D217&gt;12,"FLAG",IF(D217&gt;8,"OVERTIME","OK")))</f>
        <v/>
      </c>
      <c r="L217" s="0" t="str">
        <f aca="false">IF(OR(A217="",E217="",C217=""),"",IF(COUNTIFS($A:$A,A217,$E:$E,E217,$C:$C,C217)&gt;1,"DUPLIKAT","OK"))</f>
        <v/>
      </c>
    </row>
    <row r="218" customFormat="false" ht="15" hidden="false" customHeight="false" outlineLevel="0" collapsed="false">
      <c r="A218" s="6"/>
      <c r="B218" s="0" t="str">
        <f aca="false">IFERROR(INDEX(Master_Lista!$B$2:$B$151,MATCH(A218,Master_Lista!$A$2:$A$151,0)),"")</f>
        <v/>
      </c>
      <c r="C218" s="6"/>
      <c r="D218" s="7"/>
      <c r="E218" s="8"/>
      <c r="F218" s="0" t="str">
        <f aca="false">IFERROR(INDEX(Sheet11_Zarade!$C$2:$C$151,MATCH(A218,Sheet11_Zarade!$A$2:$A$151,0)),"")</f>
        <v/>
      </c>
      <c r="G218" s="5" t="n">
        <f aca="false">IFERROR(INDEX(Sheet11_Zarade!$D$2:$D$151,MATCH(A218,Sheet11_Zarade!$A$2:$A$151,0)),0)</f>
        <v>0</v>
      </c>
      <c r="H218" s="5" t="n">
        <f aca="false">IFERROR(D218*G218,0)</f>
        <v>0</v>
      </c>
      <c r="I218" s="5" t="n">
        <f aca="false">H218*0.5%</f>
        <v>0</v>
      </c>
      <c r="J218" s="5" t="n">
        <f aca="false">H218+I218</f>
        <v>0</v>
      </c>
      <c r="K218" s="0" t="str">
        <f aca="false">IF(D218="","",IF(D218&gt;12,"FLAG",IF(D218&gt;8,"OVERTIME","OK")))</f>
        <v/>
      </c>
      <c r="L218" s="0" t="str">
        <f aca="false">IF(OR(A218="",E218="",C218=""),"",IF(COUNTIFS($A:$A,A218,$E:$E,E218,$C:$C,C218)&gt;1,"DUPLIKAT","OK"))</f>
        <v/>
      </c>
    </row>
    <row r="219" customFormat="false" ht="15" hidden="false" customHeight="false" outlineLevel="0" collapsed="false">
      <c r="A219" s="6"/>
      <c r="B219" s="0" t="str">
        <f aca="false">IFERROR(INDEX(Master_Lista!$B$2:$B$151,MATCH(A219,Master_Lista!$A$2:$A$151,0)),"")</f>
        <v/>
      </c>
      <c r="C219" s="6"/>
      <c r="D219" s="7"/>
      <c r="E219" s="8"/>
      <c r="F219" s="0" t="str">
        <f aca="false">IFERROR(INDEX(Sheet11_Zarade!$C$2:$C$151,MATCH(A219,Sheet11_Zarade!$A$2:$A$151,0)),"")</f>
        <v/>
      </c>
      <c r="G219" s="5" t="n">
        <f aca="false">IFERROR(INDEX(Sheet11_Zarade!$D$2:$D$151,MATCH(A219,Sheet11_Zarade!$A$2:$A$151,0)),0)</f>
        <v>0</v>
      </c>
      <c r="H219" s="5" t="n">
        <f aca="false">IFERROR(D219*G219,0)</f>
        <v>0</v>
      </c>
      <c r="I219" s="5" t="n">
        <f aca="false">H219*0.5%</f>
        <v>0</v>
      </c>
      <c r="J219" s="5" t="n">
        <f aca="false">H219+I219</f>
        <v>0</v>
      </c>
      <c r="K219" s="0" t="str">
        <f aca="false">IF(D219="","",IF(D219&gt;12,"FLAG",IF(D219&gt;8,"OVERTIME","OK")))</f>
        <v/>
      </c>
      <c r="L219" s="0" t="str">
        <f aca="false">IF(OR(A219="",E219="",C219=""),"",IF(COUNTIFS($A:$A,A219,$E:$E,E219,$C:$C,C219)&gt;1,"DUPLIKAT","OK"))</f>
        <v/>
      </c>
    </row>
    <row r="220" customFormat="false" ht="15" hidden="false" customHeight="false" outlineLevel="0" collapsed="false">
      <c r="A220" s="6"/>
      <c r="B220" s="0" t="str">
        <f aca="false">IFERROR(INDEX(Master_Lista!$B$2:$B$151,MATCH(A220,Master_Lista!$A$2:$A$151,0)),"")</f>
        <v/>
      </c>
      <c r="C220" s="6"/>
      <c r="D220" s="7"/>
      <c r="E220" s="8"/>
      <c r="F220" s="0" t="str">
        <f aca="false">IFERROR(INDEX(Sheet11_Zarade!$C$2:$C$151,MATCH(A220,Sheet11_Zarade!$A$2:$A$151,0)),"")</f>
        <v/>
      </c>
      <c r="G220" s="5" t="n">
        <f aca="false">IFERROR(INDEX(Sheet11_Zarade!$D$2:$D$151,MATCH(A220,Sheet11_Zarade!$A$2:$A$151,0)),0)</f>
        <v>0</v>
      </c>
      <c r="H220" s="5" t="n">
        <f aca="false">IFERROR(D220*G220,0)</f>
        <v>0</v>
      </c>
      <c r="I220" s="5" t="n">
        <f aca="false">H220*0.5%</f>
        <v>0</v>
      </c>
      <c r="J220" s="5" t="n">
        <f aca="false">H220+I220</f>
        <v>0</v>
      </c>
      <c r="K220" s="0" t="str">
        <f aca="false">IF(D220="","",IF(D220&gt;12,"FLAG",IF(D220&gt;8,"OVERTIME","OK")))</f>
        <v/>
      </c>
      <c r="L220" s="0" t="str">
        <f aca="false">IF(OR(A220="",E220="",C220=""),"",IF(COUNTIFS($A:$A,A220,$E:$E,E220,$C:$C,C220)&gt;1,"DUPLIKAT","OK"))</f>
        <v/>
      </c>
    </row>
    <row r="221" customFormat="false" ht="15" hidden="false" customHeight="false" outlineLevel="0" collapsed="false">
      <c r="A221" s="6"/>
      <c r="B221" s="0" t="str">
        <f aca="false">IFERROR(INDEX(Master_Lista!$B$2:$B$151,MATCH(A221,Master_Lista!$A$2:$A$151,0)),"")</f>
        <v/>
      </c>
      <c r="C221" s="6"/>
      <c r="D221" s="7"/>
      <c r="E221" s="8"/>
      <c r="F221" s="0" t="str">
        <f aca="false">IFERROR(INDEX(Sheet11_Zarade!$C$2:$C$151,MATCH(A221,Sheet11_Zarade!$A$2:$A$151,0)),"")</f>
        <v/>
      </c>
      <c r="G221" s="5" t="n">
        <f aca="false">IFERROR(INDEX(Sheet11_Zarade!$D$2:$D$151,MATCH(A221,Sheet11_Zarade!$A$2:$A$151,0)),0)</f>
        <v>0</v>
      </c>
      <c r="H221" s="5" t="n">
        <f aca="false">IFERROR(D221*G221,0)</f>
        <v>0</v>
      </c>
      <c r="I221" s="5" t="n">
        <f aca="false">H221*0.5%</f>
        <v>0</v>
      </c>
      <c r="J221" s="5" t="n">
        <f aca="false">H221+I221</f>
        <v>0</v>
      </c>
      <c r="K221" s="0" t="str">
        <f aca="false">IF(D221="","",IF(D221&gt;12,"FLAG",IF(D221&gt;8,"OVERTIME","OK")))</f>
        <v/>
      </c>
      <c r="L221" s="0" t="str">
        <f aca="false">IF(OR(A221="",E221="",C221=""),"",IF(COUNTIFS($A:$A,A221,$E:$E,E221,$C:$C,C221)&gt;1,"DUPLIKAT","OK"))</f>
        <v/>
      </c>
    </row>
    <row r="222" customFormat="false" ht="15" hidden="false" customHeight="false" outlineLevel="0" collapsed="false">
      <c r="A222" s="6"/>
      <c r="B222" s="0" t="str">
        <f aca="false">IFERROR(INDEX(Master_Lista!$B$2:$B$151,MATCH(A222,Master_Lista!$A$2:$A$151,0)),"")</f>
        <v/>
      </c>
      <c r="C222" s="6"/>
      <c r="D222" s="7"/>
      <c r="E222" s="8"/>
      <c r="F222" s="0" t="str">
        <f aca="false">IFERROR(INDEX(Sheet11_Zarade!$C$2:$C$151,MATCH(A222,Sheet11_Zarade!$A$2:$A$151,0)),"")</f>
        <v/>
      </c>
      <c r="G222" s="5" t="n">
        <f aca="false">IFERROR(INDEX(Sheet11_Zarade!$D$2:$D$151,MATCH(A222,Sheet11_Zarade!$A$2:$A$151,0)),0)</f>
        <v>0</v>
      </c>
      <c r="H222" s="5" t="n">
        <f aca="false">IFERROR(D222*G222,0)</f>
        <v>0</v>
      </c>
      <c r="I222" s="5" t="n">
        <f aca="false">H222*0.5%</f>
        <v>0</v>
      </c>
      <c r="J222" s="5" t="n">
        <f aca="false">H222+I222</f>
        <v>0</v>
      </c>
      <c r="K222" s="0" t="str">
        <f aca="false">IF(D222="","",IF(D222&gt;12,"FLAG",IF(D222&gt;8,"OVERTIME","OK")))</f>
        <v/>
      </c>
      <c r="L222" s="0" t="str">
        <f aca="false">IF(OR(A222="",E222="",C222=""),"",IF(COUNTIFS($A:$A,A222,$E:$E,E222,$C:$C,C222)&gt;1,"DUPLIKAT","OK"))</f>
        <v/>
      </c>
    </row>
    <row r="223" customFormat="false" ht="15" hidden="false" customHeight="false" outlineLevel="0" collapsed="false">
      <c r="A223" s="6"/>
      <c r="B223" s="0" t="str">
        <f aca="false">IFERROR(INDEX(Master_Lista!$B$2:$B$151,MATCH(A223,Master_Lista!$A$2:$A$151,0)),"")</f>
        <v/>
      </c>
      <c r="C223" s="6"/>
      <c r="D223" s="7"/>
      <c r="E223" s="8"/>
      <c r="F223" s="0" t="str">
        <f aca="false">IFERROR(INDEX(Sheet11_Zarade!$C$2:$C$151,MATCH(A223,Sheet11_Zarade!$A$2:$A$151,0)),"")</f>
        <v/>
      </c>
      <c r="G223" s="5" t="n">
        <f aca="false">IFERROR(INDEX(Sheet11_Zarade!$D$2:$D$151,MATCH(A223,Sheet11_Zarade!$A$2:$A$151,0)),0)</f>
        <v>0</v>
      </c>
      <c r="H223" s="5" t="n">
        <f aca="false">IFERROR(D223*G223,0)</f>
        <v>0</v>
      </c>
      <c r="I223" s="5" t="n">
        <f aca="false">H223*0.5%</f>
        <v>0</v>
      </c>
      <c r="J223" s="5" t="n">
        <f aca="false">H223+I223</f>
        <v>0</v>
      </c>
      <c r="K223" s="0" t="str">
        <f aca="false">IF(D223="","",IF(D223&gt;12,"FLAG",IF(D223&gt;8,"OVERTIME","OK")))</f>
        <v/>
      </c>
      <c r="L223" s="0" t="str">
        <f aca="false">IF(OR(A223="",E223="",C223=""),"",IF(COUNTIFS($A:$A,A223,$E:$E,E223,$C:$C,C223)&gt;1,"DUPLIKAT","OK"))</f>
        <v/>
      </c>
    </row>
    <row r="224" customFormat="false" ht="15" hidden="false" customHeight="false" outlineLevel="0" collapsed="false">
      <c r="A224" s="6"/>
      <c r="B224" s="0" t="str">
        <f aca="false">IFERROR(INDEX(Master_Lista!$B$2:$B$151,MATCH(A224,Master_Lista!$A$2:$A$151,0)),"")</f>
        <v/>
      </c>
      <c r="C224" s="6"/>
      <c r="D224" s="7"/>
      <c r="E224" s="8"/>
      <c r="F224" s="0" t="str">
        <f aca="false">IFERROR(INDEX(Sheet11_Zarade!$C$2:$C$151,MATCH(A224,Sheet11_Zarade!$A$2:$A$151,0)),"")</f>
        <v/>
      </c>
      <c r="G224" s="5" t="n">
        <f aca="false">IFERROR(INDEX(Sheet11_Zarade!$D$2:$D$151,MATCH(A224,Sheet11_Zarade!$A$2:$A$151,0)),0)</f>
        <v>0</v>
      </c>
      <c r="H224" s="5" t="n">
        <f aca="false">IFERROR(D224*G224,0)</f>
        <v>0</v>
      </c>
      <c r="I224" s="5" t="n">
        <f aca="false">H224*0.5%</f>
        <v>0</v>
      </c>
      <c r="J224" s="5" t="n">
        <f aca="false">H224+I224</f>
        <v>0</v>
      </c>
      <c r="K224" s="0" t="str">
        <f aca="false">IF(D224="","",IF(D224&gt;12,"FLAG",IF(D224&gt;8,"OVERTIME","OK")))</f>
        <v/>
      </c>
      <c r="L224" s="0" t="str">
        <f aca="false">IF(OR(A224="",E224="",C224=""),"",IF(COUNTIFS($A:$A,A224,$E:$E,E224,$C:$C,C224)&gt;1,"DUPLIKAT","OK"))</f>
        <v/>
      </c>
    </row>
    <row r="225" customFormat="false" ht="15" hidden="false" customHeight="false" outlineLevel="0" collapsed="false">
      <c r="A225" s="6"/>
      <c r="B225" s="0" t="str">
        <f aca="false">IFERROR(INDEX(Master_Lista!$B$2:$B$151,MATCH(A225,Master_Lista!$A$2:$A$151,0)),"")</f>
        <v/>
      </c>
      <c r="C225" s="6"/>
      <c r="D225" s="7"/>
      <c r="E225" s="8"/>
      <c r="F225" s="0" t="str">
        <f aca="false">IFERROR(INDEX(Sheet11_Zarade!$C$2:$C$151,MATCH(A225,Sheet11_Zarade!$A$2:$A$151,0)),"")</f>
        <v/>
      </c>
      <c r="G225" s="5" t="n">
        <f aca="false">IFERROR(INDEX(Sheet11_Zarade!$D$2:$D$151,MATCH(A225,Sheet11_Zarade!$A$2:$A$151,0)),0)</f>
        <v>0</v>
      </c>
      <c r="H225" s="5" t="n">
        <f aca="false">IFERROR(D225*G225,0)</f>
        <v>0</v>
      </c>
      <c r="I225" s="5" t="n">
        <f aca="false">H225*0.5%</f>
        <v>0</v>
      </c>
      <c r="J225" s="5" t="n">
        <f aca="false">H225+I225</f>
        <v>0</v>
      </c>
      <c r="K225" s="0" t="str">
        <f aca="false">IF(D225="","",IF(D225&gt;12,"FLAG",IF(D225&gt;8,"OVERTIME","OK")))</f>
        <v/>
      </c>
      <c r="L225" s="0" t="str">
        <f aca="false">IF(OR(A225="",E225="",C225=""),"",IF(COUNTIFS($A:$A,A225,$E:$E,E225,$C:$C,C225)&gt;1,"DUPLIKAT","OK"))</f>
        <v/>
      </c>
    </row>
    <row r="226" customFormat="false" ht="15" hidden="false" customHeight="false" outlineLevel="0" collapsed="false">
      <c r="A226" s="6"/>
      <c r="B226" s="0" t="str">
        <f aca="false">IFERROR(INDEX(Master_Lista!$B$2:$B$151,MATCH(A226,Master_Lista!$A$2:$A$151,0)),"")</f>
        <v/>
      </c>
      <c r="C226" s="6"/>
      <c r="D226" s="7"/>
      <c r="E226" s="8"/>
      <c r="F226" s="0" t="str">
        <f aca="false">IFERROR(INDEX(Sheet11_Zarade!$C$2:$C$151,MATCH(A226,Sheet11_Zarade!$A$2:$A$151,0)),"")</f>
        <v/>
      </c>
      <c r="G226" s="5" t="n">
        <f aca="false">IFERROR(INDEX(Sheet11_Zarade!$D$2:$D$151,MATCH(A226,Sheet11_Zarade!$A$2:$A$151,0)),0)</f>
        <v>0</v>
      </c>
      <c r="H226" s="5" t="n">
        <f aca="false">IFERROR(D226*G226,0)</f>
        <v>0</v>
      </c>
      <c r="I226" s="5" t="n">
        <f aca="false">H226*0.5%</f>
        <v>0</v>
      </c>
      <c r="J226" s="5" t="n">
        <f aca="false">H226+I226</f>
        <v>0</v>
      </c>
      <c r="K226" s="0" t="str">
        <f aca="false">IF(D226="","",IF(D226&gt;12,"FLAG",IF(D226&gt;8,"OVERTIME","OK")))</f>
        <v/>
      </c>
      <c r="L226" s="0" t="str">
        <f aca="false">IF(OR(A226="",E226="",C226=""),"",IF(COUNTIFS($A:$A,A226,$E:$E,E226,$C:$C,C226)&gt;1,"DUPLIKAT","OK"))</f>
        <v/>
      </c>
    </row>
    <row r="227" customFormat="false" ht="15" hidden="false" customHeight="false" outlineLevel="0" collapsed="false">
      <c r="A227" s="6"/>
      <c r="B227" s="0" t="str">
        <f aca="false">IFERROR(INDEX(Master_Lista!$B$2:$B$151,MATCH(A227,Master_Lista!$A$2:$A$151,0)),"")</f>
        <v/>
      </c>
      <c r="C227" s="6"/>
      <c r="D227" s="7"/>
      <c r="E227" s="8"/>
      <c r="F227" s="0" t="str">
        <f aca="false">IFERROR(INDEX(Sheet11_Zarade!$C$2:$C$151,MATCH(A227,Sheet11_Zarade!$A$2:$A$151,0)),"")</f>
        <v/>
      </c>
      <c r="G227" s="5" t="n">
        <f aca="false">IFERROR(INDEX(Sheet11_Zarade!$D$2:$D$151,MATCH(A227,Sheet11_Zarade!$A$2:$A$151,0)),0)</f>
        <v>0</v>
      </c>
      <c r="H227" s="5" t="n">
        <f aca="false">IFERROR(D227*G227,0)</f>
        <v>0</v>
      </c>
      <c r="I227" s="5" t="n">
        <f aca="false">H227*0.5%</f>
        <v>0</v>
      </c>
      <c r="J227" s="5" t="n">
        <f aca="false">H227+I227</f>
        <v>0</v>
      </c>
      <c r="K227" s="0" t="str">
        <f aca="false">IF(D227="","",IF(D227&gt;12,"FLAG",IF(D227&gt;8,"OVERTIME","OK")))</f>
        <v/>
      </c>
      <c r="L227" s="0" t="str">
        <f aca="false">IF(OR(A227="",E227="",C227=""),"",IF(COUNTIFS($A:$A,A227,$E:$E,E227,$C:$C,C227)&gt;1,"DUPLIKAT","OK"))</f>
        <v/>
      </c>
    </row>
    <row r="228" customFormat="false" ht="15" hidden="false" customHeight="false" outlineLevel="0" collapsed="false">
      <c r="A228" s="6"/>
      <c r="B228" s="0" t="str">
        <f aca="false">IFERROR(INDEX(Master_Lista!$B$2:$B$151,MATCH(A228,Master_Lista!$A$2:$A$151,0)),"")</f>
        <v/>
      </c>
      <c r="C228" s="6"/>
      <c r="D228" s="7"/>
      <c r="E228" s="8"/>
      <c r="F228" s="0" t="str">
        <f aca="false">IFERROR(INDEX(Sheet11_Zarade!$C$2:$C$151,MATCH(A228,Sheet11_Zarade!$A$2:$A$151,0)),"")</f>
        <v/>
      </c>
      <c r="G228" s="5" t="n">
        <f aca="false">IFERROR(INDEX(Sheet11_Zarade!$D$2:$D$151,MATCH(A228,Sheet11_Zarade!$A$2:$A$151,0)),0)</f>
        <v>0</v>
      </c>
      <c r="H228" s="5" t="n">
        <f aca="false">IFERROR(D228*G228,0)</f>
        <v>0</v>
      </c>
      <c r="I228" s="5" t="n">
        <f aca="false">H228*0.5%</f>
        <v>0</v>
      </c>
      <c r="J228" s="5" t="n">
        <f aca="false">H228+I228</f>
        <v>0</v>
      </c>
      <c r="K228" s="0" t="str">
        <f aca="false">IF(D228="","",IF(D228&gt;12,"FLAG",IF(D228&gt;8,"OVERTIME","OK")))</f>
        <v/>
      </c>
      <c r="L228" s="0" t="str">
        <f aca="false">IF(OR(A228="",E228="",C228=""),"",IF(COUNTIFS($A:$A,A228,$E:$E,E228,$C:$C,C228)&gt;1,"DUPLIKAT","OK"))</f>
        <v/>
      </c>
    </row>
    <row r="229" customFormat="false" ht="15" hidden="false" customHeight="false" outlineLevel="0" collapsed="false">
      <c r="A229" s="6"/>
      <c r="B229" s="0" t="str">
        <f aca="false">IFERROR(INDEX(Master_Lista!$B$2:$B$151,MATCH(A229,Master_Lista!$A$2:$A$151,0)),"")</f>
        <v/>
      </c>
      <c r="C229" s="6"/>
      <c r="D229" s="7"/>
      <c r="E229" s="8"/>
      <c r="F229" s="0" t="str">
        <f aca="false">IFERROR(INDEX(Sheet11_Zarade!$C$2:$C$151,MATCH(A229,Sheet11_Zarade!$A$2:$A$151,0)),"")</f>
        <v/>
      </c>
      <c r="G229" s="5" t="n">
        <f aca="false">IFERROR(INDEX(Sheet11_Zarade!$D$2:$D$151,MATCH(A229,Sheet11_Zarade!$A$2:$A$151,0)),0)</f>
        <v>0</v>
      </c>
      <c r="H229" s="5" t="n">
        <f aca="false">IFERROR(D229*G229,0)</f>
        <v>0</v>
      </c>
      <c r="I229" s="5" t="n">
        <f aca="false">H229*0.5%</f>
        <v>0</v>
      </c>
      <c r="J229" s="5" t="n">
        <f aca="false">H229+I229</f>
        <v>0</v>
      </c>
      <c r="K229" s="0" t="str">
        <f aca="false">IF(D229="","",IF(D229&gt;12,"FLAG",IF(D229&gt;8,"OVERTIME","OK")))</f>
        <v/>
      </c>
      <c r="L229" s="0" t="str">
        <f aca="false">IF(OR(A229="",E229="",C229=""),"",IF(COUNTIFS($A:$A,A229,$E:$E,E229,$C:$C,C229)&gt;1,"DUPLIKAT","OK"))</f>
        <v/>
      </c>
    </row>
    <row r="230" customFormat="false" ht="15" hidden="false" customHeight="false" outlineLevel="0" collapsed="false">
      <c r="A230" s="6"/>
      <c r="B230" s="0" t="str">
        <f aca="false">IFERROR(INDEX(Master_Lista!$B$2:$B$151,MATCH(A230,Master_Lista!$A$2:$A$151,0)),"")</f>
        <v/>
      </c>
      <c r="C230" s="6"/>
      <c r="D230" s="7"/>
      <c r="E230" s="8"/>
      <c r="F230" s="0" t="str">
        <f aca="false">IFERROR(INDEX(Sheet11_Zarade!$C$2:$C$151,MATCH(A230,Sheet11_Zarade!$A$2:$A$151,0)),"")</f>
        <v/>
      </c>
      <c r="G230" s="5" t="n">
        <f aca="false">IFERROR(INDEX(Sheet11_Zarade!$D$2:$D$151,MATCH(A230,Sheet11_Zarade!$A$2:$A$151,0)),0)</f>
        <v>0</v>
      </c>
      <c r="H230" s="5" t="n">
        <f aca="false">IFERROR(D230*G230,0)</f>
        <v>0</v>
      </c>
      <c r="I230" s="5" t="n">
        <f aca="false">H230*0.5%</f>
        <v>0</v>
      </c>
      <c r="J230" s="5" t="n">
        <f aca="false">H230+I230</f>
        <v>0</v>
      </c>
      <c r="K230" s="0" t="str">
        <f aca="false">IF(D230="","",IF(D230&gt;12,"FLAG",IF(D230&gt;8,"OVERTIME","OK")))</f>
        <v/>
      </c>
      <c r="L230" s="0" t="str">
        <f aca="false">IF(OR(A230="",E230="",C230=""),"",IF(COUNTIFS($A:$A,A230,$E:$E,E230,$C:$C,C230)&gt;1,"DUPLIKAT","OK"))</f>
        <v/>
      </c>
    </row>
    <row r="231" customFormat="false" ht="15" hidden="false" customHeight="false" outlineLevel="0" collapsed="false">
      <c r="A231" s="6"/>
      <c r="B231" s="0" t="str">
        <f aca="false">IFERROR(INDEX(Master_Lista!$B$2:$B$151,MATCH(A231,Master_Lista!$A$2:$A$151,0)),"")</f>
        <v/>
      </c>
      <c r="C231" s="6"/>
      <c r="D231" s="7"/>
      <c r="E231" s="8"/>
      <c r="F231" s="0" t="str">
        <f aca="false">IFERROR(INDEX(Sheet11_Zarade!$C$2:$C$151,MATCH(A231,Sheet11_Zarade!$A$2:$A$151,0)),"")</f>
        <v/>
      </c>
      <c r="G231" s="5" t="n">
        <f aca="false">IFERROR(INDEX(Sheet11_Zarade!$D$2:$D$151,MATCH(A231,Sheet11_Zarade!$A$2:$A$151,0)),0)</f>
        <v>0</v>
      </c>
      <c r="H231" s="5" t="n">
        <f aca="false">IFERROR(D231*G231,0)</f>
        <v>0</v>
      </c>
      <c r="I231" s="5" t="n">
        <f aca="false">H231*0.5%</f>
        <v>0</v>
      </c>
      <c r="J231" s="5" t="n">
        <f aca="false">H231+I231</f>
        <v>0</v>
      </c>
      <c r="K231" s="0" t="str">
        <f aca="false">IF(D231="","",IF(D231&gt;12,"FLAG",IF(D231&gt;8,"OVERTIME","OK")))</f>
        <v/>
      </c>
      <c r="L231" s="0" t="str">
        <f aca="false">IF(OR(A231="",E231="",C231=""),"",IF(COUNTIFS($A:$A,A231,$E:$E,E231,$C:$C,C231)&gt;1,"DUPLIKAT","OK"))</f>
        <v/>
      </c>
    </row>
    <row r="232" customFormat="false" ht="15" hidden="false" customHeight="false" outlineLevel="0" collapsed="false">
      <c r="A232" s="6"/>
      <c r="B232" s="0" t="str">
        <f aca="false">IFERROR(INDEX(Master_Lista!$B$2:$B$151,MATCH(A232,Master_Lista!$A$2:$A$151,0)),"")</f>
        <v/>
      </c>
      <c r="C232" s="6"/>
      <c r="D232" s="7"/>
      <c r="E232" s="8"/>
      <c r="F232" s="0" t="str">
        <f aca="false">IFERROR(INDEX(Sheet11_Zarade!$C$2:$C$151,MATCH(A232,Sheet11_Zarade!$A$2:$A$151,0)),"")</f>
        <v/>
      </c>
      <c r="G232" s="5" t="n">
        <f aca="false">IFERROR(INDEX(Sheet11_Zarade!$D$2:$D$151,MATCH(A232,Sheet11_Zarade!$A$2:$A$151,0)),0)</f>
        <v>0</v>
      </c>
      <c r="H232" s="5" t="n">
        <f aca="false">IFERROR(D232*G232,0)</f>
        <v>0</v>
      </c>
      <c r="I232" s="5" t="n">
        <f aca="false">H232*0.5%</f>
        <v>0</v>
      </c>
      <c r="J232" s="5" t="n">
        <f aca="false">H232+I232</f>
        <v>0</v>
      </c>
      <c r="K232" s="0" t="str">
        <f aca="false">IF(D232="","",IF(D232&gt;12,"FLAG",IF(D232&gt;8,"OVERTIME","OK")))</f>
        <v/>
      </c>
      <c r="L232" s="0" t="str">
        <f aca="false">IF(OR(A232="",E232="",C232=""),"",IF(COUNTIFS($A:$A,A232,$E:$E,E232,$C:$C,C232)&gt;1,"DUPLIKAT","OK"))</f>
        <v/>
      </c>
    </row>
    <row r="233" customFormat="false" ht="15" hidden="false" customHeight="false" outlineLevel="0" collapsed="false">
      <c r="A233" s="6"/>
      <c r="B233" s="0" t="str">
        <f aca="false">IFERROR(INDEX(Master_Lista!$B$2:$B$151,MATCH(A233,Master_Lista!$A$2:$A$151,0)),"")</f>
        <v/>
      </c>
      <c r="C233" s="6"/>
      <c r="D233" s="7"/>
      <c r="E233" s="8"/>
      <c r="F233" s="0" t="str">
        <f aca="false">IFERROR(INDEX(Sheet11_Zarade!$C$2:$C$151,MATCH(A233,Sheet11_Zarade!$A$2:$A$151,0)),"")</f>
        <v/>
      </c>
      <c r="G233" s="5" t="n">
        <f aca="false">IFERROR(INDEX(Sheet11_Zarade!$D$2:$D$151,MATCH(A233,Sheet11_Zarade!$A$2:$A$151,0)),0)</f>
        <v>0</v>
      </c>
      <c r="H233" s="5" t="n">
        <f aca="false">IFERROR(D233*G233,0)</f>
        <v>0</v>
      </c>
      <c r="I233" s="5" t="n">
        <f aca="false">H233*0.5%</f>
        <v>0</v>
      </c>
      <c r="J233" s="5" t="n">
        <f aca="false">H233+I233</f>
        <v>0</v>
      </c>
      <c r="K233" s="0" t="str">
        <f aca="false">IF(D233="","",IF(D233&gt;12,"FLAG",IF(D233&gt;8,"OVERTIME","OK")))</f>
        <v/>
      </c>
      <c r="L233" s="0" t="str">
        <f aca="false">IF(OR(A233="",E233="",C233=""),"",IF(COUNTIFS($A:$A,A233,$E:$E,E233,$C:$C,C233)&gt;1,"DUPLIKAT","OK"))</f>
        <v/>
      </c>
    </row>
    <row r="234" customFormat="false" ht="15" hidden="false" customHeight="false" outlineLevel="0" collapsed="false">
      <c r="A234" s="6"/>
      <c r="B234" s="0" t="str">
        <f aca="false">IFERROR(INDEX(Master_Lista!$B$2:$B$151,MATCH(A234,Master_Lista!$A$2:$A$151,0)),"")</f>
        <v/>
      </c>
      <c r="C234" s="6"/>
      <c r="D234" s="7"/>
      <c r="E234" s="8"/>
      <c r="F234" s="0" t="str">
        <f aca="false">IFERROR(INDEX(Sheet11_Zarade!$C$2:$C$151,MATCH(A234,Sheet11_Zarade!$A$2:$A$151,0)),"")</f>
        <v/>
      </c>
      <c r="G234" s="5" t="n">
        <f aca="false">IFERROR(INDEX(Sheet11_Zarade!$D$2:$D$151,MATCH(A234,Sheet11_Zarade!$A$2:$A$151,0)),0)</f>
        <v>0</v>
      </c>
      <c r="H234" s="5" t="n">
        <f aca="false">IFERROR(D234*G234,0)</f>
        <v>0</v>
      </c>
      <c r="I234" s="5" t="n">
        <f aca="false">H234*0.5%</f>
        <v>0</v>
      </c>
      <c r="J234" s="5" t="n">
        <f aca="false">H234+I234</f>
        <v>0</v>
      </c>
      <c r="K234" s="0" t="str">
        <f aca="false">IF(D234="","",IF(D234&gt;12,"FLAG",IF(D234&gt;8,"OVERTIME","OK")))</f>
        <v/>
      </c>
      <c r="L234" s="0" t="str">
        <f aca="false">IF(OR(A234="",E234="",C234=""),"",IF(COUNTIFS($A:$A,A234,$E:$E,E234,$C:$C,C234)&gt;1,"DUPLIKAT","OK"))</f>
        <v/>
      </c>
    </row>
    <row r="235" customFormat="false" ht="15" hidden="false" customHeight="false" outlineLevel="0" collapsed="false">
      <c r="A235" s="6"/>
      <c r="B235" s="0" t="str">
        <f aca="false">IFERROR(INDEX(Master_Lista!$B$2:$B$151,MATCH(A235,Master_Lista!$A$2:$A$151,0)),"")</f>
        <v/>
      </c>
      <c r="C235" s="6"/>
      <c r="D235" s="7"/>
      <c r="E235" s="8"/>
      <c r="F235" s="0" t="str">
        <f aca="false">IFERROR(INDEX(Sheet11_Zarade!$C$2:$C$151,MATCH(A235,Sheet11_Zarade!$A$2:$A$151,0)),"")</f>
        <v/>
      </c>
      <c r="G235" s="5" t="n">
        <f aca="false">IFERROR(INDEX(Sheet11_Zarade!$D$2:$D$151,MATCH(A235,Sheet11_Zarade!$A$2:$A$151,0)),0)</f>
        <v>0</v>
      </c>
      <c r="H235" s="5" t="n">
        <f aca="false">IFERROR(D235*G235,0)</f>
        <v>0</v>
      </c>
      <c r="I235" s="5" t="n">
        <f aca="false">H235*0.5%</f>
        <v>0</v>
      </c>
      <c r="J235" s="5" t="n">
        <f aca="false">H235+I235</f>
        <v>0</v>
      </c>
      <c r="K235" s="0" t="str">
        <f aca="false">IF(D235="","",IF(D235&gt;12,"FLAG",IF(D235&gt;8,"OVERTIME","OK")))</f>
        <v/>
      </c>
      <c r="L235" s="0" t="str">
        <f aca="false">IF(OR(A235="",E235="",C235=""),"",IF(COUNTIFS($A:$A,A235,$E:$E,E235,$C:$C,C235)&gt;1,"DUPLIKAT","OK"))</f>
        <v/>
      </c>
    </row>
    <row r="236" customFormat="false" ht="15" hidden="false" customHeight="false" outlineLevel="0" collapsed="false">
      <c r="A236" s="6"/>
      <c r="B236" s="0" t="str">
        <f aca="false">IFERROR(INDEX(Master_Lista!$B$2:$B$151,MATCH(A236,Master_Lista!$A$2:$A$151,0)),"")</f>
        <v/>
      </c>
      <c r="C236" s="6"/>
      <c r="D236" s="7"/>
      <c r="E236" s="8"/>
      <c r="F236" s="0" t="str">
        <f aca="false">IFERROR(INDEX(Sheet11_Zarade!$C$2:$C$151,MATCH(A236,Sheet11_Zarade!$A$2:$A$151,0)),"")</f>
        <v/>
      </c>
      <c r="G236" s="5" t="n">
        <f aca="false">IFERROR(INDEX(Sheet11_Zarade!$D$2:$D$151,MATCH(A236,Sheet11_Zarade!$A$2:$A$151,0)),0)</f>
        <v>0</v>
      </c>
      <c r="H236" s="5" t="n">
        <f aca="false">IFERROR(D236*G236,0)</f>
        <v>0</v>
      </c>
      <c r="I236" s="5" t="n">
        <f aca="false">H236*0.5%</f>
        <v>0</v>
      </c>
      <c r="J236" s="5" t="n">
        <f aca="false">H236+I236</f>
        <v>0</v>
      </c>
      <c r="K236" s="0" t="str">
        <f aca="false">IF(D236="","",IF(D236&gt;12,"FLAG",IF(D236&gt;8,"OVERTIME","OK")))</f>
        <v/>
      </c>
      <c r="L236" s="0" t="str">
        <f aca="false">IF(OR(A236="",E236="",C236=""),"",IF(COUNTIFS($A:$A,A236,$E:$E,E236,$C:$C,C236)&gt;1,"DUPLIKAT","OK"))</f>
        <v/>
      </c>
    </row>
    <row r="237" customFormat="false" ht="15" hidden="false" customHeight="false" outlineLevel="0" collapsed="false">
      <c r="A237" s="6"/>
      <c r="B237" s="0" t="str">
        <f aca="false">IFERROR(INDEX(Master_Lista!$B$2:$B$151,MATCH(A237,Master_Lista!$A$2:$A$151,0)),"")</f>
        <v/>
      </c>
      <c r="C237" s="6"/>
      <c r="D237" s="7"/>
      <c r="E237" s="8"/>
      <c r="F237" s="0" t="str">
        <f aca="false">IFERROR(INDEX(Sheet11_Zarade!$C$2:$C$151,MATCH(A237,Sheet11_Zarade!$A$2:$A$151,0)),"")</f>
        <v/>
      </c>
      <c r="G237" s="5" t="n">
        <f aca="false">IFERROR(INDEX(Sheet11_Zarade!$D$2:$D$151,MATCH(A237,Sheet11_Zarade!$A$2:$A$151,0)),0)</f>
        <v>0</v>
      </c>
      <c r="H237" s="5" t="n">
        <f aca="false">IFERROR(D237*G237,0)</f>
        <v>0</v>
      </c>
      <c r="I237" s="5" t="n">
        <f aca="false">H237*0.5%</f>
        <v>0</v>
      </c>
      <c r="J237" s="5" t="n">
        <f aca="false">H237+I237</f>
        <v>0</v>
      </c>
      <c r="K237" s="0" t="str">
        <f aca="false">IF(D237="","",IF(D237&gt;12,"FLAG",IF(D237&gt;8,"OVERTIME","OK")))</f>
        <v/>
      </c>
      <c r="L237" s="0" t="str">
        <f aca="false">IF(OR(A237="",E237="",C237=""),"",IF(COUNTIFS($A:$A,A237,$E:$E,E237,$C:$C,C237)&gt;1,"DUPLIKAT","OK"))</f>
        <v/>
      </c>
    </row>
    <row r="238" customFormat="false" ht="15" hidden="false" customHeight="false" outlineLevel="0" collapsed="false">
      <c r="A238" s="6"/>
      <c r="B238" s="0" t="str">
        <f aca="false">IFERROR(INDEX(Master_Lista!$B$2:$B$151,MATCH(A238,Master_Lista!$A$2:$A$151,0)),"")</f>
        <v/>
      </c>
      <c r="C238" s="6"/>
      <c r="D238" s="7"/>
      <c r="E238" s="8"/>
      <c r="F238" s="0" t="str">
        <f aca="false">IFERROR(INDEX(Sheet11_Zarade!$C$2:$C$151,MATCH(A238,Sheet11_Zarade!$A$2:$A$151,0)),"")</f>
        <v/>
      </c>
      <c r="G238" s="5" t="n">
        <f aca="false">IFERROR(INDEX(Sheet11_Zarade!$D$2:$D$151,MATCH(A238,Sheet11_Zarade!$A$2:$A$151,0)),0)</f>
        <v>0</v>
      </c>
      <c r="H238" s="5" t="n">
        <f aca="false">IFERROR(D238*G238,0)</f>
        <v>0</v>
      </c>
      <c r="I238" s="5" t="n">
        <f aca="false">H238*0.5%</f>
        <v>0</v>
      </c>
      <c r="J238" s="5" t="n">
        <f aca="false">H238+I238</f>
        <v>0</v>
      </c>
      <c r="K238" s="0" t="str">
        <f aca="false">IF(D238="","",IF(D238&gt;12,"FLAG",IF(D238&gt;8,"OVERTIME","OK")))</f>
        <v/>
      </c>
      <c r="L238" s="0" t="str">
        <f aca="false">IF(OR(A238="",E238="",C238=""),"",IF(COUNTIFS($A:$A,A238,$E:$E,E238,$C:$C,C238)&gt;1,"DUPLIKAT","OK"))</f>
        <v/>
      </c>
    </row>
    <row r="239" customFormat="false" ht="15" hidden="false" customHeight="false" outlineLevel="0" collapsed="false">
      <c r="A239" s="6"/>
      <c r="B239" s="0" t="str">
        <f aca="false">IFERROR(INDEX(Master_Lista!$B$2:$B$151,MATCH(A239,Master_Lista!$A$2:$A$151,0)),"")</f>
        <v/>
      </c>
      <c r="C239" s="6"/>
      <c r="D239" s="7"/>
      <c r="E239" s="8"/>
      <c r="F239" s="0" t="str">
        <f aca="false">IFERROR(INDEX(Sheet11_Zarade!$C$2:$C$151,MATCH(A239,Sheet11_Zarade!$A$2:$A$151,0)),"")</f>
        <v/>
      </c>
      <c r="G239" s="5" t="n">
        <f aca="false">IFERROR(INDEX(Sheet11_Zarade!$D$2:$D$151,MATCH(A239,Sheet11_Zarade!$A$2:$A$151,0)),0)</f>
        <v>0</v>
      </c>
      <c r="H239" s="5" t="n">
        <f aca="false">IFERROR(D239*G239,0)</f>
        <v>0</v>
      </c>
      <c r="I239" s="5" t="n">
        <f aca="false">H239*0.5%</f>
        <v>0</v>
      </c>
      <c r="J239" s="5" t="n">
        <f aca="false">H239+I239</f>
        <v>0</v>
      </c>
      <c r="K239" s="0" t="str">
        <f aca="false">IF(D239="","",IF(D239&gt;12,"FLAG",IF(D239&gt;8,"OVERTIME","OK")))</f>
        <v/>
      </c>
      <c r="L239" s="0" t="str">
        <f aca="false">IF(OR(A239="",E239="",C239=""),"",IF(COUNTIFS($A:$A,A239,$E:$E,E239,$C:$C,C239)&gt;1,"DUPLIKAT","OK"))</f>
        <v/>
      </c>
    </row>
    <row r="240" customFormat="false" ht="15" hidden="false" customHeight="false" outlineLevel="0" collapsed="false">
      <c r="A240" s="6"/>
      <c r="B240" s="0" t="str">
        <f aca="false">IFERROR(INDEX(Master_Lista!$B$2:$B$151,MATCH(A240,Master_Lista!$A$2:$A$151,0)),"")</f>
        <v/>
      </c>
      <c r="C240" s="6"/>
      <c r="D240" s="7"/>
      <c r="E240" s="8"/>
      <c r="F240" s="0" t="str">
        <f aca="false">IFERROR(INDEX(Sheet11_Zarade!$C$2:$C$151,MATCH(A240,Sheet11_Zarade!$A$2:$A$151,0)),"")</f>
        <v/>
      </c>
      <c r="G240" s="5" t="n">
        <f aca="false">IFERROR(INDEX(Sheet11_Zarade!$D$2:$D$151,MATCH(A240,Sheet11_Zarade!$A$2:$A$151,0)),0)</f>
        <v>0</v>
      </c>
      <c r="H240" s="5" t="n">
        <f aca="false">IFERROR(D240*G240,0)</f>
        <v>0</v>
      </c>
      <c r="I240" s="5" t="n">
        <f aca="false">H240*0.5%</f>
        <v>0</v>
      </c>
      <c r="J240" s="5" t="n">
        <f aca="false">H240+I240</f>
        <v>0</v>
      </c>
      <c r="K240" s="0" t="str">
        <f aca="false">IF(D240="","",IF(D240&gt;12,"FLAG",IF(D240&gt;8,"OVERTIME","OK")))</f>
        <v/>
      </c>
      <c r="L240" s="0" t="str">
        <f aca="false">IF(OR(A240="",E240="",C240=""),"",IF(COUNTIFS($A:$A,A240,$E:$E,E240,$C:$C,C240)&gt;1,"DUPLIKAT","OK"))</f>
        <v/>
      </c>
    </row>
    <row r="241" customFormat="false" ht="15" hidden="false" customHeight="false" outlineLevel="0" collapsed="false">
      <c r="A241" s="6"/>
      <c r="B241" s="0" t="str">
        <f aca="false">IFERROR(INDEX(Master_Lista!$B$2:$B$151,MATCH(A241,Master_Lista!$A$2:$A$151,0)),"")</f>
        <v/>
      </c>
      <c r="C241" s="6"/>
      <c r="D241" s="7"/>
      <c r="E241" s="8"/>
      <c r="F241" s="0" t="str">
        <f aca="false">IFERROR(INDEX(Sheet11_Zarade!$C$2:$C$151,MATCH(A241,Sheet11_Zarade!$A$2:$A$151,0)),"")</f>
        <v/>
      </c>
      <c r="G241" s="5" t="n">
        <f aca="false">IFERROR(INDEX(Sheet11_Zarade!$D$2:$D$151,MATCH(A241,Sheet11_Zarade!$A$2:$A$151,0)),0)</f>
        <v>0</v>
      </c>
      <c r="H241" s="5" t="n">
        <f aca="false">IFERROR(D241*G241,0)</f>
        <v>0</v>
      </c>
      <c r="I241" s="5" t="n">
        <f aca="false">H241*0.5%</f>
        <v>0</v>
      </c>
      <c r="J241" s="5" t="n">
        <f aca="false">H241+I241</f>
        <v>0</v>
      </c>
      <c r="K241" s="0" t="str">
        <f aca="false">IF(D241="","",IF(D241&gt;12,"FLAG",IF(D241&gt;8,"OVERTIME","OK")))</f>
        <v/>
      </c>
      <c r="L241" s="0" t="str">
        <f aca="false">IF(OR(A241="",E241="",C241=""),"",IF(COUNTIFS($A:$A,A241,$E:$E,E241,$C:$C,C241)&gt;1,"DUPLIKAT","OK"))</f>
        <v/>
      </c>
    </row>
    <row r="242" customFormat="false" ht="15" hidden="false" customHeight="false" outlineLevel="0" collapsed="false">
      <c r="A242" s="6"/>
      <c r="B242" s="0" t="str">
        <f aca="false">IFERROR(INDEX(Master_Lista!$B$2:$B$151,MATCH(A242,Master_Lista!$A$2:$A$151,0)),"")</f>
        <v/>
      </c>
      <c r="C242" s="6"/>
      <c r="D242" s="7"/>
      <c r="E242" s="8"/>
      <c r="F242" s="0" t="str">
        <f aca="false">IFERROR(INDEX(Sheet11_Zarade!$C$2:$C$151,MATCH(A242,Sheet11_Zarade!$A$2:$A$151,0)),"")</f>
        <v/>
      </c>
      <c r="G242" s="5" t="n">
        <f aca="false">IFERROR(INDEX(Sheet11_Zarade!$D$2:$D$151,MATCH(A242,Sheet11_Zarade!$A$2:$A$151,0)),0)</f>
        <v>0</v>
      </c>
      <c r="H242" s="5" t="n">
        <f aca="false">IFERROR(D242*G242,0)</f>
        <v>0</v>
      </c>
      <c r="I242" s="5" t="n">
        <f aca="false">H242*0.5%</f>
        <v>0</v>
      </c>
      <c r="J242" s="5" t="n">
        <f aca="false">H242+I242</f>
        <v>0</v>
      </c>
      <c r="K242" s="0" t="str">
        <f aca="false">IF(D242="","",IF(D242&gt;12,"FLAG",IF(D242&gt;8,"OVERTIME","OK")))</f>
        <v/>
      </c>
      <c r="L242" s="0" t="str">
        <f aca="false">IF(OR(A242="",E242="",C242=""),"",IF(COUNTIFS($A:$A,A242,$E:$E,E242,$C:$C,C242)&gt;1,"DUPLIKAT","OK"))</f>
        <v/>
      </c>
    </row>
    <row r="243" customFormat="false" ht="15" hidden="false" customHeight="false" outlineLevel="0" collapsed="false">
      <c r="A243" s="6"/>
      <c r="B243" s="0" t="str">
        <f aca="false">IFERROR(INDEX(Master_Lista!$B$2:$B$151,MATCH(A243,Master_Lista!$A$2:$A$151,0)),"")</f>
        <v/>
      </c>
      <c r="C243" s="6"/>
      <c r="D243" s="7"/>
      <c r="E243" s="8"/>
      <c r="F243" s="0" t="str">
        <f aca="false">IFERROR(INDEX(Sheet11_Zarade!$C$2:$C$151,MATCH(A243,Sheet11_Zarade!$A$2:$A$151,0)),"")</f>
        <v/>
      </c>
      <c r="G243" s="5" t="n">
        <f aca="false">IFERROR(INDEX(Sheet11_Zarade!$D$2:$D$151,MATCH(A243,Sheet11_Zarade!$A$2:$A$151,0)),0)</f>
        <v>0</v>
      </c>
      <c r="H243" s="5" t="n">
        <f aca="false">IFERROR(D243*G243,0)</f>
        <v>0</v>
      </c>
      <c r="I243" s="5" t="n">
        <f aca="false">H243*0.5%</f>
        <v>0</v>
      </c>
      <c r="J243" s="5" t="n">
        <f aca="false">H243+I243</f>
        <v>0</v>
      </c>
      <c r="K243" s="0" t="str">
        <f aca="false">IF(D243="","",IF(D243&gt;12,"FLAG",IF(D243&gt;8,"OVERTIME","OK")))</f>
        <v/>
      </c>
      <c r="L243" s="0" t="str">
        <f aca="false">IF(OR(A243="",E243="",C243=""),"",IF(COUNTIFS($A:$A,A243,$E:$E,E243,$C:$C,C243)&gt;1,"DUPLIKAT","OK"))</f>
        <v/>
      </c>
    </row>
    <row r="244" customFormat="false" ht="15" hidden="false" customHeight="false" outlineLevel="0" collapsed="false">
      <c r="A244" s="6"/>
      <c r="B244" s="0" t="str">
        <f aca="false">IFERROR(INDEX(Master_Lista!$B$2:$B$151,MATCH(A244,Master_Lista!$A$2:$A$151,0)),"")</f>
        <v/>
      </c>
      <c r="C244" s="6"/>
      <c r="D244" s="7"/>
      <c r="E244" s="8"/>
      <c r="F244" s="0" t="str">
        <f aca="false">IFERROR(INDEX(Sheet11_Zarade!$C$2:$C$151,MATCH(A244,Sheet11_Zarade!$A$2:$A$151,0)),"")</f>
        <v/>
      </c>
      <c r="G244" s="5" t="n">
        <f aca="false">IFERROR(INDEX(Sheet11_Zarade!$D$2:$D$151,MATCH(A244,Sheet11_Zarade!$A$2:$A$151,0)),0)</f>
        <v>0</v>
      </c>
      <c r="H244" s="5" t="n">
        <f aca="false">IFERROR(D244*G244,0)</f>
        <v>0</v>
      </c>
      <c r="I244" s="5" t="n">
        <f aca="false">H244*0.5%</f>
        <v>0</v>
      </c>
      <c r="J244" s="5" t="n">
        <f aca="false">H244+I244</f>
        <v>0</v>
      </c>
      <c r="K244" s="0" t="str">
        <f aca="false">IF(D244="","",IF(D244&gt;12,"FLAG",IF(D244&gt;8,"OVERTIME","OK")))</f>
        <v/>
      </c>
      <c r="L244" s="0" t="str">
        <f aca="false">IF(OR(A244="",E244="",C244=""),"",IF(COUNTIFS($A:$A,A244,$E:$E,E244,$C:$C,C244)&gt;1,"DUPLIKAT","OK"))</f>
        <v/>
      </c>
    </row>
    <row r="245" customFormat="false" ht="15" hidden="false" customHeight="false" outlineLevel="0" collapsed="false">
      <c r="A245" s="6"/>
      <c r="B245" s="0" t="str">
        <f aca="false">IFERROR(INDEX(Master_Lista!$B$2:$B$151,MATCH(A245,Master_Lista!$A$2:$A$151,0)),"")</f>
        <v/>
      </c>
      <c r="C245" s="6"/>
      <c r="D245" s="7"/>
      <c r="E245" s="8"/>
      <c r="F245" s="0" t="str">
        <f aca="false">IFERROR(INDEX(Sheet11_Zarade!$C$2:$C$151,MATCH(A245,Sheet11_Zarade!$A$2:$A$151,0)),"")</f>
        <v/>
      </c>
      <c r="G245" s="5" t="n">
        <f aca="false">IFERROR(INDEX(Sheet11_Zarade!$D$2:$D$151,MATCH(A245,Sheet11_Zarade!$A$2:$A$151,0)),0)</f>
        <v>0</v>
      </c>
      <c r="H245" s="5" t="n">
        <f aca="false">IFERROR(D245*G245,0)</f>
        <v>0</v>
      </c>
      <c r="I245" s="5" t="n">
        <f aca="false">H245*0.5%</f>
        <v>0</v>
      </c>
      <c r="J245" s="5" t="n">
        <f aca="false">H245+I245</f>
        <v>0</v>
      </c>
      <c r="K245" s="0" t="str">
        <f aca="false">IF(D245="","",IF(D245&gt;12,"FLAG",IF(D245&gt;8,"OVERTIME","OK")))</f>
        <v/>
      </c>
      <c r="L245" s="0" t="str">
        <f aca="false">IF(OR(A245="",E245="",C245=""),"",IF(COUNTIFS($A:$A,A245,$E:$E,E245,$C:$C,C245)&gt;1,"DUPLIKAT","OK"))</f>
        <v/>
      </c>
    </row>
    <row r="246" customFormat="false" ht="15" hidden="false" customHeight="false" outlineLevel="0" collapsed="false">
      <c r="A246" s="6"/>
      <c r="B246" s="0" t="str">
        <f aca="false">IFERROR(INDEX(Master_Lista!$B$2:$B$151,MATCH(A246,Master_Lista!$A$2:$A$151,0)),"")</f>
        <v/>
      </c>
      <c r="C246" s="6"/>
      <c r="D246" s="7"/>
      <c r="E246" s="8"/>
      <c r="F246" s="0" t="str">
        <f aca="false">IFERROR(INDEX(Sheet11_Zarade!$C$2:$C$151,MATCH(A246,Sheet11_Zarade!$A$2:$A$151,0)),"")</f>
        <v/>
      </c>
      <c r="G246" s="5" t="n">
        <f aca="false">IFERROR(INDEX(Sheet11_Zarade!$D$2:$D$151,MATCH(A246,Sheet11_Zarade!$A$2:$A$151,0)),0)</f>
        <v>0</v>
      </c>
      <c r="H246" s="5" t="n">
        <f aca="false">IFERROR(D246*G246,0)</f>
        <v>0</v>
      </c>
      <c r="I246" s="5" t="n">
        <f aca="false">H246*0.5%</f>
        <v>0</v>
      </c>
      <c r="J246" s="5" t="n">
        <f aca="false">H246+I246</f>
        <v>0</v>
      </c>
      <c r="K246" s="0" t="str">
        <f aca="false">IF(D246="","",IF(D246&gt;12,"FLAG",IF(D246&gt;8,"OVERTIME","OK")))</f>
        <v/>
      </c>
      <c r="L246" s="0" t="str">
        <f aca="false">IF(OR(A246="",E246="",C246=""),"",IF(COUNTIFS($A:$A,A246,$E:$E,E246,$C:$C,C246)&gt;1,"DUPLIKAT","OK"))</f>
        <v/>
      </c>
    </row>
    <row r="247" customFormat="false" ht="15" hidden="false" customHeight="false" outlineLevel="0" collapsed="false">
      <c r="A247" s="6"/>
      <c r="B247" s="0" t="str">
        <f aca="false">IFERROR(INDEX(Master_Lista!$B$2:$B$151,MATCH(A247,Master_Lista!$A$2:$A$151,0)),"")</f>
        <v/>
      </c>
      <c r="C247" s="6"/>
      <c r="D247" s="7"/>
      <c r="E247" s="8"/>
      <c r="F247" s="0" t="str">
        <f aca="false">IFERROR(INDEX(Sheet11_Zarade!$C$2:$C$151,MATCH(A247,Sheet11_Zarade!$A$2:$A$151,0)),"")</f>
        <v/>
      </c>
      <c r="G247" s="5" t="n">
        <f aca="false">IFERROR(INDEX(Sheet11_Zarade!$D$2:$D$151,MATCH(A247,Sheet11_Zarade!$A$2:$A$151,0)),0)</f>
        <v>0</v>
      </c>
      <c r="H247" s="5" t="n">
        <f aca="false">IFERROR(D247*G247,0)</f>
        <v>0</v>
      </c>
      <c r="I247" s="5" t="n">
        <f aca="false">H247*0.5%</f>
        <v>0</v>
      </c>
      <c r="J247" s="5" t="n">
        <f aca="false">H247+I247</f>
        <v>0</v>
      </c>
      <c r="K247" s="0" t="str">
        <f aca="false">IF(D247="","",IF(D247&gt;12,"FLAG",IF(D247&gt;8,"OVERTIME","OK")))</f>
        <v/>
      </c>
      <c r="L247" s="0" t="str">
        <f aca="false">IF(OR(A247="",E247="",C247=""),"",IF(COUNTIFS($A:$A,A247,$E:$E,E247,$C:$C,C247)&gt;1,"DUPLIKAT","OK"))</f>
        <v/>
      </c>
    </row>
    <row r="248" customFormat="false" ht="15" hidden="false" customHeight="false" outlineLevel="0" collapsed="false">
      <c r="A248" s="6"/>
      <c r="B248" s="0" t="str">
        <f aca="false">IFERROR(INDEX(Master_Lista!$B$2:$B$151,MATCH(A248,Master_Lista!$A$2:$A$151,0)),"")</f>
        <v/>
      </c>
      <c r="C248" s="6"/>
      <c r="D248" s="7"/>
      <c r="E248" s="8"/>
      <c r="F248" s="0" t="str">
        <f aca="false">IFERROR(INDEX(Sheet11_Zarade!$C$2:$C$151,MATCH(A248,Sheet11_Zarade!$A$2:$A$151,0)),"")</f>
        <v/>
      </c>
      <c r="G248" s="5" t="n">
        <f aca="false">IFERROR(INDEX(Sheet11_Zarade!$D$2:$D$151,MATCH(A248,Sheet11_Zarade!$A$2:$A$151,0)),0)</f>
        <v>0</v>
      </c>
      <c r="H248" s="5" t="n">
        <f aca="false">IFERROR(D248*G248,0)</f>
        <v>0</v>
      </c>
      <c r="I248" s="5" t="n">
        <f aca="false">H248*0.5%</f>
        <v>0</v>
      </c>
      <c r="J248" s="5" t="n">
        <f aca="false">H248+I248</f>
        <v>0</v>
      </c>
      <c r="K248" s="0" t="str">
        <f aca="false">IF(D248="","",IF(D248&gt;12,"FLAG",IF(D248&gt;8,"OVERTIME","OK")))</f>
        <v/>
      </c>
      <c r="L248" s="0" t="str">
        <f aca="false">IF(OR(A248="",E248="",C248=""),"",IF(COUNTIFS($A:$A,A248,$E:$E,E248,$C:$C,C248)&gt;1,"DUPLIKAT","OK"))</f>
        <v/>
      </c>
    </row>
    <row r="249" customFormat="false" ht="15" hidden="false" customHeight="false" outlineLevel="0" collapsed="false">
      <c r="A249" s="6"/>
      <c r="B249" s="0" t="str">
        <f aca="false">IFERROR(INDEX(Master_Lista!$B$2:$B$151,MATCH(A249,Master_Lista!$A$2:$A$151,0)),"")</f>
        <v/>
      </c>
      <c r="C249" s="6"/>
      <c r="D249" s="7"/>
      <c r="E249" s="8"/>
      <c r="F249" s="0" t="str">
        <f aca="false">IFERROR(INDEX(Sheet11_Zarade!$C$2:$C$151,MATCH(A249,Sheet11_Zarade!$A$2:$A$151,0)),"")</f>
        <v/>
      </c>
      <c r="G249" s="5" t="n">
        <f aca="false">IFERROR(INDEX(Sheet11_Zarade!$D$2:$D$151,MATCH(A249,Sheet11_Zarade!$A$2:$A$151,0)),0)</f>
        <v>0</v>
      </c>
      <c r="H249" s="5" t="n">
        <f aca="false">IFERROR(D249*G249,0)</f>
        <v>0</v>
      </c>
      <c r="I249" s="5" t="n">
        <f aca="false">H249*0.5%</f>
        <v>0</v>
      </c>
      <c r="J249" s="5" t="n">
        <f aca="false">H249+I249</f>
        <v>0</v>
      </c>
      <c r="K249" s="0" t="str">
        <f aca="false">IF(D249="","",IF(D249&gt;12,"FLAG",IF(D249&gt;8,"OVERTIME","OK")))</f>
        <v/>
      </c>
      <c r="L249" s="0" t="str">
        <f aca="false">IF(OR(A249="",E249="",C249=""),"",IF(COUNTIFS($A:$A,A249,$E:$E,E249,$C:$C,C249)&gt;1,"DUPLIKAT","OK"))</f>
        <v/>
      </c>
    </row>
    <row r="250" customFormat="false" ht="15" hidden="false" customHeight="false" outlineLevel="0" collapsed="false">
      <c r="A250" s="6"/>
      <c r="B250" s="0" t="str">
        <f aca="false">IFERROR(INDEX(Master_Lista!$B$2:$B$151,MATCH(A250,Master_Lista!$A$2:$A$151,0)),"")</f>
        <v/>
      </c>
      <c r="C250" s="6"/>
      <c r="D250" s="7"/>
      <c r="E250" s="8"/>
      <c r="F250" s="0" t="str">
        <f aca="false">IFERROR(INDEX(Sheet11_Zarade!$C$2:$C$151,MATCH(A250,Sheet11_Zarade!$A$2:$A$151,0)),"")</f>
        <v/>
      </c>
      <c r="G250" s="5" t="n">
        <f aca="false">IFERROR(INDEX(Sheet11_Zarade!$D$2:$D$151,MATCH(A250,Sheet11_Zarade!$A$2:$A$151,0)),0)</f>
        <v>0</v>
      </c>
      <c r="H250" s="5" t="n">
        <f aca="false">IFERROR(D250*G250,0)</f>
        <v>0</v>
      </c>
      <c r="I250" s="5" t="n">
        <f aca="false">H250*0.5%</f>
        <v>0</v>
      </c>
      <c r="J250" s="5" t="n">
        <f aca="false">H250+I250</f>
        <v>0</v>
      </c>
      <c r="K250" s="0" t="str">
        <f aca="false">IF(D250="","",IF(D250&gt;12,"FLAG",IF(D250&gt;8,"OVERTIME","OK")))</f>
        <v/>
      </c>
      <c r="L250" s="0" t="str">
        <f aca="false">IF(OR(A250="",E250="",C250=""),"",IF(COUNTIFS($A:$A,A250,$E:$E,E250,$C:$C,C250)&gt;1,"DUPLIKAT","OK"))</f>
        <v/>
      </c>
    </row>
    <row r="251" customFormat="false" ht="15" hidden="false" customHeight="false" outlineLevel="0" collapsed="false">
      <c r="A251" s="6"/>
      <c r="B251" s="0" t="str">
        <f aca="false">IFERROR(INDEX(Master_Lista!$B$2:$B$151,MATCH(A251,Master_Lista!$A$2:$A$151,0)),"")</f>
        <v/>
      </c>
      <c r="C251" s="6"/>
      <c r="D251" s="7"/>
      <c r="E251" s="8"/>
      <c r="F251" s="0" t="str">
        <f aca="false">IFERROR(INDEX(Sheet11_Zarade!$C$2:$C$151,MATCH(A251,Sheet11_Zarade!$A$2:$A$151,0)),"")</f>
        <v/>
      </c>
      <c r="G251" s="5" t="n">
        <f aca="false">IFERROR(INDEX(Sheet11_Zarade!$D$2:$D$151,MATCH(A251,Sheet11_Zarade!$A$2:$A$151,0)),0)</f>
        <v>0</v>
      </c>
      <c r="H251" s="5" t="n">
        <f aca="false">IFERROR(D251*G251,0)</f>
        <v>0</v>
      </c>
      <c r="I251" s="5" t="n">
        <f aca="false">H251*0.5%</f>
        <v>0</v>
      </c>
      <c r="J251" s="5" t="n">
        <f aca="false">H251+I251</f>
        <v>0</v>
      </c>
      <c r="K251" s="0" t="str">
        <f aca="false">IF(D251="","",IF(D251&gt;12,"FLAG",IF(D251&gt;8,"OVERTIME","OK")))</f>
        <v/>
      </c>
      <c r="L251" s="0" t="str">
        <f aca="false">IF(OR(A251="",E251="",C251=""),"",IF(COUNTIFS($A:$A,A251,$E:$E,E251,$C:$C,C251)&gt;1,"DUPLIKAT","OK"))</f>
        <v/>
      </c>
    </row>
    <row r="252" customFormat="false" ht="15" hidden="false" customHeight="false" outlineLevel="0" collapsed="false">
      <c r="A252" s="6"/>
      <c r="B252" s="0" t="str">
        <f aca="false">IFERROR(INDEX(Master_Lista!$B$2:$B$151,MATCH(A252,Master_Lista!$A$2:$A$151,0)),"")</f>
        <v/>
      </c>
      <c r="C252" s="6"/>
      <c r="D252" s="7"/>
      <c r="E252" s="8"/>
      <c r="F252" s="0" t="str">
        <f aca="false">IFERROR(INDEX(Sheet11_Zarade!$C$2:$C$151,MATCH(A252,Sheet11_Zarade!$A$2:$A$151,0)),"")</f>
        <v/>
      </c>
      <c r="G252" s="5" t="n">
        <f aca="false">IFERROR(INDEX(Sheet11_Zarade!$D$2:$D$151,MATCH(A252,Sheet11_Zarade!$A$2:$A$151,0)),0)</f>
        <v>0</v>
      </c>
      <c r="H252" s="5" t="n">
        <f aca="false">IFERROR(D252*G252,0)</f>
        <v>0</v>
      </c>
      <c r="I252" s="5" t="n">
        <f aca="false">H252*0.5%</f>
        <v>0</v>
      </c>
      <c r="J252" s="5" t="n">
        <f aca="false">H252+I252</f>
        <v>0</v>
      </c>
      <c r="K252" s="0" t="str">
        <f aca="false">IF(D252="","",IF(D252&gt;12,"FLAG",IF(D252&gt;8,"OVERTIME","OK")))</f>
        <v/>
      </c>
      <c r="L252" s="0" t="str">
        <f aca="false">IF(OR(A252="",E252="",C252=""),"",IF(COUNTIFS($A:$A,A252,$E:$E,E252,$C:$C,C252)&gt;1,"DUPLIKAT","OK"))</f>
        <v/>
      </c>
    </row>
    <row r="253" customFormat="false" ht="15" hidden="false" customHeight="false" outlineLevel="0" collapsed="false">
      <c r="A253" s="6"/>
      <c r="B253" s="0" t="str">
        <f aca="false">IFERROR(INDEX(Master_Lista!$B$2:$B$151,MATCH(A253,Master_Lista!$A$2:$A$151,0)),"")</f>
        <v/>
      </c>
      <c r="C253" s="6"/>
      <c r="D253" s="7"/>
      <c r="E253" s="8"/>
      <c r="F253" s="0" t="str">
        <f aca="false">IFERROR(INDEX(Sheet11_Zarade!$C$2:$C$151,MATCH(A253,Sheet11_Zarade!$A$2:$A$151,0)),"")</f>
        <v/>
      </c>
      <c r="G253" s="5" t="n">
        <f aca="false">IFERROR(INDEX(Sheet11_Zarade!$D$2:$D$151,MATCH(A253,Sheet11_Zarade!$A$2:$A$151,0)),0)</f>
        <v>0</v>
      </c>
      <c r="H253" s="5" t="n">
        <f aca="false">IFERROR(D253*G253,0)</f>
        <v>0</v>
      </c>
      <c r="I253" s="5" t="n">
        <f aca="false">H253*0.5%</f>
        <v>0</v>
      </c>
      <c r="J253" s="5" t="n">
        <f aca="false">H253+I253</f>
        <v>0</v>
      </c>
      <c r="K253" s="0" t="str">
        <f aca="false">IF(D253="","",IF(D253&gt;12,"FLAG",IF(D253&gt;8,"OVERTIME","OK")))</f>
        <v/>
      </c>
      <c r="L253" s="0" t="str">
        <f aca="false">IF(OR(A253="",E253="",C253=""),"",IF(COUNTIFS($A:$A,A253,$E:$E,E253,$C:$C,C253)&gt;1,"DUPLIKAT","OK"))</f>
        <v/>
      </c>
    </row>
    <row r="254" customFormat="false" ht="15" hidden="false" customHeight="false" outlineLevel="0" collapsed="false">
      <c r="A254" s="6"/>
      <c r="B254" s="0" t="str">
        <f aca="false">IFERROR(INDEX(Master_Lista!$B$2:$B$151,MATCH(A254,Master_Lista!$A$2:$A$151,0)),"")</f>
        <v/>
      </c>
      <c r="C254" s="6"/>
      <c r="D254" s="7"/>
      <c r="E254" s="8"/>
      <c r="F254" s="0" t="str">
        <f aca="false">IFERROR(INDEX(Sheet11_Zarade!$C$2:$C$151,MATCH(A254,Sheet11_Zarade!$A$2:$A$151,0)),"")</f>
        <v/>
      </c>
      <c r="G254" s="5" t="n">
        <f aca="false">IFERROR(INDEX(Sheet11_Zarade!$D$2:$D$151,MATCH(A254,Sheet11_Zarade!$A$2:$A$151,0)),0)</f>
        <v>0</v>
      </c>
      <c r="H254" s="5" t="n">
        <f aca="false">IFERROR(D254*G254,0)</f>
        <v>0</v>
      </c>
      <c r="I254" s="5" t="n">
        <f aca="false">H254*0.5%</f>
        <v>0</v>
      </c>
      <c r="J254" s="5" t="n">
        <f aca="false">H254+I254</f>
        <v>0</v>
      </c>
      <c r="K254" s="0" t="str">
        <f aca="false">IF(D254="","",IF(D254&gt;12,"FLAG",IF(D254&gt;8,"OVERTIME","OK")))</f>
        <v/>
      </c>
      <c r="L254" s="0" t="str">
        <f aca="false">IF(OR(A254="",E254="",C254=""),"",IF(COUNTIFS($A:$A,A254,$E:$E,E254,$C:$C,C254)&gt;1,"DUPLIKAT","OK"))</f>
        <v/>
      </c>
    </row>
    <row r="255" customFormat="false" ht="15" hidden="false" customHeight="false" outlineLevel="0" collapsed="false">
      <c r="A255" s="6"/>
      <c r="B255" s="0" t="str">
        <f aca="false">IFERROR(INDEX(Master_Lista!$B$2:$B$151,MATCH(A255,Master_Lista!$A$2:$A$151,0)),"")</f>
        <v/>
      </c>
      <c r="C255" s="6"/>
      <c r="D255" s="7"/>
      <c r="E255" s="8"/>
      <c r="F255" s="0" t="str">
        <f aca="false">IFERROR(INDEX(Sheet11_Zarade!$C$2:$C$151,MATCH(A255,Sheet11_Zarade!$A$2:$A$151,0)),"")</f>
        <v/>
      </c>
      <c r="G255" s="5" t="n">
        <f aca="false">IFERROR(INDEX(Sheet11_Zarade!$D$2:$D$151,MATCH(A255,Sheet11_Zarade!$A$2:$A$151,0)),0)</f>
        <v>0</v>
      </c>
      <c r="H255" s="5" t="n">
        <f aca="false">IFERROR(D255*G255,0)</f>
        <v>0</v>
      </c>
      <c r="I255" s="5" t="n">
        <f aca="false">H255*0.5%</f>
        <v>0</v>
      </c>
      <c r="J255" s="5" t="n">
        <f aca="false">H255+I255</f>
        <v>0</v>
      </c>
      <c r="K255" s="0" t="str">
        <f aca="false">IF(D255="","",IF(D255&gt;12,"FLAG",IF(D255&gt;8,"OVERTIME","OK")))</f>
        <v/>
      </c>
      <c r="L255" s="0" t="str">
        <f aca="false">IF(OR(A255="",E255="",C255=""),"",IF(COUNTIFS($A:$A,A255,$E:$E,E255,$C:$C,C255)&gt;1,"DUPLIKAT","OK"))</f>
        <v/>
      </c>
    </row>
    <row r="256" customFormat="false" ht="15" hidden="false" customHeight="false" outlineLevel="0" collapsed="false">
      <c r="A256" s="6"/>
      <c r="B256" s="0" t="str">
        <f aca="false">IFERROR(INDEX(Master_Lista!$B$2:$B$151,MATCH(A256,Master_Lista!$A$2:$A$151,0)),"")</f>
        <v/>
      </c>
      <c r="C256" s="6"/>
      <c r="D256" s="7"/>
      <c r="E256" s="8"/>
      <c r="F256" s="0" t="str">
        <f aca="false">IFERROR(INDEX(Sheet11_Zarade!$C$2:$C$151,MATCH(A256,Sheet11_Zarade!$A$2:$A$151,0)),"")</f>
        <v/>
      </c>
      <c r="G256" s="5" t="n">
        <f aca="false">IFERROR(INDEX(Sheet11_Zarade!$D$2:$D$151,MATCH(A256,Sheet11_Zarade!$A$2:$A$151,0)),0)</f>
        <v>0</v>
      </c>
      <c r="H256" s="5" t="n">
        <f aca="false">IFERROR(D256*G256,0)</f>
        <v>0</v>
      </c>
      <c r="I256" s="5" t="n">
        <f aca="false">H256*0.5%</f>
        <v>0</v>
      </c>
      <c r="J256" s="5" t="n">
        <f aca="false">H256+I256</f>
        <v>0</v>
      </c>
      <c r="K256" s="0" t="str">
        <f aca="false">IF(D256="","",IF(D256&gt;12,"FLAG",IF(D256&gt;8,"OVERTIME","OK")))</f>
        <v/>
      </c>
      <c r="L256" s="0" t="str">
        <f aca="false">IF(OR(A256="",E256="",C256=""),"",IF(COUNTIFS($A:$A,A256,$E:$E,E256,$C:$C,C256)&gt;1,"DUPLIKAT","OK"))</f>
        <v/>
      </c>
    </row>
    <row r="257" customFormat="false" ht="15" hidden="false" customHeight="false" outlineLevel="0" collapsed="false">
      <c r="A257" s="6"/>
      <c r="B257" s="0" t="str">
        <f aca="false">IFERROR(INDEX(Master_Lista!$B$2:$B$151,MATCH(A257,Master_Lista!$A$2:$A$151,0)),"")</f>
        <v/>
      </c>
      <c r="C257" s="6"/>
      <c r="D257" s="7"/>
      <c r="E257" s="8"/>
      <c r="F257" s="0" t="str">
        <f aca="false">IFERROR(INDEX(Sheet11_Zarade!$C$2:$C$151,MATCH(A257,Sheet11_Zarade!$A$2:$A$151,0)),"")</f>
        <v/>
      </c>
      <c r="G257" s="5" t="n">
        <f aca="false">IFERROR(INDEX(Sheet11_Zarade!$D$2:$D$151,MATCH(A257,Sheet11_Zarade!$A$2:$A$151,0)),0)</f>
        <v>0</v>
      </c>
      <c r="H257" s="5" t="n">
        <f aca="false">IFERROR(D257*G257,0)</f>
        <v>0</v>
      </c>
      <c r="I257" s="5" t="n">
        <f aca="false">H257*0.5%</f>
        <v>0</v>
      </c>
      <c r="J257" s="5" t="n">
        <f aca="false">H257+I257</f>
        <v>0</v>
      </c>
      <c r="K257" s="0" t="str">
        <f aca="false">IF(D257="","",IF(D257&gt;12,"FLAG",IF(D257&gt;8,"OVERTIME","OK")))</f>
        <v/>
      </c>
      <c r="L257" s="0" t="str">
        <f aca="false">IF(OR(A257="",E257="",C257=""),"",IF(COUNTIFS($A:$A,A257,$E:$E,E257,$C:$C,C257)&gt;1,"DUPLIKAT","OK"))</f>
        <v/>
      </c>
    </row>
    <row r="258" customFormat="false" ht="15" hidden="false" customHeight="false" outlineLevel="0" collapsed="false">
      <c r="A258" s="6"/>
      <c r="B258" s="0" t="str">
        <f aca="false">IFERROR(INDEX(Master_Lista!$B$2:$B$151,MATCH(A258,Master_Lista!$A$2:$A$151,0)),"")</f>
        <v/>
      </c>
      <c r="C258" s="6"/>
      <c r="D258" s="7"/>
      <c r="E258" s="8"/>
      <c r="F258" s="0" t="str">
        <f aca="false">IFERROR(INDEX(Sheet11_Zarade!$C$2:$C$151,MATCH(A258,Sheet11_Zarade!$A$2:$A$151,0)),"")</f>
        <v/>
      </c>
      <c r="G258" s="5" t="n">
        <f aca="false">IFERROR(INDEX(Sheet11_Zarade!$D$2:$D$151,MATCH(A258,Sheet11_Zarade!$A$2:$A$151,0)),0)</f>
        <v>0</v>
      </c>
      <c r="H258" s="5" t="n">
        <f aca="false">IFERROR(D258*G258,0)</f>
        <v>0</v>
      </c>
      <c r="I258" s="5" t="n">
        <f aca="false">H258*0.5%</f>
        <v>0</v>
      </c>
      <c r="J258" s="5" t="n">
        <f aca="false">H258+I258</f>
        <v>0</v>
      </c>
      <c r="K258" s="0" t="str">
        <f aca="false">IF(D258="","",IF(D258&gt;12,"FLAG",IF(D258&gt;8,"OVERTIME","OK")))</f>
        <v/>
      </c>
      <c r="L258" s="0" t="str">
        <f aca="false">IF(OR(A258="",E258="",C258=""),"",IF(COUNTIFS($A:$A,A258,$E:$E,E258,$C:$C,C258)&gt;1,"DUPLIKAT","OK"))</f>
        <v/>
      </c>
    </row>
    <row r="259" customFormat="false" ht="15" hidden="false" customHeight="false" outlineLevel="0" collapsed="false">
      <c r="A259" s="6"/>
      <c r="B259" s="0" t="str">
        <f aca="false">IFERROR(INDEX(Master_Lista!$B$2:$B$151,MATCH(A259,Master_Lista!$A$2:$A$151,0)),"")</f>
        <v/>
      </c>
      <c r="C259" s="6"/>
      <c r="D259" s="7"/>
      <c r="E259" s="8"/>
      <c r="F259" s="0" t="str">
        <f aca="false">IFERROR(INDEX(Sheet11_Zarade!$C$2:$C$151,MATCH(A259,Sheet11_Zarade!$A$2:$A$151,0)),"")</f>
        <v/>
      </c>
      <c r="G259" s="5" t="n">
        <f aca="false">IFERROR(INDEX(Sheet11_Zarade!$D$2:$D$151,MATCH(A259,Sheet11_Zarade!$A$2:$A$151,0)),0)</f>
        <v>0</v>
      </c>
      <c r="H259" s="5" t="n">
        <f aca="false">IFERROR(D259*G259,0)</f>
        <v>0</v>
      </c>
      <c r="I259" s="5" t="n">
        <f aca="false">H259*0.5%</f>
        <v>0</v>
      </c>
      <c r="J259" s="5" t="n">
        <f aca="false">H259+I259</f>
        <v>0</v>
      </c>
      <c r="K259" s="0" t="str">
        <f aca="false">IF(D259="","",IF(D259&gt;12,"FLAG",IF(D259&gt;8,"OVERTIME","OK")))</f>
        <v/>
      </c>
      <c r="L259" s="0" t="str">
        <f aca="false">IF(OR(A259="",E259="",C259=""),"",IF(COUNTIFS($A:$A,A259,$E:$E,E259,$C:$C,C259)&gt;1,"DUPLIKAT","OK"))</f>
        <v/>
      </c>
    </row>
    <row r="260" customFormat="false" ht="15" hidden="false" customHeight="false" outlineLevel="0" collapsed="false">
      <c r="A260" s="6"/>
      <c r="B260" s="0" t="str">
        <f aca="false">IFERROR(INDEX(Master_Lista!$B$2:$B$151,MATCH(A260,Master_Lista!$A$2:$A$151,0)),"")</f>
        <v/>
      </c>
      <c r="C260" s="6"/>
      <c r="D260" s="7"/>
      <c r="E260" s="8"/>
      <c r="F260" s="0" t="str">
        <f aca="false">IFERROR(INDEX(Sheet11_Zarade!$C$2:$C$151,MATCH(A260,Sheet11_Zarade!$A$2:$A$151,0)),"")</f>
        <v/>
      </c>
      <c r="G260" s="5" t="n">
        <f aca="false">IFERROR(INDEX(Sheet11_Zarade!$D$2:$D$151,MATCH(A260,Sheet11_Zarade!$A$2:$A$151,0)),0)</f>
        <v>0</v>
      </c>
      <c r="H260" s="5" t="n">
        <f aca="false">IFERROR(D260*G260,0)</f>
        <v>0</v>
      </c>
      <c r="I260" s="5" t="n">
        <f aca="false">H260*0.5%</f>
        <v>0</v>
      </c>
      <c r="J260" s="5" t="n">
        <f aca="false">H260+I260</f>
        <v>0</v>
      </c>
      <c r="K260" s="0" t="str">
        <f aca="false">IF(D260="","",IF(D260&gt;12,"FLAG",IF(D260&gt;8,"OVERTIME","OK")))</f>
        <v/>
      </c>
      <c r="L260" s="0" t="str">
        <f aca="false">IF(OR(A260="",E260="",C260=""),"",IF(COUNTIFS($A:$A,A260,$E:$E,E260,$C:$C,C260)&gt;1,"DUPLIKAT","OK"))</f>
        <v/>
      </c>
    </row>
    <row r="261" customFormat="false" ht="15" hidden="false" customHeight="false" outlineLevel="0" collapsed="false">
      <c r="A261" s="6"/>
      <c r="B261" s="0" t="str">
        <f aca="false">IFERROR(INDEX(Master_Lista!$B$2:$B$151,MATCH(A261,Master_Lista!$A$2:$A$151,0)),"")</f>
        <v/>
      </c>
      <c r="C261" s="6"/>
      <c r="D261" s="7"/>
      <c r="E261" s="8"/>
      <c r="F261" s="0" t="str">
        <f aca="false">IFERROR(INDEX(Sheet11_Zarade!$C$2:$C$151,MATCH(A261,Sheet11_Zarade!$A$2:$A$151,0)),"")</f>
        <v/>
      </c>
      <c r="G261" s="5" t="n">
        <f aca="false">IFERROR(INDEX(Sheet11_Zarade!$D$2:$D$151,MATCH(A261,Sheet11_Zarade!$A$2:$A$151,0)),0)</f>
        <v>0</v>
      </c>
      <c r="H261" s="5" t="n">
        <f aca="false">IFERROR(D261*G261,0)</f>
        <v>0</v>
      </c>
      <c r="I261" s="5" t="n">
        <f aca="false">H261*0.5%</f>
        <v>0</v>
      </c>
      <c r="J261" s="5" t="n">
        <f aca="false">H261+I261</f>
        <v>0</v>
      </c>
      <c r="K261" s="0" t="str">
        <f aca="false">IF(D261="","",IF(D261&gt;12,"FLAG",IF(D261&gt;8,"OVERTIME","OK")))</f>
        <v/>
      </c>
      <c r="L261" s="0" t="str">
        <f aca="false">IF(OR(A261="",E261="",C261=""),"",IF(COUNTIFS($A:$A,A261,$E:$E,E261,$C:$C,C261)&gt;1,"DUPLIKAT","OK"))</f>
        <v/>
      </c>
    </row>
    <row r="262" customFormat="false" ht="15" hidden="false" customHeight="false" outlineLevel="0" collapsed="false">
      <c r="A262" s="6"/>
      <c r="B262" s="0" t="str">
        <f aca="false">IFERROR(INDEX(Master_Lista!$B$2:$B$151,MATCH(A262,Master_Lista!$A$2:$A$151,0)),"")</f>
        <v/>
      </c>
      <c r="C262" s="6"/>
      <c r="D262" s="7"/>
      <c r="E262" s="8"/>
      <c r="F262" s="0" t="str">
        <f aca="false">IFERROR(INDEX(Sheet11_Zarade!$C$2:$C$151,MATCH(A262,Sheet11_Zarade!$A$2:$A$151,0)),"")</f>
        <v/>
      </c>
      <c r="G262" s="5" t="n">
        <f aca="false">IFERROR(INDEX(Sheet11_Zarade!$D$2:$D$151,MATCH(A262,Sheet11_Zarade!$A$2:$A$151,0)),0)</f>
        <v>0</v>
      </c>
      <c r="H262" s="5" t="n">
        <f aca="false">IFERROR(D262*G262,0)</f>
        <v>0</v>
      </c>
      <c r="I262" s="5" t="n">
        <f aca="false">H262*0.5%</f>
        <v>0</v>
      </c>
      <c r="J262" s="5" t="n">
        <f aca="false">H262+I262</f>
        <v>0</v>
      </c>
      <c r="K262" s="0" t="str">
        <f aca="false">IF(D262="","",IF(D262&gt;12,"FLAG",IF(D262&gt;8,"OVERTIME","OK")))</f>
        <v/>
      </c>
      <c r="L262" s="0" t="str">
        <f aca="false">IF(OR(A262="",E262="",C262=""),"",IF(COUNTIFS($A:$A,A262,$E:$E,E262,$C:$C,C262)&gt;1,"DUPLIKAT","OK"))</f>
        <v/>
      </c>
    </row>
    <row r="263" customFormat="false" ht="15" hidden="false" customHeight="false" outlineLevel="0" collapsed="false">
      <c r="A263" s="6"/>
      <c r="B263" s="0" t="str">
        <f aca="false">IFERROR(INDEX(Master_Lista!$B$2:$B$151,MATCH(A263,Master_Lista!$A$2:$A$151,0)),"")</f>
        <v/>
      </c>
      <c r="C263" s="6"/>
      <c r="D263" s="7"/>
      <c r="E263" s="8"/>
      <c r="F263" s="0" t="str">
        <f aca="false">IFERROR(INDEX(Sheet11_Zarade!$C$2:$C$151,MATCH(A263,Sheet11_Zarade!$A$2:$A$151,0)),"")</f>
        <v/>
      </c>
      <c r="G263" s="5" t="n">
        <f aca="false">IFERROR(INDEX(Sheet11_Zarade!$D$2:$D$151,MATCH(A263,Sheet11_Zarade!$A$2:$A$151,0)),0)</f>
        <v>0</v>
      </c>
      <c r="H263" s="5" t="n">
        <f aca="false">IFERROR(D263*G263,0)</f>
        <v>0</v>
      </c>
      <c r="I263" s="5" t="n">
        <f aca="false">H263*0.5%</f>
        <v>0</v>
      </c>
      <c r="J263" s="5" t="n">
        <f aca="false">H263+I263</f>
        <v>0</v>
      </c>
      <c r="K263" s="0" t="str">
        <f aca="false">IF(D263="","",IF(D263&gt;12,"FLAG",IF(D263&gt;8,"OVERTIME","OK")))</f>
        <v/>
      </c>
      <c r="L263" s="0" t="str">
        <f aca="false">IF(OR(A263="",E263="",C263=""),"",IF(COUNTIFS($A:$A,A263,$E:$E,E263,$C:$C,C263)&gt;1,"DUPLIKAT","OK"))</f>
        <v/>
      </c>
    </row>
    <row r="264" customFormat="false" ht="15" hidden="false" customHeight="false" outlineLevel="0" collapsed="false">
      <c r="A264" s="6"/>
      <c r="B264" s="0" t="str">
        <f aca="false">IFERROR(INDEX(Master_Lista!$B$2:$B$151,MATCH(A264,Master_Lista!$A$2:$A$151,0)),"")</f>
        <v/>
      </c>
      <c r="C264" s="6"/>
      <c r="D264" s="7"/>
      <c r="E264" s="8"/>
      <c r="F264" s="0" t="str">
        <f aca="false">IFERROR(INDEX(Sheet11_Zarade!$C$2:$C$151,MATCH(A264,Sheet11_Zarade!$A$2:$A$151,0)),"")</f>
        <v/>
      </c>
      <c r="G264" s="5" t="n">
        <f aca="false">IFERROR(INDEX(Sheet11_Zarade!$D$2:$D$151,MATCH(A264,Sheet11_Zarade!$A$2:$A$151,0)),0)</f>
        <v>0</v>
      </c>
      <c r="H264" s="5" t="n">
        <f aca="false">IFERROR(D264*G264,0)</f>
        <v>0</v>
      </c>
      <c r="I264" s="5" t="n">
        <f aca="false">H264*0.5%</f>
        <v>0</v>
      </c>
      <c r="J264" s="5" t="n">
        <f aca="false">H264+I264</f>
        <v>0</v>
      </c>
      <c r="K264" s="0" t="str">
        <f aca="false">IF(D264="","",IF(D264&gt;12,"FLAG",IF(D264&gt;8,"OVERTIME","OK")))</f>
        <v/>
      </c>
      <c r="L264" s="0" t="str">
        <f aca="false">IF(OR(A264="",E264="",C264=""),"",IF(COUNTIFS($A:$A,A264,$E:$E,E264,$C:$C,C264)&gt;1,"DUPLIKAT","OK"))</f>
        <v/>
      </c>
    </row>
    <row r="265" customFormat="false" ht="15" hidden="false" customHeight="false" outlineLevel="0" collapsed="false">
      <c r="A265" s="6"/>
      <c r="B265" s="0" t="str">
        <f aca="false">IFERROR(INDEX(Master_Lista!$B$2:$B$151,MATCH(A265,Master_Lista!$A$2:$A$151,0)),"")</f>
        <v/>
      </c>
      <c r="C265" s="6"/>
      <c r="D265" s="7"/>
      <c r="E265" s="8"/>
      <c r="F265" s="0" t="str">
        <f aca="false">IFERROR(INDEX(Sheet11_Zarade!$C$2:$C$151,MATCH(A265,Sheet11_Zarade!$A$2:$A$151,0)),"")</f>
        <v/>
      </c>
      <c r="G265" s="5" t="n">
        <f aca="false">IFERROR(INDEX(Sheet11_Zarade!$D$2:$D$151,MATCH(A265,Sheet11_Zarade!$A$2:$A$151,0)),0)</f>
        <v>0</v>
      </c>
      <c r="H265" s="5" t="n">
        <f aca="false">IFERROR(D265*G265,0)</f>
        <v>0</v>
      </c>
      <c r="I265" s="5" t="n">
        <f aca="false">H265*0.5%</f>
        <v>0</v>
      </c>
      <c r="J265" s="5" t="n">
        <f aca="false">H265+I265</f>
        <v>0</v>
      </c>
      <c r="K265" s="0" t="str">
        <f aca="false">IF(D265="","",IF(D265&gt;12,"FLAG",IF(D265&gt;8,"OVERTIME","OK")))</f>
        <v/>
      </c>
      <c r="L265" s="0" t="str">
        <f aca="false">IF(OR(A265="",E265="",C265=""),"",IF(COUNTIFS($A:$A,A265,$E:$E,E265,$C:$C,C265)&gt;1,"DUPLIKAT","OK"))</f>
        <v/>
      </c>
    </row>
    <row r="266" customFormat="false" ht="15" hidden="false" customHeight="false" outlineLevel="0" collapsed="false">
      <c r="A266" s="6"/>
      <c r="B266" s="0" t="str">
        <f aca="false">IFERROR(INDEX(Master_Lista!$B$2:$B$151,MATCH(A266,Master_Lista!$A$2:$A$151,0)),"")</f>
        <v/>
      </c>
      <c r="C266" s="6"/>
      <c r="D266" s="7"/>
      <c r="E266" s="8"/>
      <c r="F266" s="0" t="str">
        <f aca="false">IFERROR(INDEX(Sheet11_Zarade!$C$2:$C$151,MATCH(A266,Sheet11_Zarade!$A$2:$A$151,0)),"")</f>
        <v/>
      </c>
      <c r="G266" s="5" t="n">
        <f aca="false">IFERROR(INDEX(Sheet11_Zarade!$D$2:$D$151,MATCH(A266,Sheet11_Zarade!$A$2:$A$151,0)),0)</f>
        <v>0</v>
      </c>
      <c r="H266" s="5" t="n">
        <f aca="false">IFERROR(D266*G266,0)</f>
        <v>0</v>
      </c>
      <c r="I266" s="5" t="n">
        <f aca="false">H266*0.5%</f>
        <v>0</v>
      </c>
      <c r="J266" s="5" t="n">
        <f aca="false">H266+I266</f>
        <v>0</v>
      </c>
      <c r="K266" s="0" t="str">
        <f aca="false">IF(D266="","",IF(D266&gt;12,"FLAG",IF(D266&gt;8,"OVERTIME","OK")))</f>
        <v/>
      </c>
      <c r="L266" s="0" t="str">
        <f aca="false">IF(OR(A266="",E266="",C266=""),"",IF(COUNTIFS($A:$A,A266,$E:$E,E266,$C:$C,C266)&gt;1,"DUPLIKAT","OK"))</f>
        <v/>
      </c>
    </row>
    <row r="267" customFormat="false" ht="15" hidden="false" customHeight="false" outlineLevel="0" collapsed="false">
      <c r="A267" s="6"/>
      <c r="B267" s="0" t="str">
        <f aca="false">IFERROR(INDEX(Master_Lista!$B$2:$B$151,MATCH(A267,Master_Lista!$A$2:$A$151,0)),"")</f>
        <v/>
      </c>
      <c r="C267" s="6"/>
      <c r="D267" s="7"/>
      <c r="E267" s="8"/>
      <c r="F267" s="0" t="str">
        <f aca="false">IFERROR(INDEX(Sheet11_Zarade!$C$2:$C$151,MATCH(A267,Sheet11_Zarade!$A$2:$A$151,0)),"")</f>
        <v/>
      </c>
      <c r="G267" s="5" t="n">
        <f aca="false">IFERROR(INDEX(Sheet11_Zarade!$D$2:$D$151,MATCH(A267,Sheet11_Zarade!$A$2:$A$151,0)),0)</f>
        <v>0</v>
      </c>
      <c r="H267" s="5" t="n">
        <f aca="false">IFERROR(D267*G267,0)</f>
        <v>0</v>
      </c>
      <c r="I267" s="5" t="n">
        <f aca="false">H267*0.5%</f>
        <v>0</v>
      </c>
      <c r="J267" s="5" t="n">
        <f aca="false">H267+I267</f>
        <v>0</v>
      </c>
      <c r="K267" s="0" t="str">
        <f aca="false">IF(D267="","",IF(D267&gt;12,"FLAG",IF(D267&gt;8,"OVERTIME","OK")))</f>
        <v/>
      </c>
      <c r="L267" s="0" t="str">
        <f aca="false">IF(OR(A267="",E267="",C267=""),"",IF(COUNTIFS($A:$A,A267,$E:$E,E267,$C:$C,C267)&gt;1,"DUPLIKAT","OK"))</f>
        <v/>
      </c>
    </row>
    <row r="268" customFormat="false" ht="15" hidden="false" customHeight="false" outlineLevel="0" collapsed="false">
      <c r="A268" s="6"/>
      <c r="B268" s="0" t="str">
        <f aca="false">IFERROR(INDEX(Master_Lista!$B$2:$B$151,MATCH(A268,Master_Lista!$A$2:$A$151,0)),"")</f>
        <v/>
      </c>
      <c r="C268" s="6"/>
      <c r="D268" s="7"/>
      <c r="E268" s="8"/>
      <c r="F268" s="0" t="str">
        <f aca="false">IFERROR(INDEX(Sheet11_Zarade!$C$2:$C$151,MATCH(A268,Sheet11_Zarade!$A$2:$A$151,0)),"")</f>
        <v/>
      </c>
      <c r="G268" s="5" t="n">
        <f aca="false">IFERROR(INDEX(Sheet11_Zarade!$D$2:$D$151,MATCH(A268,Sheet11_Zarade!$A$2:$A$151,0)),0)</f>
        <v>0</v>
      </c>
      <c r="H268" s="5" t="n">
        <f aca="false">IFERROR(D268*G268,0)</f>
        <v>0</v>
      </c>
      <c r="I268" s="5" t="n">
        <f aca="false">H268*0.5%</f>
        <v>0</v>
      </c>
      <c r="J268" s="5" t="n">
        <f aca="false">H268+I268</f>
        <v>0</v>
      </c>
      <c r="K268" s="0" t="str">
        <f aca="false">IF(D268="","",IF(D268&gt;12,"FLAG",IF(D268&gt;8,"OVERTIME","OK")))</f>
        <v/>
      </c>
      <c r="L268" s="0" t="str">
        <f aca="false">IF(OR(A268="",E268="",C268=""),"",IF(COUNTIFS($A:$A,A268,$E:$E,E268,$C:$C,C268)&gt;1,"DUPLIKAT","OK"))</f>
        <v/>
      </c>
    </row>
    <row r="269" customFormat="false" ht="15" hidden="false" customHeight="false" outlineLevel="0" collapsed="false">
      <c r="A269" s="6"/>
      <c r="B269" s="0" t="str">
        <f aca="false">IFERROR(INDEX(Master_Lista!$B$2:$B$151,MATCH(A269,Master_Lista!$A$2:$A$151,0)),"")</f>
        <v/>
      </c>
      <c r="C269" s="6"/>
      <c r="D269" s="7"/>
      <c r="E269" s="8"/>
      <c r="F269" s="0" t="str">
        <f aca="false">IFERROR(INDEX(Sheet11_Zarade!$C$2:$C$151,MATCH(A269,Sheet11_Zarade!$A$2:$A$151,0)),"")</f>
        <v/>
      </c>
      <c r="G269" s="5" t="n">
        <f aca="false">IFERROR(INDEX(Sheet11_Zarade!$D$2:$D$151,MATCH(A269,Sheet11_Zarade!$A$2:$A$151,0)),0)</f>
        <v>0</v>
      </c>
      <c r="H269" s="5" t="n">
        <f aca="false">IFERROR(D269*G269,0)</f>
        <v>0</v>
      </c>
      <c r="I269" s="5" t="n">
        <f aca="false">H269*0.5%</f>
        <v>0</v>
      </c>
      <c r="J269" s="5" t="n">
        <f aca="false">H269+I269</f>
        <v>0</v>
      </c>
      <c r="K269" s="0" t="str">
        <f aca="false">IF(D269="","",IF(D269&gt;12,"FLAG",IF(D269&gt;8,"OVERTIME","OK")))</f>
        <v/>
      </c>
      <c r="L269" s="0" t="str">
        <f aca="false">IF(OR(A269="",E269="",C269=""),"",IF(COUNTIFS($A:$A,A269,$E:$E,E269,$C:$C,C269)&gt;1,"DUPLIKAT","OK"))</f>
        <v/>
      </c>
    </row>
    <row r="270" customFormat="false" ht="15" hidden="false" customHeight="false" outlineLevel="0" collapsed="false">
      <c r="A270" s="6"/>
      <c r="B270" s="0" t="str">
        <f aca="false">IFERROR(INDEX(Master_Lista!$B$2:$B$151,MATCH(A270,Master_Lista!$A$2:$A$151,0)),"")</f>
        <v/>
      </c>
      <c r="C270" s="6"/>
      <c r="D270" s="7"/>
      <c r="E270" s="8"/>
      <c r="F270" s="0" t="str">
        <f aca="false">IFERROR(INDEX(Sheet11_Zarade!$C$2:$C$151,MATCH(A270,Sheet11_Zarade!$A$2:$A$151,0)),"")</f>
        <v/>
      </c>
      <c r="G270" s="5" t="n">
        <f aca="false">IFERROR(INDEX(Sheet11_Zarade!$D$2:$D$151,MATCH(A270,Sheet11_Zarade!$A$2:$A$151,0)),0)</f>
        <v>0</v>
      </c>
      <c r="H270" s="5" t="n">
        <f aca="false">IFERROR(D270*G270,0)</f>
        <v>0</v>
      </c>
      <c r="I270" s="5" t="n">
        <f aca="false">H270*0.5%</f>
        <v>0</v>
      </c>
      <c r="J270" s="5" t="n">
        <f aca="false">H270+I270</f>
        <v>0</v>
      </c>
      <c r="K270" s="0" t="str">
        <f aca="false">IF(D270="","",IF(D270&gt;12,"FLAG",IF(D270&gt;8,"OVERTIME","OK")))</f>
        <v/>
      </c>
      <c r="L270" s="0" t="str">
        <f aca="false">IF(OR(A270="",E270="",C270=""),"",IF(COUNTIFS($A:$A,A270,$E:$E,E270,$C:$C,C270)&gt;1,"DUPLIKAT","OK"))</f>
        <v/>
      </c>
    </row>
    <row r="271" customFormat="false" ht="15" hidden="false" customHeight="false" outlineLevel="0" collapsed="false">
      <c r="A271" s="6"/>
      <c r="B271" s="0" t="str">
        <f aca="false">IFERROR(INDEX(Master_Lista!$B$2:$B$151,MATCH(A271,Master_Lista!$A$2:$A$151,0)),"")</f>
        <v/>
      </c>
      <c r="C271" s="6"/>
      <c r="D271" s="7"/>
      <c r="E271" s="8"/>
      <c r="F271" s="0" t="str">
        <f aca="false">IFERROR(INDEX(Sheet11_Zarade!$C$2:$C$151,MATCH(A271,Sheet11_Zarade!$A$2:$A$151,0)),"")</f>
        <v/>
      </c>
      <c r="G271" s="5" t="n">
        <f aca="false">IFERROR(INDEX(Sheet11_Zarade!$D$2:$D$151,MATCH(A271,Sheet11_Zarade!$A$2:$A$151,0)),0)</f>
        <v>0</v>
      </c>
      <c r="H271" s="5" t="n">
        <f aca="false">IFERROR(D271*G271,0)</f>
        <v>0</v>
      </c>
      <c r="I271" s="5" t="n">
        <f aca="false">H271*0.5%</f>
        <v>0</v>
      </c>
      <c r="J271" s="5" t="n">
        <f aca="false">H271+I271</f>
        <v>0</v>
      </c>
      <c r="K271" s="0" t="str">
        <f aca="false">IF(D271="","",IF(D271&gt;12,"FLAG",IF(D271&gt;8,"OVERTIME","OK")))</f>
        <v/>
      </c>
      <c r="L271" s="0" t="str">
        <f aca="false">IF(OR(A271="",E271="",C271=""),"",IF(COUNTIFS($A:$A,A271,$E:$E,E271,$C:$C,C271)&gt;1,"DUPLIKAT","OK"))</f>
        <v/>
      </c>
    </row>
    <row r="272" customFormat="false" ht="15" hidden="false" customHeight="false" outlineLevel="0" collapsed="false">
      <c r="A272" s="6"/>
      <c r="B272" s="0" t="str">
        <f aca="false">IFERROR(INDEX(Master_Lista!$B$2:$B$151,MATCH(A272,Master_Lista!$A$2:$A$151,0)),"")</f>
        <v/>
      </c>
      <c r="C272" s="6"/>
      <c r="D272" s="7"/>
      <c r="E272" s="8"/>
      <c r="F272" s="0" t="str">
        <f aca="false">IFERROR(INDEX(Sheet11_Zarade!$C$2:$C$151,MATCH(A272,Sheet11_Zarade!$A$2:$A$151,0)),"")</f>
        <v/>
      </c>
      <c r="G272" s="5" t="n">
        <f aca="false">IFERROR(INDEX(Sheet11_Zarade!$D$2:$D$151,MATCH(A272,Sheet11_Zarade!$A$2:$A$151,0)),0)</f>
        <v>0</v>
      </c>
      <c r="H272" s="5" t="n">
        <f aca="false">IFERROR(D272*G272,0)</f>
        <v>0</v>
      </c>
      <c r="I272" s="5" t="n">
        <f aca="false">H272*0.5%</f>
        <v>0</v>
      </c>
      <c r="J272" s="5" t="n">
        <f aca="false">H272+I272</f>
        <v>0</v>
      </c>
      <c r="K272" s="0" t="str">
        <f aca="false">IF(D272="","",IF(D272&gt;12,"FLAG",IF(D272&gt;8,"OVERTIME","OK")))</f>
        <v/>
      </c>
      <c r="L272" s="0" t="str">
        <f aca="false">IF(OR(A272="",E272="",C272=""),"",IF(COUNTIFS($A:$A,A272,$E:$E,E272,$C:$C,C272)&gt;1,"DUPLIKAT","OK"))</f>
        <v/>
      </c>
    </row>
    <row r="273" customFormat="false" ht="15" hidden="false" customHeight="false" outlineLevel="0" collapsed="false">
      <c r="A273" s="6"/>
      <c r="B273" s="0" t="str">
        <f aca="false">IFERROR(INDEX(Master_Lista!$B$2:$B$151,MATCH(A273,Master_Lista!$A$2:$A$151,0)),"")</f>
        <v/>
      </c>
      <c r="C273" s="6"/>
      <c r="D273" s="7"/>
      <c r="E273" s="8"/>
      <c r="F273" s="0" t="str">
        <f aca="false">IFERROR(INDEX(Sheet11_Zarade!$C$2:$C$151,MATCH(A273,Sheet11_Zarade!$A$2:$A$151,0)),"")</f>
        <v/>
      </c>
      <c r="G273" s="5" t="n">
        <f aca="false">IFERROR(INDEX(Sheet11_Zarade!$D$2:$D$151,MATCH(A273,Sheet11_Zarade!$A$2:$A$151,0)),0)</f>
        <v>0</v>
      </c>
      <c r="H273" s="5" t="n">
        <f aca="false">IFERROR(D273*G273,0)</f>
        <v>0</v>
      </c>
      <c r="I273" s="5" t="n">
        <f aca="false">H273*0.5%</f>
        <v>0</v>
      </c>
      <c r="J273" s="5" t="n">
        <f aca="false">H273+I273</f>
        <v>0</v>
      </c>
      <c r="K273" s="0" t="str">
        <f aca="false">IF(D273="","",IF(D273&gt;12,"FLAG",IF(D273&gt;8,"OVERTIME","OK")))</f>
        <v/>
      </c>
      <c r="L273" s="0" t="str">
        <f aca="false">IF(OR(A273="",E273="",C273=""),"",IF(COUNTIFS($A:$A,A273,$E:$E,E273,$C:$C,C273)&gt;1,"DUPLIKAT","OK"))</f>
        <v/>
      </c>
    </row>
    <row r="274" customFormat="false" ht="15" hidden="false" customHeight="false" outlineLevel="0" collapsed="false">
      <c r="A274" s="6"/>
      <c r="B274" s="0" t="str">
        <f aca="false">IFERROR(INDEX(Master_Lista!$B$2:$B$151,MATCH(A274,Master_Lista!$A$2:$A$151,0)),"")</f>
        <v/>
      </c>
      <c r="C274" s="6"/>
      <c r="D274" s="7"/>
      <c r="E274" s="8"/>
      <c r="F274" s="0" t="str">
        <f aca="false">IFERROR(INDEX(Sheet11_Zarade!$C$2:$C$151,MATCH(A274,Sheet11_Zarade!$A$2:$A$151,0)),"")</f>
        <v/>
      </c>
      <c r="G274" s="5" t="n">
        <f aca="false">IFERROR(INDEX(Sheet11_Zarade!$D$2:$D$151,MATCH(A274,Sheet11_Zarade!$A$2:$A$151,0)),0)</f>
        <v>0</v>
      </c>
      <c r="H274" s="5" t="n">
        <f aca="false">IFERROR(D274*G274,0)</f>
        <v>0</v>
      </c>
      <c r="I274" s="5" t="n">
        <f aca="false">H274*0.5%</f>
        <v>0</v>
      </c>
      <c r="J274" s="5" t="n">
        <f aca="false">H274+I274</f>
        <v>0</v>
      </c>
      <c r="K274" s="0" t="str">
        <f aca="false">IF(D274="","",IF(D274&gt;12,"FLAG",IF(D274&gt;8,"OVERTIME","OK")))</f>
        <v/>
      </c>
      <c r="L274" s="0" t="str">
        <f aca="false">IF(OR(A274="",E274="",C274=""),"",IF(COUNTIFS($A:$A,A274,$E:$E,E274,$C:$C,C274)&gt;1,"DUPLIKAT","OK"))</f>
        <v/>
      </c>
    </row>
    <row r="275" customFormat="false" ht="15" hidden="false" customHeight="false" outlineLevel="0" collapsed="false">
      <c r="A275" s="6"/>
      <c r="B275" s="0" t="str">
        <f aca="false">IFERROR(INDEX(Master_Lista!$B$2:$B$151,MATCH(A275,Master_Lista!$A$2:$A$151,0)),"")</f>
        <v/>
      </c>
      <c r="C275" s="6"/>
      <c r="D275" s="7"/>
      <c r="E275" s="8"/>
      <c r="F275" s="0" t="str">
        <f aca="false">IFERROR(INDEX(Sheet11_Zarade!$C$2:$C$151,MATCH(A275,Sheet11_Zarade!$A$2:$A$151,0)),"")</f>
        <v/>
      </c>
      <c r="G275" s="5" t="n">
        <f aca="false">IFERROR(INDEX(Sheet11_Zarade!$D$2:$D$151,MATCH(A275,Sheet11_Zarade!$A$2:$A$151,0)),0)</f>
        <v>0</v>
      </c>
      <c r="H275" s="5" t="n">
        <f aca="false">IFERROR(D275*G275,0)</f>
        <v>0</v>
      </c>
      <c r="I275" s="5" t="n">
        <f aca="false">H275*0.5%</f>
        <v>0</v>
      </c>
      <c r="J275" s="5" t="n">
        <f aca="false">H275+I275</f>
        <v>0</v>
      </c>
      <c r="K275" s="0" t="str">
        <f aca="false">IF(D275="","",IF(D275&gt;12,"FLAG",IF(D275&gt;8,"OVERTIME","OK")))</f>
        <v/>
      </c>
      <c r="L275" s="0" t="str">
        <f aca="false">IF(OR(A275="",E275="",C275=""),"",IF(COUNTIFS($A:$A,A275,$E:$E,E275,$C:$C,C275)&gt;1,"DUPLIKAT","OK"))</f>
        <v/>
      </c>
    </row>
    <row r="276" customFormat="false" ht="15" hidden="false" customHeight="false" outlineLevel="0" collapsed="false">
      <c r="A276" s="6"/>
      <c r="B276" s="0" t="str">
        <f aca="false">IFERROR(INDEX(Master_Lista!$B$2:$B$151,MATCH(A276,Master_Lista!$A$2:$A$151,0)),"")</f>
        <v/>
      </c>
      <c r="C276" s="6"/>
      <c r="D276" s="7"/>
      <c r="E276" s="8"/>
      <c r="F276" s="0" t="str">
        <f aca="false">IFERROR(INDEX(Sheet11_Zarade!$C$2:$C$151,MATCH(A276,Sheet11_Zarade!$A$2:$A$151,0)),"")</f>
        <v/>
      </c>
      <c r="G276" s="5" t="n">
        <f aca="false">IFERROR(INDEX(Sheet11_Zarade!$D$2:$D$151,MATCH(A276,Sheet11_Zarade!$A$2:$A$151,0)),0)</f>
        <v>0</v>
      </c>
      <c r="H276" s="5" t="n">
        <f aca="false">IFERROR(D276*G276,0)</f>
        <v>0</v>
      </c>
      <c r="I276" s="5" t="n">
        <f aca="false">H276*0.5%</f>
        <v>0</v>
      </c>
      <c r="J276" s="5" t="n">
        <f aca="false">H276+I276</f>
        <v>0</v>
      </c>
      <c r="K276" s="0" t="str">
        <f aca="false">IF(D276="","",IF(D276&gt;12,"FLAG",IF(D276&gt;8,"OVERTIME","OK")))</f>
        <v/>
      </c>
      <c r="L276" s="0" t="str">
        <f aca="false">IF(OR(A276="",E276="",C276=""),"",IF(COUNTIFS($A:$A,A276,$E:$E,E276,$C:$C,C276)&gt;1,"DUPLIKAT","OK"))</f>
        <v/>
      </c>
    </row>
    <row r="277" customFormat="false" ht="15" hidden="false" customHeight="false" outlineLevel="0" collapsed="false">
      <c r="A277" s="6"/>
      <c r="B277" s="0" t="str">
        <f aca="false">IFERROR(INDEX(Master_Lista!$B$2:$B$151,MATCH(A277,Master_Lista!$A$2:$A$151,0)),"")</f>
        <v/>
      </c>
      <c r="C277" s="6"/>
      <c r="D277" s="7"/>
      <c r="E277" s="8"/>
      <c r="F277" s="0" t="str">
        <f aca="false">IFERROR(INDEX(Sheet11_Zarade!$C$2:$C$151,MATCH(A277,Sheet11_Zarade!$A$2:$A$151,0)),"")</f>
        <v/>
      </c>
      <c r="G277" s="5" t="n">
        <f aca="false">IFERROR(INDEX(Sheet11_Zarade!$D$2:$D$151,MATCH(A277,Sheet11_Zarade!$A$2:$A$151,0)),0)</f>
        <v>0</v>
      </c>
      <c r="H277" s="5" t="n">
        <f aca="false">IFERROR(D277*G277,0)</f>
        <v>0</v>
      </c>
      <c r="I277" s="5" t="n">
        <f aca="false">H277*0.5%</f>
        <v>0</v>
      </c>
      <c r="J277" s="5" t="n">
        <f aca="false">H277+I277</f>
        <v>0</v>
      </c>
      <c r="K277" s="0" t="str">
        <f aca="false">IF(D277="","",IF(D277&gt;12,"FLAG",IF(D277&gt;8,"OVERTIME","OK")))</f>
        <v/>
      </c>
      <c r="L277" s="0" t="str">
        <f aca="false">IF(OR(A277="",E277="",C277=""),"",IF(COUNTIFS($A:$A,A277,$E:$E,E277,$C:$C,C277)&gt;1,"DUPLIKAT","OK"))</f>
        <v/>
      </c>
    </row>
    <row r="278" customFormat="false" ht="15" hidden="false" customHeight="false" outlineLevel="0" collapsed="false">
      <c r="A278" s="6"/>
      <c r="B278" s="0" t="str">
        <f aca="false">IFERROR(INDEX(Master_Lista!$B$2:$B$151,MATCH(A278,Master_Lista!$A$2:$A$151,0)),"")</f>
        <v/>
      </c>
      <c r="C278" s="6"/>
      <c r="D278" s="7"/>
      <c r="E278" s="8"/>
      <c r="F278" s="0" t="str">
        <f aca="false">IFERROR(INDEX(Sheet11_Zarade!$C$2:$C$151,MATCH(A278,Sheet11_Zarade!$A$2:$A$151,0)),"")</f>
        <v/>
      </c>
      <c r="G278" s="5" t="n">
        <f aca="false">IFERROR(INDEX(Sheet11_Zarade!$D$2:$D$151,MATCH(A278,Sheet11_Zarade!$A$2:$A$151,0)),0)</f>
        <v>0</v>
      </c>
      <c r="H278" s="5" t="n">
        <f aca="false">IFERROR(D278*G278,0)</f>
        <v>0</v>
      </c>
      <c r="I278" s="5" t="n">
        <f aca="false">H278*0.5%</f>
        <v>0</v>
      </c>
      <c r="J278" s="5" t="n">
        <f aca="false">H278+I278</f>
        <v>0</v>
      </c>
      <c r="K278" s="0" t="str">
        <f aca="false">IF(D278="","",IF(D278&gt;12,"FLAG",IF(D278&gt;8,"OVERTIME","OK")))</f>
        <v/>
      </c>
      <c r="L278" s="0" t="str">
        <f aca="false">IF(OR(A278="",E278="",C278=""),"",IF(COUNTIFS($A:$A,A278,$E:$E,E278,$C:$C,C278)&gt;1,"DUPLIKAT","OK"))</f>
        <v/>
      </c>
    </row>
    <row r="279" customFormat="false" ht="15" hidden="false" customHeight="false" outlineLevel="0" collapsed="false">
      <c r="A279" s="6"/>
      <c r="B279" s="0" t="str">
        <f aca="false">IFERROR(INDEX(Master_Lista!$B$2:$B$151,MATCH(A279,Master_Lista!$A$2:$A$151,0)),"")</f>
        <v/>
      </c>
      <c r="C279" s="6"/>
      <c r="D279" s="7"/>
      <c r="E279" s="8"/>
      <c r="F279" s="0" t="str">
        <f aca="false">IFERROR(INDEX(Sheet11_Zarade!$C$2:$C$151,MATCH(A279,Sheet11_Zarade!$A$2:$A$151,0)),"")</f>
        <v/>
      </c>
      <c r="G279" s="5" t="n">
        <f aca="false">IFERROR(INDEX(Sheet11_Zarade!$D$2:$D$151,MATCH(A279,Sheet11_Zarade!$A$2:$A$151,0)),0)</f>
        <v>0</v>
      </c>
      <c r="H279" s="5" t="n">
        <f aca="false">IFERROR(D279*G279,0)</f>
        <v>0</v>
      </c>
      <c r="I279" s="5" t="n">
        <f aca="false">H279*0.5%</f>
        <v>0</v>
      </c>
      <c r="J279" s="5" t="n">
        <f aca="false">H279+I279</f>
        <v>0</v>
      </c>
      <c r="K279" s="0" t="str">
        <f aca="false">IF(D279="","",IF(D279&gt;12,"FLAG",IF(D279&gt;8,"OVERTIME","OK")))</f>
        <v/>
      </c>
      <c r="L279" s="0" t="str">
        <f aca="false">IF(OR(A279="",E279="",C279=""),"",IF(COUNTIFS($A:$A,A279,$E:$E,E279,$C:$C,C279)&gt;1,"DUPLIKAT","OK"))</f>
        <v/>
      </c>
    </row>
    <row r="280" customFormat="false" ht="15" hidden="false" customHeight="false" outlineLevel="0" collapsed="false">
      <c r="A280" s="6"/>
      <c r="B280" s="0" t="str">
        <f aca="false">IFERROR(INDEX(Master_Lista!$B$2:$B$151,MATCH(A280,Master_Lista!$A$2:$A$151,0)),"")</f>
        <v/>
      </c>
      <c r="C280" s="6"/>
      <c r="D280" s="7"/>
      <c r="E280" s="8"/>
      <c r="F280" s="0" t="str">
        <f aca="false">IFERROR(INDEX(Sheet11_Zarade!$C$2:$C$151,MATCH(A280,Sheet11_Zarade!$A$2:$A$151,0)),"")</f>
        <v/>
      </c>
      <c r="G280" s="5" t="n">
        <f aca="false">IFERROR(INDEX(Sheet11_Zarade!$D$2:$D$151,MATCH(A280,Sheet11_Zarade!$A$2:$A$151,0)),0)</f>
        <v>0</v>
      </c>
      <c r="H280" s="5" t="n">
        <f aca="false">IFERROR(D280*G280,0)</f>
        <v>0</v>
      </c>
      <c r="I280" s="5" t="n">
        <f aca="false">H280*0.5%</f>
        <v>0</v>
      </c>
      <c r="J280" s="5" t="n">
        <f aca="false">H280+I280</f>
        <v>0</v>
      </c>
      <c r="K280" s="0" t="str">
        <f aca="false">IF(D280="","",IF(D280&gt;12,"FLAG",IF(D280&gt;8,"OVERTIME","OK")))</f>
        <v/>
      </c>
      <c r="L280" s="0" t="str">
        <f aca="false">IF(OR(A280="",E280="",C280=""),"",IF(COUNTIFS($A:$A,A280,$E:$E,E280,$C:$C,C280)&gt;1,"DUPLIKAT","OK"))</f>
        <v/>
      </c>
    </row>
    <row r="281" customFormat="false" ht="15" hidden="false" customHeight="false" outlineLevel="0" collapsed="false">
      <c r="A281" s="6"/>
      <c r="B281" s="0" t="str">
        <f aca="false">IFERROR(INDEX(Master_Lista!$B$2:$B$151,MATCH(A281,Master_Lista!$A$2:$A$151,0)),"")</f>
        <v/>
      </c>
      <c r="C281" s="6"/>
      <c r="D281" s="7"/>
      <c r="E281" s="8"/>
      <c r="F281" s="0" t="str">
        <f aca="false">IFERROR(INDEX(Sheet11_Zarade!$C$2:$C$151,MATCH(A281,Sheet11_Zarade!$A$2:$A$151,0)),"")</f>
        <v/>
      </c>
      <c r="G281" s="5" t="n">
        <f aca="false">IFERROR(INDEX(Sheet11_Zarade!$D$2:$D$151,MATCH(A281,Sheet11_Zarade!$A$2:$A$151,0)),0)</f>
        <v>0</v>
      </c>
      <c r="H281" s="5" t="n">
        <f aca="false">IFERROR(D281*G281,0)</f>
        <v>0</v>
      </c>
      <c r="I281" s="5" t="n">
        <f aca="false">H281*0.5%</f>
        <v>0</v>
      </c>
      <c r="J281" s="5" t="n">
        <f aca="false">H281+I281</f>
        <v>0</v>
      </c>
      <c r="K281" s="0" t="str">
        <f aca="false">IF(D281="","",IF(D281&gt;12,"FLAG",IF(D281&gt;8,"OVERTIME","OK")))</f>
        <v/>
      </c>
      <c r="L281" s="0" t="str">
        <f aca="false">IF(OR(A281="",E281="",C281=""),"",IF(COUNTIFS($A:$A,A281,$E:$E,E281,$C:$C,C281)&gt;1,"DUPLIKAT","OK"))</f>
        <v/>
      </c>
    </row>
    <row r="282" customFormat="false" ht="15" hidden="false" customHeight="false" outlineLevel="0" collapsed="false">
      <c r="A282" s="6"/>
      <c r="B282" s="0" t="str">
        <f aca="false">IFERROR(INDEX(Master_Lista!$B$2:$B$151,MATCH(A282,Master_Lista!$A$2:$A$151,0)),"")</f>
        <v/>
      </c>
      <c r="C282" s="6"/>
      <c r="D282" s="7"/>
      <c r="E282" s="8"/>
      <c r="F282" s="0" t="str">
        <f aca="false">IFERROR(INDEX(Sheet11_Zarade!$C$2:$C$151,MATCH(A282,Sheet11_Zarade!$A$2:$A$151,0)),"")</f>
        <v/>
      </c>
      <c r="G282" s="5" t="n">
        <f aca="false">IFERROR(INDEX(Sheet11_Zarade!$D$2:$D$151,MATCH(A282,Sheet11_Zarade!$A$2:$A$151,0)),0)</f>
        <v>0</v>
      </c>
      <c r="H282" s="5" t="n">
        <f aca="false">IFERROR(D282*G282,0)</f>
        <v>0</v>
      </c>
      <c r="I282" s="5" t="n">
        <f aca="false">H282*0.5%</f>
        <v>0</v>
      </c>
      <c r="J282" s="5" t="n">
        <f aca="false">H282+I282</f>
        <v>0</v>
      </c>
      <c r="K282" s="0" t="str">
        <f aca="false">IF(D282="","",IF(D282&gt;12,"FLAG",IF(D282&gt;8,"OVERTIME","OK")))</f>
        <v/>
      </c>
      <c r="L282" s="0" t="str">
        <f aca="false">IF(OR(A282="",E282="",C282=""),"",IF(COUNTIFS($A:$A,A282,$E:$E,E282,$C:$C,C282)&gt;1,"DUPLIKAT","OK"))</f>
        <v/>
      </c>
    </row>
    <row r="283" customFormat="false" ht="15" hidden="false" customHeight="false" outlineLevel="0" collapsed="false">
      <c r="A283" s="6"/>
      <c r="B283" s="0" t="str">
        <f aca="false">IFERROR(INDEX(Master_Lista!$B$2:$B$151,MATCH(A283,Master_Lista!$A$2:$A$151,0)),"")</f>
        <v/>
      </c>
      <c r="C283" s="6"/>
      <c r="D283" s="7"/>
      <c r="E283" s="8"/>
      <c r="F283" s="0" t="str">
        <f aca="false">IFERROR(INDEX(Sheet11_Zarade!$C$2:$C$151,MATCH(A283,Sheet11_Zarade!$A$2:$A$151,0)),"")</f>
        <v/>
      </c>
      <c r="G283" s="5" t="n">
        <f aca="false">IFERROR(INDEX(Sheet11_Zarade!$D$2:$D$151,MATCH(A283,Sheet11_Zarade!$A$2:$A$151,0)),0)</f>
        <v>0</v>
      </c>
      <c r="H283" s="5" t="n">
        <f aca="false">IFERROR(D283*G283,0)</f>
        <v>0</v>
      </c>
      <c r="I283" s="5" t="n">
        <f aca="false">H283*0.5%</f>
        <v>0</v>
      </c>
      <c r="J283" s="5" t="n">
        <f aca="false">H283+I283</f>
        <v>0</v>
      </c>
      <c r="K283" s="0" t="str">
        <f aca="false">IF(D283="","",IF(D283&gt;12,"FLAG",IF(D283&gt;8,"OVERTIME","OK")))</f>
        <v/>
      </c>
      <c r="L283" s="0" t="str">
        <f aca="false">IF(OR(A283="",E283="",C283=""),"",IF(COUNTIFS($A:$A,A283,$E:$E,E283,$C:$C,C283)&gt;1,"DUPLIKAT","OK"))</f>
        <v/>
      </c>
    </row>
    <row r="284" customFormat="false" ht="15" hidden="false" customHeight="false" outlineLevel="0" collapsed="false">
      <c r="A284" s="6"/>
      <c r="B284" s="0" t="str">
        <f aca="false">IFERROR(INDEX(Master_Lista!$B$2:$B$151,MATCH(A284,Master_Lista!$A$2:$A$151,0)),"")</f>
        <v/>
      </c>
      <c r="C284" s="6"/>
      <c r="D284" s="7"/>
      <c r="E284" s="8"/>
      <c r="F284" s="0" t="str">
        <f aca="false">IFERROR(INDEX(Sheet11_Zarade!$C$2:$C$151,MATCH(A284,Sheet11_Zarade!$A$2:$A$151,0)),"")</f>
        <v/>
      </c>
      <c r="G284" s="5" t="n">
        <f aca="false">IFERROR(INDEX(Sheet11_Zarade!$D$2:$D$151,MATCH(A284,Sheet11_Zarade!$A$2:$A$151,0)),0)</f>
        <v>0</v>
      </c>
      <c r="H284" s="5" t="n">
        <f aca="false">IFERROR(D284*G284,0)</f>
        <v>0</v>
      </c>
      <c r="I284" s="5" t="n">
        <f aca="false">H284*0.5%</f>
        <v>0</v>
      </c>
      <c r="J284" s="5" t="n">
        <f aca="false">H284+I284</f>
        <v>0</v>
      </c>
      <c r="K284" s="0" t="str">
        <f aca="false">IF(D284="","",IF(D284&gt;12,"FLAG",IF(D284&gt;8,"OVERTIME","OK")))</f>
        <v/>
      </c>
      <c r="L284" s="0" t="str">
        <f aca="false">IF(OR(A284="",E284="",C284=""),"",IF(COUNTIFS($A:$A,A284,$E:$E,E284,$C:$C,C284)&gt;1,"DUPLIKAT","OK"))</f>
        <v/>
      </c>
    </row>
    <row r="285" customFormat="false" ht="15" hidden="false" customHeight="false" outlineLevel="0" collapsed="false">
      <c r="A285" s="6"/>
      <c r="B285" s="0" t="str">
        <f aca="false">IFERROR(INDEX(Master_Lista!$B$2:$B$151,MATCH(A285,Master_Lista!$A$2:$A$151,0)),"")</f>
        <v/>
      </c>
      <c r="C285" s="6"/>
      <c r="D285" s="7"/>
      <c r="E285" s="8"/>
      <c r="F285" s="0" t="str">
        <f aca="false">IFERROR(INDEX(Sheet11_Zarade!$C$2:$C$151,MATCH(A285,Sheet11_Zarade!$A$2:$A$151,0)),"")</f>
        <v/>
      </c>
      <c r="G285" s="5" t="n">
        <f aca="false">IFERROR(INDEX(Sheet11_Zarade!$D$2:$D$151,MATCH(A285,Sheet11_Zarade!$A$2:$A$151,0)),0)</f>
        <v>0</v>
      </c>
      <c r="H285" s="5" t="n">
        <f aca="false">IFERROR(D285*G285,0)</f>
        <v>0</v>
      </c>
      <c r="I285" s="5" t="n">
        <f aca="false">H285*0.5%</f>
        <v>0</v>
      </c>
      <c r="J285" s="5" t="n">
        <f aca="false">H285+I285</f>
        <v>0</v>
      </c>
      <c r="K285" s="0" t="str">
        <f aca="false">IF(D285="","",IF(D285&gt;12,"FLAG",IF(D285&gt;8,"OVERTIME","OK")))</f>
        <v/>
      </c>
      <c r="L285" s="0" t="str">
        <f aca="false">IF(OR(A285="",E285="",C285=""),"",IF(COUNTIFS($A:$A,A285,$E:$E,E285,$C:$C,C285)&gt;1,"DUPLIKAT","OK"))</f>
        <v/>
      </c>
    </row>
    <row r="286" customFormat="false" ht="15" hidden="false" customHeight="false" outlineLevel="0" collapsed="false">
      <c r="A286" s="6"/>
      <c r="B286" s="0" t="str">
        <f aca="false">IFERROR(INDEX(Master_Lista!$B$2:$B$151,MATCH(A286,Master_Lista!$A$2:$A$151,0)),"")</f>
        <v/>
      </c>
      <c r="C286" s="6"/>
      <c r="D286" s="7"/>
      <c r="E286" s="8"/>
      <c r="F286" s="0" t="str">
        <f aca="false">IFERROR(INDEX(Sheet11_Zarade!$C$2:$C$151,MATCH(A286,Sheet11_Zarade!$A$2:$A$151,0)),"")</f>
        <v/>
      </c>
      <c r="G286" s="5" t="n">
        <f aca="false">IFERROR(INDEX(Sheet11_Zarade!$D$2:$D$151,MATCH(A286,Sheet11_Zarade!$A$2:$A$151,0)),0)</f>
        <v>0</v>
      </c>
      <c r="H286" s="5" t="n">
        <f aca="false">IFERROR(D286*G286,0)</f>
        <v>0</v>
      </c>
      <c r="I286" s="5" t="n">
        <f aca="false">H286*0.5%</f>
        <v>0</v>
      </c>
      <c r="J286" s="5" t="n">
        <f aca="false">H286+I286</f>
        <v>0</v>
      </c>
      <c r="K286" s="0" t="str">
        <f aca="false">IF(D286="","",IF(D286&gt;12,"FLAG",IF(D286&gt;8,"OVERTIME","OK")))</f>
        <v/>
      </c>
      <c r="L286" s="0" t="str">
        <f aca="false">IF(OR(A286="",E286="",C286=""),"",IF(COUNTIFS($A:$A,A286,$E:$E,E286,$C:$C,C286)&gt;1,"DUPLIKAT","OK"))</f>
        <v/>
      </c>
    </row>
    <row r="287" customFormat="false" ht="15" hidden="false" customHeight="false" outlineLevel="0" collapsed="false">
      <c r="A287" s="6"/>
      <c r="B287" s="0" t="str">
        <f aca="false">IFERROR(INDEX(Master_Lista!$B$2:$B$151,MATCH(A287,Master_Lista!$A$2:$A$151,0)),"")</f>
        <v/>
      </c>
      <c r="C287" s="6"/>
      <c r="D287" s="7"/>
      <c r="E287" s="8"/>
      <c r="F287" s="0" t="str">
        <f aca="false">IFERROR(INDEX(Sheet11_Zarade!$C$2:$C$151,MATCH(A287,Sheet11_Zarade!$A$2:$A$151,0)),"")</f>
        <v/>
      </c>
      <c r="G287" s="5" t="n">
        <f aca="false">IFERROR(INDEX(Sheet11_Zarade!$D$2:$D$151,MATCH(A287,Sheet11_Zarade!$A$2:$A$151,0)),0)</f>
        <v>0</v>
      </c>
      <c r="H287" s="5" t="n">
        <f aca="false">IFERROR(D287*G287,0)</f>
        <v>0</v>
      </c>
      <c r="I287" s="5" t="n">
        <f aca="false">H287*0.5%</f>
        <v>0</v>
      </c>
      <c r="J287" s="5" t="n">
        <f aca="false">H287+I287</f>
        <v>0</v>
      </c>
      <c r="K287" s="0" t="str">
        <f aca="false">IF(D287="","",IF(D287&gt;12,"FLAG",IF(D287&gt;8,"OVERTIME","OK")))</f>
        <v/>
      </c>
      <c r="L287" s="0" t="str">
        <f aca="false">IF(OR(A287="",E287="",C287=""),"",IF(COUNTIFS($A:$A,A287,$E:$E,E287,$C:$C,C287)&gt;1,"DUPLIKAT","OK"))</f>
        <v/>
      </c>
    </row>
    <row r="288" customFormat="false" ht="15" hidden="false" customHeight="false" outlineLevel="0" collapsed="false">
      <c r="A288" s="6"/>
      <c r="B288" s="0" t="str">
        <f aca="false">IFERROR(INDEX(Master_Lista!$B$2:$B$151,MATCH(A288,Master_Lista!$A$2:$A$151,0)),"")</f>
        <v/>
      </c>
      <c r="C288" s="6"/>
      <c r="D288" s="7"/>
      <c r="E288" s="8"/>
      <c r="F288" s="0" t="str">
        <f aca="false">IFERROR(INDEX(Sheet11_Zarade!$C$2:$C$151,MATCH(A288,Sheet11_Zarade!$A$2:$A$151,0)),"")</f>
        <v/>
      </c>
      <c r="G288" s="5" t="n">
        <f aca="false">IFERROR(INDEX(Sheet11_Zarade!$D$2:$D$151,MATCH(A288,Sheet11_Zarade!$A$2:$A$151,0)),0)</f>
        <v>0</v>
      </c>
      <c r="H288" s="5" t="n">
        <f aca="false">IFERROR(D288*G288,0)</f>
        <v>0</v>
      </c>
      <c r="I288" s="5" t="n">
        <f aca="false">H288*0.5%</f>
        <v>0</v>
      </c>
      <c r="J288" s="5" t="n">
        <f aca="false">H288+I288</f>
        <v>0</v>
      </c>
      <c r="K288" s="0" t="str">
        <f aca="false">IF(D288="","",IF(D288&gt;12,"FLAG",IF(D288&gt;8,"OVERTIME","OK")))</f>
        <v/>
      </c>
      <c r="L288" s="0" t="str">
        <f aca="false">IF(OR(A288="",E288="",C288=""),"",IF(COUNTIFS($A:$A,A288,$E:$E,E288,$C:$C,C288)&gt;1,"DUPLIKAT","OK"))</f>
        <v/>
      </c>
    </row>
    <row r="289" customFormat="false" ht="15" hidden="false" customHeight="false" outlineLevel="0" collapsed="false">
      <c r="A289" s="6"/>
      <c r="B289" s="0" t="str">
        <f aca="false">IFERROR(INDEX(Master_Lista!$B$2:$B$151,MATCH(A289,Master_Lista!$A$2:$A$151,0)),"")</f>
        <v/>
      </c>
      <c r="C289" s="6"/>
      <c r="D289" s="7"/>
      <c r="E289" s="8"/>
      <c r="F289" s="0" t="str">
        <f aca="false">IFERROR(INDEX(Sheet11_Zarade!$C$2:$C$151,MATCH(A289,Sheet11_Zarade!$A$2:$A$151,0)),"")</f>
        <v/>
      </c>
      <c r="G289" s="5" t="n">
        <f aca="false">IFERROR(INDEX(Sheet11_Zarade!$D$2:$D$151,MATCH(A289,Sheet11_Zarade!$A$2:$A$151,0)),0)</f>
        <v>0</v>
      </c>
      <c r="H289" s="5" t="n">
        <f aca="false">IFERROR(D289*G289,0)</f>
        <v>0</v>
      </c>
      <c r="I289" s="5" t="n">
        <f aca="false">H289*0.5%</f>
        <v>0</v>
      </c>
      <c r="J289" s="5" t="n">
        <f aca="false">H289+I289</f>
        <v>0</v>
      </c>
      <c r="K289" s="0" t="str">
        <f aca="false">IF(D289="","",IF(D289&gt;12,"FLAG",IF(D289&gt;8,"OVERTIME","OK")))</f>
        <v/>
      </c>
      <c r="L289" s="0" t="str">
        <f aca="false">IF(OR(A289="",E289="",C289=""),"",IF(COUNTIFS($A:$A,A289,$E:$E,E289,$C:$C,C289)&gt;1,"DUPLIKAT","OK"))</f>
        <v/>
      </c>
    </row>
    <row r="290" customFormat="false" ht="15" hidden="false" customHeight="false" outlineLevel="0" collapsed="false">
      <c r="A290" s="6"/>
      <c r="B290" s="0" t="str">
        <f aca="false">IFERROR(INDEX(Master_Lista!$B$2:$B$151,MATCH(A290,Master_Lista!$A$2:$A$151,0)),"")</f>
        <v/>
      </c>
      <c r="C290" s="6"/>
      <c r="D290" s="7"/>
      <c r="E290" s="8"/>
      <c r="F290" s="0" t="str">
        <f aca="false">IFERROR(INDEX(Sheet11_Zarade!$C$2:$C$151,MATCH(A290,Sheet11_Zarade!$A$2:$A$151,0)),"")</f>
        <v/>
      </c>
      <c r="G290" s="5" t="n">
        <f aca="false">IFERROR(INDEX(Sheet11_Zarade!$D$2:$D$151,MATCH(A290,Sheet11_Zarade!$A$2:$A$151,0)),0)</f>
        <v>0</v>
      </c>
      <c r="H290" s="5" t="n">
        <f aca="false">IFERROR(D290*G290,0)</f>
        <v>0</v>
      </c>
      <c r="I290" s="5" t="n">
        <f aca="false">H290*0.5%</f>
        <v>0</v>
      </c>
      <c r="J290" s="5" t="n">
        <f aca="false">H290+I290</f>
        <v>0</v>
      </c>
      <c r="K290" s="0" t="str">
        <f aca="false">IF(D290="","",IF(D290&gt;12,"FLAG",IF(D290&gt;8,"OVERTIME","OK")))</f>
        <v/>
      </c>
      <c r="L290" s="0" t="str">
        <f aca="false">IF(OR(A290="",E290="",C290=""),"",IF(COUNTIFS($A:$A,A290,$E:$E,E290,$C:$C,C290)&gt;1,"DUPLIKAT","OK"))</f>
        <v/>
      </c>
    </row>
    <row r="291" customFormat="false" ht="15" hidden="false" customHeight="false" outlineLevel="0" collapsed="false">
      <c r="A291" s="6"/>
      <c r="B291" s="0" t="str">
        <f aca="false">IFERROR(INDEX(Master_Lista!$B$2:$B$151,MATCH(A291,Master_Lista!$A$2:$A$151,0)),"")</f>
        <v/>
      </c>
      <c r="C291" s="6"/>
      <c r="D291" s="7"/>
      <c r="E291" s="8"/>
      <c r="F291" s="0" t="str">
        <f aca="false">IFERROR(INDEX(Sheet11_Zarade!$C$2:$C$151,MATCH(A291,Sheet11_Zarade!$A$2:$A$151,0)),"")</f>
        <v/>
      </c>
      <c r="G291" s="5" t="n">
        <f aca="false">IFERROR(INDEX(Sheet11_Zarade!$D$2:$D$151,MATCH(A291,Sheet11_Zarade!$A$2:$A$151,0)),0)</f>
        <v>0</v>
      </c>
      <c r="H291" s="5" t="n">
        <f aca="false">IFERROR(D291*G291,0)</f>
        <v>0</v>
      </c>
      <c r="I291" s="5" t="n">
        <f aca="false">H291*0.5%</f>
        <v>0</v>
      </c>
      <c r="J291" s="5" t="n">
        <f aca="false">H291+I291</f>
        <v>0</v>
      </c>
      <c r="K291" s="0" t="str">
        <f aca="false">IF(D291="","",IF(D291&gt;12,"FLAG",IF(D291&gt;8,"OVERTIME","OK")))</f>
        <v/>
      </c>
      <c r="L291" s="0" t="str">
        <f aca="false">IF(OR(A291="",E291="",C291=""),"",IF(COUNTIFS($A:$A,A291,$E:$E,E291,$C:$C,C291)&gt;1,"DUPLIKAT","OK"))</f>
        <v/>
      </c>
    </row>
    <row r="292" customFormat="false" ht="15" hidden="false" customHeight="false" outlineLevel="0" collapsed="false">
      <c r="A292" s="6"/>
      <c r="B292" s="0" t="str">
        <f aca="false">IFERROR(INDEX(Master_Lista!$B$2:$B$151,MATCH(A292,Master_Lista!$A$2:$A$151,0)),"")</f>
        <v/>
      </c>
      <c r="C292" s="6"/>
      <c r="D292" s="7"/>
      <c r="E292" s="8"/>
      <c r="F292" s="0" t="str">
        <f aca="false">IFERROR(INDEX(Sheet11_Zarade!$C$2:$C$151,MATCH(A292,Sheet11_Zarade!$A$2:$A$151,0)),"")</f>
        <v/>
      </c>
      <c r="G292" s="5" t="n">
        <f aca="false">IFERROR(INDEX(Sheet11_Zarade!$D$2:$D$151,MATCH(A292,Sheet11_Zarade!$A$2:$A$151,0)),0)</f>
        <v>0</v>
      </c>
      <c r="H292" s="5" t="n">
        <f aca="false">IFERROR(D292*G292,0)</f>
        <v>0</v>
      </c>
      <c r="I292" s="5" t="n">
        <f aca="false">H292*0.5%</f>
        <v>0</v>
      </c>
      <c r="J292" s="5" t="n">
        <f aca="false">H292+I292</f>
        <v>0</v>
      </c>
      <c r="K292" s="0" t="str">
        <f aca="false">IF(D292="","",IF(D292&gt;12,"FLAG",IF(D292&gt;8,"OVERTIME","OK")))</f>
        <v/>
      </c>
      <c r="L292" s="0" t="str">
        <f aca="false">IF(OR(A292="",E292="",C292=""),"",IF(COUNTIFS($A:$A,A292,$E:$E,E292,$C:$C,C292)&gt;1,"DUPLIKAT","OK"))</f>
        <v/>
      </c>
    </row>
    <row r="293" customFormat="false" ht="15" hidden="false" customHeight="false" outlineLevel="0" collapsed="false">
      <c r="A293" s="6"/>
      <c r="B293" s="0" t="str">
        <f aca="false">IFERROR(INDEX(Master_Lista!$B$2:$B$151,MATCH(A293,Master_Lista!$A$2:$A$151,0)),"")</f>
        <v/>
      </c>
      <c r="C293" s="6"/>
      <c r="D293" s="7"/>
      <c r="E293" s="8"/>
      <c r="F293" s="0" t="str">
        <f aca="false">IFERROR(INDEX(Sheet11_Zarade!$C$2:$C$151,MATCH(A293,Sheet11_Zarade!$A$2:$A$151,0)),"")</f>
        <v/>
      </c>
      <c r="G293" s="5" t="n">
        <f aca="false">IFERROR(INDEX(Sheet11_Zarade!$D$2:$D$151,MATCH(A293,Sheet11_Zarade!$A$2:$A$151,0)),0)</f>
        <v>0</v>
      </c>
      <c r="H293" s="5" t="n">
        <f aca="false">IFERROR(D293*G293,0)</f>
        <v>0</v>
      </c>
      <c r="I293" s="5" t="n">
        <f aca="false">H293*0.5%</f>
        <v>0</v>
      </c>
      <c r="J293" s="5" t="n">
        <f aca="false">H293+I293</f>
        <v>0</v>
      </c>
      <c r="K293" s="0" t="str">
        <f aca="false">IF(D293="","",IF(D293&gt;12,"FLAG",IF(D293&gt;8,"OVERTIME","OK")))</f>
        <v/>
      </c>
      <c r="L293" s="0" t="str">
        <f aca="false">IF(OR(A293="",E293="",C293=""),"",IF(COUNTIFS($A:$A,A293,$E:$E,E293,$C:$C,C293)&gt;1,"DUPLIKAT","OK"))</f>
        <v/>
      </c>
    </row>
    <row r="294" customFormat="false" ht="15" hidden="false" customHeight="false" outlineLevel="0" collapsed="false">
      <c r="A294" s="6"/>
      <c r="B294" s="0" t="str">
        <f aca="false">IFERROR(INDEX(Master_Lista!$B$2:$B$151,MATCH(A294,Master_Lista!$A$2:$A$151,0)),"")</f>
        <v/>
      </c>
      <c r="C294" s="6"/>
      <c r="D294" s="7"/>
      <c r="E294" s="8"/>
      <c r="F294" s="0" t="str">
        <f aca="false">IFERROR(INDEX(Sheet11_Zarade!$C$2:$C$151,MATCH(A294,Sheet11_Zarade!$A$2:$A$151,0)),"")</f>
        <v/>
      </c>
      <c r="G294" s="5" t="n">
        <f aca="false">IFERROR(INDEX(Sheet11_Zarade!$D$2:$D$151,MATCH(A294,Sheet11_Zarade!$A$2:$A$151,0)),0)</f>
        <v>0</v>
      </c>
      <c r="H294" s="5" t="n">
        <f aca="false">IFERROR(D294*G294,0)</f>
        <v>0</v>
      </c>
      <c r="I294" s="5" t="n">
        <f aca="false">H294*0.5%</f>
        <v>0</v>
      </c>
      <c r="J294" s="5" t="n">
        <f aca="false">H294+I294</f>
        <v>0</v>
      </c>
      <c r="K294" s="0" t="str">
        <f aca="false">IF(D294="","",IF(D294&gt;12,"FLAG",IF(D294&gt;8,"OVERTIME","OK")))</f>
        <v/>
      </c>
      <c r="L294" s="0" t="str">
        <f aca="false">IF(OR(A294="",E294="",C294=""),"",IF(COUNTIFS($A:$A,A294,$E:$E,E294,$C:$C,C294)&gt;1,"DUPLIKAT","OK"))</f>
        <v/>
      </c>
    </row>
    <row r="295" customFormat="false" ht="15" hidden="false" customHeight="false" outlineLevel="0" collapsed="false">
      <c r="A295" s="6"/>
      <c r="B295" s="0" t="str">
        <f aca="false">IFERROR(INDEX(Master_Lista!$B$2:$B$151,MATCH(A295,Master_Lista!$A$2:$A$151,0)),"")</f>
        <v/>
      </c>
      <c r="C295" s="6"/>
      <c r="D295" s="7"/>
      <c r="E295" s="8"/>
      <c r="F295" s="0" t="str">
        <f aca="false">IFERROR(INDEX(Sheet11_Zarade!$C$2:$C$151,MATCH(A295,Sheet11_Zarade!$A$2:$A$151,0)),"")</f>
        <v/>
      </c>
      <c r="G295" s="5" t="n">
        <f aca="false">IFERROR(INDEX(Sheet11_Zarade!$D$2:$D$151,MATCH(A295,Sheet11_Zarade!$A$2:$A$151,0)),0)</f>
        <v>0</v>
      </c>
      <c r="H295" s="5" t="n">
        <f aca="false">IFERROR(D295*G295,0)</f>
        <v>0</v>
      </c>
      <c r="I295" s="5" t="n">
        <f aca="false">H295*0.5%</f>
        <v>0</v>
      </c>
      <c r="J295" s="5" t="n">
        <f aca="false">H295+I295</f>
        <v>0</v>
      </c>
      <c r="K295" s="0" t="str">
        <f aca="false">IF(D295="","",IF(D295&gt;12,"FLAG",IF(D295&gt;8,"OVERTIME","OK")))</f>
        <v/>
      </c>
      <c r="L295" s="0" t="str">
        <f aca="false">IF(OR(A295="",E295="",C295=""),"",IF(COUNTIFS($A:$A,A295,$E:$E,E295,$C:$C,C295)&gt;1,"DUPLIKAT","OK"))</f>
        <v/>
      </c>
    </row>
    <row r="296" customFormat="false" ht="15" hidden="false" customHeight="false" outlineLevel="0" collapsed="false">
      <c r="A296" s="6"/>
      <c r="B296" s="0" t="str">
        <f aca="false">IFERROR(INDEX(Master_Lista!$B$2:$B$151,MATCH(A296,Master_Lista!$A$2:$A$151,0)),"")</f>
        <v/>
      </c>
      <c r="C296" s="6"/>
      <c r="D296" s="7"/>
      <c r="E296" s="8"/>
      <c r="F296" s="0" t="str">
        <f aca="false">IFERROR(INDEX(Sheet11_Zarade!$C$2:$C$151,MATCH(A296,Sheet11_Zarade!$A$2:$A$151,0)),"")</f>
        <v/>
      </c>
      <c r="G296" s="5" t="n">
        <f aca="false">IFERROR(INDEX(Sheet11_Zarade!$D$2:$D$151,MATCH(A296,Sheet11_Zarade!$A$2:$A$151,0)),0)</f>
        <v>0</v>
      </c>
      <c r="H296" s="5" t="n">
        <f aca="false">IFERROR(D296*G296,0)</f>
        <v>0</v>
      </c>
      <c r="I296" s="5" t="n">
        <f aca="false">H296*0.5%</f>
        <v>0</v>
      </c>
      <c r="J296" s="5" t="n">
        <f aca="false">H296+I296</f>
        <v>0</v>
      </c>
      <c r="K296" s="0" t="str">
        <f aca="false">IF(D296="","",IF(D296&gt;12,"FLAG",IF(D296&gt;8,"OVERTIME","OK")))</f>
        <v/>
      </c>
      <c r="L296" s="0" t="str">
        <f aca="false">IF(OR(A296="",E296="",C296=""),"",IF(COUNTIFS($A:$A,A296,$E:$E,E296,$C:$C,C296)&gt;1,"DUPLIKAT","OK"))</f>
        <v/>
      </c>
    </row>
    <row r="297" customFormat="false" ht="15" hidden="false" customHeight="false" outlineLevel="0" collapsed="false">
      <c r="A297" s="6"/>
      <c r="B297" s="0" t="str">
        <f aca="false">IFERROR(INDEX(Master_Lista!$B$2:$B$151,MATCH(A297,Master_Lista!$A$2:$A$151,0)),"")</f>
        <v/>
      </c>
      <c r="C297" s="6"/>
      <c r="D297" s="7"/>
      <c r="E297" s="8"/>
      <c r="F297" s="0" t="str">
        <f aca="false">IFERROR(INDEX(Sheet11_Zarade!$C$2:$C$151,MATCH(A297,Sheet11_Zarade!$A$2:$A$151,0)),"")</f>
        <v/>
      </c>
      <c r="G297" s="5" t="n">
        <f aca="false">IFERROR(INDEX(Sheet11_Zarade!$D$2:$D$151,MATCH(A297,Sheet11_Zarade!$A$2:$A$151,0)),0)</f>
        <v>0</v>
      </c>
      <c r="H297" s="5" t="n">
        <f aca="false">IFERROR(D297*G297,0)</f>
        <v>0</v>
      </c>
      <c r="I297" s="5" t="n">
        <f aca="false">H297*0.5%</f>
        <v>0</v>
      </c>
      <c r="J297" s="5" t="n">
        <f aca="false">H297+I297</f>
        <v>0</v>
      </c>
      <c r="K297" s="0" t="str">
        <f aca="false">IF(D297="","",IF(D297&gt;12,"FLAG",IF(D297&gt;8,"OVERTIME","OK")))</f>
        <v/>
      </c>
      <c r="L297" s="0" t="str">
        <f aca="false">IF(OR(A297="",E297="",C297=""),"",IF(COUNTIFS($A:$A,A297,$E:$E,E297,$C:$C,C297)&gt;1,"DUPLIKAT","OK"))</f>
        <v/>
      </c>
    </row>
    <row r="298" customFormat="false" ht="15" hidden="false" customHeight="false" outlineLevel="0" collapsed="false">
      <c r="A298" s="6"/>
      <c r="B298" s="0" t="str">
        <f aca="false">IFERROR(INDEX(Master_Lista!$B$2:$B$151,MATCH(A298,Master_Lista!$A$2:$A$151,0)),"")</f>
        <v/>
      </c>
      <c r="C298" s="6"/>
      <c r="D298" s="7"/>
      <c r="E298" s="8"/>
      <c r="F298" s="0" t="str">
        <f aca="false">IFERROR(INDEX(Sheet11_Zarade!$C$2:$C$151,MATCH(A298,Sheet11_Zarade!$A$2:$A$151,0)),"")</f>
        <v/>
      </c>
      <c r="G298" s="5" t="n">
        <f aca="false">IFERROR(INDEX(Sheet11_Zarade!$D$2:$D$151,MATCH(A298,Sheet11_Zarade!$A$2:$A$151,0)),0)</f>
        <v>0</v>
      </c>
      <c r="H298" s="5" t="n">
        <f aca="false">IFERROR(D298*G298,0)</f>
        <v>0</v>
      </c>
      <c r="I298" s="5" t="n">
        <f aca="false">H298*0.5%</f>
        <v>0</v>
      </c>
      <c r="J298" s="5" t="n">
        <f aca="false">H298+I298</f>
        <v>0</v>
      </c>
      <c r="K298" s="0" t="str">
        <f aca="false">IF(D298="","",IF(D298&gt;12,"FLAG",IF(D298&gt;8,"OVERTIME","OK")))</f>
        <v/>
      </c>
      <c r="L298" s="0" t="str">
        <f aca="false">IF(OR(A298="",E298="",C298=""),"",IF(COUNTIFS($A:$A,A298,$E:$E,E298,$C:$C,C298)&gt;1,"DUPLIKAT","OK"))</f>
        <v/>
      </c>
    </row>
    <row r="299" customFormat="false" ht="15" hidden="false" customHeight="false" outlineLevel="0" collapsed="false">
      <c r="A299" s="6"/>
      <c r="B299" s="0" t="str">
        <f aca="false">IFERROR(INDEX(Master_Lista!$B$2:$B$151,MATCH(A299,Master_Lista!$A$2:$A$151,0)),"")</f>
        <v/>
      </c>
      <c r="C299" s="6"/>
      <c r="D299" s="7"/>
      <c r="E299" s="8"/>
      <c r="F299" s="0" t="str">
        <f aca="false">IFERROR(INDEX(Sheet11_Zarade!$C$2:$C$151,MATCH(A299,Sheet11_Zarade!$A$2:$A$151,0)),"")</f>
        <v/>
      </c>
      <c r="G299" s="5" t="n">
        <f aca="false">IFERROR(INDEX(Sheet11_Zarade!$D$2:$D$151,MATCH(A299,Sheet11_Zarade!$A$2:$A$151,0)),0)</f>
        <v>0</v>
      </c>
      <c r="H299" s="5" t="n">
        <f aca="false">IFERROR(D299*G299,0)</f>
        <v>0</v>
      </c>
      <c r="I299" s="5" t="n">
        <f aca="false">H299*0.5%</f>
        <v>0</v>
      </c>
      <c r="J299" s="5" t="n">
        <f aca="false">H299+I299</f>
        <v>0</v>
      </c>
      <c r="K299" s="0" t="str">
        <f aca="false">IF(D299="","",IF(D299&gt;12,"FLAG",IF(D299&gt;8,"OVERTIME","OK")))</f>
        <v/>
      </c>
      <c r="L299" s="0" t="str">
        <f aca="false">IF(OR(A299="",E299="",C299=""),"",IF(COUNTIFS($A:$A,A299,$E:$E,E299,$C:$C,C299)&gt;1,"DUPLIKAT","OK"))</f>
        <v/>
      </c>
    </row>
    <row r="300" customFormat="false" ht="15" hidden="false" customHeight="false" outlineLevel="0" collapsed="false">
      <c r="A300" s="6"/>
      <c r="B300" s="0" t="str">
        <f aca="false">IFERROR(INDEX(Master_Lista!$B$2:$B$151,MATCH(A300,Master_Lista!$A$2:$A$151,0)),"")</f>
        <v/>
      </c>
      <c r="C300" s="6"/>
      <c r="D300" s="7"/>
      <c r="E300" s="8"/>
      <c r="F300" s="0" t="str">
        <f aca="false">IFERROR(INDEX(Sheet11_Zarade!$C$2:$C$151,MATCH(A300,Sheet11_Zarade!$A$2:$A$151,0)),"")</f>
        <v/>
      </c>
      <c r="G300" s="5" t="n">
        <f aca="false">IFERROR(INDEX(Sheet11_Zarade!$D$2:$D$151,MATCH(A300,Sheet11_Zarade!$A$2:$A$151,0)),0)</f>
        <v>0</v>
      </c>
      <c r="H300" s="5" t="n">
        <f aca="false">IFERROR(D300*G300,0)</f>
        <v>0</v>
      </c>
      <c r="I300" s="5" t="n">
        <f aca="false">H300*0.5%</f>
        <v>0</v>
      </c>
      <c r="J300" s="5" t="n">
        <f aca="false">H300+I300</f>
        <v>0</v>
      </c>
      <c r="K300" s="0" t="str">
        <f aca="false">IF(D300="","",IF(D300&gt;12,"FLAG",IF(D300&gt;8,"OVERTIME","OK")))</f>
        <v/>
      </c>
      <c r="L300" s="0" t="str">
        <f aca="false">IF(OR(A300="",E300="",C300=""),"",IF(COUNTIFS($A:$A,A300,$E:$E,E300,$C:$C,C300)&gt;1,"DUPLIKAT","OK"))</f>
        <v/>
      </c>
    </row>
    <row r="301" customFormat="false" ht="15" hidden="false" customHeight="false" outlineLevel="0" collapsed="false">
      <c r="A301" s="6"/>
      <c r="B301" s="0" t="str">
        <f aca="false">IFERROR(INDEX(Master_Lista!$B$2:$B$151,MATCH(A301,Master_Lista!$A$2:$A$151,0)),"")</f>
        <v/>
      </c>
      <c r="C301" s="6"/>
      <c r="D301" s="7"/>
      <c r="E301" s="8"/>
      <c r="F301" s="0" t="str">
        <f aca="false">IFERROR(INDEX(Sheet11_Zarade!$C$2:$C$151,MATCH(A301,Sheet11_Zarade!$A$2:$A$151,0)),"")</f>
        <v/>
      </c>
      <c r="G301" s="5" t="n">
        <f aca="false">IFERROR(INDEX(Sheet11_Zarade!$D$2:$D$151,MATCH(A301,Sheet11_Zarade!$A$2:$A$151,0)),0)</f>
        <v>0</v>
      </c>
      <c r="H301" s="5" t="n">
        <f aca="false">IFERROR(D301*G301,0)</f>
        <v>0</v>
      </c>
      <c r="I301" s="5" t="n">
        <f aca="false">H301*0.5%</f>
        <v>0</v>
      </c>
      <c r="J301" s="5" t="n">
        <f aca="false">H301+I301</f>
        <v>0</v>
      </c>
      <c r="K301" s="0" t="str">
        <f aca="false">IF(D301="","",IF(D301&gt;12,"FLAG",IF(D301&gt;8,"OVERTIME","OK")))</f>
        <v/>
      </c>
      <c r="L301" s="0" t="str">
        <f aca="false">IF(OR(A301="",E301="",C301=""),"",IF(COUNTIFS($A:$A,A301,$E:$E,E301,$C:$C,C301)&gt;1,"DUPLIKAT","OK"))</f>
        <v/>
      </c>
    </row>
    <row r="302" customFormat="false" ht="15" hidden="false" customHeight="false" outlineLevel="0" collapsed="false">
      <c r="A302" s="6"/>
      <c r="B302" s="0" t="str">
        <f aca="false">IFERROR(INDEX(Master_Lista!$B$2:$B$151,MATCH(A302,Master_Lista!$A$2:$A$151,0)),"")</f>
        <v/>
      </c>
      <c r="C302" s="6"/>
      <c r="D302" s="7"/>
      <c r="E302" s="8"/>
      <c r="F302" s="0" t="str">
        <f aca="false">IFERROR(INDEX(Sheet11_Zarade!$C$2:$C$151,MATCH(A302,Sheet11_Zarade!$A$2:$A$151,0)),"")</f>
        <v/>
      </c>
      <c r="G302" s="5" t="n">
        <f aca="false">IFERROR(INDEX(Sheet11_Zarade!$D$2:$D$151,MATCH(A302,Sheet11_Zarade!$A$2:$A$151,0)),0)</f>
        <v>0</v>
      </c>
      <c r="H302" s="5" t="n">
        <f aca="false">IFERROR(D302*G302,0)</f>
        <v>0</v>
      </c>
      <c r="I302" s="5" t="n">
        <f aca="false">H302*0.5%</f>
        <v>0</v>
      </c>
      <c r="J302" s="5" t="n">
        <f aca="false">H302+I302</f>
        <v>0</v>
      </c>
      <c r="K302" s="0" t="str">
        <f aca="false">IF(D302="","",IF(D302&gt;12,"FLAG",IF(D302&gt;8,"OVERTIME","OK")))</f>
        <v/>
      </c>
      <c r="L302" s="0" t="str">
        <f aca="false">IF(OR(A302="",E302="",C302=""),"",IF(COUNTIFS($A:$A,A302,$E:$E,E302,$C:$C,C302)&gt;1,"DUPLIKAT","OK"))</f>
        <v/>
      </c>
    </row>
    <row r="303" customFormat="false" ht="15" hidden="false" customHeight="false" outlineLevel="0" collapsed="false">
      <c r="A303" s="6"/>
      <c r="B303" s="0" t="str">
        <f aca="false">IFERROR(INDEX(Master_Lista!$B$2:$B$151,MATCH(A303,Master_Lista!$A$2:$A$151,0)),"")</f>
        <v/>
      </c>
      <c r="C303" s="6"/>
      <c r="D303" s="7"/>
      <c r="E303" s="8"/>
      <c r="F303" s="0" t="str">
        <f aca="false">IFERROR(INDEX(Sheet11_Zarade!$C$2:$C$151,MATCH(A303,Sheet11_Zarade!$A$2:$A$151,0)),"")</f>
        <v/>
      </c>
      <c r="G303" s="5" t="n">
        <f aca="false">IFERROR(INDEX(Sheet11_Zarade!$D$2:$D$151,MATCH(A303,Sheet11_Zarade!$A$2:$A$151,0)),0)</f>
        <v>0</v>
      </c>
      <c r="H303" s="5" t="n">
        <f aca="false">IFERROR(D303*G303,0)</f>
        <v>0</v>
      </c>
      <c r="I303" s="5" t="n">
        <f aca="false">H303*0.5%</f>
        <v>0</v>
      </c>
      <c r="J303" s="5" t="n">
        <f aca="false">H303+I303</f>
        <v>0</v>
      </c>
      <c r="K303" s="0" t="str">
        <f aca="false">IF(D303="","",IF(D303&gt;12,"FLAG",IF(D303&gt;8,"OVERTIME","OK")))</f>
        <v/>
      </c>
      <c r="L303" s="0" t="str">
        <f aca="false">IF(OR(A303="",E303="",C303=""),"",IF(COUNTIFS($A:$A,A303,$E:$E,E303,$C:$C,C303)&gt;1,"DUPLIKAT","OK"))</f>
        <v/>
      </c>
    </row>
    <row r="304" customFormat="false" ht="15" hidden="false" customHeight="false" outlineLevel="0" collapsed="false">
      <c r="A304" s="6"/>
      <c r="B304" s="0" t="str">
        <f aca="false">IFERROR(INDEX(Master_Lista!$B$2:$B$151,MATCH(A304,Master_Lista!$A$2:$A$151,0)),"")</f>
        <v/>
      </c>
      <c r="C304" s="6"/>
      <c r="D304" s="7"/>
      <c r="E304" s="8"/>
      <c r="F304" s="0" t="str">
        <f aca="false">IFERROR(INDEX(Sheet11_Zarade!$C$2:$C$151,MATCH(A304,Sheet11_Zarade!$A$2:$A$151,0)),"")</f>
        <v/>
      </c>
      <c r="G304" s="5" t="n">
        <f aca="false">IFERROR(INDEX(Sheet11_Zarade!$D$2:$D$151,MATCH(A304,Sheet11_Zarade!$A$2:$A$151,0)),0)</f>
        <v>0</v>
      </c>
      <c r="H304" s="5" t="n">
        <f aca="false">IFERROR(D304*G304,0)</f>
        <v>0</v>
      </c>
      <c r="I304" s="5" t="n">
        <f aca="false">H304*0.5%</f>
        <v>0</v>
      </c>
      <c r="J304" s="5" t="n">
        <f aca="false">H304+I304</f>
        <v>0</v>
      </c>
      <c r="K304" s="0" t="str">
        <f aca="false">IF(D304="","",IF(D304&gt;12,"FLAG",IF(D304&gt;8,"OVERTIME","OK")))</f>
        <v/>
      </c>
      <c r="L304" s="0" t="str">
        <f aca="false">IF(OR(A304="",E304="",C304=""),"",IF(COUNTIFS($A:$A,A304,$E:$E,E304,$C:$C,C304)&gt;1,"DUPLIKAT","OK"))</f>
        <v/>
      </c>
    </row>
    <row r="305" customFormat="false" ht="15" hidden="false" customHeight="false" outlineLevel="0" collapsed="false">
      <c r="A305" s="6"/>
      <c r="B305" s="0" t="str">
        <f aca="false">IFERROR(INDEX(Master_Lista!$B$2:$B$151,MATCH(A305,Master_Lista!$A$2:$A$151,0)),"")</f>
        <v/>
      </c>
      <c r="C305" s="6"/>
      <c r="D305" s="7"/>
      <c r="E305" s="8"/>
      <c r="F305" s="0" t="str">
        <f aca="false">IFERROR(INDEX(Sheet11_Zarade!$C$2:$C$151,MATCH(A305,Sheet11_Zarade!$A$2:$A$151,0)),"")</f>
        <v/>
      </c>
      <c r="G305" s="5" t="n">
        <f aca="false">IFERROR(INDEX(Sheet11_Zarade!$D$2:$D$151,MATCH(A305,Sheet11_Zarade!$A$2:$A$151,0)),0)</f>
        <v>0</v>
      </c>
      <c r="H305" s="5" t="n">
        <f aca="false">IFERROR(D305*G305,0)</f>
        <v>0</v>
      </c>
      <c r="I305" s="5" t="n">
        <f aca="false">H305*0.5%</f>
        <v>0</v>
      </c>
      <c r="J305" s="5" t="n">
        <f aca="false">H305+I305</f>
        <v>0</v>
      </c>
      <c r="K305" s="0" t="str">
        <f aca="false">IF(D305="","",IF(D305&gt;12,"FLAG",IF(D305&gt;8,"OVERTIME","OK")))</f>
        <v/>
      </c>
      <c r="L305" s="0" t="str">
        <f aca="false">IF(OR(A305="",E305="",C305=""),"",IF(COUNTIFS($A:$A,A305,$E:$E,E305,$C:$C,C305)&gt;1,"DUPLIKAT","OK"))</f>
        <v/>
      </c>
    </row>
    <row r="306" customFormat="false" ht="15" hidden="false" customHeight="false" outlineLevel="0" collapsed="false">
      <c r="A306" s="6"/>
      <c r="B306" s="0" t="str">
        <f aca="false">IFERROR(INDEX(Master_Lista!$B$2:$B$151,MATCH(A306,Master_Lista!$A$2:$A$151,0)),"")</f>
        <v/>
      </c>
      <c r="C306" s="6"/>
      <c r="D306" s="7"/>
      <c r="E306" s="8"/>
      <c r="F306" s="0" t="str">
        <f aca="false">IFERROR(INDEX(Sheet11_Zarade!$C$2:$C$151,MATCH(A306,Sheet11_Zarade!$A$2:$A$151,0)),"")</f>
        <v/>
      </c>
      <c r="G306" s="5" t="n">
        <f aca="false">IFERROR(INDEX(Sheet11_Zarade!$D$2:$D$151,MATCH(A306,Sheet11_Zarade!$A$2:$A$151,0)),0)</f>
        <v>0</v>
      </c>
      <c r="H306" s="5" t="n">
        <f aca="false">IFERROR(D306*G306,0)</f>
        <v>0</v>
      </c>
      <c r="I306" s="5" t="n">
        <f aca="false">H306*0.5%</f>
        <v>0</v>
      </c>
      <c r="J306" s="5" t="n">
        <f aca="false">H306+I306</f>
        <v>0</v>
      </c>
      <c r="K306" s="0" t="str">
        <f aca="false">IF(D306="","",IF(D306&gt;12,"FLAG",IF(D306&gt;8,"OVERTIME","OK")))</f>
        <v/>
      </c>
      <c r="L306" s="0" t="str">
        <f aca="false">IF(OR(A306="",E306="",C306=""),"",IF(COUNTIFS($A:$A,A306,$E:$E,E306,$C:$C,C306)&gt;1,"DUPLIKAT","OK"))</f>
        <v/>
      </c>
    </row>
    <row r="307" customFormat="false" ht="15" hidden="false" customHeight="false" outlineLevel="0" collapsed="false">
      <c r="A307" s="6"/>
      <c r="B307" s="0" t="str">
        <f aca="false">IFERROR(INDEX(Master_Lista!$B$2:$B$151,MATCH(A307,Master_Lista!$A$2:$A$151,0)),"")</f>
        <v/>
      </c>
      <c r="C307" s="6"/>
      <c r="D307" s="7"/>
      <c r="E307" s="8"/>
      <c r="F307" s="0" t="str">
        <f aca="false">IFERROR(INDEX(Sheet11_Zarade!$C$2:$C$151,MATCH(A307,Sheet11_Zarade!$A$2:$A$151,0)),"")</f>
        <v/>
      </c>
      <c r="G307" s="5" t="n">
        <f aca="false">IFERROR(INDEX(Sheet11_Zarade!$D$2:$D$151,MATCH(A307,Sheet11_Zarade!$A$2:$A$151,0)),0)</f>
        <v>0</v>
      </c>
      <c r="H307" s="5" t="n">
        <f aca="false">IFERROR(D307*G307,0)</f>
        <v>0</v>
      </c>
      <c r="I307" s="5" t="n">
        <f aca="false">H307*0.5%</f>
        <v>0</v>
      </c>
      <c r="J307" s="5" t="n">
        <f aca="false">H307+I307</f>
        <v>0</v>
      </c>
      <c r="K307" s="0" t="str">
        <f aca="false">IF(D307="","",IF(D307&gt;12,"FLAG",IF(D307&gt;8,"OVERTIME","OK")))</f>
        <v/>
      </c>
      <c r="L307" s="0" t="str">
        <f aca="false">IF(OR(A307="",E307="",C307=""),"",IF(COUNTIFS($A:$A,A307,$E:$E,E307,$C:$C,C307)&gt;1,"DUPLIKAT","OK"))</f>
        <v/>
      </c>
    </row>
    <row r="308" customFormat="false" ht="15" hidden="false" customHeight="false" outlineLevel="0" collapsed="false">
      <c r="A308" s="6"/>
      <c r="B308" s="0" t="str">
        <f aca="false">IFERROR(INDEX(Master_Lista!$B$2:$B$151,MATCH(A308,Master_Lista!$A$2:$A$151,0)),"")</f>
        <v/>
      </c>
      <c r="C308" s="6"/>
      <c r="D308" s="7"/>
      <c r="E308" s="8"/>
      <c r="F308" s="0" t="str">
        <f aca="false">IFERROR(INDEX(Sheet11_Zarade!$C$2:$C$151,MATCH(A308,Sheet11_Zarade!$A$2:$A$151,0)),"")</f>
        <v/>
      </c>
      <c r="G308" s="5" t="n">
        <f aca="false">IFERROR(INDEX(Sheet11_Zarade!$D$2:$D$151,MATCH(A308,Sheet11_Zarade!$A$2:$A$151,0)),0)</f>
        <v>0</v>
      </c>
      <c r="H308" s="5" t="n">
        <f aca="false">IFERROR(D308*G308,0)</f>
        <v>0</v>
      </c>
      <c r="I308" s="5" t="n">
        <f aca="false">H308*0.5%</f>
        <v>0</v>
      </c>
      <c r="J308" s="5" t="n">
        <f aca="false">H308+I308</f>
        <v>0</v>
      </c>
      <c r="K308" s="0" t="str">
        <f aca="false">IF(D308="","",IF(D308&gt;12,"FLAG",IF(D308&gt;8,"OVERTIME","OK")))</f>
        <v/>
      </c>
      <c r="L308" s="0" t="str">
        <f aca="false">IF(OR(A308="",E308="",C308=""),"",IF(COUNTIFS($A:$A,A308,$E:$E,E308,$C:$C,C308)&gt;1,"DUPLIKAT","OK"))</f>
        <v/>
      </c>
    </row>
    <row r="309" customFormat="false" ht="15" hidden="false" customHeight="false" outlineLevel="0" collapsed="false">
      <c r="A309" s="6"/>
      <c r="B309" s="0" t="str">
        <f aca="false">IFERROR(INDEX(Master_Lista!$B$2:$B$151,MATCH(A309,Master_Lista!$A$2:$A$151,0)),"")</f>
        <v/>
      </c>
      <c r="C309" s="6"/>
      <c r="D309" s="7"/>
      <c r="E309" s="8"/>
      <c r="F309" s="0" t="str">
        <f aca="false">IFERROR(INDEX(Sheet11_Zarade!$C$2:$C$151,MATCH(A309,Sheet11_Zarade!$A$2:$A$151,0)),"")</f>
        <v/>
      </c>
      <c r="G309" s="5" t="n">
        <f aca="false">IFERROR(INDEX(Sheet11_Zarade!$D$2:$D$151,MATCH(A309,Sheet11_Zarade!$A$2:$A$151,0)),0)</f>
        <v>0</v>
      </c>
      <c r="H309" s="5" t="n">
        <f aca="false">IFERROR(D309*G309,0)</f>
        <v>0</v>
      </c>
      <c r="I309" s="5" t="n">
        <f aca="false">H309*0.5%</f>
        <v>0</v>
      </c>
      <c r="J309" s="5" t="n">
        <f aca="false">H309+I309</f>
        <v>0</v>
      </c>
      <c r="K309" s="0" t="str">
        <f aca="false">IF(D309="","",IF(D309&gt;12,"FLAG",IF(D309&gt;8,"OVERTIME","OK")))</f>
        <v/>
      </c>
      <c r="L309" s="0" t="str">
        <f aca="false">IF(OR(A309="",E309="",C309=""),"",IF(COUNTIFS($A:$A,A309,$E:$E,E309,$C:$C,C309)&gt;1,"DUPLIKAT","OK"))</f>
        <v/>
      </c>
    </row>
    <row r="310" customFormat="false" ht="15" hidden="false" customHeight="false" outlineLevel="0" collapsed="false">
      <c r="A310" s="6"/>
      <c r="B310" s="0" t="str">
        <f aca="false">IFERROR(INDEX(Master_Lista!$B$2:$B$151,MATCH(A310,Master_Lista!$A$2:$A$151,0)),"")</f>
        <v/>
      </c>
      <c r="C310" s="6"/>
      <c r="D310" s="7"/>
      <c r="E310" s="8"/>
      <c r="F310" s="0" t="str">
        <f aca="false">IFERROR(INDEX(Sheet11_Zarade!$C$2:$C$151,MATCH(A310,Sheet11_Zarade!$A$2:$A$151,0)),"")</f>
        <v/>
      </c>
      <c r="G310" s="5" t="n">
        <f aca="false">IFERROR(INDEX(Sheet11_Zarade!$D$2:$D$151,MATCH(A310,Sheet11_Zarade!$A$2:$A$151,0)),0)</f>
        <v>0</v>
      </c>
      <c r="H310" s="5" t="n">
        <f aca="false">IFERROR(D310*G310,0)</f>
        <v>0</v>
      </c>
      <c r="I310" s="5" t="n">
        <f aca="false">H310*0.5%</f>
        <v>0</v>
      </c>
      <c r="J310" s="5" t="n">
        <f aca="false">H310+I310</f>
        <v>0</v>
      </c>
      <c r="K310" s="0" t="str">
        <f aca="false">IF(D310="","",IF(D310&gt;12,"FLAG",IF(D310&gt;8,"OVERTIME","OK")))</f>
        <v/>
      </c>
      <c r="L310" s="0" t="str">
        <f aca="false">IF(OR(A310="",E310="",C310=""),"",IF(COUNTIFS($A:$A,A310,$E:$E,E310,$C:$C,C310)&gt;1,"DUPLIKAT","OK"))</f>
        <v/>
      </c>
    </row>
    <row r="311" customFormat="false" ht="15" hidden="false" customHeight="false" outlineLevel="0" collapsed="false">
      <c r="A311" s="6"/>
      <c r="B311" s="0" t="str">
        <f aca="false">IFERROR(INDEX(Master_Lista!$B$2:$B$151,MATCH(A311,Master_Lista!$A$2:$A$151,0)),"")</f>
        <v/>
      </c>
      <c r="C311" s="6"/>
      <c r="D311" s="7"/>
      <c r="E311" s="8"/>
      <c r="F311" s="0" t="str">
        <f aca="false">IFERROR(INDEX(Sheet11_Zarade!$C$2:$C$151,MATCH(A311,Sheet11_Zarade!$A$2:$A$151,0)),"")</f>
        <v/>
      </c>
      <c r="G311" s="5" t="n">
        <f aca="false">IFERROR(INDEX(Sheet11_Zarade!$D$2:$D$151,MATCH(A311,Sheet11_Zarade!$A$2:$A$151,0)),0)</f>
        <v>0</v>
      </c>
      <c r="H311" s="5" t="n">
        <f aca="false">IFERROR(D311*G311,0)</f>
        <v>0</v>
      </c>
      <c r="I311" s="5" t="n">
        <f aca="false">H311*0.5%</f>
        <v>0</v>
      </c>
      <c r="J311" s="5" t="n">
        <f aca="false">H311+I311</f>
        <v>0</v>
      </c>
      <c r="K311" s="0" t="str">
        <f aca="false">IF(D311="","",IF(D311&gt;12,"FLAG",IF(D311&gt;8,"OVERTIME","OK")))</f>
        <v/>
      </c>
      <c r="L311" s="0" t="str">
        <f aca="false">IF(OR(A311="",E311="",C311=""),"",IF(COUNTIFS($A:$A,A311,$E:$E,E311,$C:$C,C311)&gt;1,"DUPLIKAT","OK"))</f>
        <v/>
      </c>
    </row>
    <row r="312" customFormat="false" ht="15" hidden="false" customHeight="false" outlineLevel="0" collapsed="false">
      <c r="A312" s="6"/>
      <c r="B312" s="0" t="str">
        <f aca="false">IFERROR(INDEX(Master_Lista!$B$2:$B$151,MATCH(A312,Master_Lista!$A$2:$A$151,0)),"")</f>
        <v/>
      </c>
      <c r="C312" s="6"/>
      <c r="D312" s="7"/>
      <c r="E312" s="8"/>
      <c r="F312" s="0" t="str">
        <f aca="false">IFERROR(INDEX(Sheet11_Zarade!$C$2:$C$151,MATCH(A312,Sheet11_Zarade!$A$2:$A$151,0)),"")</f>
        <v/>
      </c>
      <c r="G312" s="5" t="n">
        <f aca="false">IFERROR(INDEX(Sheet11_Zarade!$D$2:$D$151,MATCH(A312,Sheet11_Zarade!$A$2:$A$151,0)),0)</f>
        <v>0</v>
      </c>
      <c r="H312" s="5" t="n">
        <f aca="false">IFERROR(D312*G312,0)</f>
        <v>0</v>
      </c>
      <c r="I312" s="5" t="n">
        <f aca="false">H312*0.5%</f>
        <v>0</v>
      </c>
      <c r="J312" s="5" t="n">
        <f aca="false">H312+I312</f>
        <v>0</v>
      </c>
      <c r="K312" s="0" t="str">
        <f aca="false">IF(D312="","",IF(D312&gt;12,"FLAG",IF(D312&gt;8,"OVERTIME","OK")))</f>
        <v/>
      </c>
      <c r="L312" s="0" t="str">
        <f aca="false">IF(OR(A312="",E312="",C312=""),"",IF(COUNTIFS($A:$A,A312,$E:$E,E312,$C:$C,C312)&gt;1,"DUPLIKAT","OK"))</f>
        <v/>
      </c>
    </row>
    <row r="313" customFormat="false" ht="15" hidden="false" customHeight="false" outlineLevel="0" collapsed="false">
      <c r="A313" s="6"/>
      <c r="B313" s="0" t="str">
        <f aca="false">IFERROR(INDEX(Master_Lista!$B$2:$B$151,MATCH(A313,Master_Lista!$A$2:$A$151,0)),"")</f>
        <v/>
      </c>
      <c r="C313" s="6"/>
      <c r="D313" s="7"/>
      <c r="E313" s="8"/>
      <c r="F313" s="0" t="str">
        <f aca="false">IFERROR(INDEX(Sheet11_Zarade!$C$2:$C$151,MATCH(A313,Sheet11_Zarade!$A$2:$A$151,0)),"")</f>
        <v/>
      </c>
      <c r="G313" s="5" t="n">
        <f aca="false">IFERROR(INDEX(Sheet11_Zarade!$D$2:$D$151,MATCH(A313,Sheet11_Zarade!$A$2:$A$151,0)),0)</f>
        <v>0</v>
      </c>
      <c r="H313" s="5" t="n">
        <f aca="false">IFERROR(D313*G313,0)</f>
        <v>0</v>
      </c>
      <c r="I313" s="5" t="n">
        <f aca="false">H313*0.5%</f>
        <v>0</v>
      </c>
      <c r="J313" s="5" t="n">
        <f aca="false">H313+I313</f>
        <v>0</v>
      </c>
      <c r="K313" s="0" t="str">
        <f aca="false">IF(D313="","",IF(D313&gt;12,"FLAG",IF(D313&gt;8,"OVERTIME","OK")))</f>
        <v/>
      </c>
      <c r="L313" s="0" t="str">
        <f aca="false">IF(OR(A313="",E313="",C313=""),"",IF(COUNTIFS($A:$A,A313,$E:$E,E313,$C:$C,C313)&gt;1,"DUPLIKAT","OK"))</f>
        <v/>
      </c>
    </row>
    <row r="314" customFormat="false" ht="15" hidden="false" customHeight="false" outlineLevel="0" collapsed="false">
      <c r="A314" s="6"/>
      <c r="B314" s="0" t="str">
        <f aca="false">IFERROR(INDEX(Master_Lista!$B$2:$B$151,MATCH(A314,Master_Lista!$A$2:$A$151,0)),"")</f>
        <v/>
      </c>
      <c r="C314" s="6"/>
      <c r="D314" s="7"/>
      <c r="E314" s="8"/>
      <c r="F314" s="0" t="str">
        <f aca="false">IFERROR(INDEX(Sheet11_Zarade!$C$2:$C$151,MATCH(A314,Sheet11_Zarade!$A$2:$A$151,0)),"")</f>
        <v/>
      </c>
      <c r="G314" s="5" t="n">
        <f aca="false">IFERROR(INDEX(Sheet11_Zarade!$D$2:$D$151,MATCH(A314,Sheet11_Zarade!$A$2:$A$151,0)),0)</f>
        <v>0</v>
      </c>
      <c r="H314" s="5" t="n">
        <f aca="false">IFERROR(D314*G314,0)</f>
        <v>0</v>
      </c>
      <c r="I314" s="5" t="n">
        <f aca="false">H314*0.5%</f>
        <v>0</v>
      </c>
      <c r="J314" s="5" t="n">
        <f aca="false">H314+I314</f>
        <v>0</v>
      </c>
      <c r="K314" s="0" t="str">
        <f aca="false">IF(D314="","",IF(D314&gt;12,"FLAG",IF(D314&gt;8,"OVERTIME","OK")))</f>
        <v/>
      </c>
      <c r="L314" s="0" t="str">
        <f aca="false">IF(OR(A314="",E314="",C314=""),"",IF(COUNTIFS($A:$A,A314,$E:$E,E314,$C:$C,C314)&gt;1,"DUPLIKAT","OK"))</f>
        <v/>
      </c>
    </row>
    <row r="315" customFormat="false" ht="15" hidden="false" customHeight="false" outlineLevel="0" collapsed="false">
      <c r="A315" s="6"/>
      <c r="B315" s="0" t="str">
        <f aca="false">IFERROR(INDEX(Master_Lista!$B$2:$B$151,MATCH(A315,Master_Lista!$A$2:$A$151,0)),"")</f>
        <v/>
      </c>
      <c r="C315" s="6"/>
      <c r="D315" s="7"/>
      <c r="E315" s="8"/>
      <c r="F315" s="0" t="str">
        <f aca="false">IFERROR(INDEX(Sheet11_Zarade!$C$2:$C$151,MATCH(A315,Sheet11_Zarade!$A$2:$A$151,0)),"")</f>
        <v/>
      </c>
      <c r="G315" s="5" t="n">
        <f aca="false">IFERROR(INDEX(Sheet11_Zarade!$D$2:$D$151,MATCH(A315,Sheet11_Zarade!$A$2:$A$151,0)),0)</f>
        <v>0</v>
      </c>
      <c r="H315" s="5" t="n">
        <f aca="false">IFERROR(D315*G315,0)</f>
        <v>0</v>
      </c>
      <c r="I315" s="5" t="n">
        <f aca="false">H315*0.5%</f>
        <v>0</v>
      </c>
      <c r="J315" s="5" t="n">
        <f aca="false">H315+I315</f>
        <v>0</v>
      </c>
      <c r="K315" s="0" t="str">
        <f aca="false">IF(D315="","",IF(D315&gt;12,"FLAG",IF(D315&gt;8,"OVERTIME","OK")))</f>
        <v/>
      </c>
      <c r="L315" s="0" t="str">
        <f aca="false">IF(OR(A315="",E315="",C315=""),"",IF(COUNTIFS($A:$A,A315,$E:$E,E315,$C:$C,C315)&gt;1,"DUPLIKAT","OK"))</f>
        <v/>
      </c>
    </row>
    <row r="316" customFormat="false" ht="15" hidden="false" customHeight="false" outlineLevel="0" collapsed="false">
      <c r="A316" s="6"/>
      <c r="B316" s="0" t="str">
        <f aca="false">IFERROR(INDEX(Master_Lista!$B$2:$B$151,MATCH(A316,Master_Lista!$A$2:$A$151,0)),"")</f>
        <v/>
      </c>
      <c r="C316" s="6"/>
      <c r="D316" s="7"/>
      <c r="E316" s="8"/>
      <c r="F316" s="0" t="str">
        <f aca="false">IFERROR(INDEX(Sheet11_Zarade!$C$2:$C$151,MATCH(A316,Sheet11_Zarade!$A$2:$A$151,0)),"")</f>
        <v/>
      </c>
      <c r="G316" s="5" t="n">
        <f aca="false">IFERROR(INDEX(Sheet11_Zarade!$D$2:$D$151,MATCH(A316,Sheet11_Zarade!$A$2:$A$151,0)),0)</f>
        <v>0</v>
      </c>
      <c r="H316" s="5" t="n">
        <f aca="false">IFERROR(D316*G316,0)</f>
        <v>0</v>
      </c>
      <c r="I316" s="5" t="n">
        <f aca="false">H316*0.5%</f>
        <v>0</v>
      </c>
      <c r="J316" s="5" t="n">
        <f aca="false">H316+I316</f>
        <v>0</v>
      </c>
      <c r="K316" s="0" t="str">
        <f aca="false">IF(D316="","",IF(D316&gt;12,"FLAG",IF(D316&gt;8,"OVERTIME","OK")))</f>
        <v/>
      </c>
      <c r="L316" s="0" t="str">
        <f aca="false">IF(OR(A316="",E316="",C316=""),"",IF(COUNTIFS($A:$A,A316,$E:$E,E316,$C:$C,C316)&gt;1,"DUPLIKAT","OK"))</f>
        <v/>
      </c>
    </row>
    <row r="317" customFormat="false" ht="15" hidden="false" customHeight="false" outlineLevel="0" collapsed="false">
      <c r="A317" s="6"/>
      <c r="B317" s="0" t="str">
        <f aca="false">IFERROR(INDEX(Master_Lista!$B$2:$B$151,MATCH(A317,Master_Lista!$A$2:$A$151,0)),"")</f>
        <v/>
      </c>
      <c r="C317" s="6"/>
      <c r="D317" s="7"/>
      <c r="E317" s="8"/>
      <c r="F317" s="0" t="str">
        <f aca="false">IFERROR(INDEX(Sheet11_Zarade!$C$2:$C$151,MATCH(A317,Sheet11_Zarade!$A$2:$A$151,0)),"")</f>
        <v/>
      </c>
      <c r="G317" s="5" t="n">
        <f aca="false">IFERROR(INDEX(Sheet11_Zarade!$D$2:$D$151,MATCH(A317,Sheet11_Zarade!$A$2:$A$151,0)),0)</f>
        <v>0</v>
      </c>
      <c r="H317" s="5" t="n">
        <f aca="false">IFERROR(D317*G317,0)</f>
        <v>0</v>
      </c>
      <c r="I317" s="5" t="n">
        <f aca="false">H317*0.5%</f>
        <v>0</v>
      </c>
      <c r="J317" s="5" t="n">
        <f aca="false">H317+I317</f>
        <v>0</v>
      </c>
      <c r="K317" s="0" t="str">
        <f aca="false">IF(D317="","",IF(D317&gt;12,"FLAG",IF(D317&gt;8,"OVERTIME","OK")))</f>
        <v/>
      </c>
      <c r="L317" s="0" t="str">
        <f aca="false">IF(OR(A317="",E317="",C317=""),"",IF(COUNTIFS($A:$A,A317,$E:$E,E317,$C:$C,C317)&gt;1,"DUPLIKAT","OK"))</f>
        <v/>
      </c>
    </row>
    <row r="318" customFormat="false" ht="15" hidden="false" customHeight="false" outlineLevel="0" collapsed="false">
      <c r="A318" s="6"/>
      <c r="B318" s="0" t="str">
        <f aca="false">IFERROR(INDEX(Master_Lista!$B$2:$B$151,MATCH(A318,Master_Lista!$A$2:$A$151,0)),"")</f>
        <v/>
      </c>
      <c r="C318" s="6"/>
      <c r="D318" s="7"/>
      <c r="E318" s="8"/>
      <c r="F318" s="0" t="str">
        <f aca="false">IFERROR(INDEX(Sheet11_Zarade!$C$2:$C$151,MATCH(A318,Sheet11_Zarade!$A$2:$A$151,0)),"")</f>
        <v/>
      </c>
      <c r="G318" s="5" t="n">
        <f aca="false">IFERROR(INDEX(Sheet11_Zarade!$D$2:$D$151,MATCH(A318,Sheet11_Zarade!$A$2:$A$151,0)),0)</f>
        <v>0</v>
      </c>
      <c r="H318" s="5" t="n">
        <f aca="false">IFERROR(D318*G318,0)</f>
        <v>0</v>
      </c>
      <c r="I318" s="5" t="n">
        <f aca="false">H318*0.5%</f>
        <v>0</v>
      </c>
      <c r="J318" s="5" t="n">
        <f aca="false">H318+I318</f>
        <v>0</v>
      </c>
      <c r="K318" s="0" t="str">
        <f aca="false">IF(D318="","",IF(D318&gt;12,"FLAG",IF(D318&gt;8,"OVERTIME","OK")))</f>
        <v/>
      </c>
      <c r="L318" s="0" t="str">
        <f aca="false">IF(OR(A318="",E318="",C318=""),"",IF(COUNTIFS($A:$A,A318,$E:$E,E318,$C:$C,C318)&gt;1,"DUPLIKAT","OK"))</f>
        <v/>
      </c>
    </row>
    <row r="319" customFormat="false" ht="15" hidden="false" customHeight="false" outlineLevel="0" collapsed="false">
      <c r="A319" s="6"/>
      <c r="B319" s="0" t="str">
        <f aca="false">IFERROR(INDEX(Master_Lista!$B$2:$B$151,MATCH(A319,Master_Lista!$A$2:$A$151,0)),"")</f>
        <v/>
      </c>
      <c r="C319" s="6"/>
      <c r="D319" s="7"/>
      <c r="E319" s="8"/>
      <c r="F319" s="0" t="str">
        <f aca="false">IFERROR(INDEX(Sheet11_Zarade!$C$2:$C$151,MATCH(A319,Sheet11_Zarade!$A$2:$A$151,0)),"")</f>
        <v/>
      </c>
      <c r="G319" s="5" t="n">
        <f aca="false">IFERROR(INDEX(Sheet11_Zarade!$D$2:$D$151,MATCH(A319,Sheet11_Zarade!$A$2:$A$151,0)),0)</f>
        <v>0</v>
      </c>
      <c r="H319" s="5" t="n">
        <f aca="false">IFERROR(D319*G319,0)</f>
        <v>0</v>
      </c>
      <c r="I319" s="5" t="n">
        <f aca="false">H319*0.5%</f>
        <v>0</v>
      </c>
      <c r="J319" s="5" t="n">
        <f aca="false">H319+I319</f>
        <v>0</v>
      </c>
      <c r="K319" s="0" t="str">
        <f aca="false">IF(D319="","",IF(D319&gt;12,"FLAG",IF(D319&gt;8,"OVERTIME","OK")))</f>
        <v/>
      </c>
      <c r="L319" s="0" t="str">
        <f aca="false">IF(OR(A319="",E319="",C319=""),"",IF(COUNTIFS($A:$A,A319,$E:$E,E319,$C:$C,C319)&gt;1,"DUPLIKAT","OK"))</f>
        <v/>
      </c>
    </row>
    <row r="320" customFormat="false" ht="15" hidden="false" customHeight="false" outlineLevel="0" collapsed="false">
      <c r="A320" s="6"/>
      <c r="B320" s="0" t="str">
        <f aca="false">IFERROR(INDEX(Master_Lista!$B$2:$B$151,MATCH(A320,Master_Lista!$A$2:$A$151,0)),"")</f>
        <v/>
      </c>
      <c r="C320" s="6"/>
      <c r="D320" s="7"/>
      <c r="E320" s="8"/>
      <c r="F320" s="0" t="str">
        <f aca="false">IFERROR(INDEX(Sheet11_Zarade!$C$2:$C$151,MATCH(A320,Sheet11_Zarade!$A$2:$A$151,0)),"")</f>
        <v/>
      </c>
      <c r="G320" s="5" t="n">
        <f aca="false">IFERROR(INDEX(Sheet11_Zarade!$D$2:$D$151,MATCH(A320,Sheet11_Zarade!$A$2:$A$151,0)),0)</f>
        <v>0</v>
      </c>
      <c r="H320" s="5" t="n">
        <f aca="false">IFERROR(D320*G320,0)</f>
        <v>0</v>
      </c>
      <c r="I320" s="5" t="n">
        <f aca="false">H320*0.5%</f>
        <v>0</v>
      </c>
      <c r="J320" s="5" t="n">
        <f aca="false">H320+I320</f>
        <v>0</v>
      </c>
      <c r="K320" s="0" t="str">
        <f aca="false">IF(D320="","",IF(D320&gt;12,"FLAG",IF(D320&gt;8,"OVERTIME","OK")))</f>
        <v/>
      </c>
      <c r="L320" s="0" t="str">
        <f aca="false">IF(OR(A320="",E320="",C320=""),"",IF(COUNTIFS($A:$A,A320,$E:$E,E320,$C:$C,C320)&gt;1,"DUPLIKAT","OK"))</f>
        <v/>
      </c>
    </row>
    <row r="321" customFormat="false" ht="15" hidden="false" customHeight="false" outlineLevel="0" collapsed="false">
      <c r="A321" s="6"/>
      <c r="B321" s="0" t="str">
        <f aca="false">IFERROR(INDEX(Master_Lista!$B$2:$B$151,MATCH(A321,Master_Lista!$A$2:$A$151,0)),"")</f>
        <v/>
      </c>
      <c r="C321" s="6"/>
      <c r="D321" s="7"/>
      <c r="E321" s="8"/>
      <c r="F321" s="0" t="str">
        <f aca="false">IFERROR(INDEX(Sheet11_Zarade!$C$2:$C$151,MATCH(A321,Sheet11_Zarade!$A$2:$A$151,0)),"")</f>
        <v/>
      </c>
      <c r="G321" s="5" t="n">
        <f aca="false">IFERROR(INDEX(Sheet11_Zarade!$D$2:$D$151,MATCH(A321,Sheet11_Zarade!$A$2:$A$151,0)),0)</f>
        <v>0</v>
      </c>
      <c r="H321" s="5" t="n">
        <f aca="false">IFERROR(D321*G321,0)</f>
        <v>0</v>
      </c>
      <c r="I321" s="5" t="n">
        <f aca="false">H321*0.5%</f>
        <v>0</v>
      </c>
      <c r="J321" s="5" t="n">
        <f aca="false">H321+I321</f>
        <v>0</v>
      </c>
      <c r="K321" s="0" t="str">
        <f aca="false">IF(D321="","",IF(D321&gt;12,"FLAG",IF(D321&gt;8,"OVERTIME","OK")))</f>
        <v/>
      </c>
      <c r="L321" s="0" t="str">
        <f aca="false">IF(OR(A321="",E321="",C321=""),"",IF(COUNTIFS($A:$A,A321,$E:$E,E321,$C:$C,C321)&gt;1,"DUPLIKAT","OK"))</f>
        <v/>
      </c>
    </row>
    <row r="322" customFormat="false" ht="15" hidden="false" customHeight="false" outlineLevel="0" collapsed="false">
      <c r="A322" s="6"/>
      <c r="B322" s="0" t="str">
        <f aca="false">IFERROR(INDEX(Master_Lista!$B$2:$B$151,MATCH(A322,Master_Lista!$A$2:$A$151,0)),"")</f>
        <v/>
      </c>
      <c r="C322" s="6"/>
      <c r="D322" s="7"/>
      <c r="E322" s="8"/>
      <c r="F322" s="0" t="str">
        <f aca="false">IFERROR(INDEX(Sheet11_Zarade!$C$2:$C$151,MATCH(A322,Sheet11_Zarade!$A$2:$A$151,0)),"")</f>
        <v/>
      </c>
      <c r="G322" s="5" t="n">
        <f aca="false">IFERROR(INDEX(Sheet11_Zarade!$D$2:$D$151,MATCH(A322,Sheet11_Zarade!$A$2:$A$151,0)),0)</f>
        <v>0</v>
      </c>
      <c r="H322" s="5" t="n">
        <f aca="false">IFERROR(D322*G322,0)</f>
        <v>0</v>
      </c>
      <c r="I322" s="5" t="n">
        <f aca="false">H322*0.5%</f>
        <v>0</v>
      </c>
      <c r="J322" s="5" t="n">
        <f aca="false">H322+I322</f>
        <v>0</v>
      </c>
      <c r="K322" s="0" t="str">
        <f aca="false">IF(D322="","",IF(D322&gt;12,"FLAG",IF(D322&gt;8,"OVERTIME","OK")))</f>
        <v/>
      </c>
      <c r="L322" s="0" t="str">
        <f aca="false">IF(OR(A322="",E322="",C322=""),"",IF(COUNTIFS($A:$A,A322,$E:$E,E322,$C:$C,C322)&gt;1,"DUPLIKAT","OK"))</f>
        <v/>
      </c>
    </row>
    <row r="323" customFormat="false" ht="15" hidden="false" customHeight="false" outlineLevel="0" collapsed="false">
      <c r="A323" s="6"/>
      <c r="B323" s="0" t="str">
        <f aca="false">IFERROR(INDEX(Master_Lista!$B$2:$B$151,MATCH(A323,Master_Lista!$A$2:$A$151,0)),"")</f>
        <v/>
      </c>
      <c r="C323" s="6"/>
      <c r="D323" s="7"/>
      <c r="E323" s="8"/>
      <c r="F323" s="0" t="str">
        <f aca="false">IFERROR(INDEX(Sheet11_Zarade!$C$2:$C$151,MATCH(A323,Sheet11_Zarade!$A$2:$A$151,0)),"")</f>
        <v/>
      </c>
      <c r="G323" s="5" t="n">
        <f aca="false">IFERROR(INDEX(Sheet11_Zarade!$D$2:$D$151,MATCH(A323,Sheet11_Zarade!$A$2:$A$151,0)),0)</f>
        <v>0</v>
      </c>
      <c r="H323" s="5" t="n">
        <f aca="false">IFERROR(D323*G323,0)</f>
        <v>0</v>
      </c>
      <c r="I323" s="5" t="n">
        <f aca="false">H323*0.5%</f>
        <v>0</v>
      </c>
      <c r="J323" s="5" t="n">
        <f aca="false">H323+I323</f>
        <v>0</v>
      </c>
      <c r="K323" s="0" t="str">
        <f aca="false">IF(D323="","",IF(D323&gt;12,"FLAG",IF(D323&gt;8,"OVERTIME","OK")))</f>
        <v/>
      </c>
      <c r="L323" s="0" t="str">
        <f aca="false">IF(OR(A323="",E323="",C323=""),"",IF(COUNTIFS($A:$A,A323,$E:$E,E323,$C:$C,C323)&gt;1,"DUPLIKAT","OK"))</f>
        <v/>
      </c>
    </row>
    <row r="324" customFormat="false" ht="15" hidden="false" customHeight="false" outlineLevel="0" collapsed="false">
      <c r="A324" s="6"/>
      <c r="B324" s="0" t="str">
        <f aca="false">IFERROR(INDEX(Master_Lista!$B$2:$B$151,MATCH(A324,Master_Lista!$A$2:$A$151,0)),"")</f>
        <v/>
      </c>
      <c r="C324" s="6"/>
      <c r="D324" s="7"/>
      <c r="E324" s="8"/>
      <c r="F324" s="0" t="str">
        <f aca="false">IFERROR(INDEX(Sheet11_Zarade!$C$2:$C$151,MATCH(A324,Sheet11_Zarade!$A$2:$A$151,0)),"")</f>
        <v/>
      </c>
      <c r="G324" s="5" t="n">
        <f aca="false">IFERROR(INDEX(Sheet11_Zarade!$D$2:$D$151,MATCH(A324,Sheet11_Zarade!$A$2:$A$151,0)),0)</f>
        <v>0</v>
      </c>
      <c r="H324" s="5" t="n">
        <f aca="false">IFERROR(D324*G324,0)</f>
        <v>0</v>
      </c>
      <c r="I324" s="5" t="n">
        <f aca="false">H324*0.5%</f>
        <v>0</v>
      </c>
      <c r="J324" s="5" t="n">
        <f aca="false">H324+I324</f>
        <v>0</v>
      </c>
      <c r="K324" s="0" t="str">
        <f aca="false">IF(D324="","",IF(D324&gt;12,"FLAG",IF(D324&gt;8,"OVERTIME","OK")))</f>
        <v/>
      </c>
      <c r="L324" s="0" t="str">
        <f aca="false">IF(OR(A324="",E324="",C324=""),"",IF(COUNTIFS($A:$A,A324,$E:$E,E324,$C:$C,C324)&gt;1,"DUPLIKAT","OK"))</f>
        <v/>
      </c>
    </row>
    <row r="325" customFormat="false" ht="15" hidden="false" customHeight="false" outlineLevel="0" collapsed="false">
      <c r="A325" s="6"/>
      <c r="B325" s="0" t="str">
        <f aca="false">IFERROR(INDEX(Master_Lista!$B$2:$B$151,MATCH(A325,Master_Lista!$A$2:$A$151,0)),"")</f>
        <v/>
      </c>
      <c r="C325" s="6"/>
      <c r="D325" s="7"/>
      <c r="E325" s="8"/>
      <c r="F325" s="0" t="str">
        <f aca="false">IFERROR(INDEX(Sheet11_Zarade!$C$2:$C$151,MATCH(A325,Sheet11_Zarade!$A$2:$A$151,0)),"")</f>
        <v/>
      </c>
      <c r="G325" s="5" t="n">
        <f aca="false">IFERROR(INDEX(Sheet11_Zarade!$D$2:$D$151,MATCH(A325,Sheet11_Zarade!$A$2:$A$151,0)),0)</f>
        <v>0</v>
      </c>
      <c r="H325" s="5" t="n">
        <f aca="false">IFERROR(D325*G325,0)</f>
        <v>0</v>
      </c>
      <c r="I325" s="5" t="n">
        <f aca="false">H325*0.5%</f>
        <v>0</v>
      </c>
      <c r="J325" s="5" t="n">
        <f aca="false">H325+I325</f>
        <v>0</v>
      </c>
      <c r="K325" s="0" t="str">
        <f aca="false">IF(D325="","",IF(D325&gt;12,"FLAG",IF(D325&gt;8,"OVERTIME","OK")))</f>
        <v/>
      </c>
      <c r="L325" s="0" t="str">
        <f aca="false">IF(OR(A325="",E325="",C325=""),"",IF(COUNTIFS($A:$A,A325,$E:$E,E325,$C:$C,C325)&gt;1,"DUPLIKAT","OK"))</f>
        <v/>
      </c>
    </row>
    <row r="326" customFormat="false" ht="15" hidden="false" customHeight="false" outlineLevel="0" collapsed="false">
      <c r="A326" s="6"/>
      <c r="B326" s="0" t="str">
        <f aca="false">IFERROR(INDEX(Master_Lista!$B$2:$B$151,MATCH(A326,Master_Lista!$A$2:$A$151,0)),"")</f>
        <v/>
      </c>
      <c r="C326" s="6"/>
      <c r="D326" s="7"/>
      <c r="E326" s="8"/>
      <c r="F326" s="0" t="str">
        <f aca="false">IFERROR(INDEX(Sheet11_Zarade!$C$2:$C$151,MATCH(A326,Sheet11_Zarade!$A$2:$A$151,0)),"")</f>
        <v/>
      </c>
      <c r="G326" s="5" t="n">
        <f aca="false">IFERROR(INDEX(Sheet11_Zarade!$D$2:$D$151,MATCH(A326,Sheet11_Zarade!$A$2:$A$151,0)),0)</f>
        <v>0</v>
      </c>
      <c r="H326" s="5" t="n">
        <f aca="false">IFERROR(D326*G326,0)</f>
        <v>0</v>
      </c>
      <c r="I326" s="5" t="n">
        <f aca="false">H326*0.5%</f>
        <v>0</v>
      </c>
      <c r="J326" s="5" t="n">
        <f aca="false">H326+I326</f>
        <v>0</v>
      </c>
      <c r="K326" s="0" t="str">
        <f aca="false">IF(D326="","",IF(D326&gt;12,"FLAG",IF(D326&gt;8,"OVERTIME","OK")))</f>
        <v/>
      </c>
      <c r="L326" s="0" t="str">
        <f aca="false">IF(OR(A326="",E326="",C326=""),"",IF(COUNTIFS($A:$A,A326,$E:$E,E326,$C:$C,C326)&gt;1,"DUPLIKAT","OK"))</f>
        <v/>
      </c>
    </row>
    <row r="327" customFormat="false" ht="15" hidden="false" customHeight="false" outlineLevel="0" collapsed="false">
      <c r="A327" s="6"/>
      <c r="B327" s="0" t="str">
        <f aca="false">IFERROR(INDEX(Master_Lista!$B$2:$B$151,MATCH(A327,Master_Lista!$A$2:$A$151,0)),"")</f>
        <v/>
      </c>
      <c r="C327" s="6"/>
      <c r="D327" s="7"/>
      <c r="E327" s="8"/>
      <c r="F327" s="0" t="str">
        <f aca="false">IFERROR(INDEX(Sheet11_Zarade!$C$2:$C$151,MATCH(A327,Sheet11_Zarade!$A$2:$A$151,0)),"")</f>
        <v/>
      </c>
      <c r="G327" s="5" t="n">
        <f aca="false">IFERROR(INDEX(Sheet11_Zarade!$D$2:$D$151,MATCH(A327,Sheet11_Zarade!$A$2:$A$151,0)),0)</f>
        <v>0</v>
      </c>
      <c r="H327" s="5" t="n">
        <f aca="false">IFERROR(D327*G327,0)</f>
        <v>0</v>
      </c>
      <c r="I327" s="5" t="n">
        <f aca="false">H327*0.5%</f>
        <v>0</v>
      </c>
      <c r="J327" s="5" t="n">
        <f aca="false">H327+I327</f>
        <v>0</v>
      </c>
      <c r="K327" s="0" t="str">
        <f aca="false">IF(D327="","",IF(D327&gt;12,"FLAG",IF(D327&gt;8,"OVERTIME","OK")))</f>
        <v/>
      </c>
      <c r="L327" s="0" t="str">
        <f aca="false">IF(OR(A327="",E327="",C327=""),"",IF(COUNTIFS($A:$A,A327,$E:$E,E327,$C:$C,C327)&gt;1,"DUPLIKAT","OK"))</f>
        <v/>
      </c>
    </row>
    <row r="328" customFormat="false" ht="15" hidden="false" customHeight="false" outlineLevel="0" collapsed="false">
      <c r="A328" s="6"/>
      <c r="B328" s="0" t="str">
        <f aca="false">IFERROR(INDEX(Master_Lista!$B$2:$B$151,MATCH(A328,Master_Lista!$A$2:$A$151,0)),"")</f>
        <v/>
      </c>
      <c r="C328" s="6"/>
      <c r="D328" s="7"/>
      <c r="E328" s="8"/>
      <c r="F328" s="0" t="str">
        <f aca="false">IFERROR(INDEX(Sheet11_Zarade!$C$2:$C$151,MATCH(A328,Sheet11_Zarade!$A$2:$A$151,0)),"")</f>
        <v/>
      </c>
      <c r="G328" s="5" t="n">
        <f aca="false">IFERROR(INDEX(Sheet11_Zarade!$D$2:$D$151,MATCH(A328,Sheet11_Zarade!$A$2:$A$151,0)),0)</f>
        <v>0</v>
      </c>
      <c r="H328" s="5" t="n">
        <f aca="false">IFERROR(D328*G328,0)</f>
        <v>0</v>
      </c>
      <c r="I328" s="5" t="n">
        <f aca="false">H328*0.5%</f>
        <v>0</v>
      </c>
      <c r="J328" s="5" t="n">
        <f aca="false">H328+I328</f>
        <v>0</v>
      </c>
      <c r="K328" s="0" t="str">
        <f aca="false">IF(D328="","",IF(D328&gt;12,"FLAG",IF(D328&gt;8,"OVERTIME","OK")))</f>
        <v/>
      </c>
      <c r="L328" s="0" t="str">
        <f aca="false">IF(OR(A328="",E328="",C328=""),"",IF(COUNTIFS($A:$A,A328,$E:$E,E328,$C:$C,C328)&gt;1,"DUPLIKAT","OK"))</f>
        <v/>
      </c>
    </row>
    <row r="329" customFormat="false" ht="15" hidden="false" customHeight="false" outlineLevel="0" collapsed="false">
      <c r="A329" s="6"/>
      <c r="B329" s="0" t="str">
        <f aca="false">IFERROR(INDEX(Master_Lista!$B$2:$B$151,MATCH(A329,Master_Lista!$A$2:$A$151,0)),"")</f>
        <v/>
      </c>
      <c r="C329" s="6"/>
      <c r="D329" s="7"/>
      <c r="E329" s="8"/>
      <c r="F329" s="0" t="str">
        <f aca="false">IFERROR(INDEX(Sheet11_Zarade!$C$2:$C$151,MATCH(A329,Sheet11_Zarade!$A$2:$A$151,0)),"")</f>
        <v/>
      </c>
      <c r="G329" s="5" t="n">
        <f aca="false">IFERROR(INDEX(Sheet11_Zarade!$D$2:$D$151,MATCH(A329,Sheet11_Zarade!$A$2:$A$151,0)),0)</f>
        <v>0</v>
      </c>
      <c r="H329" s="5" t="n">
        <f aca="false">IFERROR(D329*G329,0)</f>
        <v>0</v>
      </c>
      <c r="I329" s="5" t="n">
        <f aca="false">H329*0.5%</f>
        <v>0</v>
      </c>
      <c r="J329" s="5" t="n">
        <f aca="false">H329+I329</f>
        <v>0</v>
      </c>
      <c r="K329" s="0" t="str">
        <f aca="false">IF(D329="","",IF(D329&gt;12,"FLAG",IF(D329&gt;8,"OVERTIME","OK")))</f>
        <v/>
      </c>
      <c r="L329" s="0" t="str">
        <f aca="false">IF(OR(A329="",E329="",C329=""),"",IF(COUNTIFS($A:$A,A329,$E:$E,E329,$C:$C,C329)&gt;1,"DUPLIKAT","OK"))</f>
        <v/>
      </c>
    </row>
    <row r="330" customFormat="false" ht="15" hidden="false" customHeight="false" outlineLevel="0" collapsed="false">
      <c r="A330" s="6"/>
      <c r="B330" s="0" t="str">
        <f aca="false">IFERROR(INDEX(Master_Lista!$B$2:$B$151,MATCH(A330,Master_Lista!$A$2:$A$151,0)),"")</f>
        <v/>
      </c>
      <c r="C330" s="6"/>
      <c r="D330" s="7"/>
      <c r="E330" s="8"/>
      <c r="F330" s="0" t="str">
        <f aca="false">IFERROR(INDEX(Sheet11_Zarade!$C$2:$C$151,MATCH(A330,Sheet11_Zarade!$A$2:$A$151,0)),"")</f>
        <v/>
      </c>
      <c r="G330" s="5" t="n">
        <f aca="false">IFERROR(INDEX(Sheet11_Zarade!$D$2:$D$151,MATCH(A330,Sheet11_Zarade!$A$2:$A$151,0)),0)</f>
        <v>0</v>
      </c>
      <c r="H330" s="5" t="n">
        <f aca="false">IFERROR(D330*G330,0)</f>
        <v>0</v>
      </c>
      <c r="I330" s="5" t="n">
        <f aca="false">H330*0.5%</f>
        <v>0</v>
      </c>
      <c r="J330" s="5" t="n">
        <f aca="false">H330+I330</f>
        <v>0</v>
      </c>
      <c r="K330" s="0" t="str">
        <f aca="false">IF(D330="","",IF(D330&gt;12,"FLAG",IF(D330&gt;8,"OVERTIME","OK")))</f>
        <v/>
      </c>
      <c r="L330" s="0" t="str">
        <f aca="false">IF(OR(A330="",E330="",C330=""),"",IF(COUNTIFS($A:$A,A330,$E:$E,E330,$C:$C,C330)&gt;1,"DUPLIKAT","OK"))</f>
        <v/>
      </c>
    </row>
    <row r="331" customFormat="false" ht="15" hidden="false" customHeight="false" outlineLevel="0" collapsed="false">
      <c r="A331" s="6"/>
      <c r="B331" s="0" t="str">
        <f aca="false">IFERROR(INDEX(Master_Lista!$B$2:$B$151,MATCH(A331,Master_Lista!$A$2:$A$151,0)),"")</f>
        <v/>
      </c>
      <c r="C331" s="6"/>
      <c r="D331" s="7"/>
      <c r="E331" s="8"/>
      <c r="F331" s="0" t="str">
        <f aca="false">IFERROR(INDEX(Sheet11_Zarade!$C$2:$C$151,MATCH(A331,Sheet11_Zarade!$A$2:$A$151,0)),"")</f>
        <v/>
      </c>
      <c r="G331" s="5" t="n">
        <f aca="false">IFERROR(INDEX(Sheet11_Zarade!$D$2:$D$151,MATCH(A331,Sheet11_Zarade!$A$2:$A$151,0)),0)</f>
        <v>0</v>
      </c>
      <c r="H331" s="5" t="n">
        <f aca="false">IFERROR(D331*G331,0)</f>
        <v>0</v>
      </c>
      <c r="I331" s="5" t="n">
        <f aca="false">H331*0.5%</f>
        <v>0</v>
      </c>
      <c r="J331" s="5" t="n">
        <f aca="false">H331+I331</f>
        <v>0</v>
      </c>
      <c r="K331" s="0" t="str">
        <f aca="false">IF(D331="","",IF(D331&gt;12,"FLAG",IF(D331&gt;8,"OVERTIME","OK")))</f>
        <v/>
      </c>
      <c r="L331" s="0" t="str">
        <f aca="false">IF(OR(A331="",E331="",C331=""),"",IF(COUNTIFS($A:$A,A331,$E:$E,E331,$C:$C,C331)&gt;1,"DUPLIKAT","OK"))</f>
        <v/>
      </c>
    </row>
    <row r="332" customFormat="false" ht="15" hidden="false" customHeight="false" outlineLevel="0" collapsed="false">
      <c r="A332" s="6"/>
      <c r="B332" s="0" t="str">
        <f aca="false">IFERROR(INDEX(Master_Lista!$B$2:$B$151,MATCH(A332,Master_Lista!$A$2:$A$151,0)),"")</f>
        <v/>
      </c>
      <c r="C332" s="6"/>
      <c r="D332" s="7"/>
      <c r="E332" s="8"/>
      <c r="F332" s="0" t="str">
        <f aca="false">IFERROR(INDEX(Sheet11_Zarade!$C$2:$C$151,MATCH(A332,Sheet11_Zarade!$A$2:$A$151,0)),"")</f>
        <v/>
      </c>
      <c r="G332" s="5" t="n">
        <f aca="false">IFERROR(INDEX(Sheet11_Zarade!$D$2:$D$151,MATCH(A332,Sheet11_Zarade!$A$2:$A$151,0)),0)</f>
        <v>0</v>
      </c>
      <c r="H332" s="5" t="n">
        <f aca="false">IFERROR(D332*G332,0)</f>
        <v>0</v>
      </c>
      <c r="I332" s="5" t="n">
        <f aca="false">H332*0.5%</f>
        <v>0</v>
      </c>
      <c r="J332" s="5" t="n">
        <f aca="false">H332+I332</f>
        <v>0</v>
      </c>
      <c r="K332" s="0" t="str">
        <f aca="false">IF(D332="","",IF(D332&gt;12,"FLAG",IF(D332&gt;8,"OVERTIME","OK")))</f>
        <v/>
      </c>
      <c r="L332" s="0" t="str">
        <f aca="false">IF(OR(A332="",E332="",C332=""),"",IF(COUNTIFS($A:$A,A332,$E:$E,E332,$C:$C,C332)&gt;1,"DUPLIKAT","OK"))</f>
        <v/>
      </c>
    </row>
    <row r="333" customFormat="false" ht="15" hidden="false" customHeight="false" outlineLevel="0" collapsed="false">
      <c r="A333" s="6"/>
      <c r="B333" s="0" t="str">
        <f aca="false">IFERROR(INDEX(Master_Lista!$B$2:$B$151,MATCH(A333,Master_Lista!$A$2:$A$151,0)),"")</f>
        <v/>
      </c>
      <c r="C333" s="6"/>
      <c r="D333" s="7"/>
      <c r="E333" s="8"/>
      <c r="F333" s="0" t="str">
        <f aca="false">IFERROR(INDEX(Sheet11_Zarade!$C$2:$C$151,MATCH(A333,Sheet11_Zarade!$A$2:$A$151,0)),"")</f>
        <v/>
      </c>
      <c r="G333" s="5" t="n">
        <f aca="false">IFERROR(INDEX(Sheet11_Zarade!$D$2:$D$151,MATCH(A333,Sheet11_Zarade!$A$2:$A$151,0)),0)</f>
        <v>0</v>
      </c>
      <c r="H333" s="5" t="n">
        <f aca="false">IFERROR(D333*G333,0)</f>
        <v>0</v>
      </c>
      <c r="I333" s="5" t="n">
        <f aca="false">H333*0.5%</f>
        <v>0</v>
      </c>
      <c r="J333" s="5" t="n">
        <f aca="false">H333+I333</f>
        <v>0</v>
      </c>
      <c r="K333" s="0" t="str">
        <f aca="false">IF(D333="","",IF(D333&gt;12,"FLAG",IF(D333&gt;8,"OVERTIME","OK")))</f>
        <v/>
      </c>
      <c r="L333" s="0" t="str">
        <f aca="false">IF(OR(A333="",E333="",C333=""),"",IF(COUNTIFS($A:$A,A333,$E:$E,E333,$C:$C,C333)&gt;1,"DUPLIKAT","OK"))</f>
        <v/>
      </c>
    </row>
    <row r="334" customFormat="false" ht="15" hidden="false" customHeight="false" outlineLevel="0" collapsed="false">
      <c r="A334" s="6"/>
      <c r="B334" s="0" t="str">
        <f aca="false">IFERROR(INDEX(Master_Lista!$B$2:$B$151,MATCH(A334,Master_Lista!$A$2:$A$151,0)),"")</f>
        <v/>
      </c>
      <c r="C334" s="6"/>
      <c r="D334" s="7"/>
      <c r="E334" s="8"/>
      <c r="F334" s="0" t="str">
        <f aca="false">IFERROR(INDEX(Sheet11_Zarade!$C$2:$C$151,MATCH(A334,Sheet11_Zarade!$A$2:$A$151,0)),"")</f>
        <v/>
      </c>
      <c r="G334" s="5" t="n">
        <f aca="false">IFERROR(INDEX(Sheet11_Zarade!$D$2:$D$151,MATCH(A334,Sheet11_Zarade!$A$2:$A$151,0)),0)</f>
        <v>0</v>
      </c>
      <c r="H334" s="5" t="n">
        <f aca="false">IFERROR(D334*G334,0)</f>
        <v>0</v>
      </c>
      <c r="I334" s="5" t="n">
        <f aca="false">H334*0.5%</f>
        <v>0</v>
      </c>
      <c r="J334" s="5" t="n">
        <f aca="false">H334+I334</f>
        <v>0</v>
      </c>
      <c r="K334" s="0" t="str">
        <f aca="false">IF(D334="","",IF(D334&gt;12,"FLAG",IF(D334&gt;8,"OVERTIME","OK")))</f>
        <v/>
      </c>
      <c r="L334" s="0" t="str">
        <f aca="false">IF(OR(A334="",E334="",C334=""),"",IF(COUNTIFS($A:$A,A334,$E:$E,E334,$C:$C,C334)&gt;1,"DUPLIKAT","OK"))</f>
        <v/>
      </c>
    </row>
    <row r="335" customFormat="false" ht="15" hidden="false" customHeight="false" outlineLevel="0" collapsed="false">
      <c r="A335" s="6"/>
      <c r="B335" s="0" t="str">
        <f aca="false">IFERROR(INDEX(Master_Lista!$B$2:$B$151,MATCH(A335,Master_Lista!$A$2:$A$151,0)),"")</f>
        <v/>
      </c>
      <c r="C335" s="6"/>
      <c r="D335" s="7"/>
      <c r="E335" s="8"/>
      <c r="F335" s="0" t="str">
        <f aca="false">IFERROR(INDEX(Sheet11_Zarade!$C$2:$C$151,MATCH(A335,Sheet11_Zarade!$A$2:$A$151,0)),"")</f>
        <v/>
      </c>
      <c r="G335" s="5" t="n">
        <f aca="false">IFERROR(INDEX(Sheet11_Zarade!$D$2:$D$151,MATCH(A335,Sheet11_Zarade!$A$2:$A$151,0)),0)</f>
        <v>0</v>
      </c>
      <c r="H335" s="5" t="n">
        <f aca="false">IFERROR(D335*G335,0)</f>
        <v>0</v>
      </c>
      <c r="I335" s="5" t="n">
        <f aca="false">H335*0.5%</f>
        <v>0</v>
      </c>
      <c r="J335" s="5" t="n">
        <f aca="false">H335+I335</f>
        <v>0</v>
      </c>
      <c r="K335" s="0" t="str">
        <f aca="false">IF(D335="","",IF(D335&gt;12,"FLAG",IF(D335&gt;8,"OVERTIME","OK")))</f>
        <v/>
      </c>
      <c r="L335" s="0" t="str">
        <f aca="false">IF(OR(A335="",E335="",C335=""),"",IF(COUNTIFS($A:$A,A335,$E:$E,E335,$C:$C,C335)&gt;1,"DUPLIKAT","OK"))</f>
        <v/>
      </c>
    </row>
    <row r="336" customFormat="false" ht="15" hidden="false" customHeight="false" outlineLevel="0" collapsed="false">
      <c r="A336" s="6"/>
      <c r="B336" s="0" t="str">
        <f aca="false">IFERROR(INDEX(Master_Lista!$B$2:$B$151,MATCH(A336,Master_Lista!$A$2:$A$151,0)),"")</f>
        <v/>
      </c>
      <c r="C336" s="6"/>
      <c r="D336" s="7"/>
      <c r="E336" s="8"/>
      <c r="F336" s="0" t="str">
        <f aca="false">IFERROR(INDEX(Sheet11_Zarade!$C$2:$C$151,MATCH(A336,Sheet11_Zarade!$A$2:$A$151,0)),"")</f>
        <v/>
      </c>
      <c r="G336" s="5" t="n">
        <f aca="false">IFERROR(INDEX(Sheet11_Zarade!$D$2:$D$151,MATCH(A336,Sheet11_Zarade!$A$2:$A$151,0)),0)</f>
        <v>0</v>
      </c>
      <c r="H336" s="5" t="n">
        <f aca="false">IFERROR(D336*G336,0)</f>
        <v>0</v>
      </c>
      <c r="I336" s="5" t="n">
        <f aca="false">H336*0.5%</f>
        <v>0</v>
      </c>
      <c r="J336" s="5" t="n">
        <f aca="false">H336+I336</f>
        <v>0</v>
      </c>
      <c r="K336" s="0" t="str">
        <f aca="false">IF(D336="","",IF(D336&gt;12,"FLAG",IF(D336&gt;8,"OVERTIME","OK")))</f>
        <v/>
      </c>
      <c r="L336" s="0" t="str">
        <f aca="false">IF(OR(A336="",E336="",C336=""),"",IF(COUNTIFS($A:$A,A336,$E:$E,E336,$C:$C,C336)&gt;1,"DUPLIKAT","OK"))</f>
        <v/>
      </c>
    </row>
    <row r="337" customFormat="false" ht="15" hidden="false" customHeight="false" outlineLevel="0" collapsed="false">
      <c r="A337" s="6"/>
      <c r="B337" s="0" t="str">
        <f aca="false">IFERROR(INDEX(Master_Lista!$B$2:$B$151,MATCH(A337,Master_Lista!$A$2:$A$151,0)),"")</f>
        <v/>
      </c>
      <c r="C337" s="6"/>
      <c r="D337" s="7"/>
      <c r="E337" s="8"/>
      <c r="F337" s="0" t="str">
        <f aca="false">IFERROR(INDEX(Sheet11_Zarade!$C$2:$C$151,MATCH(A337,Sheet11_Zarade!$A$2:$A$151,0)),"")</f>
        <v/>
      </c>
      <c r="G337" s="5" t="n">
        <f aca="false">IFERROR(INDEX(Sheet11_Zarade!$D$2:$D$151,MATCH(A337,Sheet11_Zarade!$A$2:$A$151,0)),0)</f>
        <v>0</v>
      </c>
      <c r="H337" s="5" t="n">
        <f aca="false">IFERROR(D337*G337,0)</f>
        <v>0</v>
      </c>
      <c r="I337" s="5" t="n">
        <f aca="false">H337*0.5%</f>
        <v>0</v>
      </c>
      <c r="J337" s="5" t="n">
        <f aca="false">H337+I337</f>
        <v>0</v>
      </c>
      <c r="K337" s="0" t="str">
        <f aca="false">IF(D337="","",IF(D337&gt;12,"FLAG",IF(D337&gt;8,"OVERTIME","OK")))</f>
        <v/>
      </c>
      <c r="L337" s="0" t="str">
        <f aca="false">IF(OR(A337="",E337="",C337=""),"",IF(COUNTIFS($A:$A,A337,$E:$E,E337,$C:$C,C337)&gt;1,"DUPLIKAT","OK"))</f>
        <v/>
      </c>
    </row>
    <row r="338" customFormat="false" ht="15" hidden="false" customHeight="false" outlineLevel="0" collapsed="false">
      <c r="A338" s="6"/>
      <c r="B338" s="0" t="str">
        <f aca="false">IFERROR(INDEX(Master_Lista!$B$2:$B$151,MATCH(A338,Master_Lista!$A$2:$A$151,0)),"")</f>
        <v/>
      </c>
      <c r="C338" s="6"/>
      <c r="D338" s="7"/>
      <c r="E338" s="8"/>
      <c r="F338" s="0" t="str">
        <f aca="false">IFERROR(INDEX(Sheet11_Zarade!$C$2:$C$151,MATCH(A338,Sheet11_Zarade!$A$2:$A$151,0)),"")</f>
        <v/>
      </c>
      <c r="G338" s="5" t="n">
        <f aca="false">IFERROR(INDEX(Sheet11_Zarade!$D$2:$D$151,MATCH(A338,Sheet11_Zarade!$A$2:$A$151,0)),0)</f>
        <v>0</v>
      </c>
      <c r="H338" s="5" t="n">
        <f aca="false">IFERROR(D338*G338,0)</f>
        <v>0</v>
      </c>
      <c r="I338" s="5" t="n">
        <f aca="false">H338*0.5%</f>
        <v>0</v>
      </c>
      <c r="J338" s="5" t="n">
        <f aca="false">H338+I338</f>
        <v>0</v>
      </c>
      <c r="K338" s="0" t="str">
        <f aca="false">IF(D338="","",IF(D338&gt;12,"FLAG",IF(D338&gt;8,"OVERTIME","OK")))</f>
        <v/>
      </c>
      <c r="L338" s="0" t="str">
        <f aca="false">IF(OR(A338="",E338="",C338=""),"",IF(COUNTIFS($A:$A,A338,$E:$E,E338,$C:$C,C338)&gt;1,"DUPLIKAT","OK"))</f>
        <v/>
      </c>
    </row>
    <row r="339" customFormat="false" ht="15" hidden="false" customHeight="false" outlineLevel="0" collapsed="false">
      <c r="A339" s="6"/>
      <c r="B339" s="0" t="str">
        <f aca="false">IFERROR(INDEX(Master_Lista!$B$2:$B$151,MATCH(A339,Master_Lista!$A$2:$A$151,0)),"")</f>
        <v/>
      </c>
      <c r="C339" s="6"/>
      <c r="D339" s="7"/>
      <c r="E339" s="8"/>
      <c r="F339" s="0" t="str">
        <f aca="false">IFERROR(INDEX(Sheet11_Zarade!$C$2:$C$151,MATCH(A339,Sheet11_Zarade!$A$2:$A$151,0)),"")</f>
        <v/>
      </c>
      <c r="G339" s="5" t="n">
        <f aca="false">IFERROR(INDEX(Sheet11_Zarade!$D$2:$D$151,MATCH(A339,Sheet11_Zarade!$A$2:$A$151,0)),0)</f>
        <v>0</v>
      </c>
      <c r="H339" s="5" t="n">
        <f aca="false">IFERROR(D339*G339,0)</f>
        <v>0</v>
      </c>
      <c r="I339" s="5" t="n">
        <f aca="false">H339*0.5%</f>
        <v>0</v>
      </c>
      <c r="J339" s="5" t="n">
        <f aca="false">H339+I339</f>
        <v>0</v>
      </c>
      <c r="K339" s="0" t="str">
        <f aca="false">IF(D339="","",IF(D339&gt;12,"FLAG",IF(D339&gt;8,"OVERTIME","OK")))</f>
        <v/>
      </c>
      <c r="L339" s="0" t="str">
        <f aca="false">IF(OR(A339="",E339="",C339=""),"",IF(COUNTIFS($A:$A,A339,$E:$E,E339,$C:$C,C339)&gt;1,"DUPLIKAT","OK"))</f>
        <v/>
      </c>
    </row>
    <row r="340" customFormat="false" ht="15" hidden="false" customHeight="false" outlineLevel="0" collapsed="false">
      <c r="A340" s="6"/>
      <c r="B340" s="0" t="str">
        <f aca="false">IFERROR(INDEX(Master_Lista!$B$2:$B$151,MATCH(A340,Master_Lista!$A$2:$A$151,0)),"")</f>
        <v/>
      </c>
      <c r="C340" s="6"/>
      <c r="D340" s="7"/>
      <c r="E340" s="8"/>
      <c r="F340" s="0" t="str">
        <f aca="false">IFERROR(INDEX(Sheet11_Zarade!$C$2:$C$151,MATCH(A340,Sheet11_Zarade!$A$2:$A$151,0)),"")</f>
        <v/>
      </c>
      <c r="G340" s="5" t="n">
        <f aca="false">IFERROR(INDEX(Sheet11_Zarade!$D$2:$D$151,MATCH(A340,Sheet11_Zarade!$A$2:$A$151,0)),0)</f>
        <v>0</v>
      </c>
      <c r="H340" s="5" t="n">
        <f aca="false">IFERROR(D340*G340,0)</f>
        <v>0</v>
      </c>
      <c r="I340" s="5" t="n">
        <f aca="false">H340*0.5%</f>
        <v>0</v>
      </c>
      <c r="J340" s="5" t="n">
        <f aca="false">H340+I340</f>
        <v>0</v>
      </c>
      <c r="K340" s="0" t="str">
        <f aca="false">IF(D340="","",IF(D340&gt;12,"FLAG",IF(D340&gt;8,"OVERTIME","OK")))</f>
        <v/>
      </c>
      <c r="L340" s="0" t="str">
        <f aca="false">IF(OR(A340="",E340="",C340=""),"",IF(COUNTIFS($A:$A,A340,$E:$E,E340,$C:$C,C340)&gt;1,"DUPLIKAT","OK"))</f>
        <v/>
      </c>
    </row>
    <row r="341" customFormat="false" ht="15" hidden="false" customHeight="false" outlineLevel="0" collapsed="false">
      <c r="A341" s="6"/>
      <c r="B341" s="0" t="str">
        <f aca="false">IFERROR(INDEX(Master_Lista!$B$2:$B$151,MATCH(A341,Master_Lista!$A$2:$A$151,0)),"")</f>
        <v/>
      </c>
      <c r="C341" s="6"/>
      <c r="D341" s="7"/>
      <c r="E341" s="8"/>
      <c r="F341" s="0" t="str">
        <f aca="false">IFERROR(INDEX(Sheet11_Zarade!$C$2:$C$151,MATCH(A341,Sheet11_Zarade!$A$2:$A$151,0)),"")</f>
        <v/>
      </c>
      <c r="G341" s="5" t="n">
        <f aca="false">IFERROR(INDEX(Sheet11_Zarade!$D$2:$D$151,MATCH(A341,Sheet11_Zarade!$A$2:$A$151,0)),0)</f>
        <v>0</v>
      </c>
      <c r="H341" s="5" t="n">
        <f aca="false">IFERROR(D341*G341,0)</f>
        <v>0</v>
      </c>
      <c r="I341" s="5" t="n">
        <f aca="false">H341*0.5%</f>
        <v>0</v>
      </c>
      <c r="J341" s="5" t="n">
        <f aca="false">H341+I341</f>
        <v>0</v>
      </c>
      <c r="K341" s="0" t="str">
        <f aca="false">IF(D341="","",IF(D341&gt;12,"FLAG",IF(D341&gt;8,"OVERTIME","OK")))</f>
        <v/>
      </c>
      <c r="L341" s="0" t="str">
        <f aca="false">IF(OR(A341="",E341="",C341=""),"",IF(COUNTIFS($A:$A,A341,$E:$E,E341,$C:$C,C341)&gt;1,"DUPLIKAT","OK"))</f>
        <v/>
      </c>
    </row>
    <row r="342" customFormat="false" ht="15" hidden="false" customHeight="false" outlineLevel="0" collapsed="false">
      <c r="A342" s="6"/>
      <c r="B342" s="0" t="str">
        <f aca="false">IFERROR(INDEX(Master_Lista!$B$2:$B$151,MATCH(A342,Master_Lista!$A$2:$A$151,0)),"")</f>
        <v/>
      </c>
      <c r="C342" s="6"/>
      <c r="D342" s="7"/>
      <c r="E342" s="8"/>
      <c r="F342" s="0" t="str">
        <f aca="false">IFERROR(INDEX(Sheet11_Zarade!$C$2:$C$151,MATCH(A342,Sheet11_Zarade!$A$2:$A$151,0)),"")</f>
        <v/>
      </c>
      <c r="G342" s="5" t="n">
        <f aca="false">IFERROR(INDEX(Sheet11_Zarade!$D$2:$D$151,MATCH(A342,Sheet11_Zarade!$A$2:$A$151,0)),0)</f>
        <v>0</v>
      </c>
      <c r="H342" s="5" t="n">
        <f aca="false">IFERROR(D342*G342,0)</f>
        <v>0</v>
      </c>
      <c r="I342" s="5" t="n">
        <f aca="false">H342*0.5%</f>
        <v>0</v>
      </c>
      <c r="J342" s="5" t="n">
        <f aca="false">H342+I342</f>
        <v>0</v>
      </c>
      <c r="K342" s="0" t="str">
        <f aca="false">IF(D342="","",IF(D342&gt;12,"FLAG",IF(D342&gt;8,"OVERTIME","OK")))</f>
        <v/>
      </c>
      <c r="L342" s="0" t="str">
        <f aca="false">IF(OR(A342="",E342="",C342=""),"",IF(COUNTIFS($A:$A,A342,$E:$E,E342,$C:$C,C342)&gt;1,"DUPLIKAT","OK"))</f>
        <v/>
      </c>
    </row>
    <row r="343" customFormat="false" ht="15" hidden="false" customHeight="false" outlineLevel="0" collapsed="false">
      <c r="A343" s="6"/>
      <c r="B343" s="0" t="str">
        <f aca="false">IFERROR(INDEX(Master_Lista!$B$2:$B$151,MATCH(A343,Master_Lista!$A$2:$A$151,0)),"")</f>
        <v/>
      </c>
      <c r="C343" s="6"/>
      <c r="D343" s="7"/>
      <c r="E343" s="8"/>
      <c r="F343" s="0" t="str">
        <f aca="false">IFERROR(INDEX(Sheet11_Zarade!$C$2:$C$151,MATCH(A343,Sheet11_Zarade!$A$2:$A$151,0)),"")</f>
        <v/>
      </c>
      <c r="G343" s="5" t="n">
        <f aca="false">IFERROR(INDEX(Sheet11_Zarade!$D$2:$D$151,MATCH(A343,Sheet11_Zarade!$A$2:$A$151,0)),0)</f>
        <v>0</v>
      </c>
      <c r="H343" s="5" t="n">
        <f aca="false">IFERROR(D343*G343,0)</f>
        <v>0</v>
      </c>
      <c r="I343" s="5" t="n">
        <f aca="false">H343*0.5%</f>
        <v>0</v>
      </c>
      <c r="J343" s="5" t="n">
        <f aca="false">H343+I343</f>
        <v>0</v>
      </c>
      <c r="K343" s="0" t="str">
        <f aca="false">IF(D343="","",IF(D343&gt;12,"FLAG",IF(D343&gt;8,"OVERTIME","OK")))</f>
        <v/>
      </c>
      <c r="L343" s="0" t="str">
        <f aca="false">IF(OR(A343="",E343="",C343=""),"",IF(COUNTIFS($A:$A,A343,$E:$E,E343,$C:$C,C343)&gt;1,"DUPLIKAT","OK"))</f>
        <v/>
      </c>
    </row>
    <row r="344" customFormat="false" ht="15" hidden="false" customHeight="false" outlineLevel="0" collapsed="false">
      <c r="A344" s="6"/>
      <c r="B344" s="0" t="str">
        <f aca="false">IFERROR(INDEX(Master_Lista!$B$2:$B$151,MATCH(A344,Master_Lista!$A$2:$A$151,0)),"")</f>
        <v/>
      </c>
      <c r="C344" s="6"/>
      <c r="D344" s="7"/>
      <c r="E344" s="8"/>
      <c r="F344" s="0" t="str">
        <f aca="false">IFERROR(INDEX(Sheet11_Zarade!$C$2:$C$151,MATCH(A344,Sheet11_Zarade!$A$2:$A$151,0)),"")</f>
        <v/>
      </c>
      <c r="G344" s="5" t="n">
        <f aca="false">IFERROR(INDEX(Sheet11_Zarade!$D$2:$D$151,MATCH(A344,Sheet11_Zarade!$A$2:$A$151,0)),0)</f>
        <v>0</v>
      </c>
      <c r="H344" s="5" t="n">
        <f aca="false">IFERROR(D344*G344,0)</f>
        <v>0</v>
      </c>
      <c r="I344" s="5" t="n">
        <f aca="false">H344*0.5%</f>
        <v>0</v>
      </c>
      <c r="J344" s="5" t="n">
        <f aca="false">H344+I344</f>
        <v>0</v>
      </c>
      <c r="K344" s="0" t="str">
        <f aca="false">IF(D344="","",IF(D344&gt;12,"FLAG",IF(D344&gt;8,"OVERTIME","OK")))</f>
        <v/>
      </c>
      <c r="L344" s="0" t="str">
        <f aca="false">IF(OR(A344="",E344="",C344=""),"",IF(COUNTIFS($A:$A,A344,$E:$E,E344,$C:$C,C344)&gt;1,"DUPLIKAT","OK"))</f>
        <v/>
      </c>
    </row>
    <row r="345" customFormat="false" ht="15" hidden="false" customHeight="false" outlineLevel="0" collapsed="false">
      <c r="A345" s="6"/>
      <c r="B345" s="0" t="str">
        <f aca="false">IFERROR(INDEX(Master_Lista!$B$2:$B$151,MATCH(A345,Master_Lista!$A$2:$A$151,0)),"")</f>
        <v/>
      </c>
      <c r="C345" s="6"/>
      <c r="D345" s="7"/>
      <c r="E345" s="8"/>
      <c r="F345" s="0" t="str">
        <f aca="false">IFERROR(INDEX(Sheet11_Zarade!$C$2:$C$151,MATCH(A345,Sheet11_Zarade!$A$2:$A$151,0)),"")</f>
        <v/>
      </c>
      <c r="G345" s="5" t="n">
        <f aca="false">IFERROR(INDEX(Sheet11_Zarade!$D$2:$D$151,MATCH(A345,Sheet11_Zarade!$A$2:$A$151,0)),0)</f>
        <v>0</v>
      </c>
      <c r="H345" s="5" t="n">
        <f aca="false">IFERROR(D345*G345,0)</f>
        <v>0</v>
      </c>
      <c r="I345" s="5" t="n">
        <f aca="false">H345*0.5%</f>
        <v>0</v>
      </c>
      <c r="J345" s="5" t="n">
        <f aca="false">H345+I345</f>
        <v>0</v>
      </c>
      <c r="K345" s="0" t="str">
        <f aca="false">IF(D345="","",IF(D345&gt;12,"FLAG",IF(D345&gt;8,"OVERTIME","OK")))</f>
        <v/>
      </c>
      <c r="L345" s="0" t="str">
        <f aca="false">IF(OR(A345="",E345="",C345=""),"",IF(COUNTIFS($A:$A,A345,$E:$E,E345,$C:$C,C345)&gt;1,"DUPLIKAT","OK"))</f>
        <v/>
      </c>
    </row>
    <row r="346" customFormat="false" ht="15" hidden="false" customHeight="false" outlineLevel="0" collapsed="false">
      <c r="A346" s="6"/>
      <c r="B346" s="0" t="str">
        <f aca="false">IFERROR(INDEX(Master_Lista!$B$2:$B$151,MATCH(A346,Master_Lista!$A$2:$A$151,0)),"")</f>
        <v/>
      </c>
      <c r="C346" s="6"/>
      <c r="D346" s="7"/>
      <c r="E346" s="8"/>
      <c r="F346" s="0" t="str">
        <f aca="false">IFERROR(INDEX(Sheet11_Zarade!$C$2:$C$151,MATCH(A346,Sheet11_Zarade!$A$2:$A$151,0)),"")</f>
        <v/>
      </c>
      <c r="G346" s="5" t="n">
        <f aca="false">IFERROR(INDEX(Sheet11_Zarade!$D$2:$D$151,MATCH(A346,Sheet11_Zarade!$A$2:$A$151,0)),0)</f>
        <v>0</v>
      </c>
      <c r="H346" s="5" t="n">
        <f aca="false">IFERROR(D346*G346,0)</f>
        <v>0</v>
      </c>
      <c r="I346" s="5" t="n">
        <f aca="false">H346*0.5%</f>
        <v>0</v>
      </c>
      <c r="J346" s="5" t="n">
        <f aca="false">H346+I346</f>
        <v>0</v>
      </c>
      <c r="K346" s="0" t="str">
        <f aca="false">IF(D346="","",IF(D346&gt;12,"FLAG",IF(D346&gt;8,"OVERTIME","OK")))</f>
        <v/>
      </c>
      <c r="L346" s="0" t="str">
        <f aca="false">IF(OR(A346="",E346="",C346=""),"",IF(COUNTIFS($A:$A,A346,$E:$E,E346,$C:$C,C346)&gt;1,"DUPLIKAT","OK"))</f>
        <v/>
      </c>
    </row>
    <row r="347" customFormat="false" ht="15" hidden="false" customHeight="false" outlineLevel="0" collapsed="false">
      <c r="A347" s="6"/>
      <c r="B347" s="0" t="str">
        <f aca="false">IFERROR(INDEX(Master_Lista!$B$2:$B$151,MATCH(A347,Master_Lista!$A$2:$A$151,0)),"")</f>
        <v/>
      </c>
      <c r="C347" s="6"/>
      <c r="D347" s="7"/>
      <c r="E347" s="8"/>
      <c r="F347" s="0" t="str">
        <f aca="false">IFERROR(INDEX(Sheet11_Zarade!$C$2:$C$151,MATCH(A347,Sheet11_Zarade!$A$2:$A$151,0)),"")</f>
        <v/>
      </c>
      <c r="G347" s="5" t="n">
        <f aca="false">IFERROR(INDEX(Sheet11_Zarade!$D$2:$D$151,MATCH(A347,Sheet11_Zarade!$A$2:$A$151,0)),0)</f>
        <v>0</v>
      </c>
      <c r="H347" s="5" t="n">
        <f aca="false">IFERROR(D347*G347,0)</f>
        <v>0</v>
      </c>
      <c r="I347" s="5" t="n">
        <f aca="false">H347*0.5%</f>
        <v>0</v>
      </c>
      <c r="J347" s="5" t="n">
        <f aca="false">H347+I347</f>
        <v>0</v>
      </c>
      <c r="K347" s="0" t="str">
        <f aca="false">IF(D347="","",IF(D347&gt;12,"FLAG",IF(D347&gt;8,"OVERTIME","OK")))</f>
        <v/>
      </c>
      <c r="L347" s="0" t="str">
        <f aca="false">IF(OR(A347="",E347="",C347=""),"",IF(COUNTIFS($A:$A,A347,$E:$E,E347,$C:$C,C347)&gt;1,"DUPLIKAT","OK"))</f>
        <v/>
      </c>
    </row>
    <row r="348" customFormat="false" ht="15" hidden="false" customHeight="false" outlineLevel="0" collapsed="false">
      <c r="A348" s="6"/>
      <c r="B348" s="0" t="str">
        <f aca="false">IFERROR(INDEX(Master_Lista!$B$2:$B$151,MATCH(A348,Master_Lista!$A$2:$A$151,0)),"")</f>
        <v/>
      </c>
      <c r="C348" s="6"/>
      <c r="D348" s="7"/>
      <c r="E348" s="8"/>
      <c r="F348" s="0" t="str">
        <f aca="false">IFERROR(INDEX(Sheet11_Zarade!$C$2:$C$151,MATCH(A348,Sheet11_Zarade!$A$2:$A$151,0)),"")</f>
        <v/>
      </c>
      <c r="G348" s="5" t="n">
        <f aca="false">IFERROR(INDEX(Sheet11_Zarade!$D$2:$D$151,MATCH(A348,Sheet11_Zarade!$A$2:$A$151,0)),0)</f>
        <v>0</v>
      </c>
      <c r="H348" s="5" t="n">
        <f aca="false">IFERROR(D348*G348,0)</f>
        <v>0</v>
      </c>
      <c r="I348" s="5" t="n">
        <f aca="false">H348*0.5%</f>
        <v>0</v>
      </c>
      <c r="J348" s="5" t="n">
        <f aca="false">H348+I348</f>
        <v>0</v>
      </c>
      <c r="K348" s="0" t="str">
        <f aca="false">IF(D348="","",IF(D348&gt;12,"FLAG",IF(D348&gt;8,"OVERTIME","OK")))</f>
        <v/>
      </c>
      <c r="L348" s="0" t="str">
        <f aca="false">IF(OR(A348="",E348="",C348=""),"",IF(COUNTIFS($A:$A,A348,$E:$E,E348,$C:$C,C348)&gt;1,"DUPLIKAT","OK"))</f>
        <v/>
      </c>
    </row>
    <row r="349" customFormat="false" ht="15" hidden="false" customHeight="false" outlineLevel="0" collapsed="false">
      <c r="A349" s="6"/>
      <c r="B349" s="0" t="str">
        <f aca="false">IFERROR(INDEX(Master_Lista!$B$2:$B$151,MATCH(A349,Master_Lista!$A$2:$A$151,0)),"")</f>
        <v/>
      </c>
      <c r="C349" s="6"/>
      <c r="D349" s="7"/>
      <c r="E349" s="8"/>
      <c r="F349" s="0" t="str">
        <f aca="false">IFERROR(INDEX(Sheet11_Zarade!$C$2:$C$151,MATCH(A349,Sheet11_Zarade!$A$2:$A$151,0)),"")</f>
        <v/>
      </c>
      <c r="G349" s="5" t="n">
        <f aca="false">IFERROR(INDEX(Sheet11_Zarade!$D$2:$D$151,MATCH(A349,Sheet11_Zarade!$A$2:$A$151,0)),0)</f>
        <v>0</v>
      </c>
      <c r="H349" s="5" t="n">
        <f aca="false">IFERROR(D349*G349,0)</f>
        <v>0</v>
      </c>
      <c r="I349" s="5" t="n">
        <f aca="false">H349*0.5%</f>
        <v>0</v>
      </c>
      <c r="J349" s="5" t="n">
        <f aca="false">H349+I349</f>
        <v>0</v>
      </c>
      <c r="K349" s="0" t="str">
        <f aca="false">IF(D349="","",IF(D349&gt;12,"FLAG",IF(D349&gt;8,"OVERTIME","OK")))</f>
        <v/>
      </c>
      <c r="L349" s="0" t="str">
        <f aca="false">IF(OR(A349="",E349="",C349=""),"",IF(COUNTIFS($A:$A,A349,$E:$E,E349,$C:$C,C349)&gt;1,"DUPLIKAT","OK"))</f>
        <v/>
      </c>
    </row>
    <row r="350" customFormat="false" ht="15" hidden="false" customHeight="false" outlineLevel="0" collapsed="false">
      <c r="A350" s="6"/>
      <c r="B350" s="0" t="str">
        <f aca="false">IFERROR(INDEX(Master_Lista!$B$2:$B$151,MATCH(A350,Master_Lista!$A$2:$A$151,0)),"")</f>
        <v/>
      </c>
      <c r="C350" s="6"/>
      <c r="D350" s="7"/>
      <c r="E350" s="8"/>
      <c r="F350" s="0" t="str">
        <f aca="false">IFERROR(INDEX(Sheet11_Zarade!$C$2:$C$151,MATCH(A350,Sheet11_Zarade!$A$2:$A$151,0)),"")</f>
        <v/>
      </c>
      <c r="G350" s="5" t="n">
        <f aca="false">IFERROR(INDEX(Sheet11_Zarade!$D$2:$D$151,MATCH(A350,Sheet11_Zarade!$A$2:$A$151,0)),0)</f>
        <v>0</v>
      </c>
      <c r="H350" s="5" t="n">
        <f aca="false">IFERROR(D350*G350,0)</f>
        <v>0</v>
      </c>
      <c r="I350" s="5" t="n">
        <f aca="false">H350*0.5%</f>
        <v>0</v>
      </c>
      <c r="J350" s="5" t="n">
        <f aca="false">H350+I350</f>
        <v>0</v>
      </c>
      <c r="K350" s="0" t="str">
        <f aca="false">IF(D350="","",IF(D350&gt;12,"FLAG",IF(D350&gt;8,"OVERTIME","OK")))</f>
        <v/>
      </c>
      <c r="L350" s="0" t="str">
        <f aca="false">IF(OR(A350="",E350="",C350=""),"",IF(COUNTIFS($A:$A,A350,$E:$E,E350,$C:$C,C350)&gt;1,"DUPLIKAT","OK"))</f>
        <v/>
      </c>
    </row>
    <row r="351" customFormat="false" ht="15" hidden="false" customHeight="false" outlineLevel="0" collapsed="false">
      <c r="A351" s="6"/>
      <c r="B351" s="0" t="str">
        <f aca="false">IFERROR(INDEX(Master_Lista!$B$2:$B$151,MATCH(A351,Master_Lista!$A$2:$A$151,0)),"")</f>
        <v/>
      </c>
      <c r="C351" s="6"/>
      <c r="D351" s="7"/>
      <c r="E351" s="8"/>
      <c r="F351" s="0" t="str">
        <f aca="false">IFERROR(INDEX(Sheet11_Zarade!$C$2:$C$151,MATCH(A351,Sheet11_Zarade!$A$2:$A$151,0)),"")</f>
        <v/>
      </c>
      <c r="G351" s="5" t="n">
        <f aca="false">IFERROR(INDEX(Sheet11_Zarade!$D$2:$D$151,MATCH(A351,Sheet11_Zarade!$A$2:$A$151,0)),0)</f>
        <v>0</v>
      </c>
      <c r="H351" s="5" t="n">
        <f aca="false">IFERROR(D351*G351,0)</f>
        <v>0</v>
      </c>
      <c r="I351" s="5" t="n">
        <f aca="false">H351*0.5%</f>
        <v>0</v>
      </c>
      <c r="J351" s="5" t="n">
        <f aca="false">H351+I351</f>
        <v>0</v>
      </c>
      <c r="K351" s="0" t="str">
        <f aca="false">IF(D351="","",IF(D351&gt;12,"FLAG",IF(D351&gt;8,"OVERTIME","OK")))</f>
        <v/>
      </c>
      <c r="L351" s="0" t="str">
        <f aca="false">IF(OR(A351="",E351="",C351=""),"",IF(COUNTIFS($A:$A,A351,$E:$E,E351,$C:$C,C351)&gt;1,"DUPLIKAT","OK"))</f>
        <v/>
      </c>
    </row>
    <row r="352" customFormat="false" ht="15" hidden="false" customHeight="false" outlineLevel="0" collapsed="false">
      <c r="A352" s="6"/>
      <c r="B352" s="0" t="str">
        <f aca="false">IFERROR(INDEX(Master_Lista!$B$2:$B$151,MATCH(A352,Master_Lista!$A$2:$A$151,0)),"")</f>
        <v/>
      </c>
      <c r="C352" s="6"/>
      <c r="D352" s="7"/>
      <c r="E352" s="8"/>
      <c r="F352" s="0" t="str">
        <f aca="false">IFERROR(INDEX(Sheet11_Zarade!$C$2:$C$151,MATCH(A352,Sheet11_Zarade!$A$2:$A$151,0)),"")</f>
        <v/>
      </c>
      <c r="G352" s="5" t="n">
        <f aca="false">IFERROR(INDEX(Sheet11_Zarade!$D$2:$D$151,MATCH(A352,Sheet11_Zarade!$A$2:$A$151,0)),0)</f>
        <v>0</v>
      </c>
      <c r="H352" s="5" t="n">
        <f aca="false">IFERROR(D352*G352,0)</f>
        <v>0</v>
      </c>
      <c r="I352" s="5" t="n">
        <f aca="false">H352*0.5%</f>
        <v>0</v>
      </c>
      <c r="J352" s="5" t="n">
        <f aca="false">H352+I352</f>
        <v>0</v>
      </c>
      <c r="K352" s="0" t="str">
        <f aca="false">IF(D352="","",IF(D352&gt;12,"FLAG",IF(D352&gt;8,"OVERTIME","OK")))</f>
        <v/>
      </c>
      <c r="L352" s="0" t="str">
        <f aca="false">IF(OR(A352="",E352="",C352=""),"",IF(COUNTIFS($A:$A,A352,$E:$E,E352,$C:$C,C352)&gt;1,"DUPLIKAT","OK"))</f>
        <v/>
      </c>
    </row>
    <row r="353" customFormat="false" ht="15" hidden="false" customHeight="false" outlineLevel="0" collapsed="false">
      <c r="A353" s="6"/>
      <c r="B353" s="0" t="str">
        <f aca="false">IFERROR(INDEX(Master_Lista!$B$2:$B$151,MATCH(A353,Master_Lista!$A$2:$A$151,0)),"")</f>
        <v/>
      </c>
      <c r="C353" s="6"/>
      <c r="D353" s="7"/>
      <c r="E353" s="8"/>
      <c r="F353" s="0" t="str">
        <f aca="false">IFERROR(INDEX(Sheet11_Zarade!$C$2:$C$151,MATCH(A353,Sheet11_Zarade!$A$2:$A$151,0)),"")</f>
        <v/>
      </c>
      <c r="G353" s="5" t="n">
        <f aca="false">IFERROR(INDEX(Sheet11_Zarade!$D$2:$D$151,MATCH(A353,Sheet11_Zarade!$A$2:$A$151,0)),0)</f>
        <v>0</v>
      </c>
      <c r="H353" s="5" t="n">
        <f aca="false">IFERROR(D353*G353,0)</f>
        <v>0</v>
      </c>
      <c r="I353" s="5" t="n">
        <f aca="false">H353*0.5%</f>
        <v>0</v>
      </c>
      <c r="J353" s="5" t="n">
        <f aca="false">H353+I353</f>
        <v>0</v>
      </c>
      <c r="K353" s="0" t="str">
        <f aca="false">IF(D353="","",IF(D353&gt;12,"FLAG",IF(D353&gt;8,"OVERTIME","OK")))</f>
        <v/>
      </c>
      <c r="L353" s="0" t="str">
        <f aca="false">IF(OR(A353="",E353="",C353=""),"",IF(COUNTIFS($A:$A,A353,$E:$E,E353,$C:$C,C353)&gt;1,"DUPLIKAT","OK"))</f>
        <v/>
      </c>
    </row>
    <row r="354" customFormat="false" ht="15" hidden="false" customHeight="false" outlineLevel="0" collapsed="false">
      <c r="A354" s="6"/>
      <c r="B354" s="0" t="str">
        <f aca="false">IFERROR(INDEX(Master_Lista!$B$2:$B$151,MATCH(A354,Master_Lista!$A$2:$A$151,0)),"")</f>
        <v/>
      </c>
      <c r="C354" s="6"/>
      <c r="D354" s="7"/>
      <c r="E354" s="8"/>
      <c r="F354" s="0" t="str">
        <f aca="false">IFERROR(INDEX(Sheet11_Zarade!$C$2:$C$151,MATCH(A354,Sheet11_Zarade!$A$2:$A$151,0)),"")</f>
        <v/>
      </c>
      <c r="G354" s="5" t="n">
        <f aca="false">IFERROR(INDEX(Sheet11_Zarade!$D$2:$D$151,MATCH(A354,Sheet11_Zarade!$A$2:$A$151,0)),0)</f>
        <v>0</v>
      </c>
      <c r="H354" s="5" t="n">
        <f aca="false">IFERROR(D354*G354,0)</f>
        <v>0</v>
      </c>
      <c r="I354" s="5" t="n">
        <f aca="false">H354*0.5%</f>
        <v>0</v>
      </c>
      <c r="J354" s="5" t="n">
        <f aca="false">H354+I354</f>
        <v>0</v>
      </c>
      <c r="K354" s="0" t="str">
        <f aca="false">IF(D354="","",IF(D354&gt;12,"FLAG",IF(D354&gt;8,"OVERTIME","OK")))</f>
        <v/>
      </c>
      <c r="L354" s="0" t="str">
        <f aca="false">IF(OR(A354="",E354="",C354=""),"",IF(COUNTIFS($A:$A,A354,$E:$E,E354,$C:$C,C354)&gt;1,"DUPLIKAT","OK"))</f>
        <v/>
      </c>
    </row>
    <row r="355" customFormat="false" ht="15" hidden="false" customHeight="false" outlineLevel="0" collapsed="false">
      <c r="A355" s="6"/>
      <c r="B355" s="0" t="str">
        <f aca="false">IFERROR(INDEX(Master_Lista!$B$2:$B$151,MATCH(A355,Master_Lista!$A$2:$A$151,0)),"")</f>
        <v/>
      </c>
      <c r="C355" s="6"/>
      <c r="D355" s="7"/>
      <c r="E355" s="8"/>
      <c r="F355" s="0" t="str">
        <f aca="false">IFERROR(INDEX(Sheet11_Zarade!$C$2:$C$151,MATCH(A355,Sheet11_Zarade!$A$2:$A$151,0)),"")</f>
        <v/>
      </c>
      <c r="G355" s="5" t="n">
        <f aca="false">IFERROR(INDEX(Sheet11_Zarade!$D$2:$D$151,MATCH(A355,Sheet11_Zarade!$A$2:$A$151,0)),0)</f>
        <v>0</v>
      </c>
      <c r="H355" s="5" t="n">
        <f aca="false">IFERROR(D355*G355,0)</f>
        <v>0</v>
      </c>
      <c r="I355" s="5" t="n">
        <f aca="false">H355*0.5%</f>
        <v>0</v>
      </c>
      <c r="J355" s="5" t="n">
        <f aca="false">H355+I355</f>
        <v>0</v>
      </c>
      <c r="K355" s="0" t="str">
        <f aca="false">IF(D355="","",IF(D355&gt;12,"FLAG",IF(D355&gt;8,"OVERTIME","OK")))</f>
        <v/>
      </c>
      <c r="L355" s="0" t="str">
        <f aca="false">IF(OR(A355="",E355="",C355=""),"",IF(COUNTIFS($A:$A,A355,$E:$E,E355,$C:$C,C355)&gt;1,"DUPLIKAT","OK"))</f>
        <v/>
      </c>
    </row>
    <row r="356" customFormat="false" ht="15" hidden="false" customHeight="false" outlineLevel="0" collapsed="false">
      <c r="A356" s="6"/>
      <c r="B356" s="0" t="str">
        <f aca="false">IFERROR(INDEX(Master_Lista!$B$2:$B$151,MATCH(A356,Master_Lista!$A$2:$A$151,0)),"")</f>
        <v/>
      </c>
      <c r="C356" s="6"/>
      <c r="D356" s="7"/>
      <c r="E356" s="8"/>
      <c r="F356" s="0" t="str">
        <f aca="false">IFERROR(INDEX(Sheet11_Zarade!$C$2:$C$151,MATCH(A356,Sheet11_Zarade!$A$2:$A$151,0)),"")</f>
        <v/>
      </c>
      <c r="G356" s="5" t="n">
        <f aca="false">IFERROR(INDEX(Sheet11_Zarade!$D$2:$D$151,MATCH(A356,Sheet11_Zarade!$A$2:$A$151,0)),0)</f>
        <v>0</v>
      </c>
      <c r="H356" s="5" t="n">
        <f aca="false">IFERROR(D356*G356,0)</f>
        <v>0</v>
      </c>
      <c r="I356" s="5" t="n">
        <f aca="false">H356*0.5%</f>
        <v>0</v>
      </c>
      <c r="J356" s="5" t="n">
        <f aca="false">H356+I356</f>
        <v>0</v>
      </c>
      <c r="K356" s="0" t="str">
        <f aca="false">IF(D356="","",IF(D356&gt;12,"FLAG",IF(D356&gt;8,"OVERTIME","OK")))</f>
        <v/>
      </c>
      <c r="L356" s="0" t="str">
        <f aca="false">IF(OR(A356="",E356="",C356=""),"",IF(COUNTIFS($A:$A,A356,$E:$E,E356,$C:$C,C356)&gt;1,"DUPLIKAT","OK"))</f>
        <v/>
      </c>
    </row>
    <row r="357" customFormat="false" ht="15" hidden="false" customHeight="false" outlineLevel="0" collapsed="false">
      <c r="A357" s="6"/>
      <c r="B357" s="0" t="str">
        <f aca="false">IFERROR(INDEX(Master_Lista!$B$2:$B$151,MATCH(A357,Master_Lista!$A$2:$A$151,0)),"")</f>
        <v/>
      </c>
      <c r="C357" s="6"/>
      <c r="D357" s="7"/>
      <c r="E357" s="8"/>
      <c r="F357" s="0" t="str">
        <f aca="false">IFERROR(INDEX(Sheet11_Zarade!$C$2:$C$151,MATCH(A357,Sheet11_Zarade!$A$2:$A$151,0)),"")</f>
        <v/>
      </c>
      <c r="G357" s="5" t="n">
        <f aca="false">IFERROR(INDEX(Sheet11_Zarade!$D$2:$D$151,MATCH(A357,Sheet11_Zarade!$A$2:$A$151,0)),0)</f>
        <v>0</v>
      </c>
      <c r="H357" s="5" t="n">
        <f aca="false">IFERROR(D357*G357,0)</f>
        <v>0</v>
      </c>
      <c r="I357" s="5" t="n">
        <f aca="false">H357*0.5%</f>
        <v>0</v>
      </c>
      <c r="J357" s="5" t="n">
        <f aca="false">H357+I357</f>
        <v>0</v>
      </c>
      <c r="K357" s="0" t="str">
        <f aca="false">IF(D357="","",IF(D357&gt;12,"FLAG",IF(D357&gt;8,"OVERTIME","OK")))</f>
        <v/>
      </c>
      <c r="L357" s="0" t="str">
        <f aca="false">IF(OR(A357="",E357="",C357=""),"",IF(COUNTIFS($A:$A,A357,$E:$E,E357,$C:$C,C357)&gt;1,"DUPLIKAT","OK"))</f>
        <v/>
      </c>
    </row>
    <row r="358" customFormat="false" ht="15" hidden="false" customHeight="false" outlineLevel="0" collapsed="false">
      <c r="A358" s="6"/>
      <c r="B358" s="0" t="str">
        <f aca="false">IFERROR(INDEX(Master_Lista!$B$2:$B$151,MATCH(A358,Master_Lista!$A$2:$A$151,0)),"")</f>
        <v/>
      </c>
      <c r="C358" s="6"/>
      <c r="D358" s="7"/>
      <c r="E358" s="8"/>
      <c r="F358" s="0" t="str">
        <f aca="false">IFERROR(INDEX(Sheet11_Zarade!$C$2:$C$151,MATCH(A358,Sheet11_Zarade!$A$2:$A$151,0)),"")</f>
        <v/>
      </c>
      <c r="G358" s="5" t="n">
        <f aca="false">IFERROR(INDEX(Sheet11_Zarade!$D$2:$D$151,MATCH(A358,Sheet11_Zarade!$A$2:$A$151,0)),0)</f>
        <v>0</v>
      </c>
      <c r="H358" s="5" t="n">
        <f aca="false">IFERROR(D358*G358,0)</f>
        <v>0</v>
      </c>
      <c r="I358" s="5" t="n">
        <f aca="false">H358*0.5%</f>
        <v>0</v>
      </c>
      <c r="J358" s="5" t="n">
        <f aca="false">H358+I358</f>
        <v>0</v>
      </c>
      <c r="K358" s="0" t="str">
        <f aca="false">IF(D358="","",IF(D358&gt;12,"FLAG",IF(D358&gt;8,"OVERTIME","OK")))</f>
        <v/>
      </c>
      <c r="L358" s="0" t="str">
        <f aca="false">IF(OR(A358="",E358="",C358=""),"",IF(COUNTIFS($A:$A,A358,$E:$E,E358,$C:$C,C358)&gt;1,"DUPLIKAT","OK"))</f>
        <v/>
      </c>
    </row>
    <row r="359" customFormat="false" ht="15" hidden="false" customHeight="false" outlineLevel="0" collapsed="false">
      <c r="A359" s="6"/>
      <c r="B359" s="0" t="str">
        <f aca="false">IFERROR(INDEX(Master_Lista!$B$2:$B$151,MATCH(A359,Master_Lista!$A$2:$A$151,0)),"")</f>
        <v/>
      </c>
      <c r="C359" s="6"/>
      <c r="D359" s="7"/>
      <c r="E359" s="8"/>
      <c r="F359" s="0" t="str">
        <f aca="false">IFERROR(INDEX(Sheet11_Zarade!$C$2:$C$151,MATCH(A359,Sheet11_Zarade!$A$2:$A$151,0)),"")</f>
        <v/>
      </c>
      <c r="G359" s="5" t="n">
        <f aca="false">IFERROR(INDEX(Sheet11_Zarade!$D$2:$D$151,MATCH(A359,Sheet11_Zarade!$A$2:$A$151,0)),0)</f>
        <v>0</v>
      </c>
      <c r="H359" s="5" t="n">
        <f aca="false">IFERROR(D359*G359,0)</f>
        <v>0</v>
      </c>
      <c r="I359" s="5" t="n">
        <f aca="false">H359*0.5%</f>
        <v>0</v>
      </c>
      <c r="J359" s="5" t="n">
        <f aca="false">H359+I359</f>
        <v>0</v>
      </c>
      <c r="K359" s="0" t="str">
        <f aca="false">IF(D359="","",IF(D359&gt;12,"FLAG",IF(D359&gt;8,"OVERTIME","OK")))</f>
        <v/>
      </c>
      <c r="L359" s="0" t="str">
        <f aca="false">IF(OR(A359="",E359="",C359=""),"",IF(COUNTIFS($A:$A,A359,$E:$E,E359,$C:$C,C359)&gt;1,"DUPLIKAT","OK"))</f>
        <v/>
      </c>
    </row>
    <row r="360" customFormat="false" ht="15" hidden="false" customHeight="false" outlineLevel="0" collapsed="false">
      <c r="A360" s="6"/>
      <c r="B360" s="0" t="str">
        <f aca="false">IFERROR(INDEX(Master_Lista!$B$2:$B$151,MATCH(A360,Master_Lista!$A$2:$A$151,0)),"")</f>
        <v/>
      </c>
      <c r="C360" s="6"/>
      <c r="D360" s="7"/>
      <c r="E360" s="8"/>
      <c r="F360" s="0" t="str">
        <f aca="false">IFERROR(INDEX(Sheet11_Zarade!$C$2:$C$151,MATCH(A360,Sheet11_Zarade!$A$2:$A$151,0)),"")</f>
        <v/>
      </c>
      <c r="G360" s="5" t="n">
        <f aca="false">IFERROR(INDEX(Sheet11_Zarade!$D$2:$D$151,MATCH(A360,Sheet11_Zarade!$A$2:$A$151,0)),0)</f>
        <v>0</v>
      </c>
      <c r="H360" s="5" t="n">
        <f aca="false">IFERROR(D360*G360,0)</f>
        <v>0</v>
      </c>
      <c r="I360" s="5" t="n">
        <f aca="false">H360*0.5%</f>
        <v>0</v>
      </c>
      <c r="J360" s="5" t="n">
        <f aca="false">H360+I360</f>
        <v>0</v>
      </c>
      <c r="K360" s="0" t="str">
        <f aca="false">IF(D360="","",IF(D360&gt;12,"FLAG",IF(D360&gt;8,"OVERTIME","OK")))</f>
        <v/>
      </c>
      <c r="L360" s="0" t="str">
        <f aca="false">IF(OR(A360="",E360="",C360=""),"",IF(COUNTIFS($A:$A,A360,$E:$E,E360,$C:$C,C360)&gt;1,"DUPLIKAT","OK"))</f>
        <v/>
      </c>
    </row>
    <row r="361" customFormat="false" ht="15" hidden="false" customHeight="false" outlineLevel="0" collapsed="false">
      <c r="A361" s="6"/>
      <c r="B361" s="0" t="str">
        <f aca="false">IFERROR(INDEX(Master_Lista!$B$2:$B$151,MATCH(A361,Master_Lista!$A$2:$A$151,0)),"")</f>
        <v/>
      </c>
      <c r="C361" s="6"/>
      <c r="D361" s="7"/>
      <c r="E361" s="8"/>
      <c r="F361" s="0" t="str">
        <f aca="false">IFERROR(INDEX(Sheet11_Zarade!$C$2:$C$151,MATCH(A361,Sheet11_Zarade!$A$2:$A$151,0)),"")</f>
        <v/>
      </c>
      <c r="G361" s="5" t="n">
        <f aca="false">IFERROR(INDEX(Sheet11_Zarade!$D$2:$D$151,MATCH(A361,Sheet11_Zarade!$A$2:$A$151,0)),0)</f>
        <v>0</v>
      </c>
      <c r="H361" s="5" t="n">
        <f aca="false">IFERROR(D361*G361,0)</f>
        <v>0</v>
      </c>
      <c r="I361" s="5" t="n">
        <f aca="false">H361*0.5%</f>
        <v>0</v>
      </c>
      <c r="J361" s="5" t="n">
        <f aca="false">H361+I361</f>
        <v>0</v>
      </c>
      <c r="K361" s="0" t="str">
        <f aca="false">IF(D361="","",IF(D361&gt;12,"FLAG",IF(D361&gt;8,"OVERTIME","OK")))</f>
        <v/>
      </c>
      <c r="L361" s="0" t="str">
        <f aca="false">IF(OR(A361="",E361="",C361=""),"",IF(COUNTIFS($A:$A,A361,$E:$E,E361,$C:$C,C361)&gt;1,"DUPLIKAT","OK"))</f>
        <v/>
      </c>
    </row>
    <row r="362" customFormat="false" ht="15" hidden="false" customHeight="false" outlineLevel="0" collapsed="false">
      <c r="A362" s="6"/>
      <c r="B362" s="0" t="str">
        <f aca="false">IFERROR(INDEX(Master_Lista!$B$2:$B$151,MATCH(A362,Master_Lista!$A$2:$A$151,0)),"")</f>
        <v/>
      </c>
      <c r="C362" s="6"/>
      <c r="D362" s="7"/>
      <c r="E362" s="8"/>
      <c r="F362" s="0" t="str">
        <f aca="false">IFERROR(INDEX(Sheet11_Zarade!$C$2:$C$151,MATCH(A362,Sheet11_Zarade!$A$2:$A$151,0)),"")</f>
        <v/>
      </c>
      <c r="G362" s="5" t="n">
        <f aca="false">IFERROR(INDEX(Sheet11_Zarade!$D$2:$D$151,MATCH(A362,Sheet11_Zarade!$A$2:$A$151,0)),0)</f>
        <v>0</v>
      </c>
      <c r="H362" s="5" t="n">
        <f aca="false">IFERROR(D362*G362,0)</f>
        <v>0</v>
      </c>
      <c r="I362" s="5" t="n">
        <f aca="false">H362*0.5%</f>
        <v>0</v>
      </c>
      <c r="J362" s="5" t="n">
        <f aca="false">H362+I362</f>
        <v>0</v>
      </c>
      <c r="K362" s="0" t="str">
        <f aca="false">IF(D362="","",IF(D362&gt;12,"FLAG",IF(D362&gt;8,"OVERTIME","OK")))</f>
        <v/>
      </c>
      <c r="L362" s="0" t="str">
        <f aca="false">IF(OR(A362="",E362="",C362=""),"",IF(COUNTIFS($A:$A,A362,$E:$E,E362,$C:$C,C362)&gt;1,"DUPLIKAT","OK"))</f>
        <v/>
      </c>
    </row>
    <row r="363" customFormat="false" ht="15" hidden="false" customHeight="false" outlineLevel="0" collapsed="false">
      <c r="A363" s="6"/>
      <c r="B363" s="0" t="str">
        <f aca="false">IFERROR(INDEX(Master_Lista!$B$2:$B$151,MATCH(A363,Master_Lista!$A$2:$A$151,0)),"")</f>
        <v/>
      </c>
      <c r="C363" s="6"/>
      <c r="D363" s="7"/>
      <c r="E363" s="8"/>
      <c r="F363" s="0" t="str">
        <f aca="false">IFERROR(INDEX(Sheet11_Zarade!$C$2:$C$151,MATCH(A363,Sheet11_Zarade!$A$2:$A$151,0)),"")</f>
        <v/>
      </c>
      <c r="G363" s="5" t="n">
        <f aca="false">IFERROR(INDEX(Sheet11_Zarade!$D$2:$D$151,MATCH(A363,Sheet11_Zarade!$A$2:$A$151,0)),0)</f>
        <v>0</v>
      </c>
      <c r="H363" s="5" t="n">
        <f aca="false">IFERROR(D363*G363,0)</f>
        <v>0</v>
      </c>
      <c r="I363" s="5" t="n">
        <f aca="false">H363*0.5%</f>
        <v>0</v>
      </c>
      <c r="J363" s="5" t="n">
        <f aca="false">H363+I363</f>
        <v>0</v>
      </c>
      <c r="K363" s="0" t="str">
        <f aca="false">IF(D363="","",IF(D363&gt;12,"FLAG",IF(D363&gt;8,"OVERTIME","OK")))</f>
        <v/>
      </c>
      <c r="L363" s="0" t="str">
        <f aca="false">IF(OR(A363="",E363="",C363=""),"",IF(COUNTIFS($A:$A,A363,$E:$E,E363,$C:$C,C363)&gt;1,"DUPLIKAT","OK"))</f>
        <v/>
      </c>
    </row>
    <row r="364" customFormat="false" ht="15" hidden="false" customHeight="false" outlineLevel="0" collapsed="false">
      <c r="A364" s="6"/>
      <c r="B364" s="0" t="str">
        <f aca="false">IFERROR(INDEX(Master_Lista!$B$2:$B$151,MATCH(A364,Master_Lista!$A$2:$A$151,0)),"")</f>
        <v/>
      </c>
      <c r="C364" s="6"/>
      <c r="D364" s="7"/>
      <c r="E364" s="8"/>
      <c r="F364" s="0" t="str">
        <f aca="false">IFERROR(INDEX(Sheet11_Zarade!$C$2:$C$151,MATCH(A364,Sheet11_Zarade!$A$2:$A$151,0)),"")</f>
        <v/>
      </c>
      <c r="G364" s="5" t="n">
        <f aca="false">IFERROR(INDEX(Sheet11_Zarade!$D$2:$D$151,MATCH(A364,Sheet11_Zarade!$A$2:$A$151,0)),0)</f>
        <v>0</v>
      </c>
      <c r="H364" s="5" t="n">
        <f aca="false">IFERROR(D364*G364,0)</f>
        <v>0</v>
      </c>
      <c r="I364" s="5" t="n">
        <f aca="false">H364*0.5%</f>
        <v>0</v>
      </c>
      <c r="J364" s="5" t="n">
        <f aca="false">H364+I364</f>
        <v>0</v>
      </c>
      <c r="K364" s="0" t="str">
        <f aca="false">IF(D364="","",IF(D364&gt;12,"FLAG",IF(D364&gt;8,"OVERTIME","OK")))</f>
        <v/>
      </c>
      <c r="L364" s="0" t="str">
        <f aca="false">IF(OR(A364="",E364="",C364=""),"",IF(COUNTIFS($A:$A,A364,$E:$E,E364,$C:$C,C364)&gt;1,"DUPLIKAT","OK"))</f>
        <v/>
      </c>
    </row>
    <row r="365" customFormat="false" ht="15" hidden="false" customHeight="false" outlineLevel="0" collapsed="false">
      <c r="A365" s="6"/>
      <c r="B365" s="0" t="str">
        <f aca="false">IFERROR(INDEX(Master_Lista!$B$2:$B$151,MATCH(A365,Master_Lista!$A$2:$A$151,0)),"")</f>
        <v/>
      </c>
      <c r="C365" s="6"/>
      <c r="D365" s="7"/>
      <c r="E365" s="8"/>
      <c r="F365" s="0" t="str">
        <f aca="false">IFERROR(INDEX(Sheet11_Zarade!$C$2:$C$151,MATCH(A365,Sheet11_Zarade!$A$2:$A$151,0)),"")</f>
        <v/>
      </c>
      <c r="G365" s="5" t="n">
        <f aca="false">IFERROR(INDEX(Sheet11_Zarade!$D$2:$D$151,MATCH(A365,Sheet11_Zarade!$A$2:$A$151,0)),0)</f>
        <v>0</v>
      </c>
      <c r="H365" s="5" t="n">
        <f aca="false">IFERROR(D365*G365,0)</f>
        <v>0</v>
      </c>
      <c r="I365" s="5" t="n">
        <f aca="false">H365*0.5%</f>
        <v>0</v>
      </c>
      <c r="J365" s="5" t="n">
        <f aca="false">H365+I365</f>
        <v>0</v>
      </c>
      <c r="K365" s="0" t="str">
        <f aca="false">IF(D365="","",IF(D365&gt;12,"FLAG",IF(D365&gt;8,"OVERTIME","OK")))</f>
        <v/>
      </c>
      <c r="L365" s="0" t="str">
        <f aca="false">IF(OR(A365="",E365="",C365=""),"",IF(COUNTIFS($A:$A,A365,$E:$E,E365,$C:$C,C365)&gt;1,"DUPLIKAT","OK"))</f>
        <v/>
      </c>
    </row>
    <row r="366" customFormat="false" ht="15" hidden="false" customHeight="false" outlineLevel="0" collapsed="false">
      <c r="A366" s="6"/>
      <c r="B366" s="0" t="str">
        <f aca="false">IFERROR(INDEX(Master_Lista!$B$2:$B$151,MATCH(A366,Master_Lista!$A$2:$A$151,0)),"")</f>
        <v/>
      </c>
      <c r="C366" s="6"/>
      <c r="D366" s="7"/>
      <c r="E366" s="8"/>
      <c r="F366" s="0" t="str">
        <f aca="false">IFERROR(INDEX(Sheet11_Zarade!$C$2:$C$151,MATCH(A366,Sheet11_Zarade!$A$2:$A$151,0)),"")</f>
        <v/>
      </c>
      <c r="G366" s="5" t="n">
        <f aca="false">IFERROR(INDEX(Sheet11_Zarade!$D$2:$D$151,MATCH(A366,Sheet11_Zarade!$A$2:$A$151,0)),0)</f>
        <v>0</v>
      </c>
      <c r="H366" s="5" t="n">
        <f aca="false">IFERROR(D366*G366,0)</f>
        <v>0</v>
      </c>
      <c r="I366" s="5" t="n">
        <f aca="false">H366*0.5%</f>
        <v>0</v>
      </c>
      <c r="J366" s="5" t="n">
        <f aca="false">H366+I366</f>
        <v>0</v>
      </c>
      <c r="K366" s="0" t="str">
        <f aca="false">IF(D366="","",IF(D366&gt;12,"FLAG",IF(D366&gt;8,"OVERTIME","OK")))</f>
        <v/>
      </c>
      <c r="L366" s="0" t="str">
        <f aca="false">IF(OR(A366="",E366="",C366=""),"",IF(COUNTIFS($A:$A,A366,$E:$E,E366,$C:$C,C366)&gt;1,"DUPLIKAT","OK"))</f>
        <v/>
      </c>
    </row>
    <row r="367" customFormat="false" ht="15" hidden="false" customHeight="false" outlineLevel="0" collapsed="false">
      <c r="A367" s="6"/>
      <c r="B367" s="0" t="str">
        <f aca="false">IFERROR(INDEX(Master_Lista!$B$2:$B$151,MATCH(A367,Master_Lista!$A$2:$A$151,0)),"")</f>
        <v/>
      </c>
      <c r="C367" s="6"/>
      <c r="D367" s="7"/>
      <c r="E367" s="8"/>
      <c r="F367" s="0" t="str">
        <f aca="false">IFERROR(INDEX(Sheet11_Zarade!$C$2:$C$151,MATCH(A367,Sheet11_Zarade!$A$2:$A$151,0)),"")</f>
        <v/>
      </c>
      <c r="G367" s="5" t="n">
        <f aca="false">IFERROR(INDEX(Sheet11_Zarade!$D$2:$D$151,MATCH(A367,Sheet11_Zarade!$A$2:$A$151,0)),0)</f>
        <v>0</v>
      </c>
      <c r="H367" s="5" t="n">
        <f aca="false">IFERROR(D367*G367,0)</f>
        <v>0</v>
      </c>
      <c r="I367" s="5" t="n">
        <f aca="false">H367*0.5%</f>
        <v>0</v>
      </c>
      <c r="J367" s="5" t="n">
        <f aca="false">H367+I367</f>
        <v>0</v>
      </c>
      <c r="K367" s="0" t="str">
        <f aca="false">IF(D367="","",IF(D367&gt;12,"FLAG",IF(D367&gt;8,"OVERTIME","OK")))</f>
        <v/>
      </c>
      <c r="L367" s="0" t="str">
        <f aca="false">IF(OR(A367="",E367="",C367=""),"",IF(COUNTIFS($A:$A,A367,$E:$E,E367,$C:$C,C367)&gt;1,"DUPLIKAT","OK"))</f>
        <v/>
      </c>
    </row>
    <row r="368" customFormat="false" ht="15" hidden="false" customHeight="false" outlineLevel="0" collapsed="false">
      <c r="A368" s="6"/>
      <c r="B368" s="0" t="str">
        <f aca="false">IFERROR(INDEX(Master_Lista!$B$2:$B$151,MATCH(A368,Master_Lista!$A$2:$A$151,0)),"")</f>
        <v/>
      </c>
      <c r="C368" s="6"/>
      <c r="D368" s="7"/>
      <c r="E368" s="8"/>
      <c r="F368" s="0" t="str">
        <f aca="false">IFERROR(INDEX(Sheet11_Zarade!$C$2:$C$151,MATCH(A368,Sheet11_Zarade!$A$2:$A$151,0)),"")</f>
        <v/>
      </c>
      <c r="G368" s="5" t="n">
        <f aca="false">IFERROR(INDEX(Sheet11_Zarade!$D$2:$D$151,MATCH(A368,Sheet11_Zarade!$A$2:$A$151,0)),0)</f>
        <v>0</v>
      </c>
      <c r="H368" s="5" t="n">
        <f aca="false">IFERROR(D368*G368,0)</f>
        <v>0</v>
      </c>
      <c r="I368" s="5" t="n">
        <f aca="false">H368*0.5%</f>
        <v>0</v>
      </c>
      <c r="J368" s="5" t="n">
        <f aca="false">H368+I368</f>
        <v>0</v>
      </c>
      <c r="K368" s="0" t="str">
        <f aca="false">IF(D368="","",IF(D368&gt;12,"FLAG",IF(D368&gt;8,"OVERTIME","OK")))</f>
        <v/>
      </c>
      <c r="L368" s="0" t="str">
        <f aca="false">IF(OR(A368="",E368="",C368=""),"",IF(COUNTIFS($A:$A,A368,$E:$E,E368,$C:$C,C368)&gt;1,"DUPLIKAT","OK"))</f>
        <v/>
      </c>
    </row>
    <row r="369" customFormat="false" ht="15" hidden="false" customHeight="false" outlineLevel="0" collapsed="false">
      <c r="A369" s="6"/>
      <c r="B369" s="0" t="str">
        <f aca="false">IFERROR(INDEX(Master_Lista!$B$2:$B$151,MATCH(A369,Master_Lista!$A$2:$A$151,0)),"")</f>
        <v/>
      </c>
      <c r="C369" s="6"/>
      <c r="D369" s="7"/>
      <c r="E369" s="8"/>
      <c r="F369" s="0" t="str">
        <f aca="false">IFERROR(INDEX(Sheet11_Zarade!$C$2:$C$151,MATCH(A369,Sheet11_Zarade!$A$2:$A$151,0)),"")</f>
        <v/>
      </c>
      <c r="G369" s="5" t="n">
        <f aca="false">IFERROR(INDEX(Sheet11_Zarade!$D$2:$D$151,MATCH(A369,Sheet11_Zarade!$A$2:$A$151,0)),0)</f>
        <v>0</v>
      </c>
      <c r="H369" s="5" t="n">
        <f aca="false">IFERROR(D369*G369,0)</f>
        <v>0</v>
      </c>
      <c r="I369" s="5" t="n">
        <f aca="false">H369*0.5%</f>
        <v>0</v>
      </c>
      <c r="J369" s="5" t="n">
        <f aca="false">H369+I369</f>
        <v>0</v>
      </c>
      <c r="K369" s="0" t="str">
        <f aca="false">IF(D369="","",IF(D369&gt;12,"FLAG",IF(D369&gt;8,"OVERTIME","OK")))</f>
        <v/>
      </c>
      <c r="L369" s="0" t="str">
        <f aca="false">IF(OR(A369="",E369="",C369=""),"",IF(COUNTIFS($A:$A,A369,$E:$E,E369,$C:$C,C369)&gt;1,"DUPLIKAT","OK"))</f>
        <v/>
      </c>
    </row>
    <row r="370" customFormat="false" ht="15" hidden="false" customHeight="false" outlineLevel="0" collapsed="false">
      <c r="A370" s="6"/>
      <c r="B370" s="0" t="str">
        <f aca="false">IFERROR(INDEX(Master_Lista!$B$2:$B$151,MATCH(A370,Master_Lista!$A$2:$A$151,0)),"")</f>
        <v/>
      </c>
      <c r="C370" s="6"/>
      <c r="D370" s="7"/>
      <c r="E370" s="8"/>
      <c r="F370" s="0" t="str">
        <f aca="false">IFERROR(INDEX(Sheet11_Zarade!$C$2:$C$151,MATCH(A370,Sheet11_Zarade!$A$2:$A$151,0)),"")</f>
        <v/>
      </c>
      <c r="G370" s="5" t="n">
        <f aca="false">IFERROR(INDEX(Sheet11_Zarade!$D$2:$D$151,MATCH(A370,Sheet11_Zarade!$A$2:$A$151,0)),0)</f>
        <v>0</v>
      </c>
      <c r="H370" s="5" t="n">
        <f aca="false">IFERROR(D370*G370,0)</f>
        <v>0</v>
      </c>
      <c r="I370" s="5" t="n">
        <f aca="false">H370*0.5%</f>
        <v>0</v>
      </c>
      <c r="J370" s="5" t="n">
        <f aca="false">H370+I370</f>
        <v>0</v>
      </c>
      <c r="K370" s="0" t="str">
        <f aca="false">IF(D370="","",IF(D370&gt;12,"FLAG",IF(D370&gt;8,"OVERTIME","OK")))</f>
        <v/>
      </c>
      <c r="L370" s="0" t="str">
        <f aca="false">IF(OR(A370="",E370="",C370=""),"",IF(COUNTIFS($A:$A,A370,$E:$E,E370,$C:$C,C370)&gt;1,"DUPLIKAT","OK"))</f>
        <v/>
      </c>
    </row>
    <row r="371" customFormat="false" ht="15" hidden="false" customHeight="false" outlineLevel="0" collapsed="false">
      <c r="A371" s="6"/>
      <c r="B371" s="0" t="str">
        <f aca="false">IFERROR(INDEX(Master_Lista!$B$2:$B$151,MATCH(A371,Master_Lista!$A$2:$A$151,0)),"")</f>
        <v/>
      </c>
      <c r="C371" s="6"/>
      <c r="D371" s="7"/>
      <c r="E371" s="8"/>
      <c r="F371" s="0" t="str">
        <f aca="false">IFERROR(INDEX(Sheet11_Zarade!$C$2:$C$151,MATCH(A371,Sheet11_Zarade!$A$2:$A$151,0)),"")</f>
        <v/>
      </c>
      <c r="G371" s="5" t="n">
        <f aca="false">IFERROR(INDEX(Sheet11_Zarade!$D$2:$D$151,MATCH(A371,Sheet11_Zarade!$A$2:$A$151,0)),0)</f>
        <v>0</v>
      </c>
      <c r="H371" s="5" t="n">
        <f aca="false">IFERROR(D371*G371,0)</f>
        <v>0</v>
      </c>
      <c r="I371" s="5" t="n">
        <f aca="false">H371*0.5%</f>
        <v>0</v>
      </c>
      <c r="J371" s="5" t="n">
        <f aca="false">H371+I371</f>
        <v>0</v>
      </c>
      <c r="K371" s="0" t="str">
        <f aca="false">IF(D371="","",IF(D371&gt;12,"FLAG",IF(D371&gt;8,"OVERTIME","OK")))</f>
        <v/>
      </c>
      <c r="L371" s="0" t="str">
        <f aca="false">IF(OR(A371="",E371="",C371=""),"",IF(COUNTIFS($A:$A,A371,$E:$E,E371,$C:$C,C371)&gt;1,"DUPLIKAT","OK"))</f>
        <v/>
      </c>
    </row>
    <row r="372" customFormat="false" ht="15" hidden="false" customHeight="false" outlineLevel="0" collapsed="false">
      <c r="A372" s="6"/>
      <c r="B372" s="0" t="str">
        <f aca="false">IFERROR(INDEX(Master_Lista!$B$2:$B$151,MATCH(A372,Master_Lista!$A$2:$A$151,0)),"")</f>
        <v/>
      </c>
      <c r="C372" s="6"/>
      <c r="D372" s="7"/>
      <c r="E372" s="8"/>
      <c r="F372" s="0" t="str">
        <f aca="false">IFERROR(INDEX(Sheet11_Zarade!$C$2:$C$151,MATCH(A372,Sheet11_Zarade!$A$2:$A$151,0)),"")</f>
        <v/>
      </c>
      <c r="G372" s="5" t="n">
        <f aca="false">IFERROR(INDEX(Sheet11_Zarade!$D$2:$D$151,MATCH(A372,Sheet11_Zarade!$A$2:$A$151,0)),0)</f>
        <v>0</v>
      </c>
      <c r="H372" s="5" t="n">
        <f aca="false">IFERROR(D372*G372,0)</f>
        <v>0</v>
      </c>
      <c r="I372" s="5" t="n">
        <f aca="false">H372*0.5%</f>
        <v>0</v>
      </c>
      <c r="J372" s="5" t="n">
        <f aca="false">H372+I372</f>
        <v>0</v>
      </c>
      <c r="K372" s="0" t="str">
        <f aca="false">IF(D372="","",IF(D372&gt;12,"FLAG",IF(D372&gt;8,"OVERTIME","OK")))</f>
        <v/>
      </c>
      <c r="L372" s="0" t="str">
        <f aca="false">IF(OR(A372="",E372="",C372=""),"",IF(COUNTIFS($A:$A,A372,$E:$E,E372,$C:$C,C372)&gt;1,"DUPLIKAT","OK"))</f>
        <v/>
      </c>
    </row>
    <row r="373" customFormat="false" ht="15" hidden="false" customHeight="false" outlineLevel="0" collapsed="false">
      <c r="A373" s="6"/>
      <c r="B373" s="0" t="str">
        <f aca="false">IFERROR(INDEX(Master_Lista!$B$2:$B$151,MATCH(A373,Master_Lista!$A$2:$A$151,0)),"")</f>
        <v/>
      </c>
      <c r="C373" s="6"/>
      <c r="D373" s="7"/>
      <c r="E373" s="8"/>
      <c r="F373" s="0" t="str">
        <f aca="false">IFERROR(INDEX(Sheet11_Zarade!$C$2:$C$151,MATCH(A373,Sheet11_Zarade!$A$2:$A$151,0)),"")</f>
        <v/>
      </c>
      <c r="G373" s="5" t="n">
        <f aca="false">IFERROR(INDEX(Sheet11_Zarade!$D$2:$D$151,MATCH(A373,Sheet11_Zarade!$A$2:$A$151,0)),0)</f>
        <v>0</v>
      </c>
      <c r="H373" s="5" t="n">
        <f aca="false">IFERROR(D373*G373,0)</f>
        <v>0</v>
      </c>
      <c r="I373" s="5" t="n">
        <f aca="false">H373*0.5%</f>
        <v>0</v>
      </c>
      <c r="J373" s="5" t="n">
        <f aca="false">H373+I373</f>
        <v>0</v>
      </c>
      <c r="K373" s="0" t="str">
        <f aca="false">IF(D373="","",IF(D373&gt;12,"FLAG",IF(D373&gt;8,"OVERTIME","OK")))</f>
        <v/>
      </c>
      <c r="L373" s="0" t="str">
        <f aca="false">IF(OR(A373="",E373="",C373=""),"",IF(COUNTIFS($A:$A,A373,$E:$E,E373,$C:$C,C373)&gt;1,"DUPLIKAT","OK"))</f>
        <v/>
      </c>
    </row>
    <row r="374" customFormat="false" ht="15" hidden="false" customHeight="false" outlineLevel="0" collapsed="false">
      <c r="A374" s="6"/>
      <c r="B374" s="0" t="str">
        <f aca="false">IFERROR(INDEX(Master_Lista!$B$2:$B$151,MATCH(A374,Master_Lista!$A$2:$A$151,0)),"")</f>
        <v/>
      </c>
      <c r="C374" s="6"/>
      <c r="D374" s="7"/>
      <c r="E374" s="8"/>
      <c r="F374" s="0" t="str">
        <f aca="false">IFERROR(INDEX(Sheet11_Zarade!$C$2:$C$151,MATCH(A374,Sheet11_Zarade!$A$2:$A$151,0)),"")</f>
        <v/>
      </c>
      <c r="G374" s="5" t="n">
        <f aca="false">IFERROR(INDEX(Sheet11_Zarade!$D$2:$D$151,MATCH(A374,Sheet11_Zarade!$A$2:$A$151,0)),0)</f>
        <v>0</v>
      </c>
      <c r="H374" s="5" t="n">
        <f aca="false">IFERROR(D374*G374,0)</f>
        <v>0</v>
      </c>
      <c r="I374" s="5" t="n">
        <f aca="false">H374*0.5%</f>
        <v>0</v>
      </c>
      <c r="J374" s="5" t="n">
        <f aca="false">H374+I374</f>
        <v>0</v>
      </c>
      <c r="K374" s="0" t="str">
        <f aca="false">IF(D374="","",IF(D374&gt;12,"FLAG",IF(D374&gt;8,"OVERTIME","OK")))</f>
        <v/>
      </c>
      <c r="L374" s="0" t="str">
        <f aca="false">IF(OR(A374="",E374="",C374=""),"",IF(COUNTIFS($A:$A,A374,$E:$E,E374,$C:$C,C374)&gt;1,"DUPLIKAT","OK"))</f>
        <v/>
      </c>
    </row>
    <row r="375" customFormat="false" ht="15" hidden="false" customHeight="false" outlineLevel="0" collapsed="false">
      <c r="A375" s="6"/>
      <c r="B375" s="0" t="str">
        <f aca="false">IFERROR(INDEX(Master_Lista!$B$2:$B$151,MATCH(A375,Master_Lista!$A$2:$A$151,0)),"")</f>
        <v/>
      </c>
      <c r="C375" s="6"/>
      <c r="D375" s="7"/>
      <c r="E375" s="8"/>
      <c r="F375" s="0" t="str">
        <f aca="false">IFERROR(INDEX(Sheet11_Zarade!$C$2:$C$151,MATCH(A375,Sheet11_Zarade!$A$2:$A$151,0)),"")</f>
        <v/>
      </c>
      <c r="G375" s="5" t="n">
        <f aca="false">IFERROR(INDEX(Sheet11_Zarade!$D$2:$D$151,MATCH(A375,Sheet11_Zarade!$A$2:$A$151,0)),0)</f>
        <v>0</v>
      </c>
      <c r="H375" s="5" t="n">
        <f aca="false">IFERROR(D375*G375,0)</f>
        <v>0</v>
      </c>
      <c r="I375" s="5" t="n">
        <f aca="false">H375*0.5%</f>
        <v>0</v>
      </c>
      <c r="J375" s="5" t="n">
        <f aca="false">H375+I375</f>
        <v>0</v>
      </c>
      <c r="K375" s="0" t="str">
        <f aca="false">IF(D375="","",IF(D375&gt;12,"FLAG",IF(D375&gt;8,"OVERTIME","OK")))</f>
        <v/>
      </c>
      <c r="L375" s="0" t="str">
        <f aca="false">IF(OR(A375="",E375="",C375=""),"",IF(COUNTIFS($A:$A,A375,$E:$E,E375,$C:$C,C375)&gt;1,"DUPLIKAT","OK"))</f>
        <v/>
      </c>
    </row>
    <row r="376" customFormat="false" ht="15" hidden="false" customHeight="false" outlineLevel="0" collapsed="false">
      <c r="A376" s="6"/>
      <c r="B376" s="0" t="str">
        <f aca="false">IFERROR(INDEX(Master_Lista!$B$2:$B$151,MATCH(A376,Master_Lista!$A$2:$A$151,0)),"")</f>
        <v/>
      </c>
      <c r="C376" s="6"/>
      <c r="D376" s="7"/>
      <c r="E376" s="8"/>
      <c r="F376" s="0" t="str">
        <f aca="false">IFERROR(INDEX(Sheet11_Zarade!$C$2:$C$151,MATCH(A376,Sheet11_Zarade!$A$2:$A$151,0)),"")</f>
        <v/>
      </c>
      <c r="G376" s="5" t="n">
        <f aca="false">IFERROR(INDEX(Sheet11_Zarade!$D$2:$D$151,MATCH(A376,Sheet11_Zarade!$A$2:$A$151,0)),0)</f>
        <v>0</v>
      </c>
      <c r="H376" s="5" t="n">
        <f aca="false">IFERROR(D376*G376,0)</f>
        <v>0</v>
      </c>
      <c r="I376" s="5" t="n">
        <f aca="false">H376*0.5%</f>
        <v>0</v>
      </c>
      <c r="J376" s="5" t="n">
        <f aca="false">H376+I376</f>
        <v>0</v>
      </c>
      <c r="K376" s="0" t="str">
        <f aca="false">IF(D376="","",IF(D376&gt;12,"FLAG",IF(D376&gt;8,"OVERTIME","OK")))</f>
        <v/>
      </c>
      <c r="L376" s="0" t="str">
        <f aca="false">IF(OR(A376="",E376="",C376=""),"",IF(COUNTIFS($A:$A,A376,$E:$E,E376,$C:$C,C376)&gt;1,"DUPLIKAT","OK"))</f>
        <v/>
      </c>
    </row>
    <row r="377" customFormat="false" ht="15" hidden="false" customHeight="false" outlineLevel="0" collapsed="false">
      <c r="A377" s="6"/>
      <c r="B377" s="0" t="str">
        <f aca="false">IFERROR(INDEX(Master_Lista!$B$2:$B$151,MATCH(A377,Master_Lista!$A$2:$A$151,0)),"")</f>
        <v/>
      </c>
      <c r="C377" s="6"/>
      <c r="D377" s="7"/>
      <c r="E377" s="8"/>
      <c r="F377" s="0" t="str">
        <f aca="false">IFERROR(INDEX(Sheet11_Zarade!$C$2:$C$151,MATCH(A377,Sheet11_Zarade!$A$2:$A$151,0)),"")</f>
        <v/>
      </c>
      <c r="G377" s="5" t="n">
        <f aca="false">IFERROR(INDEX(Sheet11_Zarade!$D$2:$D$151,MATCH(A377,Sheet11_Zarade!$A$2:$A$151,0)),0)</f>
        <v>0</v>
      </c>
      <c r="H377" s="5" t="n">
        <f aca="false">IFERROR(D377*G377,0)</f>
        <v>0</v>
      </c>
      <c r="I377" s="5" t="n">
        <f aca="false">H377*0.5%</f>
        <v>0</v>
      </c>
      <c r="J377" s="5" t="n">
        <f aca="false">H377+I377</f>
        <v>0</v>
      </c>
      <c r="K377" s="0" t="str">
        <f aca="false">IF(D377="","",IF(D377&gt;12,"FLAG",IF(D377&gt;8,"OVERTIME","OK")))</f>
        <v/>
      </c>
      <c r="L377" s="0" t="str">
        <f aca="false">IF(OR(A377="",E377="",C377=""),"",IF(COUNTIFS($A:$A,A377,$E:$E,E377,$C:$C,C377)&gt;1,"DUPLIKAT","OK"))</f>
        <v/>
      </c>
    </row>
    <row r="378" customFormat="false" ht="15" hidden="false" customHeight="false" outlineLevel="0" collapsed="false">
      <c r="A378" s="6"/>
      <c r="B378" s="0" t="str">
        <f aca="false">IFERROR(INDEX(Master_Lista!$B$2:$B$151,MATCH(A378,Master_Lista!$A$2:$A$151,0)),"")</f>
        <v/>
      </c>
      <c r="C378" s="6"/>
      <c r="D378" s="7"/>
      <c r="E378" s="8"/>
      <c r="F378" s="0" t="str">
        <f aca="false">IFERROR(INDEX(Sheet11_Zarade!$C$2:$C$151,MATCH(A378,Sheet11_Zarade!$A$2:$A$151,0)),"")</f>
        <v/>
      </c>
      <c r="G378" s="5" t="n">
        <f aca="false">IFERROR(INDEX(Sheet11_Zarade!$D$2:$D$151,MATCH(A378,Sheet11_Zarade!$A$2:$A$151,0)),0)</f>
        <v>0</v>
      </c>
      <c r="H378" s="5" t="n">
        <f aca="false">IFERROR(D378*G378,0)</f>
        <v>0</v>
      </c>
      <c r="I378" s="5" t="n">
        <f aca="false">H378*0.5%</f>
        <v>0</v>
      </c>
      <c r="J378" s="5" t="n">
        <f aca="false">H378+I378</f>
        <v>0</v>
      </c>
      <c r="K378" s="0" t="str">
        <f aca="false">IF(D378="","",IF(D378&gt;12,"FLAG",IF(D378&gt;8,"OVERTIME","OK")))</f>
        <v/>
      </c>
      <c r="L378" s="0" t="str">
        <f aca="false">IF(OR(A378="",E378="",C378=""),"",IF(COUNTIFS($A:$A,A378,$E:$E,E378,$C:$C,C378)&gt;1,"DUPLIKAT","OK"))</f>
        <v/>
      </c>
    </row>
    <row r="379" customFormat="false" ht="15" hidden="false" customHeight="false" outlineLevel="0" collapsed="false">
      <c r="A379" s="6"/>
      <c r="B379" s="0" t="str">
        <f aca="false">IFERROR(INDEX(Master_Lista!$B$2:$B$151,MATCH(A379,Master_Lista!$A$2:$A$151,0)),"")</f>
        <v/>
      </c>
      <c r="C379" s="6"/>
      <c r="D379" s="7"/>
      <c r="E379" s="8"/>
      <c r="F379" s="0" t="str">
        <f aca="false">IFERROR(INDEX(Sheet11_Zarade!$C$2:$C$151,MATCH(A379,Sheet11_Zarade!$A$2:$A$151,0)),"")</f>
        <v/>
      </c>
      <c r="G379" s="5" t="n">
        <f aca="false">IFERROR(INDEX(Sheet11_Zarade!$D$2:$D$151,MATCH(A379,Sheet11_Zarade!$A$2:$A$151,0)),0)</f>
        <v>0</v>
      </c>
      <c r="H379" s="5" t="n">
        <f aca="false">IFERROR(D379*G379,0)</f>
        <v>0</v>
      </c>
      <c r="I379" s="5" t="n">
        <f aca="false">H379*0.5%</f>
        <v>0</v>
      </c>
      <c r="J379" s="5" t="n">
        <f aca="false">H379+I379</f>
        <v>0</v>
      </c>
      <c r="K379" s="0" t="str">
        <f aca="false">IF(D379="","",IF(D379&gt;12,"FLAG",IF(D379&gt;8,"OVERTIME","OK")))</f>
        <v/>
      </c>
      <c r="L379" s="0" t="str">
        <f aca="false">IF(OR(A379="",E379="",C379=""),"",IF(COUNTIFS($A:$A,A379,$E:$E,E379,$C:$C,C379)&gt;1,"DUPLIKAT","OK"))</f>
        <v/>
      </c>
    </row>
    <row r="380" customFormat="false" ht="15" hidden="false" customHeight="false" outlineLevel="0" collapsed="false">
      <c r="A380" s="6"/>
      <c r="B380" s="0" t="str">
        <f aca="false">IFERROR(INDEX(Master_Lista!$B$2:$B$151,MATCH(A380,Master_Lista!$A$2:$A$151,0)),"")</f>
        <v/>
      </c>
      <c r="C380" s="6"/>
      <c r="D380" s="7"/>
      <c r="E380" s="8"/>
      <c r="F380" s="0" t="str">
        <f aca="false">IFERROR(INDEX(Sheet11_Zarade!$C$2:$C$151,MATCH(A380,Sheet11_Zarade!$A$2:$A$151,0)),"")</f>
        <v/>
      </c>
      <c r="G380" s="5" t="n">
        <f aca="false">IFERROR(INDEX(Sheet11_Zarade!$D$2:$D$151,MATCH(A380,Sheet11_Zarade!$A$2:$A$151,0)),0)</f>
        <v>0</v>
      </c>
      <c r="H380" s="5" t="n">
        <f aca="false">IFERROR(D380*G380,0)</f>
        <v>0</v>
      </c>
      <c r="I380" s="5" t="n">
        <f aca="false">H380*0.5%</f>
        <v>0</v>
      </c>
      <c r="J380" s="5" t="n">
        <f aca="false">H380+I380</f>
        <v>0</v>
      </c>
      <c r="K380" s="0" t="str">
        <f aca="false">IF(D380="","",IF(D380&gt;12,"FLAG",IF(D380&gt;8,"OVERTIME","OK")))</f>
        <v/>
      </c>
      <c r="L380" s="0" t="str">
        <f aca="false">IF(OR(A380="",E380="",C380=""),"",IF(COUNTIFS($A:$A,A380,$E:$E,E380,$C:$C,C380)&gt;1,"DUPLIKAT","OK"))</f>
        <v/>
      </c>
    </row>
    <row r="381" customFormat="false" ht="15" hidden="false" customHeight="false" outlineLevel="0" collapsed="false">
      <c r="A381" s="6"/>
      <c r="B381" s="0" t="str">
        <f aca="false">IFERROR(INDEX(Master_Lista!$B$2:$B$151,MATCH(A381,Master_Lista!$A$2:$A$151,0)),"")</f>
        <v/>
      </c>
      <c r="C381" s="6"/>
      <c r="D381" s="7"/>
      <c r="E381" s="8"/>
      <c r="F381" s="0" t="str">
        <f aca="false">IFERROR(INDEX(Sheet11_Zarade!$C$2:$C$151,MATCH(A381,Sheet11_Zarade!$A$2:$A$151,0)),"")</f>
        <v/>
      </c>
      <c r="G381" s="5" t="n">
        <f aca="false">IFERROR(INDEX(Sheet11_Zarade!$D$2:$D$151,MATCH(A381,Sheet11_Zarade!$A$2:$A$151,0)),0)</f>
        <v>0</v>
      </c>
      <c r="H381" s="5" t="n">
        <f aca="false">IFERROR(D381*G381,0)</f>
        <v>0</v>
      </c>
      <c r="I381" s="5" t="n">
        <f aca="false">H381*0.5%</f>
        <v>0</v>
      </c>
      <c r="J381" s="5" t="n">
        <f aca="false">H381+I381</f>
        <v>0</v>
      </c>
      <c r="K381" s="0" t="str">
        <f aca="false">IF(D381="","",IF(D381&gt;12,"FLAG",IF(D381&gt;8,"OVERTIME","OK")))</f>
        <v/>
      </c>
      <c r="L381" s="0" t="str">
        <f aca="false">IF(OR(A381="",E381="",C381=""),"",IF(COUNTIFS($A:$A,A381,$E:$E,E381,$C:$C,C381)&gt;1,"DUPLIKAT","OK"))</f>
        <v/>
      </c>
    </row>
    <row r="382" customFormat="false" ht="15" hidden="false" customHeight="false" outlineLevel="0" collapsed="false">
      <c r="A382" s="6"/>
      <c r="B382" s="0" t="str">
        <f aca="false">IFERROR(INDEX(Master_Lista!$B$2:$B$151,MATCH(A382,Master_Lista!$A$2:$A$151,0)),"")</f>
        <v/>
      </c>
      <c r="C382" s="6"/>
      <c r="D382" s="7"/>
      <c r="E382" s="8"/>
      <c r="F382" s="0" t="str">
        <f aca="false">IFERROR(INDEX(Sheet11_Zarade!$C$2:$C$151,MATCH(A382,Sheet11_Zarade!$A$2:$A$151,0)),"")</f>
        <v/>
      </c>
      <c r="G382" s="5" t="n">
        <f aca="false">IFERROR(INDEX(Sheet11_Zarade!$D$2:$D$151,MATCH(A382,Sheet11_Zarade!$A$2:$A$151,0)),0)</f>
        <v>0</v>
      </c>
      <c r="H382" s="5" t="n">
        <f aca="false">IFERROR(D382*G382,0)</f>
        <v>0</v>
      </c>
      <c r="I382" s="5" t="n">
        <f aca="false">H382*0.5%</f>
        <v>0</v>
      </c>
      <c r="J382" s="5" t="n">
        <f aca="false">H382+I382</f>
        <v>0</v>
      </c>
      <c r="K382" s="0" t="str">
        <f aca="false">IF(D382="","",IF(D382&gt;12,"FLAG",IF(D382&gt;8,"OVERTIME","OK")))</f>
        <v/>
      </c>
      <c r="L382" s="0" t="str">
        <f aca="false">IF(OR(A382="",E382="",C382=""),"",IF(COUNTIFS($A:$A,A382,$E:$E,E382,$C:$C,C382)&gt;1,"DUPLIKAT","OK"))</f>
        <v/>
      </c>
    </row>
    <row r="383" customFormat="false" ht="15" hidden="false" customHeight="false" outlineLevel="0" collapsed="false">
      <c r="A383" s="6"/>
      <c r="B383" s="0" t="str">
        <f aca="false">IFERROR(INDEX(Master_Lista!$B$2:$B$151,MATCH(A383,Master_Lista!$A$2:$A$151,0)),"")</f>
        <v/>
      </c>
      <c r="C383" s="6"/>
      <c r="D383" s="7"/>
      <c r="E383" s="8"/>
      <c r="F383" s="0" t="str">
        <f aca="false">IFERROR(INDEX(Sheet11_Zarade!$C$2:$C$151,MATCH(A383,Sheet11_Zarade!$A$2:$A$151,0)),"")</f>
        <v/>
      </c>
      <c r="G383" s="5" t="n">
        <f aca="false">IFERROR(INDEX(Sheet11_Zarade!$D$2:$D$151,MATCH(A383,Sheet11_Zarade!$A$2:$A$151,0)),0)</f>
        <v>0</v>
      </c>
      <c r="H383" s="5" t="n">
        <f aca="false">IFERROR(D383*G383,0)</f>
        <v>0</v>
      </c>
      <c r="I383" s="5" t="n">
        <f aca="false">H383*0.5%</f>
        <v>0</v>
      </c>
      <c r="J383" s="5" t="n">
        <f aca="false">H383+I383</f>
        <v>0</v>
      </c>
      <c r="K383" s="0" t="str">
        <f aca="false">IF(D383="","",IF(D383&gt;12,"FLAG",IF(D383&gt;8,"OVERTIME","OK")))</f>
        <v/>
      </c>
      <c r="L383" s="0" t="str">
        <f aca="false">IF(OR(A383="",E383="",C383=""),"",IF(COUNTIFS($A:$A,A383,$E:$E,E383,$C:$C,C383)&gt;1,"DUPLIKAT","OK"))</f>
        <v/>
      </c>
    </row>
    <row r="384" customFormat="false" ht="15" hidden="false" customHeight="false" outlineLevel="0" collapsed="false">
      <c r="A384" s="6"/>
      <c r="B384" s="0" t="str">
        <f aca="false">IFERROR(INDEX(Master_Lista!$B$2:$B$151,MATCH(A384,Master_Lista!$A$2:$A$151,0)),"")</f>
        <v/>
      </c>
      <c r="C384" s="6"/>
      <c r="D384" s="7"/>
      <c r="E384" s="8"/>
      <c r="F384" s="0" t="str">
        <f aca="false">IFERROR(INDEX(Sheet11_Zarade!$C$2:$C$151,MATCH(A384,Sheet11_Zarade!$A$2:$A$151,0)),"")</f>
        <v/>
      </c>
      <c r="G384" s="5" t="n">
        <f aca="false">IFERROR(INDEX(Sheet11_Zarade!$D$2:$D$151,MATCH(A384,Sheet11_Zarade!$A$2:$A$151,0)),0)</f>
        <v>0</v>
      </c>
      <c r="H384" s="5" t="n">
        <f aca="false">IFERROR(D384*G384,0)</f>
        <v>0</v>
      </c>
      <c r="I384" s="5" t="n">
        <f aca="false">H384*0.5%</f>
        <v>0</v>
      </c>
      <c r="J384" s="5" t="n">
        <f aca="false">H384+I384</f>
        <v>0</v>
      </c>
      <c r="K384" s="0" t="str">
        <f aca="false">IF(D384="","",IF(D384&gt;12,"FLAG",IF(D384&gt;8,"OVERTIME","OK")))</f>
        <v/>
      </c>
      <c r="L384" s="0" t="str">
        <f aca="false">IF(OR(A384="",E384="",C384=""),"",IF(COUNTIFS($A:$A,A384,$E:$E,E384,$C:$C,C384)&gt;1,"DUPLIKAT","OK"))</f>
        <v/>
      </c>
    </row>
    <row r="385" customFormat="false" ht="15" hidden="false" customHeight="false" outlineLevel="0" collapsed="false">
      <c r="A385" s="6"/>
      <c r="B385" s="0" t="str">
        <f aca="false">IFERROR(INDEX(Master_Lista!$B$2:$B$151,MATCH(A385,Master_Lista!$A$2:$A$151,0)),"")</f>
        <v/>
      </c>
      <c r="C385" s="6"/>
      <c r="D385" s="7"/>
      <c r="E385" s="8"/>
      <c r="F385" s="0" t="str">
        <f aca="false">IFERROR(INDEX(Sheet11_Zarade!$C$2:$C$151,MATCH(A385,Sheet11_Zarade!$A$2:$A$151,0)),"")</f>
        <v/>
      </c>
      <c r="G385" s="5" t="n">
        <f aca="false">IFERROR(INDEX(Sheet11_Zarade!$D$2:$D$151,MATCH(A385,Sheet11_Zarade!$A$2:$A$151,0)),0)</f>
        <v>0</v>
      </c>
      <c r="H385" s="5" t="n">
        <f aca="false">IFERROR(D385*G385,0)</f>
        <v>0</v>
      </c>
      <c r="I385" s="5" t="n">
        <f aca="false">H385*0.5%</f>
        <v>0</v>
      </c>
      <c r="J385" s="5" t="n">
        <f aca="false">H385+I385</f>
        <v>0</v>
      </c>
      <c r="K385" s="0" t="str">
        <f aca="false">IF(D385="","",IF(D385&gt;12,"FLAG",IF(D385&gt;8,"OVERTIME","OK")))</f>
        <v/>
      </c>
      <c r="L385" s="0" t="str">
        <f aca="false">IF(OR(A385="",E385="",C385=""),"",IF(COUNTIFS($A:$A,A385,$E:$E,E385,$C:$C,C385)&gt;1,"DUPLIKAT","OK"))</f>
        <v/>
      </c>
    </row>
    <row r="386" customFormat="false" ht="15" hidden="false" customHeight="false" outlineLevel="0" collapsed="false">
      <c r="A386" s="6"/>
      <c r="B386" s="0" t="str">
        <f aca="false">IFERROR(INDEX(Master_Lista!$B$2:$B$151,MATCH(A386,Master_Lista!$A$2:$A$151,0)),"")</f>
        <v/>
      </c>
      <c r="C386" s="6"/>
      <c r="D386" s="7"/>
      <c r="E386" s="8"/>
      <c r="F386" s="0" t="str">
        <f aca="false">IFERROR(INDEX(Sheet11_Zarade!$C$2:$C$151,MATCH(A386,Sheet11_Zarade!$A$2:$A$151,0)),"")</f>
        <v/>
      </c>
      <c r="G386" s="5" t="n">
        <f aca="false">IFERROR(INDEX(Sheet11_Zarade!$D$2:$D$151,MATCH(A386,Sheet11_Zarade!$A$2:$A$151,0)),0)</f>
        <v>0</v>
      </c>
      <c r="H386" s="5" t="n">
        <f aca="false">IFERROR(D386*G386,0)</f>
        <v>0</v>
      </c>
      <c r="I386" s="5" t="n">
        <f aca="false">H386*0.5%</f>
        <v>0</v>
      </c>
      <c r="J386" s="5" t="n">
        <f aca="false">H386+I386</f>
        <v>0</v>
      </c>
      <c r="K386" s="0" t="str">
        <f aca="false">IF(D386="","",IF(D386&gt;12,"FLAG",IF(D386&gt;8,"OVERTIME","OK")))</f>
        <v/>
      </c>
      <c r="L386" s="0" t="str">
        <f aca="false">IF(OR(A386="",E386="",C386=""),"",IF(COUNTIFS($A:$A,A386,$E:$E,E386,$C:$C,C386)&gt;1,"DUPLIKAT","OK"))</f>
        <v/>
      </c>
    </row>
    <row r="387" customFormat="false" ht="15" hidden="false" customHeight="false" outlineLevel="0" collapsed="false">
      <c r="A387" s="6"/>
      <c r="B387" s="0" t="str">
        <f aca="false">IFERROR(INDEX(Master_Lista!$B$2:$B$151,MATCH(A387,Master_Lista!$A$2:$A$151,0)),"")</f>
        <v/>
      </c>
      <c r="C387" s="6"/>
      <c r="D387" s="7"/>
      <c r="E387" s="8"/>
      <c r="F387" s="0" t="str">
        <f aca="false">IFERROR(INDEX(Sheet11_Zarade!$C$2:$C$151,MATCH(A387,Sheet11_Zarade!$A$2:$A$151,0)),"")</f>
        <v/>
      </c>
      <c r="G387" s="5" t="n">
        <f aca="false">IFERROR(INDEX(Sheet11_Zarade!$D$2:$D$151,MATCH(A387,Sheet11_Zarade!$A$2:$A$151,0)),0)</f>
        <v>0</v>
      </c>
      <c r="H387" s="5" t="n">
        <f aca="false">IFERROR(D387*G387,0)</f>
        <v>0</v>
      </c>
      <c r="I387" s="5" t="n">
        <f aca="false">H387*0.5%</f>
        <v>0</v>
      </c>
      <c r="J387" s="5" t="n">
        <f aca="false">H387+I387</f>
        <v>0</v>
      </c>
      <c r="K387" s="0" t="str">
        <f aca="false">IF(D387="","",IF(D387&gt;12,"FLAG",IF(D387&gt;8,"OVERTIME","OK")))</f>
        <v/>
      </c>
      <c r="L387" s="0" t="str">
        <f aca="false">IF(OR(A387="",E387="",C387=""),"",IF(COUNTIFS($A:$A,A387,$E:$E,E387,$C:$C,C387)&gt;1,"DUPLIKAT","OK"))</f>
        <v/>
      </c>
    </row>
    <row r="388" customFormat="false" ht="15" hidden="false" customHeight="false" outlineLevel="0" collapsed="false">
      <c r="A388" s="6"/>
      <c r="B388" s="0" t="str">
        <f aca="false">IFERROR(INDEX(Master_Lista!$B$2:$B$151,MATCH(A388,Master_Lista!$A$2:$A$151,0)),"")</f>
        <v/>
      </c>
      <c r="C388" s="6"/>
      <c r="D388" s="7"/>
      <c r="E388" s="8"/>
      <c r="F388" s="0" t="str">
        <f aca="false">IFERROR(INDEX(Sheet11_Zarade!$C$2:$C$151,MATCH(A388,Sheet11_Zarade!$A$2:$A$151,0)),"")</f>
        <v/>
      </c>
      <c r="G388" s="5" t="n">
        <f aca="false">IFERROR(INDEX(Sheet11_Zarade!$D$2:$D$151,MATCH(A388,Sheet11_Zarade!$A$2:$A$151,0)),0)</f>
        <v>0</v>
      </c>
      <c r="H388" s="5" t="n">
        <f aca="false">IFERROR(D388*G388,0)</f>
        <v>0</v>
      </c>
      <c r="I388" s="5" t="n">
        <f aca="false">H388*0.5%</f>
        <v>0</v>
      </c>
      <c r="J388" s="5" t="n">
        <f aca="false">H388+I388</f>
        <v>0</v>
      </c>
      <c r="K388" s="0" t="str">
        <f aca="false">IF(D388="","",IF(D388&gt;12,"FLAG",IF(D388&gt;8,"OVERTIME","OK")))</f>
        <v/>
      </c>
      <c r="L388" s="0" t="str">
        <f aca="false">IF(OR(A388="",E388="",C388=""),"",IF(COUNTIFS($A:$A,A388,$E:$E,E388,$C:$C,C388)&gt;1,"DUPLIKAT","OK"))</f>
        <v/>
      </c>
    </row>
    <row r="389" customFormat="false" ht="15" hidden="false" customHeight="false" outlineLevel="0" collapsed="false">
      <c r="A389" s="6"/>
      <c r="B389" s="0" t="str">
        <f aca="false">IFERROR(INDEX(Master_Lista!$B$2:$B$151,MATCH(A389,Master_Lista!$A$2:$A$151,0)),"")</f>
        <v/>
      </c>
      <c r="C389" s="6"/>
      <c r="D389" s="7"/>
      <c r="E389" s="8"/>
      <c r="F389" s="0" t="str">
        <f aca="false">IFERROR(INDEX(Sheet11_Zarade!$C$2:$C$151,MATCH(A389,Sheet11_Zarade!$A$2:$A$151,0)),"")</f>
        <v/>
      </c>
      <c r="G389" s="5" t="n">
        <f aca="false">IFERROR(INDEX(Sheet11_Zarade!$D$2:$D$151,MATCH(A389,Sheet11_Zarade!$A$2:$A$151,0)),0)</f>
        <v>0</v>
      </c>
      <c r="H389" s="5" t="n">
        <f aca="false">IFERROR(D389*G389,0)</f>
        <v>0</v>
      </c>
      <c r="I389" s="5" t="n">
        <f aca="false">H389*0.5%</f>
        <v>0</v>
      </c>
      <c r="J389" s="5" t="n">
        <f aca="false">H389+I389</f>
        <v>0</v>
      </c>
      <c r="K389" s="0" t="str">
        <f aca="false">IF(D389="","",IF(D389&gt;12,"FLAG",IF(D389&gt;8,"OVERTIME","OK")))</f>
        <v/>
      </c>
      <c r="L389" s="0" t="str">
        <f aca="false">IF(OR(A389="",E389="",C389=""),"",IF(COUNTIFS($A:$A,A389,$E:$E,E389,$C:$C,C389)&gt;1,"DUPLIKAT","OK"))</f>
        <v/>
      </c>
    </row>
    <row r="390" customFormat="false" ht="15" hidden="false" customHeight="false" outlineLevel="0" collapsed="false">
      <c r="A390" s="6"/>
      <c r="B390" s="0" t="str">
        <f aca="false">IFERROR(INDEX(Master_Lista!$B$2:$B$151,MATCH(A390,Master_Lista!$A$2:$A$151,0)),"")</f>
        <v/>
      </c>
      <c r="C390" s="6"/>
      <c r="D390" s="7"/>
      <c r="E390" s="8"/>
      <c r="F390" s="0" t="str">
        <f aca="false">IFERROR(INDEX(Sheet11_Zarade!$C$2:$C$151,MATCH(A390,Sheet11_Zarade!$A$2:$A$151,0)),"")</f>
        <v/>
      </c>
      <c r="G390" s="5" t="n">
        <f aca="false">IFERROR(INDEX(Sheet11_Zarade!$D$2:$D$151,MATCH(A390,Sheet11_Zarade!$A$2:$A$151,0)),0)</f>
        <v>0</v>
      </c>
      <c r="H390" s="5" t="n">
        <f aca="false">IFERROR(D390*G390,0)</f>
        <v>0</v>
      </c>
      <c r="I390" s="5" t="n">
        <f aca="false">H390*0.5%</f>
        <v>0</v>
      </c>
      <c r="J390" s="5" t="n">
        <f aca="false">H390+I390</f>
        <v>0</v>
      </c>
      <c r="K390" s="0" t="str">
        <f aca="false">IF(D390="","",IF(D390&gt;12,"FLAG",IF(D390&gt;8,"OVERTIME","OK")))</f>
        <v/>
      </c>
      <c r="L390" s="0" t="str">
        <f aca="false">IF(OR(A390="",E390="",C390=""),"",IF(COUNTIFS($A:$A,A390,$E:$E,E390,$C:$C,C390)&gt;1,"DUPLIKAT","OK"))</f>
        <v/>
      </c>
    </row>
    <row r="391" customFormat="false" ht="15" hidden="false" customHeight="false" outlineLevel="0" collapsed="false">
      <c r="A391" s="6"/>
      <c r="B391" s="0" t="str">
        <f aca="false">IFERROR(INDEX(Master_Lista!$B$2:$B$151,MATCH(A391,Master_Lista!$A$2:$A$151,0)),"")</f>
        <v/>
      </c>
      <c r="C391" s="6"/>
      <c r="D391" s="7"/>
      <c r="E391" s="8"/>
      <c r="F391" s="0" t="str">
        <f aca="false">IFERROR(INDEX(Sheet11_Zarade!$C$2:$C$151,MATCH(A391,Sheet11_Zarade!$A$2:$A$151,0)),"")</f>
        <v/>
      </c>
      <c r="G391" s="5" t="n">
        <f aca="false">IFERROR(INDEX(Sheet11_Zarade!$D$2:$D$151,MATCH(A391,Sheet11_Zarade!$A$2:$A$151,0)),0)</f>
        <v>0</v>
      </c>
      <c r="H391" s="5" t="n">
        <f aca="false">IFERROR(D391*G391,0)</f>
        <v>0</v>
      </c>
      <c r="I391" s="5" t="n">
        <f aca="false">H391*0.5%</f>
        <v>0</v>
      </c>
      <c r="J391" s="5" t="n">
        <f aca="false">H391+I391</f>
        <v>0</v>
      </c>
      <c r="K391" s="0" t="str">
        <f aca="false">IF(D391="","",IF(D391&gt;12,"FLAG",IF(D391&gt;8,"OVERTIME","OK")))</f>
        <v/>
      </c>
      <c r="L391" s="0" t="str">
        <f aca="false">IF(OR(A391="",E391="",C391=""),"",IF(COUNTIFS($A:$A,A391,$E:$E,E391,$C:$C,C391)&gt;1,"DUPLIKAT","OK"))</f>
        <v/>
      </c>
    </row>
    <row r="392" customFormat="false" ht="15" hidden="false" customHeight="false" outlineLevel="0" collapsed="false">
      <c r="A392" s="6"/>
      <c r="B392" s="0" t="str">
        <f aca="false">IFERROR(INDEX(Master_Lista!$B$2:$B$151,MATCH(A392,Master_Lista!$A$2:$A$151,0)),"")</f>
        <v/>
      </c>
      <c r="C392" s="6"/>
      <c r="D392" s="7"/>
      <c r="E392" s="8"/>
      <c r="F392" s="0" t="str">
        <f aca="false">IFERROR(INDEX(Sheet11_Zarade!$C$2:$C$151,MATCH(A392,Sheet11_Zarade!$A$2:$A$151,0)),"")</f>
        <v/>
      </c>
      <c r="G392" s="5" t="n">
        <f aca="false">IFERROR(INDEX(Sheet11_Zarade!$D$2:$D$151,MATCH(A392,Sheet11_Zarade!$A$2:$A$151,0)),0)</f>
        <v>0</v>
      </c>
      <c r="H392" s="5" t="n">
        <f aca="false">IFERROR(D392*G392,0)</f>
        <v>0</v>
      </c>
      <c r="I392" s="5" t="n">
        <f aca="false">H392*0.5%</f>
        <v>0</v>
      </c>
      <c r="J392" s="5" t="n">
        <f aca="false">H392+I392</f>
        <v>0</v>
      </c>
      <c r="K392" s="0" t="str">
        <f aca="false">IF(D392="","",IF(D392&gt;12,"FLAG",IF(D392&gt;8,"OVERTIME","OK")))</f>
        <v/>
      </c>
      <c r="L392" s="0" t="str">
        <f aca="false">IF(OR(A392="",E392="",C392=""),"",IF(COUNTIFS($A:$A,A392,$E:$E,E392,$C:$C,C392)&gt;1,"DUPLIKAT","OK"))</f>
        <v/>
      </c>
    </row>
    <row r="393" customFormat="false" ht="15" hidden="false" customHeight="false" outlineLevel="0" collapsed="false">
      <c r="A393" s="6"/>
      <c r="B393" s="0" t="str">
        <f aca="false">IFERROR(INDEX(Master_Lista!$B$2:$B$151,MATCH(A393,Master_Lista!$A$2:$A$151,0)),"")</f>
        <v/>
      </c>
      <c r="C393" s="6"/>
      <c r="D393" s="7"/>
      <c r="E393" s="8"/>
      <c r="F393" s="0" t="str">
        <f aca="false">IFERROR(INDEX(Sheet11_Zarade!$C$2:$C$151,MATCH(A393,Sheet11_Zarade!$A$2:$A$151,0)),"")</f>
        <v/>
      </c>
      <c r="G393" s="5" t="n">
        <f aca="false">IFERROR(INDEX(Sheet11_Zarade!$D$2:$D$151,MATCH(A393,Sheet11_Zarade!$A$2:$A$151,0)),0)</f>
        <v>0</v>
      </c>
      <c r="H393" s="5" t="n">
        <f aca="false">IFERROR(D393*G393,0)</f>
        <v>0</v>
      </c>
      <c r="I393" s="5" t="n">
        <f aca="false">H393*0.5%</f>
        <v>0</v>
      </c>
      <c r="J393" s="5" t="n">
        <f aca="false">H393+I393</f>
        <v>0</v>
      </c>
      <c r="K393" s="0" t="str">
        <f aca="false">IF(D393="","",IF(D393&gt;12,"FLAG",IF(D393&gt;8,"OVERTIME","OK")))</f>
        <v/>
      </c>
      <c r="L393" s="0" t="str">
        <f aca="false">IF(OR(A393="",E393="",C393=""),"",IF(COUNTIFS($A:$A,A393,$E:$E,E393,$C:$C,C393)&gt;1,"DUPLIKAT","OK"))</f>
        <v/>
      </c>
    </row>
    <row r="394" customFormat="false" ht="15" hidden="false" customHeight="false" outlineLevel="0" collapsed="false">
      <c r="A394" s="6"/>
      <c r="B394" s="0" t="str">
        <f aca="false">IFERROR(INDEX(Master_Lista!$B$2:$B$151,MATCH(A394,Master_Lista!$A$2:$A$151,0)),"")</f>
        <v/>
      </c>
      <c r="C394" s="6"/>
      <c r="D394" s="7"/>
      <c r="E394" s="8"/>
      <c r="F394" s="0" t="str">
        <f aca="false">IFERROR(INDEX(Sheet11_Zarade!$C$2:$C$151,MATCH(A394,Sheet11_Zarade!$A$2:$A$151,0)),"")</f>
        <v/>
      </c>
      <c r="G394" s="5" t="n">
        <f aca="false">IFERROR(INDEX(Sheet11_Zarade!$D$2:$D$151,MATCH(A394,Sheet11_Zarade!$A$2:$A$151,0)),0)</f>
        <v>0</v>
      </c>
      <c r="H394" s="5" t="n">
        <f aca="false">IFERROR(D394*G394,0)</f>
        <v>0</v>
      </c>
      <c r="I394" s="5" t="n">
        <f aca="false">H394*0.5%</f>
        <v>0</v>
      </c>
      <c r="J394" s="5" t="n">
        <f aca="false">H394+I394</f>
        <v>0</v>
      </c>
      <c r="K394" s="0" t="str">
        <f aca="false">IF(D394="","",IF(D394&gt;12,"FLAG",IF(D394&gt;8,"OVERTIME","OK")))</f>
        <v/>
      </c>
      <c r="L394" s="0" t="str">
        <f aca="false">IF(OR(A394="",E394="",C394=""),"",IF(COUNTIFS($A:$A,A394,$E:$E,E394,$C:$C,C394)&gt;1,"DUPLIKAT","OK"))</f>
        <v/>
      </c>
    </row>
    <row r="395" customFormat="false" ht="15" hidden="false" customHeight="false" outlineLevel="0" collapsed="false">
      <c r="A395" s="6"/>
      <c r="B395" s="0" t="str">
        <f aca="false">IFERROR(INDEX(Master_Lista!$B$2:$B$151,MATCH(A395,Master_Lista!$A$2:$A$151,0)),"")</f>
        <v/>
      </c>
      <c r="C395" s="6"/>
      <c r="D395" s="7"/>
      <c r="E395" s="8"/>
      <c r="F395" s="0" t="str">
        <f aca="false">IFERROR(INDEX(Sheet11_Zarade!$C$2:$C$151,MATCH(A395,Sheet11_Zarade!$A$2:$A$151,0)),"")</f>
        <v/>
      </c>
      <c r="G395" s="5" t="n">
        <f aca="false">IFERROR(INDEX(Sheet11_Zarade!$D$2:$D$151,MATCH(A395,Sheet11_Zarade!$A$2:$A$151,0)),0)</f>
        <v>0</v>
      </c>
      <c r="H395" s="5" t="n">
        <f aca="false">IFERROR(D395*G395,0)</f>
        <v>0</v>
      </c>
      <c r="I395" s="5" t="n">
        <f aca="false">H395*0.5%</f>
        <v>0</v>
      </c>
      <c r="J395" s="5" t="n">
        <f aca="false">H395+I395</f>
        <v>0</v>
      </c>
      <c r="K395" s="0" t="str">
        <f aca="false">IF(D395="","",IF(D395&gt;12,"FLAG",IF(D395&gt;8,"OVERTIME","OK")))</f>
        <v/>
      </c>
      <c r="L395" s="0" t="str">
        <f aca="false">IF(OR(A395="",E395="",C395=""),"",IF(COUNTIFS($A:$A,A395,$E:$E,E395,$C:$C,C395)&gt;1,"DUPLIKAT","OK"))</f>
        <v/>
      </c>
    </row>
    <row r="396" customFormat="false" ht="15" hidden="false" customHeight="false" outlineLevel="0" collapsed="false">
      <c r="A396" s="6"/>
      <c r="B396" s="0" t="str">
        <f aca="false">IFERROR(INDEX(Master_Lista!$B$2:$B$151,MATCH(A396,Master_Lista!$A$2:$A$151,0)),"")</f>
        <v/>
      </c>
      <c r="C396" s="6"/>
      <c r="D396" s="7"/>
      <c r="E396" s="8"/>
      <c r="F396" s="0" t="str">
        <f aca="false">IFERROR(INDEX(Sheet11_Zarade!$C$2:$C$151,MATCH(A396,Sheet11_Zarade!$A$2:$A$151,0)),"")</f>
        <v/>
      </c>
      <c r="G396" s="5" t="n">
        <f aca="false">IFERROR(INDEX(Sheet11_Zarade!$D$2:$D$151,MATCH(A396,Sheet11_Zarade!$A$2:$A$151,0)),0)</f>
        <v>0</v>
      </c>
      <c r="H396" s="5" t="n">
        <f aca="false">IFERROR(D396*G396,0)</f>
        <v>0</v>
      </c>
      <c r="I396" s="5" t="n">
        <f aca="false">H396*0.5%</f>
        <v>0</v>
      </c>
      <c r="J396" s="5" t="n">
        <f aca="false">H396+I396</f>
        <v>0</v>
      </c>
      <c r="K396" s="0" t="str">
        <f aca="false">IF(D396="","",IF(D396&gt;12,"FLAG",IF(D396&gt;8,"OVERTIME","OK")))</f>
        <v/>
      </c>
      <c r="L396" s="0" t="str">
        <f aca="false">IF(OR(A396="",E396="",C396=""),"",IF(COUNTIFS($A:$A,A396,$E:$E,E396,$C:$C,C396)&gt;1,"DUPLIKAT","OK"))</f>
        <v/>
      </c>
    </row>
    <row r="397" customFormat="false" ht="15" hidden="false" customHeight="false" outlineLevel="0" collapsed="false">
      <c r="A397" s="6"/>
      <c r="B397" s="0" t="str">
        <f aca="false">IFERROR(INDEX(Master_Lista!$B$2:$B$151,MATCH(A397,Master_Lista!$A$2:$A$151,0)),"")</f>
        <v/>
      </c>
      <c r="C397" s="6"/>
      <c r="D397" s="7"/>
      <c r="E397" s="8"/>
      <c r="F397" s="0" t="str">
        <f aca="false">IFERROR(INDEX(Sheet11_Zarade!$C$2:$C$151,MATCH(A397,Sheet11_Zarade!$A$2:$A$151,0)),"")</f>
        <v/>
      </c>
      <c r="G397" s="5" t="n">
        <f aca="false">IFERROR(INDEX(Sheet11_Zarade!$D$2:$D$151,MATCH(A397,Sheet11_Zarade!$A$2:$A$151,0)),0)</f>
        <v>0</v>
      </c>
      <c r="H397" s="5" t="n">
        <f aca="false">IFERROR(D397*G397,0)</f>
        <v>0</v>
      </c>
      <c r="I397" s="5" t="n">
        <f aca="false">H397*0.5%</f>
        <v>0</v>
      </c>
      <c r="J397" s="5" t="n">
        <f aca="false">H397+I397</f>
        <v>0</v>
      </c>
      <c r="K397" s="0" t="str">
        <f aca="false">IF(D397="","",IF(D397&gt;12,"FLAG",IF(D397&gt;8,"OVERTIME","OK")))</f>
        <v/>
      </c>
      <c r="L397" s="0" t="str">
        <f aca="false">IF(OR(A397="",E397="",C397=""),"",IF(COUNTIFS($A:$A,A397,$E:$E,E397,$C:$C,C397)&gt;1,"DUPLIKAT","OK"))</f>
        <v/>
      </c>
    </row>
    <row r="398" customFormat="false" ht="15" hidden="false" customHeight="false" outlineLevel="0" collapsed="false">
      <c r="A398" s="6"/>
      <c r="B398" s="0" t="str">
        <f aca="false">IFERROR(INDEX(Master_Lista!$B$2:$B$151,MATCH(A398,Master_Lista!$A$2:$A$151,0)),"")</f>
        <v/>
      </c>
      <c r="C398" s="6"/>
      <c r="D398" s="7"/>
      <c r="E398" s="8"/>
      <c r="F398" s="0" t="str">
        <f aca="false">IFERROR(INDEX(Sheet11_Zarade!$C$2:$C$151,MATCH(A398,Sheet11_Zarade!$A$2:$A$151,0)),"")</f>
        <v/>
      </c>
      <c r="G398" s="5" t="n">
        <f aca="false">IFERROR(INDEX(Sheet11_Zarade!$D$2:$D$151,MATCH(A398,Sheet11_Zarade!$A$2:$A$151,0)),0)</f>
        <v>0</v>
      </c>
      <c r="H398" s="5" t="n">
        <f aca="false">IFERROR(D398*G398,0)</f>
        <v>0</v>
      </c>
      <c r="I398" s="5" t="n">
        <f aca="false">H398*0.5%</f>
        <v>0</v>
      </c>
      <c r="J398" s="5" t="n">
        <f aca="false">H398+I398</f>
        <v>0</v>
      </c>
      <c r="K398" s="0" t="str">
        <f aca="false">IF(D398="","",IF(D398&gt;12,"FLAG",IF(D398&gt;8,"OVERTIME","OK")))</f>
        <v/>
      </c>
      <c r="L398" s="0" t="str">
        <f aca="false">IF(OR(A398="",E398="",C398=""),"",IF(COUNTIFS($A:$A,A398,$E:$E,E398,$C:$C,C398)&gt;1,"DUPLIKAT","OK"))</f>
        <v/>
      </c>
    </row>
    <row r="399" customFormat="false" ht="15" hidden="false" customHeight="false" outlineLevel="0" collapsed="false">
      <c r="A399" s="6"/>
      <c r="B399" s="0" t="str">
        <f aca="false">IFERROR(INDEX(Master_Lista!$B$2:$B$151,MATCH(A399,Master_Lista!$A$2:$A$151,0)),"")</f>
        <v/>
      </c>
      <c r="C399" s="6"/>
      <c r="D399" s="7"/>
      <c r="E399" s="8"/>
      <c r="F399" s="0" t="str">
        <f aca="false">IFERROR(INDEX(Sheet11_Zarade!$C$2:$C$151,MATCH(A399,Sheet11_Zarade!$A$2:$A$151,0)),"")</f>
        <v/>
      </c>
      <c r="G399" s="5" t="n">
        <f aca="false">IFERROR(INDEX(Sheet11_Zarade!$D$2:$D$151,MATCH(A399,Sheet11_Zarade!$A$2:$A$151,0)),0)</f>
        <v>0</v>
      </c>
      <c r="H399" s="5" t="n">
        <f aca="false">IFERROR(D399*G399,0)</f>
        <v>0</v>
      </c>
      <c r="I399" s="5" t="n">
        <f aca="false">H399*0.5%</f>
        <v>0</v>
      </c>
      <c r="J399" s="5" t="n">
        <f aca="false">H399+I399</f>
        <v>0</v>
      </c>
      <c r="K399" s="0" t="str">
        <f aca="false">IF(D399="","",IF(D399&gt;12,"FLAG",IF(D399&gt;8,"OVERTIME","OK")))</f>
        <v/>
      </c>
      <c r="L399" s="0" t="str">
        <f aca="false">IF(OR(A399="",E399="",C399=""),"",IF(COUNTIFS($A:$A,A399,$E:$E,E399,$C:$C,C399)&gt;1,"DUPLIKAT","OK"))</f>
        <v/>
      </c>
    </row>
    <row r="400" customFormat="false" ht="15" hidden="false" customHeight="false" outlineLevel="0" collapsed="false">
      <c r="A400" s="6"/>
      <c r="B400" s="0" t="str">
        <f aca="false">IFERROR(INDEX(Master_Lista!$B$2:$B$151,MATCH(A400,Master_Lista!$A$2:$A$151,0)),"")</f>
        <v/>
      </c>
      <c r="C400" s="6"/>
      <c r="D400" s="7"/>
      <c r="E400" s="8"/>
      <c r="F400" s="0" t="str">
        <f aca="false">IFERROR(INDEX(Sheet11_Zarade!$C$2:$C$151,MATCH(A400,Sheet11_Zarade!$A$2:$A$151,0)),"")</f>
        <v/>
      </c>
      <c r="G400" s="5" t="n">
        <f aca="false">IFERROR(INDEX(Sheet11_Zarade!$D$2:$D$151,MATCH(A400,Sheet11_Zarade!$A$2:$A$151,0)),0)</f>
        <v>0</v>
      </c>
      <c r="H400" s="5" t="n">
        <f aca="false">IFERROR(D400*G400,0)</f>
        <v>0</v>
      </c>
      <c r="I400" s="5" t="n">
        <f aca="false">H400*0.5%</f>
        <v>0</v>
      </c>
      <c r="J400" s="5" t="n">
        <f aca="false">H400+I400</f>
        <v>0</v>
      </c>
      <c r="K400" s="0" t="str">
        <f aca="false">IF(D400="","",IF(D400&gt;12,"FLAG",IF(D400&gt;8,"OVERTIME","OK")))</f>
        <v/>
      </c>
      <c r="L400" s="0" t="str">
        <f aca="false">IF(OR(A400="",E400="",C400=""),"",IF(COUNTIFS($A:$A,A400,$E:$E,E400,$C:$C,C400)&gt;1,"DUPLIKAT","OK"))</f>
        <v/>
      </c>
    </row>
    <row r="401" customFormat="false" ht="15" hidden="false" customHeight="false" outlineLevel="0" collapsed="false">
      <c r="A401" s="6"/>
      <c r="B401" s="0" t="str">
        <f aca="false">IFERROR(INDEX(Master_Lista!$B$2:$B$151,MATCH(A401,Master_Lista!$A$2:$A$151,0)),"")</f>
        <v/>
      </c>
      <c r="C401" s="6"/>
      <c r="D401" s="7"/>
      <c r="E401" s="8"/>
      <c r="F401" s="0" t="str">
        <f aca="false">IFERROR(INDEX(Sheet11_Zarade!$C$2:$C$151,MATCH(A401,Sheet11_Zarade!$A$2:$A$151,0)),"")</f>
        <v/>
      </c>
      <c r="G401" s="5" t="n">
        <f aca="false">IFERROR(INDEX(Sheet11_Zarade!$D$2:$D$151,MATCH(A401,Sheet11_Zarade!$A$2:$A$151,0)),0)</f>
        <v>0</v>
      </c>
      <c r="H401" s="5" t="n">
        <f aca="false">IFERROR(D401*G401,0)</f>
        <v>0</v>
      </c>
      <c r="I401" s="5" t="n">
        <f aca="false">H401*0.5%</f>
        <v>0</v>
      </c>
      <c r="J401" s="5" t="n">
        <f aca="false">H401+I401</f>
        <v>0</v>
      </c>
      <c r="K401" s="0" t="str">
        <f aca="false">IF(D401="","",IF(D401&gt;12,"FLAG",IF(D401&gt;8,"OVERTIME","OK")))</f>
        <v/>
      </c>
      <c r="L401" s="0" t="str">
        <f aca="false">IF(OR(A401="",E401="",C401=""),"",IF(COUNTIFS($A:$A,A401,$E:$E,E401,$C:$C,C401)&gt;1,"DUPLIKAT","OK"))</f>
        <v/>
      </c>
    </row>
    <row r="402" customFormat="false" ht="15" hidden="false" customHeight="false" outlineLevel="0" collapsed="false">
      <c r="A402" s="6"/>
      <c r="B402" s="0" t="str">
        <f aca="false">IFERROR(INDEX(Master_Lista!$B$2:$B$151,MATCH(A402,Master_Lista!$A$2:$A$151,0)),"")</f>
        <v/>
      </c>
      <c r="C402" s="6"/>
      <c r="D402" s="7"/>
      <c r="E402" s="8"/>
      <c r="F402" s="0" t="str">
        <f aca="false">IFERROR(INDEX(Sheet11_Zarade!$C$2:$C$151,MATCH(A402,Sheet11_Zarade!$A$2:$A$151,0)),"")</f>
        <v/>
      </c>
      <c r="G402" s="5" t="n">
        <f aca="false">IFERROR(INDEX(Sheet11_Zarade!$D$2:$D$151,MATCH(A402,Sheet11_Zarade!$A$2:$A$151,0)),0)</f>
        <v>0</v>
      </c>
      <c r="H402" s="5" t="n">
        <f aca="false">IFERROR(D402*G402,0)</f>
        <v>0</v>
      </c>
      <c r="I402" s="5" t="n">
        <f aca="false">H402*0.5%</f>
        <v>0</v>
      </c>
      <c r="J402" s="5" t="n">
        <f aca="false">H402+I402</f>
        <v>0</v>
      </c>
      <c r="K402" s="0" t="str">
        <f aca="false">IF(D402="","",IF(D402&gt;12,"FLAG",IF(D402&gt;8,"OVERTIME","OK")))</f>
        <v/>
      </c>
      <c r="L402" s="0" t="str">
        <f aca="false">IF(OR(A402="",E402="",C402=""),"",IF(COUNTIFS($A:$A,A402,$E:$E,E402,$C:$C,C402)&gt;1,"DUPLIKAT","OK"))</f>
        <v/>
      </c>
    </row>
    <row r="403" customFormat="false" ht="15" hidden="false" customHeight="false" outlineLevel="0" collapsed="false">
      <c r="A403" s="6"/>
      <c r="B403" s="0" t="str">
        <f aca="false">IFERROR(INDEX(Master_Lista!$B$2:$B$151,MATCH(A403,Master_Lista!$A$2:$A$151,0)),"")</f>
        <v/>
      </c>
      <c r="C403" s="6"/>
      <c r="D403" s="7"/>
      <c r="E403" s="8"/>
      <c r="F403" s="0" t="str">
        <f aca="false">IFERROR(INDEX(Sheet11_Zarade!$C$2:$C$151,MATCH(A403,Sheet11_Zarade!$A$2:$A$151,0)),"")</f>
        <v/>
      </c>
      <c r="G403" s="5" t="n">
        <f aca="false">IFERROR(INDEX(Sheet11_Zarade!$D$2:$D$151,MATCH(A403,Sheet11_Zarade!$A$2:$A$151,0)),0)</f>
        <v>0</v>
      </c>
      <c r="H403" s="5" t="n">
        <f aca="false">IFERROR(D403*G403,0)</f>
        <v>0</v>
      </c>
      <c r="I403" s="5" t="n">
        <f aca="false">H403*0.5%</f>
        <v>0</v>
      </c>
      <c r="J403" s="5" t="n">
        <f aca="false">H403+I403</f>
        <v>0</v>
      </c>
      <c r="K403" s="0" t="str">
        <f aca="false">IF(D403="","",IF(D403&gt;12,"FLAG",IF(D403&gt;8,"OVERTIME","OK")))</f>
        <v/>
      </c>
      <c r="L403" s="0" t="str">
        <f aca="false">IF(OR(A403="",E403="",C403=""),"",IF(COUNTIFS($A:$A,A403,$E:$E,E403,$C:$C,C403)&gt;1,"DUPLIKAT","OK"))</f>
        <v/>
      </c>
    </row>
    <row r="404" customFormat="false" ht="15" hidden="false" customHeight="false" outlineLevel="0" collapsed="false">
      <c r="A404" s="6"/>
      <c r="B404" s="0" t="str">
        <f aca="false">IFERROR(INDEX(Master_Lista!$B$2:$B$151,MATCH(A404,Master_Lista!$A$2:$A$151,0)),"")</f>
        <v/>
      </c>
      <c r="C404" s="6"/>
      <c r="D404" s="7"/>
      <c r="E404" s="8"/>
      <c r="F404" s="0" t="str">
        <f aca="false">IFERROR(INDEX(Sheet11_Zarade!$C$2:$C$151,MATCH(A404,Sheet11_Zarade!$A$2:$A$151,0)),"")</f>
        <v/>
      </c>
      <c r="G404" s="5" t="n">
        <f aca="false">IFERROR(INDEX(Sheet11_Zarade!$D$2:$D$151,MATCH(A404,Sheet11_Zarade!$A$2:$A$151,0)),0)</f>
        <v>0</v>
      </c>
      <c r="H404" s="5" t="n">
        <f aca="false">IFERROR(D404*G404,0)</f>
        <v>0</v>
      </c>
      <c r="I404" s="5" t="n">
        <f aca="false">H404*0.5%</f>
        <v>0</v>
      </c>
      <c r="J404" s="5" t="n">
        <f aca="false">H404+I404</f>
        <v>0</v>
      </c>
      <c r="K404" s="0" t="str">
        <f aca="false">IF(D404="","",IF(D404&gt;12,"FLAG",IF(D404&gt;8,"OVERTIME","OK")))</f>
        <v/>
      </c>
      <c r="L404" s="0" t="str">
        <f aca="false">IF(OR(A404="",E404="",C404=""),"",IF(COUNTIFS($A:$A,A404,$E:$E,E404,$C:$C,C404)&gt;1,"DUPLIKAT","OK"))</f>
        <v/>
      </c>
    </row>
    <row r="405" customFormat="false" ht="15" hidden="false" customHeight="false" outlineLevel="0" collapsed="false">
      <c r="A405" s="6"/>
      <c r="B405" s="0" t="str">
        <f aca="false">IFERROR(INDEX(Master_Lista!$B$2:$B$151,MATCH(A405,Master_Lista!$A$2:$A$151,0)),"")</f>
        <v/>
      </c>
      <c r="C405" s="6"/>
      <c r="D405" s="7"/>
      <c r="E405" s="8"/>
      <c r="F405" s="0" t="str">
        <f aca="false">IFERROR(INDEX(Sheet11_Zarade!$C$2:$C$151,MATCH(A405,Sheet11_Zarade!$A$2:$A$151,0)),"")</f>
        <v/>
      </c>
      <c r="G405" s="5" t="n">
        <f aca="false">IFERROR(INDEX(Sheet11_Zarade!$D$2:$D$151,MATCH(A405,Sheet11_Zarade!$A$2:$A$151,0)),0)</f>
        <v>0</v>
      </c>
      <c r="H405" s="5" t="n">
        <f aca="false">IFERROR(D405*G405,0)</f>
        <v>0</v>
      </c>
      <c r="I405" s="5" t="n">
        <f aca="false">H405*0.5%</f>
        <v>0</v>
      </c>
      <c r="J405" s="5" t="n">
        <f aca="false">H405+I405</f>
        <v>0</v>
      </c>
      <c r="K405" s="0" t="str">
        <f aca="false">IF(D405="","",IF(D405&gt;12,"FLAG",IF(D405&gt;8,"OVERTIME","OK")))</f>
        <v/>
      </c>
      <c r="L405" s="0" t="str">
        <f aca="false">IF(OR(A405="",E405="",C405=""),"",IF(COUNTIFS($A:$A,A405,$E:$E,E405,$C:$C,C405)&gt;1,"DUPLIKAT","OK"))</f>
        <v/>
      </c>
    </row>
    <row r="406" customFormat="false" ht="15" hidden="false" customHeight="false" outlineLevel="0" collapsed="false">
      <c r="A406" s="6"/>
      <c r="B406" s="0" t="str">
        <f aca="false">IFERROR(INDEX(Master_Lista!$B$2:$B$151,MATCH(A406,Master_Lista!$A$2:$A$151,0)),"")</f>
        <v/>
      </c>
      <c r="C406" s="6"/>
      <c r="D406" s="7"/>
      <c r="E406" s="8"/>
      <c r="F406" s="0" t="str">
        <f aca="false">IFERROR(INDEX(Sheet11_Zarade!$C$2:$C$151,MATCH(A406,Sheet11_Zarade!$A$2:$A$151,0)),"")</f>
        <v/>
      </c>
      <c r="G406" s="5" t="n">
        <f aca="false">IFERROR(INDEX(Sheet11_Zarade!$D$2:$D$151,MATCH(A406,Sheet11_Zarade!$A$2:$A$151,0)),0)</f>
        <v>0</v>
      </c>
      <c r="H406" s="5" t="n">
        <f aca="false">IFERROR(D406*G406,0)</f>
        <v>0</v>
      </c>
      <c r="I406" s="5" t="n">
        <f aca="false">H406*0.5%</f>
        <v>0</v>
      </c>
      <c r="J406" s="5" t="n">
        <f aca="false">H406+I406</f>
        <v>0</v>
      </c>
      <c r="K406" s="0" t="str">
        <f aca="false">IF(D406="","",IF(D406&gt;12,"FLAG",IF(D406&gt;8,"OVERTIME","OK")))</f>
        <v/>
      </c>
      <c r="L406" s="0" t="str">
        <f aca="false">IF(OR(A406="",E406="",C406=""),"",IF(COUNTIFS($A:$A,A406,$E:$E,E406,$C:$C,C406)&gt;1,"DUPLIKAT","OK"))</f>
        <v/>
      </c>
    </row>
    <row r="407" customFormat="false" ht="15" hidden="false" customHeight="false" outlineLevel="0" collapsed="false">
      <c r="A407" s="6"/>
      <c r="B407" s="0" t="str">
        <f aca="false">IFERROR(INDEX(Master_Lista!$B$2:$B$151,MATCH(A407,Master_Lista!$A$2:$A$151,0)),"")</f>
        <v/>
      </c>
      <c r="C407" s="6"/>
      <c r="D407" s="7"/>
      <c r="E407" s="8"/>
      <c r="F407" s="0" t="str">
        <f aca="false">IFERROR(INDEX(Sheet11_Zarade!$C$2:$C$151,MATCH(A407,Sheet11_Zarade!$A$2:$A$151,0)),"")</f>
        <v/>
      </c>
      <c r="G407" s="5" t="n">
        <f aca="false">IFERROR(INDEX(Sheet11_Zarade!$D$2:$D$151,MATCH(A407,Sheet11_Zarade!$A$2:$A$151,0)),0)</f>
        <v>0</v>
      </c>
      <c r="H407" s="5" t="n">
        <f aca="false">IFERROR(D407*G407,0)</f>
        <v>0</v>
      </c>
      <c r="I407" s="5" t="n">
        <f aca="false">H407*0.5%</f>
        <v>0</v>
      </c>
      <c r="J407" s="5" t="n">
        <f aca="false">H407+I407</f>
        <v>0</v>
      </c>
      <c r="K407" s="0" t="str">
        <f aca="false">IF(D407="","",IF(D407&gt;12,"FLAG",IF(D407&gt;8,"OVERTIME","OK")))</f>
        <v/>
      </c>
      <c r="L407" s="0" t="str">
        <f aca="false">IF(OR(A407="",E407="",C407=""),"",IF(COUNTIFS($A:$A,A407,$E:$E,E407,$C:$C,C407)&gt;1,"DUPLIKAT","OK"))</f>
        <v/>
      </c>
    </row>
    <row r="408" customFormat="false" ht="15" hidden="false" customHeight="false" outlineLevel="0" collapsed="false">
      <c r="A408" s="6"/>
      <c r="B408" s="0" t="str">
        <f aca="false">IFERROR(INDEX(Master_Lista!$B$2:$B$151,MATCH(A408,Master_Lista!$A$2:$A$151,0)),"")</f>
        <v/>
      </c>
      <c r="C408" s="6"/>
      <c r="D408" s="7"/>
      <c r="E408" s="8"/>
      <c r="F408" s="0" t="str">
        <f aca="false">IFERROR(INDEX(Sheet11_Zarade!$C$2:$C$151,MATCH(A408,Sheet11_Zarade!$A$2:$A$151,0)),"")</f>
        <v/>
      </c>
      <c r="G408" s="5" t="n">
        <f aca="false">IFERROR(INDEX(Sheet11_Zarade!$D$2:$D$151,MATCH(A408,Sheet11_Zarade!$A$2:$A$151,0)),0)</f>
        <v>0</v>
      </c>
      <c r="H408" s="5" t="n">
        <f aca="false">IFERROR(D408*G408,0)</f>
        <v>0</v>
      </c>
      <c r="I408" s="5" t="n">
        <f aca="false">H408*0.5%</f>
        <v>0</v>
      </c>
      <c r="J408" s="5" t="n">
        <f aca="false">H408+I408</f>
        <v>0</v>
      </c>
      <c r="K408" s="0" t="str">
        <f aca="false">IF(D408="","",IF(D408&gt;12,"FLAG",IF(D408&gt;8,"OVERTIME","OK")))</f>
        <v/>
      </c>
      <c r="L408" s="0" t="str">
        <f aca="false">IF(OR(A408="",E408="",C408=""),"",IF(COUNTIFS($A:$A,A408,$E:$E,E408,$C:$C,C408)&gt;1,"DUPLIKAT","OK"))</f>
        <v/>
      </c>
    </row>
    <row r="409" customFormat="false" ht="15" hidden="false" customHeight="false" outlineLevel="0" collapsed="false">
      <c r="A409" s="6"/>
      <c r="B409" s="0" t="str">
        <f aca="false">IFERROR(INDEX(Master_Lista!$B$2:$B$151,MATCH(A409,Master_Lista!$A$2:$A$151,0)),"")</f>
        <v/>
      </c>
      <c r="C409" s="6"/>
      <c r="D409" s="7"/>
      <c r="E409" s="8"/>
      <c r="F409" s="0" t="str">
        <f aca="false">IFERROR(INDEX(Sheet11_Zarade!$C$2:$C$151,MATCH(A409,Sheet11_Zarade!$A$2:$A$151,0)),"")</f>
        <v/>
      </c>
      <c r="G409" s="5" t="n">
        <f aca="false">IFERROR(INDEX(Sheet11_Zarade!$D$2:$D$151,MATCH(A409,Sheet11_Zarade!$A$2:$A$151,0)),0)</f>
        <v>0</v>
      </c>
      <c r="H409" s="5" t="n">
        <f aca="false">IFERROR(D409*G409,0)</f>
        <v>0</v>
      </c>
      <c r="I409" s="5" t="n">
        <f aca="false">H409*0.5%</f>
        <v>0</v>
      </c>
      <c r="J409" s="5" t="n">
        <f aca="false">H409+I409</f>
        <v>0</v>
      </c>
      <c r="K409" s="0" t="str">
        <f aca="false">IF(D409="","",IF(D409&gt;12,"FLAG",IF(D409&gt;8,"OVERTIME","OK")))</f>
        <v/>
      </c>
      <c r="L409" s="0" t="str">
        <f aca="false">IF(OR(A409="",E409="",C409=""),"",IF(COUNTIFS($A:$A,A409,$E:$E,E409,$C:$C,C409)&gt;1,"DUPLIKAT","OK"))</f>
        <v/>
      </c>
    </row>
    <row r="410" customFormat="false" ht="15" hidden="false" customHeight="false" outlineLevel="0" collapsed="false">
      <c r="A410" s="6"/>
      <c r="B410" s="0" t="str">
        <f aca="false">IFERROR(INDEX(Master_Lista!$B$2:$B$151,MATCH(A410,Master_Lista!$A$2:$A$151,0)),"")</f>
        <v/>
      </c>
      <c r="C410" s="6"/>
      <c r="D410" s="7"/>
      <c r="E410" s="8"/>
      <c r="F410" s="0" t="str">
        <f aca="false">IFERROR(INDEX(Sheet11_Zarade!$C$2:$C$151,MATCH(A410,Sheet11_Zarade!$A$2:$A$151,0)),"")</f>
        <v/>
      </c>
      <c r="G410" s="5" t="n">
        <f aca="false">IFERROR(INDEX(Sheet11_Zarade!$D$2:$D$151,MATCH(A410,Sheet11_Zarade!$A$2:$A$151,0)),0)</f>
        <v>0</v>
      </c>
      <c r="H410" s="5" t="n">
        <f aca="false">IFERROR(D410*G410,0)</f>
        <v>0</v>
      </c>
      <c r="I410" s="5" t="n">
        <f aca="false">H410*0.5%</f>
        <v>0</v>
      </c>
      <c r="J410" s="5" t="n">
        <f aca="false">H410+I410</f>
        <v>0</v>
      </c>
      <c r="K410" s="0" t="str">
        <f aca="false">IF(D410="","",IF(D410&gt;12,"FLAG",IF(D410&gt;8,"OVERTIME","OK")))</f>
        <v/>
      </c>
      <c r="L410" s="0" t="str">
        <f aca="false">IF(OR(A410="",E410="",C410=""),"",IF(COUNTIFS($A:$A,A410,$E:$E,E410,$C:$C,C410)&gt;1,"DUPLIKAT","OK"))</f>
        <v/>
      </c>
    </row>
    <row r="411" customFormat="false" ht="15" hidden="false" customHeight="false" outlineLevel="0" collapsed="false">
      <c r="A411" s="6"/>
      <c r="B411" s="0" t="str">
        <f aca="false">IFERROR(INDEX(Master_Lista!$B$2:$B$151,MATCH(A411,Master_Lista!$A$2:$A$151,0)),"")</f>
        <v/>
      </c>
      <c r="C411" s="6"/>
      <c r="D411" s="7"/>
      <c r="E411" s="8"/>
      <c r="F411" s="0" t="str">
        <f aca="false">IFERROR(INDEX(Sheet11_Zarade!$C$2:$C$151,MATCH(A411,Sheet11_Zarade!$A$2:$A$151,0)),"")</f>
        <v/>
      </c>
      <c r="G411" s="5" t="n">
        <f aca="false">IFERROR(INDEX(Sheet11_Zarade!$D$2:$D$151,MATCH(A411,Sheet11_Zarade!$A$2:$A$151,0)),0)</f>
        <v>0</v>
      </c>
      <c r="H411" s="5" t="n">
        <f aca="false">IFERROR(D411*G411,0)</f>
        <v>0</v>
      </c>
      <c r="I411" s="5" t="n">
        <f aca="false">H411*0.5%</f>
        <v>0</v>
      </c>
      <c r="J411" s="5" t="n">
        <f aca="false">H411+I411</f>
        <v>0</v>
      </c>
      <c r="K411" s="0" t="str">
        <f aca="false">IF(D411="","",IF(D411&gt;12,"FLAG",IF(D411&gt;8,"OVERTIME","OK")))</f>
        <v/>
      </c>
      <c r="L411" s="0" t="str">
        <f aca="false">IF(OR(A411="",E411="",C411=""),"",IF(COUNTIFS($A:$A,A411,$E:$E,E411,$C:$C,C411)&gt;1,"DUPLIKAT","OK"))</f>
        <v/>
      </c>
    </row>
    <row r="412" customFormat="false" ht="15" hidden="false" customHeight="false" outlineLevel="0" collapsed="false">
      <c r="A412" s="6"/>
      <c r="B412" s="0" t="str">
        <f aca="false">IFERROR(INDEX(Master_Lista!$B$2:$B$151,MATCH(A412,Master_Lista!$A$2:$A$151,0)),"")</f>
        <v/>
      </c>
      <c r="C412" s="6"/>
      <c r="D412" s="7"/>
      <c r="E412" s="8"/>
      <c r="F412" s="0" t="str">
        <f aca="false">IFERROR(INDEX(Sheet11_Zarade!$C$2:$C$151,MATCH(A412,Sheet11_Zarade!$A$2:$A$151,0)),"")</f>
        <v/>
      </c>
      <c r="G412" s="5" t="n">
        <f aca="false">IFERROR(INDEX(Sheet11_Zarade!$D$2:$D$151,MATCH(A412,Sheet11_Zarade!$A$2:$A$151,0)),0)</f>
        <v>0</v>
      </c>
      <c r="H412" s="5" t="n">
        <f aca="false">IFERROR(D412*G412,0)</f>
        <v>0</v>
      </c>
      <c r="I412" s="5" t="n">
        <f aca="false">H412*0.5%</f>
        <v>0</v>
      </c>
      <c r="J412" s="5" t="n">
        <f aca="false">H412+I412</f>
        <v>0</v>
      </c>
      <c r="K412" s="0" t="str">
        <f aca="false">IF(D412="","",IF(D412&gt;12,"FLAG",IF(D412&gt;8,"OVERTIME","OK")))</f>
        <v/>
      </c>
      <c r="L412" s="0" t="str">
        <f aca="false">IF(OR(A412="",E412="",C412=""),"",IF(COUNTIFS($A:$A,A412,$E:$E,E412,$C:$C,C412)&gt;1,"DUPLIKAT","OK"))</f>
        <v/>
      </c>
    </row>
    <row r="413" customFormat="false" ht="15" hidden="false" customHeight="false" outlineLevel="0" collapsed="false">
      <c r="A413" s="6"/>
      <c r="B413" s="0" t="str">
        <f aca="false">IFERROR(INDEX(Master_Lista!$B$2:$B$151,MATCH(A413,Master_Lista!$A$2:$A$151,0)),"")</f>
        <v/>
      </c>
      <c r="C413" s="6"/>
      <c r="D413" s="7"/>
      <c r="E413" s="8"/>
      <c r="F413" s="0" t="str">
        <f aca="false">IFERROR(INDEX(Sheet11_Zarade!$C$2:$C$151,MATCH(A413,Sheet11_Zarade!$A$2:$A$151,0)),"")</f>
        <v/>
      </c>
      <c r="G413" s="5" t="n">
        <f aca="false">IFERROR(INDEX(Sheet11_Zarade!$D$2:$D$151,MATCH(A413,Sheet11_Zarade!$A$2:$A$151,0)),0)</f>
        <v>0</v>
      </c>
      <c r="H413" s="5" t="n">
        <f aca="false">IFERROR(D413*G413,0)</f>
        <v>0</v>
      </c>
      <c r="I413" s="5" t="n">
        <f aca="false">H413*0.5%</f>
        <v>0</v>
      </c>
      <c r="J413" s="5" t="n">
        <f aca="false">H413+I413</f>
        <v>0</v>
      </c>
      <c r="K413" s="0" t="str">
        <f aca="false">IF(D413="","",IF(D413&gt;12,"FLAG",IF(D413&gt;8,"OVERTIME","OK")))</f>
        <v/>
      </c>
      <c r="L413" s="0" t="str">
        <f aca="false">IF(OR(A413="",E413="",C413=""),"",IF(COUNTIFS($A:$A,A413,$E:$E,E413,$C:$C,C413)&gt;1,"DUPLIKAT","OK"))</f>
        <v/>
      </c>
    </row>
    <row r="414" customFormat="false" ht="15" hidden="false" customHeight="false" outlineLevel="0" collapsed="false">
      <c r="A414" s="6"/>
      <c r="B414" s="0" t="str">
        <f aca="false">IFERROR(INDEX(Master_Lista!$B$2:$B$151,MATCH(A414,Master_Lista!$A$2:$A$151,0)),"")</f>
        <v/>
      </c>
      <c r="C414" s="6"/>
      <c r="D414" s="7"/>
      <c r="E414" s="8"/>
      <c r="F414" s="0" t="str">
        <f aca="false">IFERROR(INDEX(Sheet11_Zarade!$C$2:$C$151,MATCH(A414,Sheet11_Zarade!$A$2:$A$151,0)),"")</f>
        <v/>
      </c>
      <c r="G414" s="5" t="n">
        <f aca="false">IFERROR(INDEX(Sheet11_Zarade!$D$2:$D$151,MATCH(A414,Sheet11_Zarade!$A$2:$A$151,0)),0)</f>
        <v>0</v>
      </c>
      <c r="H414" s="5" t="n">
        <f aca="false">IFERROR(D414*G414,0)</f>
        <v>0</v>
      </c>
      <c r="I414" s="5" t="n">
        <f aca="false">H414*0.5%</f>
        <v>0</v>
      </c>
      <c r="J414" s="5" t="n">
        <f aca="false">H414+I414</f>
        <v>0</v>
      </c>
      <c r="K414" s="0" t="str">
        <f aca="false">IF(D414="","",IF(D414&gt;12,"FLAG",IF(D414&gt;8,"OVERTIME","OK")))</f>
        <v/>
      </c>
      <c r="L414" s="0" t="str">
        <f aca="false">IF(OR(A414="",E414="",C414=""),"",IF(COUNTIFS($A:$A,A414,$E:$E,E414,$C:$C,C414)&gt;1,"DUPLIKAT","OK"))</f>
        <v/>
      </c>
    </row>
    <row r="415" customFormat="false" ht="15" hidden="false" customHeight="false" outlineLevel="0" collapsed="false">
      <c r="A415" s="6"/>
      <c r="B415" s="0" t="str">
        <f aca="false">IFERROR(INDEX(Master_Lista!$B$2:$B$151,MATCH(A415,Master_Lista!$A$2:$A$151,0)),"")</f>
        <v/>
      </c>
      <c r="C415" s="6"/>
      <c r="D415" s="7"/>
      <c r="E415" s="8"/>
      <c r="F415" s="0" t="str">
        <f aca="false">IFERROR(INDEX(Sheet11_Zarade!$C$2:$C$151,MATCH(A415,Sheet11_Zarade!$A$2:$A$151,0)),"")</f>
        <v/>
      </c>
      <c r="G415" s="5" t="n">
        <f aca="false">IFERROR(INDEX(Sheet11_Zarade!$D$2:$D$151,MATCH(A415,Sheet11_Zarade!$A$2:$A$151,0)),0)</f>
        <v>0</v>
      </c>
      <c r="H415" s="5" t="n">
        <f aca="false">IFERROR(D415*G415,0)</f>
        <v>0</v>
      </c>
      <c r="I415" s="5" t="n">
        <f aca="false">H415*0.5%</f>
        <v>0</v>
      </c>
      <c r="J415" s="5" t="n">
        <f aca="false">H415+I415</f>
        <v>0</v>
      </c>
      <c r="K415" s="0" t="str">
        <f aca="false">IF(D415="","",IF(D415&gt;12,"FLAG",IF(D415&gt;8,"OVERTIME","OK")))</f>
        <v/>
      </c>
      <c r="L415" s="0" t="str">
        <f aca="false">IF(OR(A415="",E415="",C415=""),"",IF(COUNTIFS($A:$A,A415,$E:$E,E415,$C:$C,C415)&gt;1,"DUPLIKAT","OK"))</f>
        <v/>
      </c>
    </row>
    <row r="416" customFormat="false" ht="15" hidden="false" customHeight="false" outlineLevel="0" collapsed="false">
      <c r="A416" s="6"/>
      <c r="B416" s="0" t="str">
        <f aca="false">IFERROR(INDEX(Master_Lista!$B$2:$B$151,MATCH(A416,Master_Lista!$A$2:$A$151,0)),"")</f>
        <v/>
      </c>
      <c r="C416" s="6"/>
      <c r="D416" s="7"/>
      <c r="E416" s="8"/>
      <c r="F416" s="0" t="str">
        <f aca="false">IFERROR(INDEX(Sheet11_Zarade!$C$2:$C$151,MATCH(A416,Sheet11_Zarade!$A$2:$A$151,0)),"")</f>
        <v/>
      </c>
      <c r="G416" s="5" t="n">
        <f aca="false">IFERROR(INDEX(Sheet11_Zarade!$D$2:$D$151,MATCH(A416,Sheet11_Zarade!$A$2:$A$151,0)),0)</f>
        <v>0</v>
      </c>
      <c r="H416" s="5" t="n">
        <f aca="false">IFERROR(D416*G416,0)</f>
        <v>0</v>
      </c>
      <c r="I416" s="5" t="n">
        <f aca="false">H416*0.5%</f>
        <v>0</v>
      </c>
      <c r="J416" s="5" t="n">
        <f aca="false">H416+I416</f>
        <v>0</v>
      </c>
      <c r="K416" s="0" t="str">
        <f aca="false">IF(D416="","",IF(D416&gt;12,"FLAG",IF(D416&gt;8,"OVERTIME","OK")))</f>
        <v/>
      </c>
      <c r="L416" s="0" t="str">
        <f aca="false">IF(OR(A416="",E416="",C416=""),"",IF(COUNTIFS($A:$A,A416,$E:$E,E416,$C:$C,C416)&gt;1,"DUPLIKAT","OK"))</f>
        <v/>
      </c>
    </row>
    <row r="417" customFormat="false" ht="15" hidden="false" customHeight="false" outlineLevel="0" collapsed="false">
      <c r="A417" s="6"/>
      <c r="B417" s="0" t="str">
        <f aca="false">IFERROR(INDEX(Master_Lista!$B$2:$B$151,MATCH(A417,Master_Lista!$A$2:$A$151,0)),"")</f>
        <v/>
      </c>
      <c r="C417" s="6"/>
      <c r="D417" s="7"/>
      <c r="E417" s="8"/>
      <c r="F417" s="0" t="str">
        <f aca="false">IFERROR(INDEX(Sheet11_Zarade!$C$2:$C$151,MATCH(A417,Sheet11_Zarade!$A$2:$A$151,0)),"")</f>
        <v/>
      </c>
      <c r="G417" s="5" t="n">
        <f aca="false">IFERROR(INDEX(Sheet11_Zarade!$D$2:$D$151,MATCH(A417,Sheet11_Zarade!$A$2:$A$151,0)),0)</f>
        <v>0</v>
      </c>
      <c r="H417" s="5" t="n">
        <f aca="false">IFERROR(D417*G417,0)</f>
        <v>0</v>
      </c>
      <c r="I417" s="5" t="n">
        <f aca="false">H417*0.5%</f>
        <v>0</v>
      </c>
      <c r="J417" s="5" t="n">
        <f aca="false">H417+I417</f>
        <v>0</v>
      </c>
      <c r="K417" s="0" t="str">
        <f aca="false">IF(D417="","",IF(D417&gt;12,"FLAG",IF(D417&gt;8,"OVERTIME","OK")))</f>
        <v/>
      </c>
      <c r="L417" s="0" t="str">
        <f aca="false">IF(OR(A417="",E417="",C417=""),"",IF(COUNTIFS($A:$A,A417,$E:$E,E417,$C:$C,C417)&gt;1,"DUPLIKAT","OK"))</f>
        <v/>
      </c>
    </row>
    <row r="418" customFormat="false" ht="15" hidden="false" customHeight="false" outlineLevel="0" collapsed="false">
      <c r="A418" s="6"/>
      <c r="B418" s="0" t="str">
        <f aca="false">IFERROR(INDEX(Master_Lista!$B$2:$B$151,MATCH(A418,Master_Lista!$A$2:$A$151,0)),"")</f>
        <v/>
      </c>
      <c r="C418" s="6"/>
      <c r="D418" s="7"/>
      <c r="E418" s="8"/>
      <c r="F418" s="0" t="str">
        <f aca="false">IFERROR(INDEX(Sheet11_Zarade!$C$2:$C$151,MATCH(A418,Sheet11_Zarade!$A$2:$A$151,0)),"")</f>
        <v/>
      </c>
      <c r="G418" s="5" t="n">
        <f aca="false">IFERROR(INDEX(Sheet11_Zarade!$D$2:$D$151,MATCH(A418,Sheet11_Zarade!$A$2:$A$151,0)),0)</f>
        <v>0</v>
      </c>
      <c r="H418" s="5" t="n">
        <f aca="false">IFERROR(D418*G418,0)</f>
        <v>0</v>
      </c>
      <c r="I418" s="5" t="n">
        <f aca="false">H418*0.5%</f>
        <v>0</v>
      </c>
      <c r="J418" s="5" t="n">
        <f aca="false">H418+I418</f>
        <v>0</v>
      </c>
      <c r="K418" s="0" t="str">
        <f aca="false">IF(D418="","",IF(D418&gt;12,"FLAG",IF(D418&gt;8,"OVERTIME","OK")))</f>
        <v/>
      </c>
      <c r="L418" s="0" t="str">
        <f aca="false">IF(OR(A418="",E418="",C418=""),"",IF(COUNTIFS($A:$A,A418,$E:$E,E418,$C:$C,C418)&gt;1,"DUPLIKAT","OK"))</f>
        <v/>
      </c>
    </row>
    <row r="419" customFormat="false" ht="15" hidden="false" customHeight="false" outlineLevel="0" collapsed="false">
      <c r="A419" s="6"/>
      <c r="B419" s="0" t="str">
        <f aca="false">IFERROR(INDEX(Master_Lista!$B$2:$B$151,MATCH(A419,Master_Lista!$A$2:$A$151,0)),"")</f>
        <v/>
      </c>
      <c r="C419" s="6"/>
      <c r="D419" s="7"/>
      <c r="E419" s="8"/>
      <c r="F419" s="0" t="str">
        <f aca="false">IFERROR(INDEX(Sheet11_Zarade!$C$2:$C$151,MATCH(A419,Sheet11_Zarade!$A$2:$A$151,0)),"")</f>
        <v/>
      </c>
      <c r="G419" s="5" t="n">
        <f aca="false">IFERROR(INDEX(Sheet11_Zarade!$D$2:$D$151,MATCH(A419,Sheet11_Zarade!$A$2:$A$151,0)),0)</f>
        <v>0</v>
      </c>
      <c r="H419" s="5" t="n">
        <f aca="false">IFERROR(D419*G419,0)</f>
        <v>0</v>
      </c>
      <c r="I419" s="5" t="n">
        <f aca="false">H419*0.5%</f>
        <v>0</v>
      </c>
      <c r="J419" s="5" t="n">
        <f aca="false">H419+I419</f>
        <v>0</v>
      </c>
      <c r="K419" s="0" t="str">
        <f aca="false">IF(D419="","",IF(D419&gt;12,"FLAG",IF(D419&gt;8,"OVERTIME","OK")))</f>
        <v/>
      </c>
      <c r="L419" s="0" t="str">
        <f aca="false">IF(OR(A419="",E419="",C419=""),"",IF(COUNTIFS($A:$A,A419,$E:$E,E419,$C:$C,C419)&gt;1,"DUPLIKAT","OK"))</f>
        <v/>
      </c>
    </row>
    <row r="420" customFormat="false" ht="15" hidden="false" customHeight="false" outlineLevel="0" collapsed="false">
      <c r="A420" s="6"/>
      <c r="B420" s="0" t="str">
        <f aca="false">IFERROR(INDEX(Master_Lista!$B$2:$B$151,MATCH(A420,Master_Lista!$A$2:$A$151,0)),"")</f>
        <v/>
      </c>
      <c r="C420" s="6"/>
      <c r="D420" s="7"/>
      <c r="E420" s="8"/>
      <c r="F420" s="0" t="str">
        <f aca="false">IFERROR(INDEX(Sheet11_Zarade!$C$2:$C$151,MATCH(A420,Sheet11_Zarade!$A$2:$A$151,0)),"")</f>
        <v/>
      </c>
      <c r="G420" s="5" t="n">
        <f aca="false">IFERROR(INDEX(Sheet11_Zarade!$D$2:$D$151,MATCH(A420,Sheet11_Zarade!$A$2:$A$151,0)),0)</f>
        <v>0</v>
      </c>
      <c r="H420" s="5" t="n">
        <f aca="false">IFERROR(D420*G420,0)</f>
        <v>0</v>
      </c>
      <c r="I420" s="5" t="n">
        <f aca="false">H420*0.5%</f>
        <v>0</v>
      </c>
      <c r="J420" s="5" t="n">
        <f aca="false">H420+I420</f>
        <v>0</v>
      </c>
      <c r="K420" s="0" t="str">
        <f aca="false">IF(D420="","",IF(D420&gt;12,"FLAG",IF(D420&gt;8,"OVERTIME","OK")))</f>
        <v/>
      </c>
      <c r="L420" s="0" t="str">
        <f aca="false">IF(OR(A420="",E420="",C420=""),"",IF(COUNTIFS($A:$A,A420,$E:$E,E420,$C:$C,C420)&gt;1,"DUPLIKAT","OK"))</f>
        <v/>
      </c>
    </row>
    <row r="421" customFormat="false" ht="15" hidden="false" customHeight="false" outlineLevel="0" collapsed="false">
      <c r="A421" s="6"/>
      <c r="B421" s="0" t="str">
        <f aca="false">IFERROR(INDEX(Master_Lista!$B$2:$B$151,MATCH(A421,Master_Lista!$A$2:$A$151,0)),"")</f>
        <v/>
      </c>
      <c r="C421" s="6"/>
      <c r="D421" s="7"/>
      <c r="E421" s="8"/>
      <c r="F421" s="0" t="str">
        <f aca="false">IFERROR(INDEX(Sheet11_Zarade!$C$2:$C$151,MATCH(A421,Sheet11_Zarade!$A$2:$A$151,0)),"")</f>
        <v/>
      </c>
      <c r="G421" s="5" t="n">
        <f aca="false">IFERROR(INDEX(Sheet11_Zarade!$D$2:$D$151,MATCH(A421,Sheet11_Zarade!$A$2:$A$151,0)),0)</f>
        <v>0</v>
      </c>
      <c r="H421" s="5" t="n">
        <f aca="false">IFERROR(D421*G421,0)</f>
        <v>0</v>
      </c>
      <c r="I421" s="5" t="n">
        <f aca="false">H421*0.5%</f>
        <v>0</v>
      </c>
      <c r="J421" s="5" t="n">
        <f aca="false">H421+I421</f>
        <v>0</v>
      </c>
      <c r="K421" s="0" t="str">
        <f aca="false">IF(D421="","",IF(D421&gt;12,"FLAG",IF(D421&gt;8,"OVERTIME","OK")))</f>
        <v/>
      </c>
      <c r="L421" s="0" t="str">
        <f aca="false">IF(OR(A421="",E421="",C421=""),"",IF(COUNTIFS($A:$A,A421,$E:$E,E421,$C:$C,C421)&gt;1,"DUPLIKAT","OK"))</f>
        <v/>
      </c>
    </row>
    <row r="422" customFormat="false" ht="15" hidden="false" customHeight="false" outlineLevel="0" collapsed="false">
      <c r="A422" s="6"/>
      <c r="B422" s="0" t="str">
        <f aca="false">IFERROR(INDEX(Master_Lista!$B$2:$B$151,MATCH(A422,Master_Lista!$A$2:$A$151,0)),"")</f>
        <v/>
      </c>
      <c r="C422" s="6"/>
      <c r="D422" s="7"/>
      <c r="E422" s="8"/>
      <c r="F422" s="0" t="str">
        <f aca="false">IFERROR(INDEX(Sheet11_Zarade!$C$2:$C$151,MATCH(A422,Sheet11_Zarade!$A$2:$A$151,0)),"")</f>
        <v/>
      </c>
      <c r="G422" s="5" t="n">
        <f aca="false">IFERROR(INDEX(Sheet11_Zarade!$D$2:$D$151,MATCH(A422,Sheet11_Zarade!$A$2:$A$151,0)),0)</f>
        <v>0</v>
      </c>
      <c r="H422" s="5" t="n">
        <f aca="false">IFERROR(D422*G422,0)</f>
        <v>0</v>
      </c>
      <c r="I422" s="5" t="n">
        <f aca="false">H422*0.5%</f>
        <v>0</v>
      </c>
      <c r="J422" s="5" t="n">
        <f aca="false">H422+I422</f>
        <v>0</v>
      </c>
      <c r="K422" s="0" t="str">
        <f aca="false">IF(D422="","",IF(D422&gt;12,"FLAG",IF(D422&gt;8,"OVERTIME","OK")))</f>
        <v/>
      </c>
      <c r="L422" s="0" t="str">
        <f aca="false">IF(OR(A422="",E422="",C422=""),"",IF(COUNTIFS($A:$A,A422,$E:$E,E422,$C:$C,C422)&gt;1,"DUPLIKAT","OK"))</f>
        <v/>
      </c>
    </row>
    <row r="423" customFormat="false" ht="15" hidden="false" customHeight="false" outlineLevel="0" collapsed="false">
      <c r="A423" s="6"/>
      <c r="B423" s="0" t="str">
        <f aca="false">IFERROR(INDEX(Master_Lista!$B$2:$B$151,MATCH(A423,Master_Lista!$A$2:$A$151,0)),"")</f>
        <v/>
      </c>
      <c r="C423" s="6"/>
      <c r="D423" s="7"/>
      <c r="E423" s="8"/>
      <c r="F423" s="0" t="str">
        <f aca="false">IFERROR(INDEX(Sheet11_Zarade!$C$2:$C$151,MATCH(A423,Sheet11_Zarade!$A$2:$A$151,0)),"")</f>
        <v/>
      </c>
      <c r="G423" s="5" t="n">
        <f aca="false">IFERROR(INDEX(Sheet11_Zarade!$D$2:$D$151,MATCH(A423,Sheet11_Zarade!$A$2:$A$151,0)),0)</f>
        <v>0</v>
      </c>
      <c r="H423" s="5" t="n">
        <f aca="false">IFERROR(D423*G423,0)</f>
        <v>0</v>
      </c>
      <c r="I423" s="5" t="n">
        <f aca="false">H423*0.5%</f>
        <v>0</v>
      </c>
      <c r="J423" s="5" t="n">
        <f aca="false">H423+I423</f>
        <v>0</v>
      </c>
      <c r="K423" s="0" t="str">
        <f aca="false">IF(D423="","",IF(D423&gt;12,"FLAG",IF(D423&gt;8,"OVERTIME","OK")))</f>
        <v/>
      </c>
      <c r="L423" s="0" t="str">
        <f aca="false">IF(OR(A423="",E423="",C423=""),"",IF(COUNTIFS($A:$A,A423,$E:$E,E423,$C:$C,C423)&gt;1,"DUPLIKAT","OK"))</f>
        <v/>
      </c>
    </row>
    <row r="424" customFormat="false" ht="15" hidden="false" customHeight="false" outlineLevel="0" collapsed="false">
      <c r="A424" s="6"/>
      <c r="B424" s="0" t="str">
        <f aca="false">IFERROR(INDEX(Master_Lista!$B$2:$B$151,MATCH(A424,Master_Lista!$A$2:$A$151,0)),"")</f>
        <v/>
      </c>
      <c r="C424" s="6"/>
      <c r="D424" s="7"/>
      <c r="E424" s="8"/>
      <c r="F424" s="0" t="str">
        <f aca="false">IFERROR(INDEX(Sheet11_Zarade!$C$2:$C$151,MATCH(A424,Sheet11_Zarade!$A$2:$A$151,0)),"")</f>
        <v/>
      </c>
      <c r="G424" s="5" t="n">
        <f aca="false">IFERROR(INDEX(Sheet11_Zarade!$D$2:$D$151,MATCH(A424,Sheet11_Zarade!$A$2:$A$151,0)),0)</f>
        <v>0</v>
      </c>
      <c r="H424" s="5" t="n">
        <f aca="false">IFERROR(D424*G424,0)</f>
        <v>0</v>
      </c>
      <c r="I424" s="5" t="n">
        <f aca="false">H424*0.5%</f>
        <v>0</v>
      </c>
      <c r="J424" s="5" t="n">
        <f aca="false">H424+I424</f>
        <v>0</v>
      </c>
      <c r="K424" s="0" t="str">
        <f aca="false">IF(D424="","",IF(D424&gt;12,"FLAG",IF(D424&gt;8,"OVERTIME","OK")))</f>
        <v/>
      </c>
      <c r="L424" s="0" t="str">
        <f aca="false">IF(OR(A424="",E424="",C424=""),"",IF(COUNTIFS($A:$A,A424,$E:$E,E424,$C:$C,C424)&gt;1,"DUPLIKAT","OK"))</f>
        <v/>
      </c>
    </row>
    <row r="425" customFormat="false" ht="15" hidden="false" customHeight="false" outlineLevel="0" collapsed="false">
      <c r="A425" s="6"/>
      <c r="B425" s="0" t="str">
        <f aca="false">IFERROR(INDEX(Master_Lista!$B$2:$B$151,MATCH(A425,Master_Lista!$A$2:$A$151,0)),"")</f>
        <v/>
      </c>
      <c r="C425" s="6"/>
      <c r="D425" s="7"/>
      <c r="E425" s="8"/>
      <c r="F425" s="0" t="str">
        <f aca="false">IFERROR(INDEX(Sheet11_Zarade!$C$2:$C$151,MATCH(A425,Sheet11_Zarade!$A$2:$A$151,0)),"")</f>
        <v/>
      </c>
      <c r="G425" s="5" t="n">
        <f aca="false">IFERROR(INDEX(Sheet11_Zarade!$D$2:$D$151,MATCH(A425,Sheet11_Zarade!$A$2:$A$151,0)),0)</f>
        <v>0</v>
      </c>
      <c r="H425" s="5" t="n">
        <f aca="false">IFERROR(D425*G425,0)</f>
        <v>0</v>
      </c>
      <c r="I425" s="5" t="n">
        <f aca="false">H425*0.5%</f>
        <v>0</v>
      </c>
      <c r="J425" s="5" t="n">
        <f aca="false">H425+I425</f>
        <v>0</v>
      </c>
      <c r="K425" s="0" t="str">
        <f aca="false">IF(D425="","",IF(D425&gt;12,"FLAG",IF(D425&gt;8,"OVERTIME","OK")))</f>
        <v/>
      </c>
      <c r="L425" s="0" t="str">
        <f aca="false">IF(OR(A425="",E425="",C425=""),"",IF(COUNTIFS($A:$A,A425,$E:$E,E425,$C:$C,C425)&gt;1,"DUPLIKAT","OK"))</f>
        <v/>
      </c>
    </row>
    <row r="426" customFormat="false" ht="15" hidden="false" customHeight="false" outlineLevel="0" collapsed="false">
      <c r="A426" s="6"/>
      <c r="B426" s="0" t="str">
        <f aca="false">IFERROR(INDEX(Master_Lista!$B$2:$B$151,MATCH(A426,Master_Lista!$A$2:$A$151,0)),"")</f>
        <v/>
      </c>
      <c r="C426" s="6"/>
      <c r="D426" s="7"/>
      <c r="E426" s="8"/>
      <c r="F426" s="0" t="str">
        <f aca="false">IFERROR(INDEX(Sheet11_Zarade!$C$2:$C$151,MATCH(A426,Sheet11_Zarade!$A$2:$A$151,0)),"")</f>
        <v/>
      </c>
      <c r="G426" s="5" t="n">
        <f aca="false">IFERROR(INDEX(Sheet11_Zarade!$D$2:$D$151,MATCH(A426,Sheet11_Zarade!$A$2:$A$151,0)),0)</f>
        <v>0</v>
      </c>
      <c r="H426" s="5" t="n">
        <f aca="false">IFERROR(D426*G426,0)</f>
        <v>0</v>
      </c>
      <c r="I426" s="5" t="n">
        <f aca="false">H426*0.5%</f>
        <v>0</v>
      </c>
      <c r="J426" s="5" t="n">
        <f aca="false">H426+I426</f>
        <v>0</v>
      </c>
      <c r="K426" s="0" t="str">
        <f aca="false">IF(D426="","",IF(D426&gt;12,"FLAG",IF(D426&gt;8,"OVERTIME","OK")))</f>
        <v/>
      </c>
      <c r="L426" s="0" t="str">
        <f aca="false">IF(OR(A426="",E426="",C426=""),"",IF(COUNTIFS($A:$A,A426,$E:$E,E426,$C:$C,C426)&gt;1,"DUPLIKAT","OK"))</f>
        <v/>
      </c>
    </row>
    <row r="427" customFormat="false" ht="15" hidden="false" customHeight="false" outlineLevel="0" collapsed="false">
      <c r="A427" s="6"/>
      <c r="B427" s="0" t="str">
        <f aca="false">IFERROR(INDEX(Master_Lista!$B$2:$B$151,MATCH(A427,Master_Lista!$A$2:$A$151,0)),"")</f>
        <v/>
      </c>
      <c r="C427" s="6"/>
      <c r="D427" s="7"/>
      <c r="E427" s="8"/>
      <c r="F427" s="0" t="str">
        <f aca="false">IFERROR(INDEX(Sheet11_Zarade!$C$2:$C$151,MATCH(A427,Sheet11_Zarade!$A$2:$A$151,0)),"")</f>
        <v/>
      </c>
      <c r="G427" s="5" t="n">
        <f aca="false">IFERROR(INDEX(Sheet11_Zarade!$D$2:$D$151,MATCH(A427,Sheet11_Zarade!$A$2:$A$151,0)),0)</f>
        <v>0</v>
      </c>
      <c r="H427" s="5" t="n">
        <f aca="false">IFERROR(D427*G427,0)</f>
        <v>0</v>
      </c>
      <c r="I427" s="5" t="n">
        <f aca="false">H427*0.5%</f>
        <v>0</v>
      </c>
      <c r="J427" s="5" t="n">
        <f aca="false">H427+I427</f>
        <v>0</v>
      </c>
      <c r="K427" s="0" t="str">
        <f aca="false">IF(D427="","",IF(D427&gt;12,"FLAG",IF(D427&gt;8,"OVERTIME","OK")))</f>
        <v/>
      </c>
      <c r="L427" s="0" t="str">
        <f aca="false">IF(OR(A427="",E427="",C427=""),"",IF(COUNTIFS($A:$A,A427,$E:$E,E427,$C:$C,C427)&gt;1,"DUPLIKAT","OK"))</f>
        <v/>
      </c>
    </row>
    <row r="428" customFormat="false" ht="15" hidden="false" customHeight="false" outlineLevel="0" collapsed="false">
      <c r="A428" s="6"/>
      <c r="B428" s="0" t="str">
        <f aca="false">IFERROR(INDEX(Master_Lista!$B$2:$B$151,MATCH(A428,Master_Lista!$A$2:$A$151,0)),"")</f>
        <v/>
      </c>
      <c r="C428" s="6"/>
      <c r="D428" s="7"/>
      <c r="E428" s="8"/>
      <c r="F428" s="0" t="str">
        <f aca="false">IFERROR(INDEX(Sheet11_Zarade!$C$2:$C$151,MATCH(A428,Sheet11_Zarade!$A$2:$A$151,0)),"")</f>
        <v/>
      </c>
      <c r="G428" s="5" t="n">
        <f aca="false">IFERROR(INDEX(Sheet11_Zarade!$D$2:$D$151,MATCH(A428,Sheet11_Zarade!$A$2:$A$151,0)),0)</f>
        <v>0</v>
      </c>
      <c r="H428" s="5" t="n">
        <f aca="false">IFERROR(D428*G428,0)</f>
        <v>0</v>
      </c>
      <c r="I428" s="5" t="n">
        <f aca="false">H428*0.5%</f>
        <v>0</v>
      </c>
      <c r="J428" s="5" t="n">
        <f aca="false">H428+I428</f>
        <v>0</v>
      </c>
      <c r="K428" s="0" t="str">
        <f aca="false">IF(D428="","",IF(D428&gt;12,"FLAG",IF(D428&gt;8,"OVERTIME","OK")))</f>
        <v/>
      </c>
      <c r="L428" s="0" t="str">
        <f aca="false">IF(OR(A428="",E428="",C428=""),"",IF(COUNTIFS($A:$A,A428,$E:$E,E428,$C:$C,C428)&gt;1,"DUPLIKAT","OK"))</f>
        <v/>
      </c>
    </row>
    <row r="429" customFormat="false" ht="15" hidden="false" customHeight="false" outlineLevel="0" collapsed="false">
      <c r="A429" s="6"/>
      <c r="B429" s="0" t="str">
        <f aca="false">IFERROR(INDEX(Master_Lista!$B$2:$B$151,MATCH(A429,Master_Lista!$A$2:$A$151,0)),"")</f>
        <v/>
      </c>
      <c r="C429" s="6"/>
      <c r="D429" s="7"/>
      <c r="E429" s="8"/>
      <c r="F429" s="0" t="str">
        <f aca="false">IFERROR(INDEX(Sheet11_Zarade!$C$2:$C$151,MATCH(A429,Sheet11_Zarade!$A$2:$A$151,0)),"")</f>
        <v/>
      </c>
      <c r="G429" s="5" t="n">
        <f aca="false">IFERROR(INDEX(Sheet11_Zarade!$D$2:$D$151,MATCH(A429,Sheet11_Zarade!$A$2:$A$151,0)),0)</f>
        <v>0</v>
      </c>
      <c r="H429" s="5" t="n">
        <f aca="false">IFERROR(D429*G429,0)</f>
        <v>0</v>
      </c>
      <c r="I429" s="5" t="n">
        <f aca="false">H429*0.5%</f>
        <v>0</v>
      </c>
      <c r="J429" s="5" t="n">
        <f aca="false">H429+I429</f>
        <v>0</v>
      </c>
      <c r="K429" s="0" t="str">
        <f aca="false">IF(D429="","",IF(D429&gt;12,"FLAG",IF(D429&gt;8,"OVERTIME","OK")))</f>
        <v/>
      </c>
      <c r="L429" s="0" t="str">
        <f aca="false">IF(OR(A429="",E429="",C429=""),"",IF(COUNTIFS($A:$A,A429,$E:$E,E429,$C:$C,C429)&gt;1,"DUPLIKAT","OK"))</f>
        <v/>
      </c>
    </row>
    <row r="430" customFormat="false" ht="15" hidden="false" customHeight="false" outlineLevel="0" collapsed="false">
      <c r="A430" s="6"/>
      <c r="B430" s="0" t="str">
        <f aca="false">IFERROR(INDEX(Master_Lista!$B$2:$B$151,MATCH(A430,Master_Lista!$A$2:$A$151,0)),"")</f>
        <v/>
      </c>
      <c r="C430" s="6"/>
      <c r="D430" s="7"/>
      <c r="E430" s="8"/>
      <c r="F430" s="0" t="str">
        <f aca="false">IFERROR(INDEX(Sheet11_Zarade!$C$2:$C$151,MATCH(A430,Sheet11_Zarade!$A$2:$A$151,0)),"")</f>
        <v/>
      </c>
      <c r="G430" s="5" t="n">
        <f aca="false">IFERROR(INDEX(Sheet11_Zarade!$D$2:$D$151,MATCH(A430,Sheet11_Zarade!$A$2:$A$151,0)),0)</f>
        <v>0</v>
      </c>
      <c r="H430" s="5" t="n">
        <f aca="false">IFERROR(D430*G430,0)</f>
        <v>0</v>
      </c>
      <c r="I430" s="5" t="n">
        <f aca="false">H430*0.5%</f>
        <v>0</v>
      </c>
      <c r="J430" s="5" t="n">
        <f aca="false">H430+I430</f>
        <v>0</v>
      </c>
      <c r="K430" s="0" t="str">
        <f aca="false">IF(D430="","",IF(D430&gt;12,"FLAG",IF(D430&gt;8,"OVERTIME","OK")))</f>
        <v/>
      </c>
      <c r="L430" s="0" t="str">
        <f aca="false">IF(OR(A430="",E430="",C430=""),"",IF(COUNTIFS($A:$A,A430,$E:$E,E430,$C:$C,C430)&gt;1,"DUPLIKAT","OK"))</f>
        <v/>
      </c>
    </row>
    <row r="431" customFormat="false" ht="15" hidden="false" customHeight="false" outlineLevel="0" collapsed="false">
      <c r="A431" s="6"/>
      <c r="B431" s="0" t="str">
        <f aca="false">IFERROR(INDEX(Master_Lista!$B$2:$B$151,MATCH(A431,Master_Lista!$A$2:$A$151,0)),"")</f>
        <v/>
      </c>
      <c r="C431" s="6"/>
      <c r="D431" s="7"/>
      <c r="E431" s="8"/>
      <c r="F431" s="0" t="str">
        <f aca="false">IFERROR(INDEX(Sheet11_Zarade!$C$2:$C$151,MATCH(A431,Sheet11_Zarade!$A$2:$A$151,0)),"")</f>
        <v/>
      </c>
      <c r="G431" s="5" t="n">
        <f aca="false">IFERROR(INDEX(Sheet11_Zarade!$D$2:$D$151,MATCH(A431,Sheet11_Zarade!$A$2:$A$151,0)),0)</f>
        <v>0</v>
      </c>
      <c r="H431" s="5" t="n">
        <f aca="false">IFERROR(D431*G431,0)</f>
        <v>0</v>
      </c>
      <c r="I431" s="5" t="n">
        <f aca="false">H431*0.5%</f>
        <v>0</v>
      </c>
      <c r="J431" s="5" t="n">
        <f aca="false">H431+I431</f>
        <v>0</v>
      </c>
      <c r="K431" s="0" t="str">
        <f aca="false">IF(D431="","",IF(D431&gt;12,"FLAG",IF(D431&gt;8,"OVERTIME","OK")))</f>
        <v/>
      </c>
      <c r="L431" s="0" t="str">
        <f aca="false">IF(OR(A431="",E431="",C431=""),"",IF(COUNTIFS($A:$A,A431,$E:$E,E431,$C:$C,C431)&gt;1,"DUPLIKAT","OK"))</f>
        <v/>
      </c>
    </row>
    <row r="432" customFormat="false" ht="15" hidden="false" customHeight="false" outlineLevel="0" collapsed="false">
      <c r="A432" s="6"/>
      <c r="B432" s="0" t="str">
        <f aca="false">IFERROR(INDEX(Master_Lista!$B$2:$B$151,MATCH(A432,Master_Lista!$A$2:$A$151,0)),"")</f>
        <v/>
      </c>
      <c r="C432" s="6"/>
      <c r="D432" s="7"/>
      <c r="E432" s="8"/>
      <c r="F432" s="0" t="str">
        <f aca="false">IFERROR(INDEX(Sheet11_Zarade!$C$2:$C$151,MATCH(A432,Sheet11_Zarade!$A$2:$A$151,0)),"")</f>
        <v/>
      </c>
      <c r="G432" s="5" t="n">
        <f aca="false">IFERROR(INDEX(Sheet11_Zarade!$D$2:$D$151,MATCH(A432,Sheet11_Zarade!$A$2:$A$151,0)),0)</f>
        <v>0</v>
      </c>
      <c r="H432" s="5" t="n">
        <f aca="false">IFERROR(D432*G432,0)</f>
        <v>0</v>
      </c>
      <c r="I432" s="5" t="n">
        <f aca="false">H432*0.5%</f>
        <v>0</v>
      </c>
      <c r="J432" s="5" t="n">
        <f aca="false">H432+I432</f>
        <v>0</v>
      </c>
      <c r="K432" s="0" t="str">
        <f aca="false">IF(D432="","",IF(D432&gt;12,"FLAG",IF(D432&gt;8,"OVERTIME","OK")))</f>
        <v/>
      </c>
      <c r="L432" s="0" t="str">
        <f aca="false">IF(OR(A432="",E432="",C432=""),"",IF(COUNTIFS($A:$A,A432,$E:$E,E432,$C:$C,C432)&gt;1,"DUPLIKAT","OK"))</f>
        <v/>
      </c>
    </row>
    <row r="433" customFormat="false" ht="15" hidden="false" customHeight="false" outlineLevel="0" collapsed="false">
      <c r="A433" s="6"/>
      <c r="B433" s="0" t="str">
        <f aca="false">IFERROR(INDEX(Master_Lista!$B$2:$B$151,MATCH(A433,Master_Lista!$A$2:$A$151,0)),"")</f>
        <v/>
      </c>
      <c r="C433" s="6"/>
      <c r="D433" s="7"/>
      <c r="E433" s="8"/>
      <c r="F433" s="0" t="str">
        <f aca="false">IFERROR(INDEX(Sheet11_Zarade!$C$2:$C$151,MATCH(A433,Sheet11_Zarade!$A$2:$A$151,0)),"")</f>
        <v/>
      </c>
      <c r="G433" s="5" t="n">
        <f aca="false">IFERROR(INDEX(Sheet11_Zarade!$D$2:$D$151,MATCH(A433,Sheet11_Zarade!$A$2:$A$151,0)),0)</f>
        <v>0</v>
      </c>
      <c r="H433" s="5" t="n">
        <f aca="false">IFERROR(D433*G433,0)</f>
        <v>0</v>
      </c>
      <c r="I433" s="5" t="n">
        <f aca="false">H433*0.5%</f>
        <v>0</v>
      </c>
      <c r="J433" s="5" t="n">
        <f aca="false">H433+I433</f>
        <v>0</v>
      </c>
      <c r="K433" s="0" t="str">
        <f aca="false">IF(D433="","",IF(D433&gt;12,"FLAG",IF(D433&gt;8,"OVERTIME","OK")))</f>
        <v/>
      </c>
      <c r="L433" s="0" t="str">
        <f aca="false">IF(OR(A433="",E433="",C433=""),"",IF(COUNTIFS($A:$A,A433,$E:$E,E433,$C:$C,C433)&gt;1,"DUPLIKAT","OK"))</f>
        <v/>
      </c>
    </row>
    <row r="434" customFormat="false" ht="15" hidden="false" customHeight="false" outlineLevel="0" collapsed="false">
      <c r="A434" s="6"/>
      <c r="B434" s="0" t="str">
        <f aca="false">IFERROR(INDEX(Master_Lista!$B$2:$B$151,MATCH(A434,Master_Lista!$A$2:$A$151,0)),"")</f>
        <v/>
      </c>
      <c r="C434" s="6"/>
      <c r="D434" s="7"/>
      <c r="E434" s="8"/>
      <c r="F434" s="0" t="str">
        <f aca="false">IFERROR(INDEX(Sheet11_Zarade!$C$2:$C$151,MATCH(A434,Sheet11_Zarade!$A$2:$A$151,0)),"")</f>
        <v/>
      </c>
      <c r="G434" s="5" t="n">
        <f aca="false">IFERROR(INDEX(Sheet11_Zarade!$D$2:$D$151,MATCH(A434,Sheet11_Zarade!$A$2:$A$151,0)),0)</f>
        <v>0</v>
      </c>
      <c r="H434" s="5" t="n">
        <f aca="false">IFERROR(D434*G434,0)</f>
        <v>0</v>
      </c>
      <c r="I434" s="5" t="n">
        <f aca="false">H434*0.5%</f>
        <v>0</v>
      </c>
      <c r="J434" s="5" t="n">
        <f aca="false">H434+I434</f>
        <v>0</v>
      </c>
      <c r="K434" s="0" t="str">
        <f aca="false">IF(D434="","",IF(D434&gt;12,"FLAG",IF(D434&gt;8,"OVERTIME","OK")))</f>
        <v/>
      </c>
      <c r="L434" s="0" t="str">
        <f aca="false">IF(OR(A434="",E434="",C434=""),"",IF(COUNTIFS($A:$A,A434,$E:$E,E434,$C:$C,C434)&gt;1,"DUPLIKAT","OK"))</f>
        <v/>
      </c>
    </row>
    <row r="435" customFormat="false" ht="15" hidden="false" customHeight="false" outlineLevel="0" collapsed="false">
      <c r="A435" s="6"/>
      <c r="B435" s="0" t="str">
        <f aca="false">IFERROR(INDEX(Master_Lista!$B$2:$B$151,MATCH(A435,Master_Lista!$A$2:$A$151,0)),"")</f>
        <v/>
      </c>
      <c r="C435" s="6"/>
      <c r="D435" s="7"/>
      <c r="E435" s="8"/>
      <c r="F435" s="0" t="str">
        <f aca="false">IFERROR(INDEX(Sheet11_Zarade!$C$2:$C$151,MATCH(A435,Sheet11_Zarade!$A$2:$A$151,0)),"")</f>
        <v/>
      </c>
      <c r="G435" s="5" t="n">
        <f aca="false">IFERROR(INDEX(Sheet11_Zarade!$D$2:$D$151,MATCH(A435,Sheet11_Zarade!$A$2:$A$151,0)),0)</f>
        <v>0</v>
      </c>
      <c r="H435" s="5" t="n">
        <f aca="false">IFERROR(D435*G435,0)</f>
        <v>0</v>
      </c>
      <c r="I435" s="5" t="n">
        <f aca="false">H435*0.5%</f>
        <v>0</v>
      </c>
      <c r="J435" s="5" t="n">
        <f aca="false">H435+I435</f>
        <v>0</v>
      </c>
      <c r="K435" s="0" t="str">
        <f aca="false">IF(D435="","",IF(D435&gt;12,"FLAG",IF(D435&gt;8,"OVERTIME","OK")))</f>
        <v/>
      </c>
      <c r="L435" s="0" t="str">
        <f aca="false">IF(OR(A435="",E435="",C435=""),"",IF(COUNTIFS($A:$A,A435,$E:$E,E435,$C:$C,C435)&gt;1,"DUPLIKAT","OK"))</f>
        <v/>
      </c>
    </row>
    <row r="436" customFormat="false" ht="15" hidden="false" customHeight="false" outlineLevel="0" collapsed="false">
      <c r="A436" s="6"/>
      <c r="B436" s="0" t="str">
        <f aca="false">IFERROR(INDEX(Master_Lista!$B$2:$B$151,MATCH(A436,Master_Lista!$A$2:$A$151,0)),"")</f>
        <v/>
      </c>
      <c r="C436" s="6"/>
      <c r="D436" s="7"/>
      <c r="E436" s="8"/>
      <c r="F436" s="0" t="str">
        <f aca="false">IFERROR(INDEX(Sheet11_Zarade!$C$2:$C$151,MATCH(A436,Sheet11_Zarade!$A$2:$A$151,0)),"")</f>
        <v/>
      </c>
      <c r="G436" s="5" t="n">
        <f aca="false">IFERROR(INDEX(Sheet11_Zarade!$D$2:$D$151,MATCH(A436,Sheet11_Zarade!$A$2:$A$151,0)),0)</f>
        <v>0</v>
      </c>
      <c r="H436" s="5" t="n">
        <f aca="false">IFERROR(D436*G436,0)</f>
        <v>0</v>
      </c>
      <c r="I436" s="5" t="n">
        <f aca="false">H436*0.5%</f>
        <v>0</v>
      </c>
      <c r="J436" s="5" t="n">
        <f aca="false">H436+I436</f>
        <v>0</v>
      </c>
      <c r="K436" s="0" t="str">
        <f aca="false">IF(D436="","",IF(D436&gt;12,"FLAG",IF(D436&gt;8,"OVERTIME","OK")))</f>
        <v/>
      </c>
      <c r="L436" s="0" t="str">
        <f aca="false">IF(OR(A436="",E436="",C436=""),"",IF(COUNTIFS($A:$A,A436,$E:$E,E436,$C:$C,C436)&gt;1,"DUPLIKAT","OK"))</f>
        <v/>
      </c>
    </row>
    <row r="437" customFormat="false" ht="15" hidden="false" customHeight="false" outlineLevel="0" collapsed="false">
      <c r="A437" s="6"/>
      <c r="B437" s="0" t="str">
        <f aca="false">IFERROR(INDEX(Master_Lista!$B$2:$B$151,MATCH(A437,Master_Lista!$A$2:$A$151,0)),"")</f>
        <v/>
      </c>
      <c r="C437" s="6"/>
      <c r="D437" s="7"/>
      <c r="E437" s="8"/>
      <c r="F437" s="0" t="str">
        <f aca="false">IFERROR(INDEX(Sheet11_Zarade!$C$2:$C$151,MATCH(A437,Sheet11_Zarade!$A$2:$A$151,0)),"")</f>
        <v/>
      </c>
      <c r="G437" s="5" t="n">
        <f aca="false">IFERROR(INDEX(Sheet11_Zarade!$D$2:$D$151,MATCH(A437,Sheet11_Zarade!$A$2:$A$151,0)),0)</f>
        <v>0</v>
      </c>
      <c r="H437" s="5" t="n">
        <f aca="false">IFERROR(D437*G437,0)</f>
        <v>0</v>
      </c>
      <c r="I437" s="5" t="n">
        <f aca="false">H437*0.5%</f>
        <v>0</v>
      </c>
      <c r="J437" s="5" t="n">
        <f aca="false">H437+I437</f>
        <v>0</v>
      </c>
      <c r="K437" s="0" t="str">
        <f aca="false">IF(D437="","",IF(D437&gt;12,"FLAG",IF(D437&gt;8,"OVERTIME","OK")))</f>
        <v/>
      </c>
      <c r="L437" s="0" t="str">
        <f aca="false">IF(OR(A437="",E437="",C437=""),"",IF(COUNTIFS($A:$A,A437,$E:$E,E437,$C:$C,C437)&gt;1,"DUPLIKAT","OK"))</f>
        <v/>
      </c>
    </row>
    <row r="438" customFormat="false" ht="15" hidden="false" customHeight="false" outlineLevel="0" collapsed="false">
      <c r="A438" s="6"/>
      <c r="B438" s="0" t="str">
        <f aca="false">IFERROR(INDEX(Master_Lista!$B$2:$B$151,MATCH(A438,Master_Lista!$A$2:$A$151,0)),"")</f>
        <v/>
      </c>
      <c r="C438" s="6"/>
      <c r="D438" s="7"/>
      <c r="E438" s="8"/>
      <c r="F438" s="0" t="str">
        <f aca="false">IFERROR(INDEX(Sheet11_Zarade!$C$2:$C$151,MATCH(A438,Sheet11_Zarade!$A$2:$A$151,0)),"")</f>
        <v/>
      </c>
      <c r="G438" s="5" t="n">
        <f aca="false">IFERROR(INDEX(Sheet11_Zarade!$D$2:$D$151,MATCH(A438,Sheet11_Zarade!$A$2:$A$151,0)),0)</f>
        <v>0</v>
      </c>
      <c r="H438" s="5" t="n">
        <f aca="false">IFERROR(D438*G438,0)</f>
        <v>0</v>
      </c>
      <c r="I438" s="5" t="n">
        <f aca="false">H438*0.5%</f>
        <v>0</v>
      </c>
      <c r="J438" s="5" t="n">
        <f aca="false">H438+I438</f>
        <v>0</v>
      </c>
      <c r="K438" s="0" t="str">
        <f aca="false">IF(D438="","",IF(D438&gt;12,"FLAG",IF(D438&gt;8,"OVERTIME","OK")))</f>
        <v/>
      </c>
      <c r="L438" s="0" t="str">
        <f aca="false">IF(OR(A438="",E438="",C438=""),"",IF(COUNTIFS($A:$A,A438,$E:$E,E438,$C:$C,C438)&gt;1,"DUPLIKAT","OK"))</f>
        <v/>
      </c>
    </row>
    <row r="439" customFormat="false" ht="15" hidden="false" customHeight="false" outlineLevel="0" collapsed="false">
      <c r="A439" s="6"/>
      <c r="B439" s="0" t="str">
        <f aca="false">IFERROR(INDEX(Master_Lista!$B$2:$B$151,MATCH(A439,Master_Lista!$A$2:$A$151,0)),"")</f>
        <v/>
      </c>
      <c r="C439" s="6"/>
      <c r="D439" s="7"/>
      <c r="E439" s="8"/>
      <c r="F439" s="0" t="str">
        <f aca="false">IFERROR(INDEX(Sheet11_Zarade!$C$2:$C$151,MATCH(A439,Sheet11_Zarade!$A$2:$A$151,0)),"")</f>
        <v/>
      </c>
      <c r="G439" s="5" t="n">
        <f aca="false">IFERROR(INDEX(Sheet11_Zarade!$D$2:$D$151,MATCH(A439,Sheet11_Zarade!$A$2:$A$151,0)),0)</f>
        <v>0</v>
      </c>
      <c r="H439" s="5" t="n">
        <f aca="false">IFERROR(D439*G439,0)</f>
        <v>0</v>
      </c>
      <c r="I439" s="5" t="n">
        <f aca="false">H439*0.5%</f>
        <v>0</v>
      </c>
      <c r="J439" s="5" t="n">
        <f aca="false">H439+I439</f>
        <v>0</v>
      </c>
      <c r="K439" s="0" t="str">
        <f aca="false">IF(D439="","",IF(D439&gt;12,"FLAG",IF(D439&gt;8,"OVERTIME","OK")))</f>
        <v/>
      </c>
      <c r="L439" s="0" t="str">
        <f aca="false">IF(OR(A439="",E439="",C439=""),"",IF(COUNTIFS($A:$A,A439,$E:$E,E439,$C:$C,C439)&gt;1,"DUPLIKAT","OK"))</f>
        <v/>
      </c>
    </row>
    <row r="440" customFormat="false" ht="15" hidden="false" customHeight="false" outlineLevel="0" collapsed="false">
      <c r="A440" s="6"/>
      <c r="B440" s="0" t="str">
        <f aca="false">IFERROR(INDEX(Master_Lista!$B$2:$B$151,MATCH(A440,Master_Lista!$A$2:$A$151,0)),"")</f>
        <v/>
      </c>
      <c r="C440" s="6"/>
      <c r="D440" s="7"/>
      <c r="E440" s="8"/>
      <c r="F440" s="0" t="str">
        <f aca="false">IFERROR(INDEX(Sheet11_Zarade!$C$2:$C$151,MATCH(A440,Sheet11_Zarade!$A$2:$A$151,0)),"")</f>
        <v/>
      </c>
      <c r="G440" s="5" t="n">
        <f aca="false">IFERROR(INDEX(Sheet11_Zarade!$D$2:$D$151,MATCH(A440,Sheet11_Zarade!$A$2:$A$151,0)),0)</f>
        <v>0</v>
      </c>
      <c r="H440" s="5" t="n">
        <f aca="false">IFERROR(D440*G440,0)</f>
        <v>0</v>
      </c>
      <c r="I440" s="5" t="n">
        <f aca="false">H440*0.5%</f>
        <v>0</v>
      </c>
      <c r="J440" s="5" t="n">
        <f aca="false">H440+I440</f>
        <v>0</v>
      </c>
      <c r="K440" s="0" t="str">
        <f aca="false">IF(D440="","",IF(D440&gt;12,"FLAG",IF(D440&gt;8,"OVERTIME","OK")))</f>
        <v/>
      </c>
      <c r="L440" s="0" t="str">
        <f aca="false">IF(OR(A440="",E440="",C440=""),"",IF(COUNTIFS($A:$A,A440,$E:$E,E440,$C:$C,C440)&gt;1,"DUPLIKAT","OK"))</f>
        <v/>
      </c>
    </row>
    <row r="441" customFormat="false" ht="15" hidden="false" customHeight="false" outlineLevel="0" collapsed="false">
      <c r="A441" s="6"/>
      <c r="B441" s="0" t="str">
        <f aca="false">IFERROR(INDEX(Master_Lista!$B$2:$B$151,MATCH(A441,Master_Lista!$A$2:$A$151,0)),"")</f>
        <v/>
      </c>
      <c r="C441" s="6"/>
      <c r="D441" s="7"/>
      <c r="E441" s="8"/>
      <c r="F441" s="0" t="str">
        <f aca="false">IFERROR(INDEX(Sheet11_Zarade!$C$2:$C$151,MATCH(A441,Sheet11_Zarade!$A$2:$A$151,0)),"")</f>
        <v/>
      </c>
      <c r="G441" s="5" t="n">
        <f aca="false">IFERROR(INDEX(Sheet11_Zarade!$D$2:$D$151,MATCH(A441,Sheet11_Zarade!$A$2:$A$151,0)),0)</f>
        <v>0</v>
      </c>
      <c r="H441" s="5" t="n">
        <f aca="false">IFERROR(D441*G441,0)</f>
        <v>0</v>
      </c>
      <c r="I441" s="5" t="n">
        <f aca="false">H441*0.5%</f>
        <v>0</v>
      </c>
      <c r="J441" s="5" t="n">
        <f aca="false">H441+I441</f>
        <v>0</v>
      </c>
      <c r="K441" s="0" t="str">
        <f aca="false">IF(D441="","",IF(D441&gt;12,"FLAG",IF(D441&gt;8,"OVERTIME","OK")))</f>
        <v/>
      </c>
      <c r="L441" s="0" t="str">
        <f aca="false">IF(OR(A441="",E441="",C441=""),"",IF(COUNTIFS($A:$A,A441,$E:$E,E441,$C:$C,C441)&gt;1,"DUPLIKAT","OK"))</f>
        <v/>
      </c>
    </row>
    <row r="442" customFormat="false" ht="15" hidden="false" customHeight="false" outlineLevel="0" collapsed="false">
      <c r="A442" s="6"/>
      <c r="B442" s="0" t="str">
        <f aca="false">IFERROR(INDEX(Master_Lista!$B$2:$B$151,MATCH(A442,Master_Lista!$A$2:$A$151,0)),"")</f>
        <v/>
      </c>
      <c r="C442" s="6"/>
      <c r="D442" s="7"/>
      <c r="E442" s="8"/>
      <c r="F442" s="0" t="str">
        <f aca="false">IFERROR(INDEX(Sheet11_Zarade!$C$2:$C$151,MATCH(A442,Sheet11_Zarade!$A$2:$A$151,0)),"")</f>
        <v/>
      </c>
      <c r="G442" s="5" t="n">
        <f aca="false">IFERROR(INDEX(Sheet11_Zarade!$D$2:$D$151,MATCH(A442,Sheet11_Zarade!$A$2:$A$151,0)),0)</f>
        <v>0</v>
      </c>
      <c r="H442" s="5" t="n">
        <f aca="false">IFERROR(D442*G442,0)</f>
        <v>0</v>
      </c>
      <c r="I442" s="5" t="n">
        <f aca="false">H442*0.5%</f>
        <v>0</v>
      </c>
      <c r="J442" s="5" t="n">
        <f aca="false">H442+I442</f>
        <v>0</v>
      </c>
      <c r="K442" s="0" t="str">
        <f aca="false">IF(D442="","",IF(D442&gt;12,"FLAG",IF(D442&gt;8,"OVERTIME","OK")))</f>
        <v/>
      </c>
      <c r="L442" s="0" t="str">
        <f aca="false">IF(OR(A442="",E442="",C442=""),"",IF(COUNTIFS($A:$A,A442,$E:$E,E442,$C:$C,C442)&gt;1,"DUPLIKAT","OK"))</f>
        <v/>
      </c>
    </row>
    <row r="443" customFormat="false" ht="15" hidden="false" customHeight="false" outlineLevel="0" collapsed="false">
      <c r="A443" s="6"/>
      <c r="B443" s="0" t="str">
        <f aca="false">IFERROR(INDEX(Master_Lista!$B$2:$B$151,MATCH(A443,Master_Lista!$A$2:$A$151,0)),"")</f>
        <v/>
      </c>
      <c r="C443" s="6"/>
      <c r="D443" s="7"/>
      <c r="E443" s="8"/>
      <c r="F443" s="0" t="str">
        <f aca="false">IFERROR(INDEX(Sheet11_Zarade!$C$2:$C$151,MATCH(A443,Sheet11_Zarade!$A$2:$A$151,0)),"")</f>
        <v/>
      </c>
      <c r="G443" s="5" t="n">
        <f aca="false">IFERROR(INDEX(Sheet11_Zarade!$D$2:$D$151,MATCH(A443,Sheet11_Zarade!$A$2:$A$151,0)),0)</f>
        <v>0</v>
      </c>
      <c r="H443" s="5" t="n">
        <f aca="false">IFERROR(D443*G443,0)</f>
        <v>0</v>
      </c>
      <c r="I443" s="5" t="n">
        <f aca="false">H443*0.5%</f>
        <v>0</v>
      </c>
      <c r="J443" s="5" t="n">
        <f aca="false">H443+I443</f>
        <v>0</v>
      </c>
      <c r="K443" s="0" t="str">
        <f aca="false">IF(D443="","",IF(D443&gt;12,"FLAG",IF(D443&gt;8,"OVERTIME","OK")))</f>
        <v/>
      </c>
      <c r="L443" s="0" t="str">
        <f aca="false">IF(OR(A443="",E443="",C443=""),"",IF(COUNTIFS($A:$A,A443,$E:$E,E443,$C:$C,C443)&gt;1,"DUPLIKAT","OK"))</f>
        <v/>
      </c>
    </row>
    <row r="444" customFormat="false" ht="15" hidden="false" customHeight="false" outlineLevel="0" collapsed="false">
      <c r="A444" s="6"/>
      <c r="B444" s="0" t="str">
        <f aca="false">IFERROR(INDEX(Master_Lista!$B$2:$B$151,MATCH(A444,Master_Lista!$A$2:$A$151,0)),"")</f>
        <v/>
      </c>
      <c r="C444" s="6"/>
      <c r="D444" s="7"/>
      <c r="E444" s="8"/>
      <c r="F444" s="0" t="str">
        <f aca="false">IFERROR(INDEX(Sheet11_Zarade!$C$2:$C$151,MATCH(A444,Sheet11_Zarade!$A$2:$A$151,0)),"")</f>
        <v/>
      </c>
      <c r="G444" s="5" t="n">
        <f aca="false">IFERROR(INDEX(Sheet11_Zarade!$D$2:$D$151,MATCH(A444,Sheet11_Zarade!$A$2:$A$151,0)),0)</f>
        <v>0</v>
      </c>
      <c r="H444" s="5" t="n">
        <f aca="false">IFERROR(D444*G444,0)</f>
        <v>0</v>
      </c>
      <c r="I444" s="5" t="n">
        <f aca="false">H444*0.5%</f>
        <v>0</v>
      </c>
      <c r="J444" s="5" t="n">
        <f aca="false">H444+I444</f>
        <v>0</v>
      </c>
      <c r="K444" s="0" t="str">
        <f aca="false">IF(D444="","",IF(D444&gt;12,"FLAG",IF(D444&gt;8,"OVERTIME","OK")))</f>
        <v/>
      </c>
      <c r="L444" s="0" t="str">
        <f aca="false">IF(OR(A444="",E444="",C444=""),"",IF(COUNTIFS($A:$A,A444,$E:$E,E444,$C:$C,C444)&gt;1,"DUPLIKAT","OK"))</f>
        <v/>
      </c>
    </row>
    <row r="445" customFormat="false" ht="15" hidden="false" customHeight="false" outlineLevel="0" collapsed="false">
      <c r="A445" s="6"/>
      <c r="B445" s="0" t="str">
        <f aca="false">IFERROR(INDEX(Master_Lista!$B$2:$B$151,MATCH(A445,Master_Lista!$A$2:$A$151,0)),"")</f>
        <v/>
      </c>
      <c r="C445" s="6"/>
      <c r="D445" s="7"/>
      <c r="E445" s="8"/>
      <c r="F445" s="0" t="str">
        <f aca="false">IFERROR(INDEX(Sheet11_Zarade!$C$2:$C$151,MATCH(A445,Sheet11_Zarade!$A$2:$A$151,0)),"")</f>
        <v/>
      </c>
      <c r="G445" s="5" t="n">
        <f aca="false">IFERROR(INDEX(Sheet11_Zarade!$D$2:$D$151,MATCH(A445,Sheet11_Zarade!$A$2:$A$151,0)),0)</f>
        <v>0</v>
      </c>
      <c r="H445" s="5" t="n">
        <f aca="false">IFERROR(D445*G445,0)</f>
        <v>0</v>
      </c>
      <c r="I445" s="5" t="n">
        <f aca="false">H445*0.5%</f>
        <v>0</v>
      </c>
      <c r="J445" s="5" t="n">
        <f aca="false">H445+I445</f>
        <v>0</v>
      </c>
      <c r="K445" s="0" t="str">
        <f aca="false">IF(D445="","",IF(D445&gt;12,"FLAG",IF(D445&gt;8,"OVERTIME","OK")))</f>
        <v/>
      </c>
      <c r="L445" s="0" t="str">
        <f aca="false">IF(OR(A445="",E445="",C445=""),"",IF(COUNTIFS($A:$A,A445,$E:$E,E445,$C:$C,C445)&gt;1,"DUPLIKAT","OK"))</f>
        <v/>
      </c>
    </row>
    <row r="446" customFormat="false" ht="15" hidden="false" customHeight="false" outlineLevel="0" collapsed="false">
      <c r="A446" s="6"/>
      <c r="B446" s="0" t="str">
        <f aca="false">IFERROR(INDEX(Master_Lista!$B$2:$B$151,MATCH(A446,Master_Lista!$A$2:$A$151,0)),"")</f>
        <v/>
      </c>
      <c r="C446" s="6"/>
      <c r="D446" s="7"/>
      <c r="E446" s="8"/>
      <c r="F446" s="0" t="str">
        <f aca="false">IFERROR(INDEX(Sheet11_Zarade!$C$2:$C$151,MATCH(A446,Sheet11_Zarade!$A$2:$A$151,0)),"")</f>
        <v/>
      </c>
      <c r="G446" s="5" t="n">
        <f aca="false">IFERROR(INDEX(Sheet11_Zarade!$D$2:$D$151,MATCH(A446,Sheet11_Zarade!$A$2:$A$151,0)),0)</f>
        <v>0</v>
      </c>
      <c r="H446" s="5" t="n">
        <f aca="false">IFERROR(D446*G446,0)</f>
        <v>0</v>
      </c>
      <c r="I446" s="5" t="n">
        <f aca="false">H446*0.5%</f>
        <v>0</v>
      </c>
      <c r="J446" s="5" t="n">
        <f aca="false">H446+I446</f>
        <v>0</v>
      </c>
      <c r="K446" s="0" t="str">
        <f aca="false">IF(D446="","",IF(D446&gt;12,"FLAG",IF(D446&gt;8,"OVERTIME","OK")))</f>
        <v/>
      </c>
      <c r="L446" s="0" t="str">
        <f aca="false">IF(OR(A446="",E446="",C446=""),"",IF(COUNTIFS($A:$A,A446,$E:$E,E446,$C:$C,C446)&gt;1,"DUPLIKAT","OK"))</f>
        <v/>
      </c>
    </row>
    <row r="447" customFormat="false" ht="15" hidden="false" customHeight="false" outlineLevel="0" collapsed="false">
      <c r="A447" s="6"/>
      <c r="B447" s="0" t="str">
        <f aca="false">IFERROR(INDEX(Master_Lista!$B$2:$B$151,MATCH(A447,Master_Lista!$A$2:$A$151,0)),"")</f>
        <v/>
      </c>
      <c r="C447" s="6"/>
      <c r="D447" s="7"/>
      <c r="E447" s="8"/>
      <c r="F447" s="0" t="str">
        <f aca="false">IFERROR(INDEX(Sheet11_Zarade!$C$2:$C$151,MATCH(A447,Sheet11_Zarade!$A$2:$A$151,0)),"")</f>
        <v/>
      </c>
      <c r="G447" s="5" t="n">
        <f aca="false">IFERROR(INDEX(Sheet11_Zarade!$D$2:$D$151,MATCH(A447,Sheet11_Zarade!$A$2:$A$151,0)),0)</f>
        <v>0</v>
      </c>
      <c r="H447" s="5" t="n">
        <f aca="false">IFERROR(D447*G447,0)</f>
        <v>0</v>
      </c>
      <c r="I447" s="5" t="n">
        <f aca="false">H447*0.5%</f>
        <v>0</v>
      </c>
      <c r="J447" s="5" t="n">
        <f aca="false">H447+I447</f>
        <v>0</v>
      </c>
      <c r="K447" s="0" t="str">
        <f aca="false">IF(D447="","",IF(D447&gt;12,"FLAG",IF(D447&gt;8,"OVERTIME","OK")))</f>
        <v/>
      </c>
      <c r="L447" s="0" t="str">
        <f aca="false">IF(OR(A447="",E447="",C447=""),"",IF(COUNTIFS($A:$A,A447,$E:$E,E447,$C:$C,C447)&gt;1,"DUPLIKAT","OK"))</f>
        <v/>
      </c>
    </row>
    <row r="448" customFormat="false" ht="15" hidden="false" customHeight="false" outlineLevel="0" collapsed="false">
      <c r="A448" s="6"/>
      <c r="B448" s="0" t="str">
        <f aca="false">IFERROR(INDEX(Master_Lista!$B$2:$B$151,MATCH(A448,Master_Lista!$A$2:$A$151,0)),"")</f>
        <v/>
      </c>
      <c r="C448" s="6"/>
      <c r="D448" s="7"/>
      <c r="E448" s="8"/>
      <c r="F448" s="0" t="str">
        <f aca="false">IFERROR(INDEX(Sheet11_Zarade!$C$2:$C$151,MATCH(A448,Sheet11_Zarade!$A$2:$A$151,0)),"")</f>
        <v/>
      </c>
      <c r="G448" s="5" t="n">
        <f aca="false">IFERROR(INDEX(Sheet11_Zarade!$D$2:$D$151,MATCH(A448,Sheet11_Zarade!$A$2:$A$151,0)),0)</f>
        <v>0</v>
      </c>
      <c r="H448" s="5" t="n">
        <f aca="false">IFERROR(D448*G448,0)</f>
        <v>0</v>
      </c>
      <c r="I448" s="5" t="n">
        <f aca="false">H448*0.5%</f>
        <v>0</v>
      </c>
      <c r="J448" s="5" t="n">
        <f aca="false">H448+I448</f>
        <v>0</v>
      </c>
      <c r="K448" s="0" t="str">
        <f aca="false">IF(D448="","",IF(D448&gt;12,"FLAG",IF(D448&gt;8,"OVERTIME","OK")))</f>
        <v/>
      </c>
      <c r="L448" s="0" t="str">
        <f aca="false">IF(OR(A448="",E448="",C448=""),"",IF(COUNTIFS($A:$A,A448,$E:$E,E448,$C:$C,C448)&gt;1,"DUPLIKAT","OK"))</f>
        <v/>
      </c>
    </row>
    <row r="449" customFormat="false" ht="15" hidden="false" customHeight="false" outlineLevel="0" collapsed="false">
      <c r="A449" s="6"/>
      <c r="B449" s="0" t="str">
        <f aca="false">IFERROR(INDEX(Master_Lista!$B$2:$B$151,MATCH(A449,Master_Lista!$A$2:$A$151,0)),"")</f>
        <v/>
      </c>
      <c r="C449" s="6"/>
      <c r="D449" s="7"/>
      <c r="E449" s="8"/>
      <c r="F449" s="0" t="str">
        <f aca="false">IFERROR(INDEX(Sheet11_Zarade!$C$2:$C$151,MATCH(A449,Sheet11_Zarade!$A$2:$A$151,0)),"")</f>
        <v/>
      </c>
      <c r="G449" s="5" t="n">
        <f aca="false">IFERROR(INDEX(Sheet11_Zarade!$D$2:$D$151,MATCH(A449,Sheet11_Zarade!$A$2:$A$151,0)),0)</f>
        <v>0</v>
      </c>
      <c r="H449" s="5" t="n">
        <f aca="false">IFERROR(D449*G449,0)</f>
        <v>0</v>
      </c>
      <c r="I449" s="5" t="n">
        <f aca="false">H449*0.5%</f>
        <v>0</v>
      </c>
      <c r="J449" s="5" t="n">
        <f aca="false">H449+I449</f>
        <v>0</v>
      </c>
      <c r="K449" s="0" t="str">
        <f aca="false">IF(D449="","",IF(D449&gt;12,"FLAG",IF(D449&gt;8,"OVERTIME","OK")))</f>
        <v/>
      </c>
      <c r="L449" s="0" t="str">
        <f aca="false">IF(OR(A449="",E449="",C449=""),"",IF(COUNTIFS($A:$A,A449,$E:$E,E449,$C:$C,C449)&gt;1,"DUPLIKAT","OK"))</f>
        <v/>
      </c>
    </row>
    <row r="450" customFormat="false" ht="15" hidden="false" customHeight="false" outlineLevel="0" collapsed="false">
      <c r="A450" s="6"/>
      <c r="B450" s="0" t="str">
        <f aca="false">IFERROR(INDEX(Master_Lista!$B$2:$B$151,MATCH(A450,Master_Lista!$A$2:$A$151,0)),"")</f>
        <v/>
      </c>
      <c r="C450" s="6"/>
      <c r="D450" s="7"/>
      <c r="E450" s="8"/>
      <c r="F450" s="0" t="str">
        <f aca="false">IFERROR(INDEX(Sheet11_Zarade!$C$2:$C$151,MATCH(A450,Sheet11_Zarade!$A$2:$A$151,0)),"")</f>
        <v/>
      </c>
      <c r="G450" s="5" t="n">
        <f aca="false">IFERROR(INDEX(Sheet11_Zarade!$D$2:$D$151,MATCH(A450,Sheet11_Zarade!$A$2:$A$151,0)),0)</f>
        <v>0</v>
      </c>
      <c r="H450" s="5" t="n">
        <f aca="false">IFERROR(D450*G450,0)</f>
        <v>0</v>
      </c>
      <c r="I450" s="5" t="n">
        <f aca="false">H450*0.5%</f>
        <v>0</v>
      </c>
      <c r="J450" s="5" t="n">
        <f aca="false">H450+I450</f>
        <v>0</v>
      </c>
      <c r="K450" s="0" t="str">
        <f aca="false">IF(D450="","",IF(D450&gt;12,"FLAG",IF(D450&gt;8,"OVERTIME","OK")))</f>
        <v/>
      </c>
      <c r="L450" s="0" t="str">
        <f aca="false">IF(OR(A450="",E450="",C450=""),"",IF(COUNTIFS($A:$A,A450,$E:$E,E450,$C:$C,C450)&gt;1,"DUPLIKAT","OK"))</f>
        <v/>
      </c>
    </row>
    <row r="451" customFormat="false" ht="15" hidden="false" customHeight="false" outlineLevel="0" collapsed="false">
      <c r="A451" s="6"/>
      <c r="B451" s="0" t="str">
        <f aca="false">IFERROR(INDEX(Master_Lista!$B$2:$B$151,MATCH(A451,Master_Lista!$A$2:$A$151,0)),"")</f>
        <v/>
      </c>
      <c r="C451" s="6"/>
      <c r="D451" s="7"/>
      <c r="E451" s="8"/>
      <c r="F451" s="0" t="str">
        <f aca="false">IFERROR(INDEX(Sheet11_Zarade!$C$2:$C$151,MATCH(A451,Sheet11_Zarade!$A$2:$A$151,0)),"")</f>
        <v/>
      </c>
      <c r="G451" s="5" t="n">
        <f aca="false">IFERROR(INDEX(Sheet11_Zarade!$D$2:$D$151,MATCH(A451,Sheet11_Zarade!$A$2:$A$151,0)),0)</f>
        <v>0</v>
      </c>
      <c r="H451" s="5" t="n">
        <f aca="false">IFERROR(D451*G451,0)</f>
        <v>0</v>
      </c>
      <c r="I451" s="5" t="n">
        <f aca="false">H451*0.5%</f>
        <v>0</v>
      </c>
      <c r="J451" s="5" t="n">
        <f aca="false">H451+I451</f>
        <v>0</v>
      </c>
      <c r="K451" s="0" t="str">
        <f aca="false">IF(D451="","",IF(D451&gt;12,"FLAG",IF(D451&gt;8,"OVERTIME","OK")))</f>
        <v/>
      </c>
      <c r="L451" s="0" t="str">
        <f aca="false">IF(OR(A451="",E451="",C451=""),"",IF(COUNTIFS($A:$A,A451,$E:$E,E451,$C:$C,C451)&gt;1,"DUPLIKAT","OK"))</f>
        <v/>
      </c>
    </row>
    <row r="452" customFormat="false" ht="15" hidden="false" customHeight="false" outlineLevel="0" collapsed="false">
      <c r="A452" s="6"/>
      <c r="B452" s="0" t="str">
        <f aca="false">IFERROR(INDEX(Master_Lista!$B$2:$B$151,MATCH(A452,Master_Lista!$A$2:$A$151,0)),"")</f>
        <v/>
      </c>
      <c r="C452" s="6"/>
      <c r="D452" s="7"/>
      <c r="E452" s="8"/>
      <c r="F452" s="0" t="str">
        <f aca="false">IFERROR(INDEX(Sheet11_Zarade!$C$2:$C$151,MATCH(A452,Sheet11_Zarade!$A$2:$A$151,0)),"")</f>
        <v/>
      </c>
      <c r="G452" s="5" t="n">
        <f aca="false">IFERROR(INDEX(Sheet11_Zarade!$D$2:$D$151,MATCH(A452,Sheet11_Zarade!$A$2:$A$151,0)),0)</f>
        <v>0</v>
      </c>
      <c r="H452" s="5" t="n">
        <f aca="false">IFERROR(D452*G452,0)</f>
        <v>0</v>
      </c>
      <c r="I452" s="5" t="n">
        <f aca="false">H452*0.5%</f>
        <v>0</v>
      </c>
      <c r="J452" s="5" t="n">
        <f aca="false">H452+I452</f>
        <v>0</v>
      </c>
      <c r="K452" s="0" t="str">
        <f aca="false">IF(D452="","",IF(D452&gt;12,"FLAG",IF(D452&gt;8,"OVERTIME","OK")))</f>
        <v/>
      </c>
      <c r="L452" s="0" t="str">
        <f aca="false">IF(OR(A452="",E452="",C452=""),"",IF(COUNTIFS($A:$A,A452,$E:$E,E452,$C:$C,C452)&gt;1,"DUPLIKAT","OK"))</f>
        <v/>
      </c>
    </row>
    <row r="453" customFormat="false" ht="15" hidden="false" customHeight="false" outlineLevel="0" collapsed="false">
      <c r="A453" s="6"/>
      <c r="B453" s="0" t="str">
        <f aca="false">IFERROR(INDEX(Master_Lista!$B$2:$B$151,MATCH(A453,Master_Lista!$A$2:$A$151,0)),"")</f>
        <v/>
      </c>
      <c r="C453" s="6"/>
      <c r="D453" s="7"/>
      <c r="E453" s="8"/>
      <c r="F453" s="0" t="str">
        <f aca="false">IFERROR(INDEX(Sheet11_Zarade!$C$2:$C$151,MATCH(A453,Sheet11_Zarade!$A$2:$A$151,0)),"")</f>
        <v/>
      </c>
      <c r="G453" s="5" t="n">
        <f aca="false">IFERROR(INDEX(Sheet11_Zarade!$D$2:$D$151,MATCH(A453,Sheet11_Zarade!$A$2:$A$151,0)),0)</f>
        <v>0</v>
      </c>
      <c r="H453" s="5" t="n">
        <f aca="false">IFERROR(D453*G453,0)</f>
        <v>0</v>
      </c>
      <c r="I453" s="5" t="n">
        <f aca="false">H453*0.5%</f>
        <v>0</v>
      </c>
      <c r="J453" s="5" t="n">
        <f aca="false">H453+I453</f>
        <v>0</v>
      </c>
      <c r="K453" s="0" t="str">
        <f aca="false">IF(D453="","",IF(D453&gt;12,"FLAG",IF(D453&gt;8,"OVERTIME","OK")))</f>
        <v/>
      </c>
      <c r="L453" s="0" t="str">
        <f aca="false">IF(OR(A453="",E453="",C453=""),"",IF(COUNTIFS($A:$A,A453,$E:$E,E453,$C:$C,C453)&gt;1,"DUPLIKAT","OK"))</f>
        <v/>
      </c>
    </row>
    <row r="454" customFormat="false" ht="15" hidden="false" customHeight="false" outlineLevel="0" collapsed="false">
      <c r="A454" s="6"/>
      <c r="B454" s="0" t="str">
        <f aca="false">IFERROR(INDEX(Master_Lista!$B$2:$B$151,MATCH(A454,Master_Lista!$A$2:$A$151,0)),"")</f>
        <v/>
      </c>
      <c r="C454" s="6"/>
      <c r="D454" s="7"/>
      <c r="E454" s="8"/>
      <c r="F454" s="0" t="str">
        <f aca="false">IFERROR(INDEX(Sheet11_Zarade!$C$2:$C$151,MATCH(A454,Sheet11_Zarade!$A$2:$A$151,0)),"")</f>
        <v/>
      </c>
      <c r="G454" s="5" t="n">
        <f aca="false">IFERROR(INDEX(Sheet11_Zarade!$D$2:$D$151,MATCH(A454,Sheet11_Zarade!$A$2:$A$151,0)),0)</f>
        <v>0</v>
      </c>
      <c r="H454" s="5" t="n">
        <f aca="false">IFERROR(D454*G454,0)</f>
        <v>0</v>
      </c>
      <c r="I454" s="5" t="n">
        <f aca="false">H454*0.5%</f>
        <v>0</v>
      </c>
      <c r="J454" s="5" t="n">
        <f aca="false">H454+I454</f>
        <v>0</v>
      </c>
      <c r="K454" s="0" t="str">
        <f aca="false">IF(D454="","",IF(D454&gt;12,"FLAG",IF(D454&gt;8,"OVERTIME","OK")))</f>
        <v/>
      </c>
      <c r="L454" s="0" t="str">
        <f aca="false">IF(OR(A454="",E454="",C454=""),"",IF(COUNTIFS($A:$A,A454,$E:$E,E454,$C:$C,C454)&gt;1,"DUPLIKAT","OK"))</f>
        <v/>
      </c>
    </row>
    <row r="455" customFormat="false" ht="15" hidden="false" customHeight="false" outlineLevel="0" collapsed="false">
      <c r="A455" s="6"/>
      <c r="B455" s="0" t="str">
        <f aca="false">IFERROR(INDEX(Master_Lista!$B$2:$B$151,MATCH(A455,Master_Lista!$A$2:$A$151,0)),"")</f>
        <v/>
      </c>
      <c r="C455" s="6"/>
      <c r="D455" s="7"/>
      <c r="E455" s="8"/>
      <c r="F455" s="0" t="str">
        <f aca="false">IFERROR(INDEX(Sheet11_Zarade!$C$2:$C$151,MATCH(A455,Sheet11_Zarade!$A$2:$A$151,0)),"")</f>
        <v/>
      </c>
      <c r="G455" s="5" t="n">
        <f aca="false">IFERROR(INDEX(Sheet11_Zarade!$D$2:$D$151,MATCH(A455,Sheet11_Zarade!$A$2:$A$151,0)),0)</f>
        <v>0</v>
      </c>
      <c r="H455" s="5" t="n">
        <f aca="false">IFERROR(D455*G455,0)</f>
        <v>0</v>
      </c>
      <c r="I455" s="5" t="n">
        <f aca="false">H455*0.5%</f>
        <v>0</v>
      </c>
      <c r="J455" s="5" t="n">
        <f aca="false">H455+I455</f>
        <v>0</v>
      </c>
      <c r="K455" s="0" t="str">
        <f aca="false">IF(D455="","",IF(D455&gt;12,"FLAG",IF(D455&gt;8,"OVERTIME","OK")))</f>
        <v/>
      </c>
      <c r="L455" s="0" t="str">
        <f aca="false">IF(OR(A455="",E455="",C455=""),"",IF(COUNTIFS($A:$A,A455,$E:$E,E455,$C:$C,C455)&gt;1,"DUPLIKAT","OK"))</f>
        <v/>
      </c>
    </row>
    <row r="456" customFormat="false" ht="15" hidden="false" customHeight="false" outlineLevel="0" collapsed="false">
      <c r="A456" s="6"/>
      <c r="B456" s="0" t="str">
        <f aca="false">IFERROR(INDEX(Master_Lista!$B$2:$B$151,MATCH(A456,Master_Lista!$A$2:$A$151,0)),"")</f>
        <v/>
      </c>
      <c r="C456" s="6"/>
      <c r="D456" s="7"/>
      <c r="E456" s="8"/>
      <c r="F456" s="0" t="str">
        <f aca="false">IFERROR(INDEX(Sheet11_Zarade!$C$2:$C$151,MATCH(A456,Sheet11_Zarade!$A$2:$A$151,0)),"")</f>
        <v/>
      </c>
      <c r="G456" s="5" t="n">
        <f aca="false">IFERROR(INDEX(Sheet11_Zarade!$D$2:$D$151,MATCH(A456,Sheet11_Zarade!$A$2:$A$151,0)),0)</f>
        <v>0</v>
      </c>
      <c r="H456" s="5" t="n">
        <f aca="false">IFERROR(D456*G456,0)</f>
        <v>0</v>
      </c>
      <c r="I456" s="5" t="n">
        <f aca="false">H456*0.5%</f>
        <v>0</v>
      </c>
      <c r="J456" s="5" t="n">
        <f aca="false">H456+I456</f>
        <v>0</v>
      </c>
      <c r="K456" s="0" t="str">
        <f aca="false">IF(D456="","",IF(D456&gt;12,"FLAG",IF(D456&gt;8,"OVERTIME","OK")))</f>
        <v/>
      </c>
      <c r="L456" s="0" t="str">
        <f aca="false">IF(OR(A456="",E456="",C456=""),"",IF(COUNTIFS($A:$A,A456,$E:$E,E456,$C:$C,C456)&gt;1,"DUPLIKAT","OK"))</f>
        <v/>
      </c>
    </row>
    <row r="457" customFormat="false" ht="15" hidden="false" customHeight="false" outlineLevel="0" collapsed="false">
      <c r="A457" s="6"/>
      <c r="B457" s="0" t="str">
        <f aca="false">IFERROR(INDEX(Master_Lista!$B$2:$B$151,MATCH(A457,Master_Lista!$A$2:$A$151,0)),"")</f>
        <v/>
      </c>
      <c r="C457" s="6"/>
      <c r="D457" s="7"/>
      <c r="E457" s="8"/>
      <c r="F457" s="0" t="str">
        <f aca="false">IFERROR(INDEX(Sheet11_Zarade!$C$2:$C$151,MATCH(A457,Sheet11_Zarade!$A$2:$A$151,0)),"")</f>
        <v/>
      </c>
      <c r="G457" s="5" t="n">
        <f aca="false">IFERROR(INDEX(Sheet11_Zarade!$D$2:$D$151,MATCH(A457,Sheet11_Zarade!$A$2:$A$151,0)),0)</f>
        <v>0</v>
      </c>
      <c r="H457" s="5" t="n">
        <f aca="false">IFERROR(D457*G457,0)</f>
        <v>0</v>
      </c>
      <c r="I457" s="5" t="n">
        <f aca="false">H457*0.5%</f>
        <v>0</v>
      </c>
      <c r="J457" s="5" t="n">
        <f aca="false">H457+I457</f>
        <v>0</v>
      </c>
      <c r="K457" s="0" t="str">
        <f aca="false">IF(D457="","",IF(D457&gt;12,"FLAG",IF(D457&gt;8,"OVERTIME","OK")))</f>
        <v/>
      </c>
      <c r="L457" s="0" t="str">
        <f aca="false">IF(OR(A457="",E457="",C457=""),"",IF(COUNTIFS($A:$A,A457,$E:$E,E457,$C:$C,C457)&gt;1,"DUPLIKAT","OK"))</f>
        <v/>
      </c>
    </row>
    <row r="458" customFormat="false" ht="15" hidden="false" customHeight="false" outlineLevel="0" collapsed="false">
      <c r="A458" s="6"/>
      <c r="B458" s="0" t="str">
        <f aca="false">IFERROR(INDEX(Master_Lista!$B$2:$B$151,MATCH(A458,Master_Lista!$A$2:$A$151,0)),"")</f>
        <v/>
      </c>
      <c r="C458" s="6"/>
      <c r="D458" s="7"/>
      <c r="E458" s="8"/>
      <c r="F458" s="0" t="str">
        <f aca="false">IFERROR(INDEX(Sheet11_Zarade!$C$2:$C$151,MATCH(A458,Sheet11_Zarade!$A$2:$A$151,0)),"")</f>
        <v/>
      </c>
      <c r="G458" s="5" t="n">
        <f aca="false">IFERROR(INDEX(Sheet11_Zarade!$D$2:$D$151,MATCH(A458,Sheet11_Zarade!$A$2:$A$151,0)),0)</f>
        <v>0</v>
      </c>
      <c r="H458" s="5" t="n">
        <f aca="false">IFERROR(D458*G458,0)</f>
        <v>0</v>
      </c>
      <c r="I458" s="5" t="n">
        <f aca="false">H458*0.5%</f>
        <v>0</v>
      </c>
      <c r="J458" s="5" t="n">
        <f aca="false">H458+I458</f>
        <v>0</v>
      </c>
      <c r="K458" s="0" t="str">
        <f aca="false">IF(D458="","",IF(D458&gt;12,"FLAG",IF(D458&gt;8,"OVERTIME","OK")))</f>
        <v/>
      </c>
      <c r="L458" s="0" t="str">
        <f aca="false">IF(OR(A458="",E458="",C458=""),"",IF(COUNTIFS($A:$A,A458,$E:$E,E458,$C:$C,C458)&gt;1,"DUPLIKAT","OK"))</f>
        <v/>
      </c>
    </row>
    <row r="459" customFormat="false" ht="15" hidden="false" customHeight="false" outlineLevel="0" collapsed="false">
      <c r="A459" s="6"/>
      <c r="B459" s="0" t="str">
        <f aca="false">IFERROR(INDEX(Master_Lista!$B$2:$B$151,MATCH(A459,Master_Lista!$A$2:$A$151,0)),"")</f>
        <v/>
      </c>
      <c r="C459" s="6"/>
      <c r="D459" s="7"/>
      <c r="E459" s="8"/>
      <c r="F459" s="0" t="str">
        <f aca="false">IFERROR(INDEX(Sheet11_Zarade!$C$2:$C$151,MATCH(A459,Sheet11_Zarade!$A$2:$A$151,0)),"")</f>
        <v/>
      </c>
      <c r="G459" s="5" t="n">
        <f aca="false">IFERROR(INDEX(Sheet11_Zarade!$D$2:$D$151,MATCH(A459,Sheet11_Zarade!$A$2:$A$151,0)),0)</f>
        <v>0</v>
      </c>
      <c r="H459" s="5" t="n">
        <f aca="false">IFERROR(D459*G459,0)</f>
        <v>0</v>
      </c>
      <c r="I459" s="5" t="n">
        <f aca="false">H459*0.5%</f>
        <v>0</v>
      </c>
      <c r="J459" s="5" t="n">
        <f aca="false">H459+I459</f>
        <v>0</v>
      </c>
      <c r="K459" s="0" t="str">
        <f aca="false">IF(D459="","",IF(D459&gt;12,"FLAG",IF(D459&gt;8,"OVERTIME","OK")))</f>
        <v/>
      </c>
      <c r="L459" s="0" t="str">
        <f aca="false">IF(OR(A459="",E459="",C459=""),"",IF(COUNTIFS($A:$A,A459,$E:$E,E459,$C:$C,C459)&gt;1,"DUPLIKAT","OK"))</f>
        <v/>
      </c>
    </row>
    <row r="460" customFormat="false" ht="15" hidden="false" customHeight="false" outlineLevel="0" collapsed="false">
      <c r="A460" s="6"/>
      <c r="B460" s="0" t="str">
        <f aca="false">IFERROR(INDEX(Master_Lista!$B$2:$B$151,MATCH(A460,Master_Lista!$A$2:$A$151,0)),"")</f>
        <v/>
      </c>
      <c r="C460" s="6"/>
      <c r="D460" s="7"/>
      <c r="E460" s="8"/>
      <c r="F460" s="0" t="str">
        <f aca="false">IFERROR(INDEX(Sheet11_Zarade!$C$2:$C$151,MATCH(A460,Sheet11_Zarade!$A$2:$A$151,0)),"")</f>
        <v/>
      </c>
      <c r="G460" s="5" t="n">
        <f aca="false">IFERROR(INDEX(Sheet11_Zarade!$D$2:$D$151,MATCH(A460,Sheet11_Zarade!$A$2:$A$151,0)),0)</f>
        <v>0</v>
      </c>
      <c r="H460" s="5" t="n">
        <f aca="false">IFERROR(D460*G460,0)</f>
        <v>0</v>
      </c>
      <c r="I460" s="5" t="n">
        <f aca="false">H460*0.5%</f>
        <v>0</v>
      </c>
      <c r="J460" s="5" t="n">
        <f aca="false">H460+I460</f>
        <v>0</v>
      </c>
      <c r="K460" s="0" t="str">
        <f aca="false">IF(D460="","",IF(D460&gt;12,"FLAG",IF(D460&gt;8,"OVERTIME","OK")))</f>
        <v/>
      </c>
      <c r="L460" s="0" t="str">
        <f aca="false">IF(OR(A460="",E460="",C460=""),"",IF(COUNTIFS($A:$A,A460,$E:$E,E460,$C:$C,C460)&gt;1,"DUPLIKAT","OK"))</f>
        <v/>
      </c>
    </row>
    <row r="461" customFormat="false" ht="15" hidden="false" customHeight="false" outlineLevel="0" collapsed="false">
      <c r="A461" s="6"/>
      <c r="B461" s="0" t="str">
        <f aca="false">IFERROR(INDEX(Master_Lista!$B$2:$B$151,MATCH(A461,Master_Lista!$A$2:$A$151,0)),"")</f>
        <v/>
      </c>
      <c r="C461" s="6"/>
      <c r="D461" s="7"/>
      <c r="E461" s="8"/>
      <c r="F461" s="0" t="str">
        <f aca="false">IFERROR(INDEX(Sheet11_Zarade!$C$2:$C$151,MATCH(A461,Sheet11_Zarade!$A$2:$A$151,0)),"")</f>
        <v/>
      </c>
      <c r="G461" s="5" t="n">
        <f aca="false">IFERROR(INDEX(Sheet11_Zarade!$D$2:$D$151,MATCH(A461,Sheet11_Zarade!$A$2:$A$151,0)),0)</f>
        <v>0</v>
      </c>
      <c r="H461" s="5" t="n">
        <f aca="false">IFERROR(D461*G461,0)</f>
        <v>0</v>
      </c>
      <c r="I461" s="5" t="n">
        <f aca="false">H461*0.5%</f>
        <v>0</v>
      </c>
      <c r="J461" s="5" t="n">
        <f aca="false">H461+I461</f>
        <v>0</v>
      </c>
      <c r="K461" s="0" t="str">
        <f aca="false">IF(D461="","",IF(D461&gt;12,"FLAG",IF(D461&gt;8,"OVERTIME","OK")))</f>
        <v/>
      </c>
      <c r="L461" s="0" t="str">
        <f aca="false">IF(OR(A461="",E461="",C461=""),"",IF(COUNTIFS($A:$A,A461,$E:$E,E461,$C:$C,C461)&gt;1,"DUPLIKAT","OK"))</f>
        <v/>
      </c>
    </row>
    <row r="462" customFormat="false" ht="15" hidden="false" customHeight="false" outlineLevel="0" collapsed="false">
      <c r="A462" s="6"/>
      <c r="B462" s="0" t="str">
        <f aca="false">IFERROR(INDEX(Master_Lista!$B$2:$B$151,MATCH(A462,Master_Lista!$A$2:$A$151,0)),"")</f>
        <v/>
      </c>
      <c r="C462" s="6"/>
      <c r="D462" s="7"/>
      <c r="E462" s="8"/>
      <c r="F462" s="0" t="str">
        <f aca="false">IFERROR(INDEX(Sheet11_Zarade!$C$2:$C$151,MATCH(A462,Sheet11_Zarade!$A$2:$A$151,0)),"")</f>
        <v/>
      </c>
      <c r="G462" s="5" t="n">
        <f aca="false">IFERROR(INDEX(Sheet11_Zarade!$D$2:$D$151,MATCH(A462,Sheet11_Zarade!$A$2:$A$151,0)),0)</f>
        <v>0</v>
      </c>
      <c r="H462" s="5" t="n">
        <f aca="false">IFERROR(D462*G462,0)</f>
        <v>0</v>
      </c>
      <c r="I462" s="5" t="n">
        <f aca="false">H462*0.5%</f>
        <v>0</v>
      </c>
      <c r="J462" s="5" t="n">
        <f aca="false">H462+I462</f>
        <v>0</v>
      </c>
      <c r="K462" s="0" t="str">
        <f aca="false">IF(D462="","",IF(D462&gt;12,"FLAG",IF(D462&gt;8,"OVERTIME","OK")))</f>
        <v/>
      </c>
      <c r="L462" s="0" t="str">
        <f aca="false">IF(OR(A462="",E462="",C462=""),"",IF(COUNTIFS($A:$A,A462,$E:$E,E462,$C:$C,C462)&gt;1,"DUPLIKAT","OK"))</f>
        <v/>
      </c>
    </row>
    <row r="463" customFormat="false" ht="15" hidden="false" customHeight="false" outlineLevel="0" collapsed="false">
      <c r="A463" s="6"/>
      <c r="B463" s="0" t="str">
        <f aca="false">IFERROR(INDEX(Master_Lista!$B$2:$B$151,MATCH(A463,Master_Lista!$A$2:$A$151,0)),"")</f>
        <v/>
      </c>
      <c r="C463" s="6"/>
      <c r="D463" s="7"/>
      <c r="E463" s="8"/>
      <c r="F463" s="0" t="str">
        <f aca="false">IFERROR(INDEX(Sheet11_Zarade!$C$2:$C$151,MATCH(A463,Sheet11_Zarade!$A$2:$A$151,0)),"")</f>
        <v/>
      </c>
      <c r="G463" s="5" t="n">
        <f aca="false">IFERROR(INDEX(Sheet11_Zarade!$D$2:$D$151,MATCH(A463,Sheet11_Zarade!$A$2:$A$151,0)),0)</f>
        <v>0</v>
      </c>
      <c r="H463" s="5" t="n">
        <f aca="false">IFERROR(D463*G463,0)</f>
        <v>0</v>
      </c>
      <c r="I463" s="5" t="n">
        <f aca="false">H463*0.5%</f>
        <v>0</v>
      </c>
      <c r="J463" s="5" t="n">
        <f aca="false">H463+I463</f>
        <v>0</v>
      </c>
      <c r="K463" s="0" t="str">
        <f aca="false">IF(D463="","",IF(D463&gt;12,"FLAG",IF(D463&gt;8,"OVERTIME","OK")))</f>
        <v/>
      </c>
      <c r="L463" s="0" t="str">
        <f aca="false">IF(OR(A463="",E463="",C463=""),"",IF(COUNTIFS($A:$A,A463,$E:$E,E463,$C:$C,C463)&gt;1,"DUPLIKAT","OK"))</f>
        <v/>
      </c>
    </row>
    <row r="464" customFormat="false" ht="15" hidden="false" customHeight="false" outlineLevel="0" collapsed="false">
      <c r="A464" s="6"/>
      <c r="B464" s="0" t="str">
        <f aca="false">IFERROR(INDEX(Master_Lista!$B$2:$B$151,MATCH(A464,Master_Lista!$A$2:$A$151,0)),"")</f>
        <v/>
      </c>
      <c r="C464" s="6"/>
      <c r="D464" s="7"/>
      <c r="E464" s="8"/>
      <c r="F464" s="0" t="str">
        <f aca="false">IFERROR(INDEX(Sheet11_Zarade!$C$2:$C$151,MATCH(A464,Sheet11_Zarade!$A$2:$A$151,0)),"")</f>
        <v/>
      </c>
      <c r="G464" s="5" t="n">
        <f aca="false">IFERROR(INDEX(Sheet11_Zarade!$D$2:$D$151,MATCH(A464,Sheet11_Zarade!$A$2:$A$151,0)),0)</f>
        <v>0</v>
      </c>
      <c r="H464" s="5" t="n">
        <f aca="false">IFERROR(D464*G464,0)</f>
        <v>0</v>
      </c>
      <c r="I464" s="5" t="n">
        <f aca="false">H464*0.5%</f>
        <v>0</v>
      </c>
      <c r="J464" s="5" t="n">
        <f aca="false">H464+I464</f>
        <v>0</v>
      </c>
      <c r="K464" s="0" t="str">
        <f aca="false">IF(D464="","",IF(D464&gt;12,"FLAG",IF(D464&gt;8,"OVERTIME","OK")))</f>
        <v/>
      </c>
      <c r="L464" s="0" t="str">
        <f aca="false">IF(OR(A464="",E464="",C464=""),"",IF(COUNTIFS($A:$A,A464,$E:$E,E464,$C:$C,C464)&gt;1,"DUPLIKAT","OK"))</f>
        <v/>
      </c>
    </row>
    <row r="465" customFormat="false" ht="15" hidden="false" customHeight="false" outlineLevel="0" collapsed="false">
      <c r="A465" s="6"/>
      <c r="B465" s="0" t="str">
        <f aca="false">IFERROR(INDEX(Master_Lista!$B$2:$B$151,MATCH(A465,Master_Lista!$A$2:$A$151,0)),"")</f>
        <v/>
      </c>
      <c r="C465" s="6"/>
      <c r="D465" s="7"/>
      <c r="E465" s="8"/>
      <c r="F465" s="0" t="str">
        <f aca="false">IFERROR(INDEX(Sheet11_Zarade!$C$2:$C$151,MATCH(A465,Sheet11_Zarade!$A$2:$A$151,0)),"")</f>
        <v/>
      </c>
      <c r="G465" s="5" t="n">
        <f aca="false">IFERROR(INDEX(Sheet11_Zarade!$D$2:$D$151,MATCH(A465,Sheet11_Zarade!$A$2:$A$151,0)),0)</f>
        <v>0</v>
      </c>
      <c r="H465" s="5" t="n">
        <f aca="false">IFERROR(D465*G465,0)</f>
        <v>0</v>
      </c>
      <c r="I465" s="5" t="n">
        <f aca="false">H465*0.5%</f>
        <v>0</v>
      </c>
      <c r="J465" s="5" t="n">
        <f aca="false">H465+I465</f>
        <v>0</v>
      </c>
      <c r="K465" s="0" t="str">
        <f aca="false">IF(D465="","",IF(D465&gt;12,"FLAG",IF(D465&gt;8,"OVERTIME","OK")))</f>
        <v/>
      </c>
      <c r="L465" s="0" t="str">
        <f aca="false">IF(OR(A465="",E465="",C465=""),"",IF(COUNTIFS($A:$A,A465,$E:$E,E465,$C:$C,C465)&gt;1,"DUPLIKAT","OK"))</f>
        <v/>
      </c>
    </row>
    <row r="466" customFormat="false" ht="15" hidden="false" customHeight="false" outlineLevel="0" collapsed="false">
      <c r="A466" s="6"/>
      <c r="B466" s="0" t="str">
        <f aca="false">IFERROR(INDEX(Master_Lista!$B$2:$B$151,MATCH(A466,Master_Lista!$A$2:$A$151,0)),"")</f>
        <v/>
      </c>
      <c r="C466" s="6"/>
      <c r="D466" s="7"/>
      <c r="E466" s="8"/>
      <c r="F466" s="0" t="str">
        <f aca="false">IFERROR(INDEX(Sheet11_Zarade!$C$2:$C$151,MATCH(A466,Sheet11_Zarade!$A$2:$A$151,0)),"")</f>
        <v/>
      </c>
      <c r="G466" s="5" t="n">
        <f aca="false">IFERROR(INDEX(Sheet11_Zarade!$D$2:$D$151,MATCH(A466,Sheet11_Zarade!$A$2:$A$151,0)),0)</f>
        <v>0</v>
      </c>
      <c r="H466" s="5" t="n">
        <f aca="false">IFERROR(D466*G466,0)</f>
        <v>0</v>
      </c>
      <c r="I466" s="5" t="n">
        <f aca="false">H466*0.5%</f>
        <v>0</v>
      </c>
      <c r="J466" s="5" t="n">
        <f aca="false">H466+I466</f>
        <v>0</v>
      </c>
      <c r="K466" s="0" t="str">
        <f aca="false">IF(D466="","",IF(D466&gt;12,"FLAG",IF(D466&gt;8,"OVERTIME","OK")))</f>
        <v/>
      </c>
      <c r="L466" s="0" t="str">
        <f aca="false">IF(OR(A466="",E466="",C466=""),"",IF(COUNTIFS($A:$A,A466,$E:$E,E466,$C:$C,C466)&gt;1,"DUPLIKAT","OK"))</f>
        <v/>
      </c>
    </row>
    <row r="467" customFormat="false" ht="15" hidden="false" customHeight="false" outlineLevel="0" collapsed="false">
      <c r="A467" s="6"/>
      <c r="B467" s="0" t="str">
        <f aca="false">IFERROR(INDEX(Master_Lista!$B$2:$B$151,MATCH(A467,Master_Lista!$A$2:$A$151,0)),"")</f>
        <v/>
      </c>
      <c r="C467" s="6"/>
      <c r="D467" s="7"/>
      <c r="E467" s="8"/>
      <c r="F467" s="0" t="str">
        <f aca="false">IFERROR(INDEX(Sheet11_Zarade!$C$2:$C$151,MATCH(A467,Sheet11_Zarade!$A$2:$A$151,0)),"")</f>
        <v/>
      </c>
      <c r="G467" s="5" t="n">
        <f aca="false">IFERROR(INDEX(Sheet11_Zarade!$D$2:$D$151,MATCH(A467,Sheet11_Zarade!$A$2:$A$151,0)),0)</f>
        <v>0</v>
      </c>
      <c r="H467" s="5" t="n">
        <f aca="false">IFERROR(D467*G467,0)</f>
        <v>0</v>
      </c>
      <c r="I467" s="5" t="n">
        <f aca="false">H467*0.5%</f>
        <v>0</v>
      </c>
      <c r="J467" s="5" t="n">
        <f aca="false">H467+I467</f>
        <v>0</v>
      </c>
      <c r="K467" s="0" t="str">
        <f aca="false">IF(D467="","",IF(D467&gt;12,"FLAG",IF(D467&gt;8,"OVERTIME","OK")))</f>
        <v/>
      </c>
      <c r="L467" s="0" t="str">
        <f aca="false">IF(OR(A467="",E467="",C467=""),"",IF(COUNTIFS($A:$A,A467,$E:$E,E467,$C:$C,C467)&gt;1,"DUPLIKAT","OK"))</f>
        <v/>
      </c>
    </row>
    <row r="468" customFormat="false" ht="15" hidden="false" customHeight="false" outlineLevel="0" collapsed="false">
      <c r="A468" s="6"/>
      <c r="B468" s="0" t="str">
        <f aca="false">IFERROR(INDEX(Master_Lista!$B$2:$B$151,MATCH(A468,Master_Lista!$A$2:$A$151,0)),"")</f>
        <v/>
      </c>
      <c r="C468" s="6"/>
      <c r="D468" s="7"/>
      <c r="E468" s="8"/>
      <c r="F468" s="0" t="str">
        <f aca="false">IFERROR(INDEX(Sheet11_Zarade!$C$2:$C$151,MATCH(A468,Sheet11_Zarade!$A$2:$A$151,0)),"")</f>
        <v/>
      </c>
      <c r="G468" s="5" t="n">
        <f aca="false">IFERROR(INDEX(Sheet11_Zarade!$D$2:$D$151,MATCH(A468,Sheet11_Zarade!$A$2:$A$151,0)),0)</f>
        <v>0</v>
      </c>
      <c r="H468" s="5" t="n">
        <f aca="false">IFERROR(D468*G468,0)</f>
        <v>0</v>
      </c>
      <c r="I468" s="5" t="n">
        <f aca="false">H468*0.5%</f>
        <v>0</v>
      </c>
      <c r="J468" s="5" t="n">
        <f aca="false">H468+I468</f>
        <v>0</v>
      </c>
      <c r="K468" s="0" t="str">
        <f aca="false">IF(D468="","",IF(D468&gt;12,"FLAG",IF(D468&gt;8,"OVERTIME","OK")))</f>
        <v/>
      </c>
      <c r="L468" s="0" t="str">
        <f aca="false">IF(OR(A468="",E468="",C468=""),"",IF(COUNTIFS($A:$A,A468,$E:$E,E468,$C:$C,C468)&gt;1,"DUPLIKAT","OK"))</f>
        <v/>
      </c>
    </row>
    <row r="469" customFormat="false" ht="15" hidden="false" customHeight="false" outlineLevel="0" collapsed="false">
      <c r="A469" s="6"/>
      <c r="B469" s="0" t="str">
        <f aca="false">IFERROR(INDEX(Master_Lista!$B$2:$B$151,MATCH(A469,Master_Lista!$A$2:$A$151,0)),"")</f>
        <v/>
      </c>
      <c r="C469" s="6"/>
      <c r="D469" s="7"/>
      <c r="E469" s="8"/>
      <c r="F469" s="0" t="str">
        <f aca="false">IFERROR(INDEX(Sheet11_Zarade!$C$2:$C$151,MATCH(A469,Sheet11_Zarade!$A$2:$A$151,0)),"")</f>
        <v/>
      </c>
      <c r="G469" s="5" t="n">
        <f aca="false">IFERROR(INDEX(Sheet11_Zarade!$D$2:$D$151,MATCH(A469,Sheet11_Zarade!$A$2:$A$151,0)),0)</f>
        <v>0</v>
      </c>
      <c r="H469" s="5" t="n">
        <f aca="false">IFERROR(D469*G469,0)</f>
        <v>0</v>
      </c>
      <c r="I469" s="5" t="n">
        <f aca="false">H469*0.5%</f>
        <v>0</v>
      </c>
      <c r="J469" s="5" t="n">
        <f aca="false">H469+I469</f>
        <v>0</v>
      </c>
      <c r="K469" s="0" t="str">
        <f aca="false">IF(D469="","",IF(D469&gt;12,"FLAG",IF(D469&gt;8,"OVERTIME","OK")))</f>
        <v/>
      </c>
      <c r="L469" s="0" t="str">
        <f aca="false">IF(OR(A469="",E469="",C469=""),"",IF(COUNTIFS($A:$A,A469,$E:$E,E469,$C:$C,C469)&gt;1,"DUPLIKAT","OK"))</f>
        <v/>
      </c>
    </row>
    <row r="470" customFormat="false" ht="15" hidden="false" customHeight="false" outlineLevel="0" collapsed="false">
      <c r="A470" s="6"/>
      <c r="B470" s="0" t="str">
        <f aca="false">IFERROR(INDEX(Master_Lista!$B$2:$B$151,MATCH(A470,Master_Lista!$A$2:$A$151,0)),"")</f>
        <v/>
      </c>
      <c r="C470" s="6"/>
      <c r="D470" s="7"/>
      <c r="E470" s="8"/>
      <c r="F470" s="0" t="str">
        <f aca="false">IFERROR(INDEX(Sheet11_Zarade!$C$2:$C$151,MATCH(A470,Sheet11_Zarade!$A$2:$A$151,0)),"")</f>
        <v/>
      </c>
      <c r="G470" s="5" t="n">
        <f aca="false">IFERROR(INDEX(Sheet11_Zarade!$D$2:$D$151,MATCH(A470,Sheet11_Zarade!$A$2:$A$151,0)),0)</f>
        <v>0</v>
      </c>
      <c r="H470" s="5" t="n">
        <f aca="false">IFERROR(D470*G470,0)</f>
        <v>0</v>
      </c>
      <c r="I470" s="5" t="n">
        <f aca="false">H470*0.5%</f>
        <v>0</v>
      </c>
      <c r="J470" s="5" t="n">
        <f aca="false">H470+I470</f>
        <v>0</v>
      </c>
      <c r="K470" s="0" t="str">
        <f aca="false">IF(D470="","",IF(D470&gt;12,"FLAG",IF(D470&gt;8,"OVERTIME","OK")))</f>
        <v/>
      </c>
      <c r="L470" s="0" t="str">
        <f aca="false">IF(OR(A470="",E470="",C470=""),"",IF(COUNTIFS($A:$A,A470,$E:$E,E470,$C:$C,C470)&gt;1,"DUPLIKAT","OK"))</f>
        <v/>
      </c>
    </row>
    <row r="471" customFormat="false" ht="15" hidden="false" customHeight="false" outlineLevel="0" collapsed="false">
      <c r="A471" s="6"/>
      <c r="B471" s="0" t="str">
        <f aca="false">IFERROR(INDEX(Master_Lista!$B$2:$B$151,MATCH(A471,Master_Lista!$A$2:$A$151,0)),"")</f>
        <v/>
      </c>
      <c r="C471" s="6"/>
      <c r="D471" s="7"/>
      <c r="E471" s="8"/>
      <c r="F471" s="0" t="str">
        <f aca="false">IFERROR(INDEX(Sheet11_Zarade!$C$2:$C$151,MATCH(A471,Sheet11_Zarade!$A$2:$A$151,0)),"")</f>
        <v/>
      </c>
      <c r="G471" s="5" t="n">
        <f aca="false">IFERROR(INDEX(Sheet11_Zarade!$D$2:$D$151,MATCH(A471,Sheet11_Zarade!$A$2:$A$151,0)),0)</f>
        <v>0</v>
      </c>
      <c r="H471" s="5" t="n">
        <f aca="false">IFERROR(D471*G471,0)</f>
        <v>0</v>
      </c>
      <c r="I471" s="5" t="n">
        <f aca="false">H471*0.5%</f>
        <v>0</v>
      </c>
      <c r="J471" s="5" t="n">
        <f aca="false">H471+I471</f>
        <v>0</v>
      </c>
      <c r="K471" s="0" t="str">
        <f aca="false">IF(D471="","",IF(D471&gt;12,"FLAG",IF(D471&gt;8,"OVERTIME","OK")))</f>
        <v/>
      </c>
      <c r="L471" s="0" t="str">
        <f aca="false">IF(OR(A471="",E471="",C471=""),"",IF(COUNTIFS($A:$A,A471,$E:$E,E471,$C:$C,C471)&gt;1,"DUPLIKAT","OK"))</f>
        <v/>
      </c>
    </row>
    <row r="472" customFormat="false" ht="15" hidden="false" customHeight="false" outlineLevel="0" collapsed="false">
      <c r="A472" s="6"/>
      <c r="B472" s="0" t="str">
        <f aca="false">IFERROR(INDEX(Master_Lista!$B$2:$B$151,MATCH(A472,Master_Lista!$A$2:$A$151,0)),"")</f>
        <v/>
      </c>
      <c r="C472" s="6"/>
      <c r="D472" s="7"/>
      <c r="E472" s="8"/>
      <c r="F472" s="0" t="str">
        <f aca="false">IFERROR(INDEX(Sheet11_Zarade!$C$2:$C$151,MATCH(A472,Sheet11_Zarade!$A$2:$A$151,0)),"")</f>
        <v/>
      </c>
      <c r="G472" s="5" t="n">
        <f aca="false">IFERROR(INDEX(Sheet11_Zarade!$D$2:$D$151,MATCH(A472,Sheet11_Zarade!$A$2:$A$151,0)),0)</f>
        <v>0</v>
      </c>
      <c r="H472" s="5" t="n">
        <f aca="false">IFERROR(D472*G472,0)</f>
        <v>0</v>
      </c>
      <c r="I472" s="5" t="n">
        <f aca="false">H472*0.5%</f>
        <v>0</v>
      </c>
      <c r="J472" s="5" t="n">
        <f aca="false">H472+I472</f>
        <v>0</v>
      </c>
      <c r="K472" s="0" t="str">
        <f aca="false">IF(D472="","",IF(D472&gt;12,"FLAG",IF(D472&gt;8,"OVERTIME","OK")))</f>
        <v/>
      </c>
      <c r="L472" s="0" t="str">
        <f aca="false">IF(OR(A472="",E472="",C472=""),"",IF(COUNTIFS($A:$A,A472,$E:$E,E472,$C:$C,C472)&gt;1,"DUPLIKAT","OK"))</f>
        <v/>
      </c>
    </row>
    <row r="473" customFormat="false" ht="15" hidden="false" customHeight="false" outlineLevel="0" collapsed="false">
      <c r="A473" s="6"/>
      <c r="B473" s="0" t="str">
        <f aca="false">IFERROR(INDEX(Master_Lista!$B$2:$B$151,MATCH(A473,Master_Lista!$A$2:$A$151,0)),"")</f>
        <v/>
      </c>
      <c r="C473" s="6"/>
      <c r="D473" s="7"/>
      <c r="E473" s="8"/>
      <c r="F473" s="0" t="str">
        <f aca="false">IFERROR(INDEX(Sheet11_Zarade!$C$2:$C$151,MATCH(A473,Sheet11_Zarade!$A$2:$A$151,0)),"")</f>
        <v/>
      </c>
      <c r="G473" s="5" t="n">
        <f aca="false">IFERROR(INDEX(Sheet11_Zarade!$D$2:$D$151,MATCH(A473,Sheet11_Zarade!$A$2:$A$151,0)),0)</f>
        <v>0</v>
      </c>
      <c r="H473" s="5" t="n">
        <f aca="false">IFERROR(D473*G473,0)</f>
        <v>0</v>
      </c>
      <c r="I473" s="5" t="n">
        <f aca="false">H473*0.5%</f>
        <v>0</v>
      </c>
      <c r="J473" s="5" t="n">
        <f aca="false">H473+I473</f>
        <v>0</v>
      </c>
      <c r="K473" s="0" t="str">
        <f aca="false">IF(D473="","",IF(D473&gt;12,"FLAG",IF(D473&gt;8,"OVERTIME","OK")))</f>
        <v/>
      </c>
      <c r="L473" s="0" t="str">
        <f aca="false">IF(OR(A473="",E473="",C473=""),"",IF(COUNTIFS($A:$A,A473,$E:$E,E473,$C:$C,C473)&gt;1,"DUPLIKAT","OK"))</f>
        <v/>
      </c>
    </row>
    <row r="474" customFormat="false" ht="15" hidden="false" customHeight="false" outlineLevel="0" collapsed="false">
      <c r="A474" s="6"/>
      <c r="B474" s="0" t="str">
        <f aca="false">IFERROR(INDEX(Master_Lista!$B$2:$B$151,MATCH(A474,Master_Lista!$A$2:$A$151,0)),"")</f>
        <v/>
      </c>
      <c r="C474" s="6"/>
      <c r="D474" s="7"/>
      <c r="E474" s="8"/>
      <c r="F474" s="0" t="str">
        <f aca="false">IFERROR(INDEX(Sheet11_Zarade!$C$2:$C$151,MATCH(A474,Sheet11_Zarade!$A$2:$A$151,0)),"")</f>
        <v/>
      </c>
      <c r="G474" s="5" t="n">
        <f aca="false">IFERROR(INDEX(Sheet11_Zarade!$D$2:$D$151,MATCH(A474,Sheet11_Zarade!$A$2:$A$151,0)),0)</f>
        <v>0</v>
      </c>
      <c r="H474" s="5" t="n">
        <f aca="false">IFERROR(D474*G474,0)</f>
        <v>0</v>
      </c>
      <c r="I474" s="5" t="n">
        <f aca="false">H474*0.5%</f>
        <v>0</v>
      </c>
      <c r="J474" s="5" t="n">
        <f aca="false">H474+I474</f>
        <v>0</v>
      </c>
      <c r="K474" s="0" t="str">
        <f aca="false">IF(D474="","",IF(D474&gt;12,"FLAG",IF(D474&gt;8,"OVERTIME","OK")))</f>
        <v/>
      </c>
      <c r="L474" s="0" t="str">
        <f aca="false">IF(OR(A474="",E474="",C474=""),"",IF(COUNTIFS($A:$A,A474,$E:$E,E474,$C:$C,C474)&gt;1,"DUPLIKAT","OK"))</f>
        <v/>
      </c>
    </row>
    <row r="475" customFormat="false" ht="15" hidden="false" customHeight="false" outlineLevel="0" collapsed="false">
      <c r="A475" s="6"/>
      <c r="B475" s="0" t="str">
        <f aca="false">IFERROR(INDEX(Master_Lista!$B$2:$B$151,MATCH(A475,Master_Lista!$A$2:$A$151,0)),"")</f>
        <v/>
      </c>
      <c r="C475" s="6"/>
      <c r="D475" s="7"/>
      <c r="E475" s="8"/>
      <c r="F475" s="0" t="str">
        <f aca="false">IFERROR(INDEX(Sheet11_Zarade!$C$2:$C$151,MATCH(A475,Sheet11_Zarade!$A$2:$A$151,0)),"")</f>
        <v/>
      </c>
      <c r="G475" s="5" t="n">
        <f aca="false">IFERROR(INDEX(Sheet11_Zarade!$D$2:$D$151,MATCH(A475,Sheet11_Zarade!$A$2:$A$151,0)),0)</f>
        <v>0</v>
      </c>
      <c r="H475" s="5" t="n">
        <f aca="false">IFERROR(D475*G475,0)</f>
        <v>0</v>
      </c>
      <c r="I475" s="5" t="n">
        <f aca="false">H475*0.5%</f>
        <v>0</v>
      </c>
      <c r="J475" s="5" t="n">
        <f aca="false">H475+I475</f>
        <v>0</v>
      </c>
      <c r="K475" s="0" t="str">
        <f aca="false">IF(D475="","",IF(D475&gt;12,"FLAG",IF(D475&gt;8,"OVERTIME","OK")))</f>
        <v/>
      </c>
      <c r="L475" s="0" t="str">
        <f aca="false">IF(OR(A475="",E475="",C475=""),"",IF(COUNTIFS($A:$A,A475,$E:$E,E475,$C:$C,C475)&gt;1,"DUPLIKAT","OK"))</f>
        <v/>
      </c>
    </row>
    <row r="476" customFormat="false" ht="15" hidden="false" customHeight="false" outlineLevel="0" collapsed="false">
      <c r="A476" s="6"/>
      <c r="B476" s="0" t="str">
        <f aca="false">IFERROR(INDEX(Master_Lista!$B$2:$B$151,MATCH(A476,Master_Lista!$A$2:$A$151,0)),"")</f>
        <v/>
      </c>
      <c r="C476" s="6"/>
      <c r="D476" s="7"/>
      <c r="E476" s="8"/>
      <c r="F476" s="0" t="str">
        <f aca="false">IFERROR(INDEX(Sheet11_Zarade!$C$2:$C$151,MATCH(A476,Sheet11_Zarade!$A$2:$A$151,0)),"")</f>
        <v/>
      </c>
      <c r="G476" s="5" t="n">
        <f aca="false">IFERROR(INDEX(Sheet11_Zarade!$D$2:$D$151,MATCH(A476,Sheet11_Zarade!$A$2:$A$151,0)),0)</f>
        <v>0</v>
      </c>
      <c r="H476" s="5" t="n">
        <f aca="false">IFERROR(D476*G476,0)</f>
        <v>0</v>
      </c>
      <c r="I476" s="5" t="n">
        <f aca="false">H476*0.5%</f>
        <v>0</v>
      </c>
      <c r="J476" s="5" t="n">
        <f aca="false">H476+I476</f>
        <v>0</v>
      </c>
      <c r="K476" s="0" t="str">
        <f aca="false">IF(D476="","",IF(D476&gt;12,"FLAG",IF(D476&gt;8,"OVERTIME","OK")))</f>
        <v/>
      </c>
      <c r="L476" s="0" t="str">
        <f aca="false">IF(OR(A476="",E476="",C476=""),"",IF(COUNTIFS($A:$A,A476,$E:$E,E476,$C:$C,C476)&gt;1,"DUPLIKAT","OK"))</f>
        <v/>
      </c>
    </row>
    <row r="477" customFormat="false" ht="15" hidden="false" customHeight="false" outlineLevel="0" collapsed="false">
      <c r="A477" s="6"/>
      <c r="B477" s="0" t="str">
        <f aca="false">IFERROR(INDEX(Master_Lista!$B$2:$B$151,MATCH(A477,Master_Lista!$A$2:$A$151,0)),"")</f>
        <v/>
      </c>
      <c r="C477" s="6"/>
      <c r="D477" s="7"/>
      <c r="E477" s="8"/>
      <c r="F477" s="0" t="str">
        <f aca="false">IFERROR(INDEX(Sheet11_Zarade!$C$2:$C$151,MATCH(A477,Sheet11_Zarade!$A$2:$A$151,0)),"")</f>
        <v/>
      </c>
      <c r="G477" s="5" t="n">
        <f aca="false">IFERROR(INDEX(Sheet11_Zarade!$D$2:$D$151,MATCH(A477,Sheet11_Zarade!$A$2:$A$151,0)),0)</f>
        <v>0</v>
      </c>
      <c r="H477" s="5" t="n">
        <f aca="false">IFERROR(D477*G477,0)</f>
        <v>0</v>
      </c>
      <c r="I477" s="5" t="n">
        <f aca="false">H477*0.5%</f>
        <v>0</v>
      </c>
      <c r="J477" s="5" t="n">
        <f aca="false">H477+I477</f>
        <v>0</v>
      </c>
      <c r="K477" s="0" t="str">
        <f aca="false">IF(D477="","",IF(D477&gt;12,"FLAG",IF(D477&gt;8,"OVERTIME","OK")))</f>
        <v/>
      </c>
      <c r="L477" s="0" t="str">
        <f aca="false">IF(OR(A477="",E477="",C477=""),"",IF(COUNTIFS($A:$A,A477,$E:$E,E477,$C:$C,C477)&gt;1,"DUPLIKAT","OK"))</f>
        <v/>
      </c>
    </row>
    <row r="478" customFormat="false" ht="15" hidden="false" customHeight="false" outlineLevel="0" collapsed="false">
      <c r="A478" s="6"/>
      <c r="B478" s="0" t="str">
        <f aca="false">IFERROR(INDEX(Master_Lista!$B$2:$B$151,MATCH(A478,Master_Lista!$A$2:$A$151,0)),"")</f>
        <v/>
      </c>
      <c r="C478" s="6"/>
      <c r="D478" s="7"/>
      <c r="E478" s="8"/>
      <c r="F478" s="0" t="str">
        <f aca="false">IFERROR(INDEX(Sheet11_Zarade!$C$2:$C$151,MATCH(A478,Sheet11_Zarade!$A$2:$A$151,0)),"")</f>
        <v/>
      </c>
      <c r="G478" s="5" t="n">
        <f aca="false">IFERROR(INDEX(Sheet11_Zarade!$D$2:$D$151,MATCH(A478,Sheet11_Zarade!$A$2:$A$151,0)),0)</f>
        <v>0</v>
      </c>
      <c r="H478" s="5" t="n">
        <f aca="false">IFERROR(D478*G478,0)</f>
        <v>0</v>
      </c>
      <c r="I478" s="5" t="n">
        <f aca="false">H478*0.5%</f>
        <v>0</v>
      </c>
      <c r="J478" s="5" t="n">
        <f aca="false">H478+I478</f>
        <v>0</v>
      </c>
      <c r="K478" s="0" t="str">
        <f aca="false">IF(D478="","",IF(D478&gt;12,"FLAG",IF(D478&gt;8,"OVERTIME","OK")))</f>
        <v/>
      </c>
      <c r="L478" s="0" t="str">
        <f aca="false">IF(OR(A478="",E478="",C478=""),"",IF(COUNTIFS($A:$A,A478,$E:$E,E478,$C:$C,C478)&gt;1,"DUPLIKAT","OK"))</f>
        <v/>
      </c>
    </row>
    <row r="479" customFormat="false" ht="15" hidden="false" customHeight="false" outlineLevel="0" collapsed="false">
      <c r="A479" s="6"/>
      <c r="B479" s="0" t="str">
        <f aca="false">IFERROR(INDEX(Master_Lista!$B$2:$B$151,MATCH(A479,Master_Lista!$A$2:$A$151,0)),"")</f>
        <v/>
      </c>
      <c r="C479" s="6"/>
      <c r="D479" s="7"/>
      <c r="E479" s="8"/>
      <c r="F479" s="0" t="str">
        <f aca="false">IFERROR(INDEX(Sheet11_Zarade!$C$2:$C$151,MATCH(A479,Sheet11_Zarade!$A$2:$A$151,0)),"")</f>
        <v/>
      </c>
      <c r="G479" s="5" t="n">
        <f aca="false">IFERROR(INDEX(Sheet11_Zarade!$D$2:$D$151,MATCH(A479,Sheet11_Zarade!$A$2:$A$151,0)),0)</f>
        <v>0</v>
      </c>
      <c r="H479" s="5" t="n">
        <f aca="false">IFERROR(D479*G479,0)</f>
        <v>0</v>
      </c>
      <c r="I479" s="5" t="n">
        <f aca="false">H479*0.5%</f>
        <v>0</v>
      </c>
      <c r="J479" s="5" t="n">
        <f aca="false">H479+I479</f>
        <v>0</v>
      </c>
      <c r="K479" s="0" t="str">
        <f aca="false">IF(D479="","",IF(D479&gt;12,"FLAG",IF(D479&gt;8,"OVERTIME","OK")))</f>
        <v/>
      </c>
      <c r="L479" s="0" t="str">
        <f aca="false">IF(OR(A479="",E479="",C479=""),"",IF(COUNTIFS($A:$A,A479,$E:$E,E479,$C:$C,C479)&gt;1,"DUPLIKAT","OK"))</f>
        <v/>
      </c>
    </row>
    <row r="480" customFormat="false" ht="15" hidden="false" customHeight="false" outlineLevel="0" collapsed="false">
      <c r="A480" s="6"/>
      <c r="B480" s="0" t="str">
        <f aca="false">IFERROR(INDEX(Master_Lista!$B$2:$B$151,MATCH(A480,Master_Lista!$A$2:$A$151,0)),"")</f>
        <v/>
      </c>
      <c r="C480" s="6"/>
      <c r="D480" s="7"/>
      <c r="E480" s="8"/>
      <c r="F480" s="0" t="str">
        <f aca="false">IFERROR(INDEX(Sheet11_Zarade!$C$2:$C$151,MATCH(A480,Sheet11_Zarade!$A$2:$A$151,0)),"")</f>
        <v/>
      </c>
      <c r="G480" s="5" t="n">
        <f aca="false">IFERROR(INDEX(Sheet11_Zarade!$D$2:$D$151,MATCH(A480,Sheet11_Zarade!$A$2:$A$151,0)),0)</f>
        <v>0</v>
      </c>
      <c r="H480" s="5" t="n">
        <f aca="false">IFERROR(D480*G480,0)</f>
        <v>0</v>
      </c>
      <c r="I480" s="5" t="n">
        <f aca="false">H480*0.5%</f>
        <v>0</v>
      </c>
      <c r="J480" s="5" t="n">
        <f aca="false">H480+I480</f>
        <v>0</v>
      </c>
      <c r="K480" s="0" t="str">
        <f aca="false">IF(D480="","",IF(D480&gt;12,"FLAG",IF(D480&gt;8,"OVERTIME","OK")))</f>
        <v/>
      </c>
      <c r="L480" s="0" t="str">
        <f aca="false">IF(OR(A480="",E480="",C480=""),"",IF(COUNTIFS($A:$A,A480,$E:$E,E480,$C:$C,C480)&gt;1,"DUPLIKAT","OK"))</f>
        <v/>
      </c>
    </row>
    <row r="481" customFormat="false" ht="15" hidden="false" customHeight="false" outlineLevel="0" collapsed="false">
      <c r="A481" s="6"/>
      <c r="B481" s="0" t="str">
        <f aca="false">IFERROR(INDEX(Master_Lista!$B$2:$B$151,MATCH(A481,Master_Lista!$A$2:$A$151,0)),"")</f>
        <v/>
      </c>
      <c r="C481" s="6"/>
      <c r="D481" s="7"/>
      <c r="E481" s="8"/>
      <c r="F481" s="0" t="str">
        <f aca="false">IFERROR(INDEX(Sheet11_Zarade!$C$2:$C$151,MATCH(A481,Sheet11_Zarade!$A$2:$A$151,0)),"")</f>
        <v/>
      </c>
      <c r="G481" s="5" t="n">
        <f aca="false">IFERROR(INDEX(Sheet11_Zarade!$D$2:$D$151,MATCH(A481,Sheet11_Zarade!$A$2:$A$151,0)),0)</f>
        <v>0</v>
      </c>
      <c r="H481" s="5" t="n">
        <f aca="false">IFERROR(D481*G481,0)</f>
        <v>0</v>
      </c>
      <c r="I481" s="5" t="n">
        <f aca="false">H481*0.5%</f>
        <v>0</v>
      </c>
      <c r="J481" s="5" t="n">
        <f aca="false">H481+I481</f>
        <v>0</v>
      </c>
      <c r="K481" s="0" t="str">
        <f aca="false">IF(D481="","",IF(D481&gt;12,"FLAG",IF(D481&gt;8,"OVERTIME","OK")))</f>
        <v/>
      </c>
      <c r="L481" s="0" t="str">
        <f aca="false">IF(OR(A481="",E481="",C481=""),"",IF(COUNTIFS($A:$A,A481,$E:$E,E481,$C:$C,C481)&gt;1,"DUPLIKAT","OK"))</f>
        <v/>
      </c>
    </row>
    <row r="482" customFormat="false" ht="15" hidden="false" customHeight="false" outlineLevel="0" collapsed="false">
      <c r="A482" s="6"/>
      <c r="B482" s="0" t="str">
        <f aca="false">IFERROR(INDEX(Master_Lista!$B$2:$B$151,MATCH(A482,Master_Lista!$A$2:$A$151,0)),"")</f>
        <v/>
      </c>
      <c r="C482" s="6"/>
      <c r="D482" s="7"/>
      <c r="E482" s="8"/>
      <c r="F482" s="0" t="str">
        <f aca="false">IFERROR(INDEX(Sheet11_Zarade!$C$2:$C$151,MATCH(A482,Sheet11_Zarade!$A$2:$A$151,0)),"")</f>
        <v/>
      </c>
      <c r="G482" s="5" t="n">
        <f aca="false">IFERROR(INDEX(Sheet11_Zarade!$D$2:$D$151,MATCH(A482,Sheet11_Zarade!$A$2:$A$151,0)),0)</f>
        <v>0</v>
      </c>
      <c r="H482" s="5" t="n">
        <f aca="false">IFERROR(D482*G482,0)</f>
        <v>0</v>
      </c>
      <c r="I482" s="5" t="n">
        <f aca="false">H482*0.5%</f>
        <v>0</v>
      </c>
      <c r="J482" s="5" t="n">
        <f aca="false">H482+I482</f>
        <v>0</v>
      </c>
      <c r="K482" s="0" t="str">
        <f aca="false">IF(D482="","",IF(D482&gt;12,"FLAG",IF(D482&gt;8,"OVERTIME","OK")))</f>
        <v/>
      </c>
      <c r="L482" s="0" t="str">
        <f aca="false">IF(OR(A482="",E482="",C482=""),"",IF(COUNTIFS($A:$A,A482,$E:$E,E482,$C:$C,C482)&gt;1,"DUPLIKAT","OK"))</f>
        <v/>
      </c>
    </row>
    <row r="483" customFormat="false" ht="15" hidden="false" customHeight="false" outlineLevel="0" collapsed="false">
      <c r="A483" s="6"/>
      <c r="B483" s="0" t="str">
        <f aca="false">IFERROR(INDEX(Master_Lista!$B$2:$B$151,MATCH(A483,Master_Lista!$A$2:$A$151,0)),"")</f>
        <v/>
      </c>
      <c r="C483" s="6"/>
      <c r="D483" s="7"/>
      <c r="E483" s="8"/>
      <c r="F483" s="0" t="str">
        <f aca="false">IFERROR(INDEX(Sheet11_Zarade!$C$2:$C$151,MATCH(A483,Sheet11_Zarade!$A$2:$A$151,0)),"")</f>
        <v/>
      </c>
      <c r="G483" s="5" t="n">
        <f aca="false">IFERROR(INDEX(Sheet11_Zarade!$D$2:$D$151,MATCH(A483,Sheet11_Zarade!$A$2:$A$151,0)),0)</f>
        <v>0</v>
      </c>
      <c r="H483" s="5" t="n">
        <f aca="false">IFERROR(D483*G483,0)</f>
        <v>0</v>
      </c>
      <c r="I483" s="5" t="n">
        <f aca="false">H483*0.5%</f>
        <v>0</v>
      </c>
      <c r="J483" s="5" t="n">
        <f aca="false">H483+I483</f>
        <v>0</v>
      </c>
      <c r="K483" s="0" t="str">
        <f aca="false">IF(D483="","",IF(D483&gt;12,"FLAG",IF(D483&gt;8,"OVERTIME","OK")))</f>
        <v/>
      </c>
      <c r="L483" s="0" t="str">
        <f aca="false">IF(OR(A483="",E483="",C483=""),"",IF(COUNTIFS($A:$A,A483,$E:$E,E483,$C:$C,C483)&gt;1,"DUPLIKAT","OK"))</f>
        <v/>
      </c>
    </row>
    <row r="484" customFormat="false" ht="15" hidden="false" customHeight="false" outlineLevel="0" collapsed="false">
      <c r="A484" s="6"/>
      <c r="B484" s="0" t="str">
        <f aca="false">IFERROR(INDEX(Master_Lista!$B$2:$B$151,MATCH(A484,Master_Lista!$A$2:$A$151,0)),"")</f>
        <v/>
      </c>
      <c r="C484" s="6"/>
      <c r="D484" s="7"/>
      <c r="E484" s="8"/>
      <c r="F484" s="0" t="str">
        <f aca="false">IFERROR(INDEX(Sheet11_Zarade!$C$2:$C$151,MATCH(A484,Sheet11_Zarade!$A$2:$A$151,0)),"")</f>
        <v/>
      </c>
      <c r="G484" s="5" t="n">
        <f aca="false">IFERROR(INDEX(Sheet11_Zarade!$D$2:$D$151,MATCH(A484,Sheet11_Zarade!$A$2:$A$151,0)),0)</f>
        <v>0</v>
      </c>
      <c r="H484" s="5" t="n">
        <f aca="false">IFERROR(D484*G484,0)</f>
        <v>0</v>
      </c>
      <c r="I484" s="5" t="n">
        <f aca="false">H484*0.5%</f>
        <v>0</v>
      </c>
      <c r="J484" s="5" t="n">
        <f aca="false">H484+I484</f>
        <v>0</v>
      </c>
      <c r="K484" s="0" t="str">
        <f aca="false">IF(D484="","",IF(D484&gt;12,"FLAG",IF(D484&gt;8,"OVERTIME","OK")))</f>
        <v/>
      </c>
      <c r="L484" s="0" t="str">
        <f aca="false">IF(OR(A484="",E484="",C484=""),"",IF(COUNTIFS($A:$A,A484,$E:$E,E484,$C:$C,C484)&gt;1,"DUPLIKAT","OK"))</f>
        <v/>
      </c>
    </row>
    <row r="485" customFormat="false" ht="15" hidden="false" customHeight="false" outlineLevel="0" collapsed="false">
      <c r="A485" s="6"/>
      <c r="B485" s="0" t="str">
        <f aca="false">IFERROR(INDEX(Master_Lista!$B$2:$B$151,MATCH(A485,Master_Lista!$A$2:$A$151,0)),"")</f>
        <v/>
      </c>
      <c r="C485" s="6"/>
      <c r="D485" s="7"/>
      <c r="E485" s="8"/>
      <c r="F485" s="0" t="str">
        <f aca="false">IFERROR(INDEX(Sheet11_Zarade!$C$2:$C$151,MATCH(A485,Sheet11_Zarade!$A$2:$A$151,0)),"")</f>
        <v/>
      </c>
      <c r="G485" s="5" t="n">
        <f aca="false">IFERROR(INDEX(Sheet11_Zarade!$D$2:$D$151,MATCH(A485,Sheet11_Zarade!$A$2:$A$151,0)),0)</f>
        <v>0</v>
      </c>
      <c r="H485" s="5" t="n">
        <f aca="false">IFERROR(D485*G485,0)</f>
        <v>0</v>
      </c>
      <c r="I485" s="5" t="n">
        <f aca="false">H485*0.5%</f>
        <v>0</v>
      </c>
      <c r="J485" s="5" t="n">
        <f aca="false">H485+I485</f>
        <v>0</v>
      </c>
      <c r="K485" s="0" t="str">
        <f aca="false">IF(D485="","",IF(D485&gt;12,"FLAG",IF(D485&gt;8,"OVERTIME","OK")))</f>
        <v/>
      </c>
      <c r="L485" s="0" t="str">
        <f aca="false">IF(OR(A485="",E485="",C485=""),"",IF(COUNTIFS($A:$A,A485,$E:$E,E485,$C:$C,C485)&gt;1,"DUPLIKAT","OK"))</f>
        <v/>
      </c>
    </row>
    <row r="486" customFormat="false" ht="15" hidden="false" customHeight="false" outlineLevel="0" collapsed="false">
      <c r="A486" s="6"/>
      <c r="B486" s="0" t="str">
        <f aca="false">IFERROR(INDEX(Master_Lista!$B$2:$B$151,MATCH(A486,Master_Lista!$A$2:$A$151,0)),"")</f>
        <v/>
      </c>
      <c r="C486" s="6"/>
      <c r="D486" s="7"/>
      <c r="E486" s="8"/>
      <c r="F486" s="0" t="str">
        <f aca="false">IFERROR(INDEX(Sheet11_Zarade!$C$2:$C$151,MATCH(A486,Sheet11_Zarade!$A$2:$A$151,0)),"")</f>
        <v/>
      </c>
      <c r="G486" s="5" t="n">
        <f aca="false">IFERROR(INDEX(Sheet11_Zarade!$D$2:$D$151,MATCH(A486,Sheet11_Zarade!$A$2:$A$151,0)),0)</f>
        <v>0</v>
      </c>
      <c r="H486" s="5" t="n">
        <f aca="false">IFERROR(D486*G486,0)</f>
        <v>0</v>
      </c>
      <c r="I486" s="5" t="n">
        <f aca="false">H486*0.5%</f>
        <v>0</v>
      </c>
      <c r="J486" s="5" t="n">
        <f aca="false">H486+I486</f>
        <v>0</v>
      </c>
      <c r="K486" s="0" t="str">
        <f aca="false">IF(D486="","",IF(D486&gt;12,"FLAG",IF(D486&gt;8,"OVERTIME","OK")))</f>
        <v/>
      </c>
      <c r="L486" s="0" t="str">
        <f aca="false">IF(OR(A486="",E486="",C486=""),"",IF(COUNTIFS($A:$A,A486,$E:$E,E486,$C:$C,C486)&gt;1,"DUPLIKAT","OK"))</f>
        <v/>
      </c>
    </row>
    <row r="487" customFormat="false" ht="15" hidden="false" customHeight="false" outlineLevel="0" collapsed="false">
      <c r="A487" s="6"/>
      <c r="B487" s="0" t="str">
        <f aca="false">IFERROR(INDEX(Master_Lista!$B$2:$B$151,MATCH(A487,Master_Lista!$A$2:$A$151,0)),"")</f>
        <v/>
      </c>
      <c r="C487" s="6"/>
      <c r="D487" s="7"/>
      <c r="E487" s="8"/>
      <c r="F487" s="0" t="str">
        <f aca="false">IFERROR(INDEX(Sheet11_Zarade!$C$2:$C$151,MATCH(A487,Sheet11_Zarade!$A$2:$A$151,0)),"")</f>
        <v/>
      </c>
      <c r="G487" s="5" t="n">
        <f aca="false">IFERROR(INDEX(Sheet11_Zarade!$D$2:$D$151,MATCH(A487,Sheet11_Zarade!$A$2:$A$151,0)),0)</f>
        <v>0</v>
      </c>
      <c r="H487" s="5" t="n">
        <f aca="false">IFERROR(D487*G487,0)</f>
        <v>0</v>
      </c>
      <c r="I487" s="5" t="n">
        <f aca="false">H487*0.5%</f>
        <v>0</v>
      </c>
      <c r="J487" s="5" t="n">
        <f aca="false">H487+I487</f>
        <v>0</v>
      </c>
      <c r="K487" s="0" t="str">
        <f aca="false">IF(D487="","",IF(D487&gt;12,"FLAG",IF(D487&gt;8,"OVERTIME","OK")))</f>
        <v/>
      </c>
      <c r="L487" s="0" t="str">
        <f aca="false">IF(OR(A487="",E487="",C487=""),"",IF(COUNTIFS($A:$A,A487,$E:$E,E487,$C:$C,C487)&gt;1,"DUPLIKAT","OK"))</f>
        <v/>
      </c>
    </row>
    <row r="488" customFormat="false" ht="15" hidden="false" customHeight="false" outlineLevel="0" collapsed="false">
      <c r="A488" s="6"/>
      <c r="B488" s="0" t="str">
        <f aca="false">IFERROR(INDEX(Master_Lista!$B$2:$B$151,MATCH(A488,Master_Lista!$A$2:$A$151,0)),"")</f>
        <v/>
      </c>
      <c r="C488" s="6"/>
      <c r="D488" s="7"/>
      <c r="E488" s="8"/>
      <c r="F488" s="0" t="str">
        <f aca="false">IFERROR(INDEX(Sheet11_Zarade!$C$2:$C$151,MATCH(A488,Sheet11_Zarade!$A$2:$A$151,0)),"")</f>
        <v/>
      </c>
      <c r="G488" s="5" t="n">
        <f aca="false">IFERROR(INDEX(Sheet11_Zarade!$D$2:$D$151,MATCH(A488,Sheet11_Zarade!$A$2:$A$151,0)),0)</f>
        <v>0</v>
      </c>
      <c r="H488" s="5" t="n">
        <f aca="false">IFERROR(D488*G488,0)</f>
        <v>0</v>
      </c>
      <c r="I488" s="5" t="n">
        <f aca="false">H488*0.5%</f>
        <v>0</v>
      </c>
      <c r="J488" s="5" t="n">
        <f aca="false">H488+I488</f>
        <v>0</v>
      </c>
      <c r="K488" s="0" t="str">
        <f aca="false">IF(D488="","",IF(D488&gt;12,"FLAG",IF(D488&gt;8,"OVERTIME","OK")))</f>
        <v/>
      </c>
      <c r="L488" s="0" t="str">
        <f aca="false">IF(OR(A488="",E488="",C488=""),"",IF(COUNTIFS($A:$A,A488,$E:$E,E488,$C:$C,C488)&gt;1,"DUPLIKAT","OK"))</f>
        <v/>
      </c>
    </row>
    <row r="489" customFormat="false" ht="15" hidden="false" customHeight="false" outlineLevel="0" collapsed="false">
      <c r="A489" s="6"/>
      <c r="B489" s="0" t="str">
        <f aca="false">IFERROR(INDEX(Master_Lista!$B$2:$B$151,MATCH(A489,Master_Lista!$A$2:$A$151,0)),"")</f>
        <v/>
      </c>
      <c r="C489" s="6"/>
      <c r="D489" s="7"/>
      <c r="E489" s="8"/>
      <c r="F489" s="0" t="str">
        <f aca="false">IFERROR(INDEX(Sheet11_Zarade!$C$2:$C$151,MATCH(A489,Sheet11_Zarade!$A$2:$A$151,0)),"")</f>
        <v/>
      </c>
      <c r="G489" s="5" t="n">
        <f aca="false">IFERROR(INDEX(Sheet11_Zarade!$D$2:$D$151,MATCH(A489,Sheet11_Zarade!$A$2:$A$151,0)),0)</f>
        <v>0</v>
      </c>
      <c r="H489" s="5" t="n">
        <f aca="false">IFERROR(D489*G489,0)</f>
        <v>0</v>
      </c>
      <c r="I489" s="5" t="n">
        <f aca="false">H489*0.5%</f>
        <v>0</v>
      </c>
      <c r="J489" s="5" t="n">
        <f aca="false">H489+I489</f>
        <v>0</v>
      </c>
      <c r="K489" s="0" t="str">
        <f aca="false">IF(D489="","",IF(D489&gt;12,"FLAG",IF(D489&gt;8,"OVERTIME","OK")))</f>
        <v/>
      </c>
      <c r="L489" s="0" t="str">
        <f aca="false">IF(OR(A489="",E489="",C489=""),"",IF(COUNTIFS($A:$A,A489,$E:$E,E489,$C:$C,C489)&gt;1,"DUPLIKAT","OK"))</f>
        <v/>
      </c>
    </row>
    <row r="490" customFormat="false" ht="15" hidden="false" customHeight="false" outlineLevel="0" collapsed="false">
      <c r="A490" s="6"/>
      <c r="B490" s="0" t="str">
        <f aca="false">IFERROR(INDEX(Master_Lista!$B$2:$B$151,MATCH(A490,Master_Lista!$A$2:$A$151,0)),"")</f>
        <v/>
      </c>
      <c r="C490" s="6"/>
      <c r="D490" s="7"/>
      <c r="E490" s="8"/>
      <c r="F490" s="0" t="str">
        <f aca="false">IFERROR(INDEX(Sheet11_Zarade!$C$2:$C$151,MATCH(A490,Sheet11_Zarade!$A$2:$A$151,0)),"")</f>
        <v/>
      </c>
      <c r="G490" s="5" t="n">
        <f aca="false">IFERROR(INDEX(Sheet11_Zarade!$D$2:$D$151,MATCH(A490,Sheet11_Zarade!$A$2:$A$151,0)),0)</f>
        <v>0</v>
      </c>
      <c r="H490" s="5" t="n">
        <f aca="false">IFERROR(D490*G490,0)</f>
        <v>0</v>
      </c>
      <c r="I490" s="5" t="n">
        <f aca="false">H490*0.5%</f>
        <v>0</v>
      </c>
      <c r="J490" s="5" t="n">
        <f aca="false">H490+I490</f>
        <v>0</v>
      </c>
      <c r="K490" s="0" t="str">
        <f aca="false">IF(D490="","",IF(D490&gt;12,"FLAG",IF(D490&gt;8,"OVERTIME","OK")))</f>
        <v/>
      </c>
      <c r="L490" s="0" t="str">
        <f aca="false">IF(OR(A490="",E490="",C490=""),"",IF(COUNTIFS($A:$A,A490,$E:$E,E490,$C:$C,C490)&gt;1,"DUPLIKAT","OK"))</f>
        <v/>
      </c>
    </row>
    <row r="491" customFormat="false" ht="15" hidden="false" customHeight="false" outlineLevel="0" collapsed="false">
      <c r="A491" s="6"/>
      <c r="B491" s="0" t="str">
        <f aca="false">IFERROR(INDEX(Master_Lista!$B$2:$B$151,MATCH(A491,Master_Lista!$A$2:$A$151,0)),"")</f>
        <v/>
      </c>
      <c r="C491" s="6"/>
      <c r="D491" s="7"/>
      <c r="E491" s="8"/>
      <c r="F491" s="0" t="str">
        <f aca="false">IFERROR(INDEX(Sheet11_Zarade!$C$2:$C$151,MATCH(A491,Sheet11_Zarade!$A$2:$A$151,0)),"")</f>
        <v/>
      </c>
      <c r="G491" s="5" t="n">
        <f aca="false">IFERROR(INDEX(Sheet11_Zarade!$D$2:$D$151,MATCH(A491,Sheet11_Zarade!$A$2:$A$151,0)),0)</f>
        <v>0</v>
      </c>
      <c r="H491" s="5" t="n">
        <f aca="false">IFERROR(D491*G491,0)</f>
        <v>0</v>
      </c>
      <c r="I491" s="5" t="n">
        <f aca="false">H491*0.5%</f>
        <v>0</v>
      </c>
      <c r="J491" s="5" t="n">
        <f aca="false">H491+I491</f>
        <v>0</v>
      </c>
      <c r="K491" s="0" t="str">
        <f aca="false">IF(D491="","",IF(D491&gt;12,"FLAG",IF(D491&gt;8,"OVERTIME","OK")))</f>
        <v/>
      </c>
      <c r="L491" s="0" t="str">
        <f aca="false">IF(OR(A491="",E491="",C491=""),"",IF(COUNTIFS($A:$A,A491,$E:$E,E491,$C:$C,C491)&gt;1,"DUPLIKAT","OK"))</f>
        <v/>
      </c>
    </row>
    <row r="492" customFormat="false" ht="15" hidden="false" customHeight="false" outlineLevel="0" collapsed="false">
      <c r="A492" s="6"/>
      <c r="B492" s="0" t="str">
        <f aca="false">IFERROR(INDEX(Master_Lista!$B$2:$B$151,MATCH(A492,Master_Lista!$A$2:$A$151,0)),"")</f>
        <v/>
      </c>
      <c r="C492" s="6"/>
      <c r="D492" s="7"/>
      <c r="E492" s="8"/>
      <c r="F492" s="0" t="str">
        <f aca="false">IFERROR(INDEX(Sheet11_Zarade!$C$2:$C$151,MATCH(A492,Sheet11_Zarade!$A$2:$A$151,0)),"")</f>
        <v/>
      </c>
      <c r="G492" s="5" t="n">
        <f aca="false">IFERROR(INDEX(Sheet11_Zarade!$D$2:$D$151,MATCH(A492,Sheet11_Zarade!$A$2:$A$151,0)),0)</f>
        <v>0</v>
      </c>
      <c r="H492" s="5" t="n">
        <f aca="false">IFERROR(D492*G492,0)</f>
        <v>0</v>
      </c>
      <c r="I492" s="5" t="n">
        <f aca="false">H492*0.5%</f>
        <v>0</v>
      </c>
      <c r="J492" s="5" t="n">
        <f aca="false">H492+I492</f>
        <v>0</v>
      </c>
      <c r="K492" s="0" t="str">
        <f aca="false">IF(D492="","",IF(D492&gt;12,"FLAG",IF(D492&gt;8,"OVERTIME","OK")))</f>
        <v/>
      </c>
      <c r="L492" s="0" t="str">
        <f aca="false">IF(OR(A492="",E492="",C492=""),"",IF(COUNTIFS($A:$A,A492,$E:$E,E492,$C:$C,C492)&gt;1,"DUPLIKAT","OK"))</f>
        <v/>
      </c>
    </row>
    <row r="493" customFormat="false" ht="15" hidden="false" customHeight="false" outlineLevel="0" collapsed="false">
      <c r="A493" s="6"/>
      <c r="B493" s="0" t="str">
        <f aca="false">IFERROR(INDEX(Master_Lista!$B$2:$B$151,MATCH(A493,Master_Lista!$A$2:$A$151,0)),"")</f>
        <v/>
      </c>
      <c r="C493" s="6"/>
      <c r="D493" s="7"/>
      <c r="E493" s="8"/>
      <c r="F493" s="0" t="str">
        <f aca="false">IFERROR(INDEX(Sheet11_Zarade!$C$2:$C$151,MATCH(A493,Sheet11_Zarade!$A$2:$A$151,0)),"")</f>
        <v/>
      </c>
      <c r="G493" s="5" t="n">
        <f aca="false">IFERROR(INDEX(Sheet11_Zarade!$D$2:$D$151,MATCH(A493,Sheet11_Zarade!$A$2:$A$151,0)),0)</f>
        <v>0</v>
      </c>
      <c r="H493" s="5" t="n">
        <f aca="false">IFERROR(D493*G493,0)</f>
        <v>0</v>
      </c>
      <c r="I493" s="5" t="n">
        <f aca="false">H493*0.5%</f>
        <v>0</v>
      </c>
      <c r="J493" s="5" t="n">
        <f aca="false">H493+I493</f>
        <v>0</v>
      </c>
      <c r="K493" s="0" t="str">
        <f aca="false">IF(D493="","",IF(D493&gt;12,"FLAG",IF(D493&gt;8,"OVERTIME","OK")))</f>
        <v/>
      </c>
      <c r="L493" s="0" t="str">
        <f aca="false">IF(OR(A493="",E493="",C493=""),"",IF(COUNTIFS($A:$A,A493,$E:$E,E493,$C:$C,C493)&gt;1,"DUPLIKAT","OK"))</f>
        <v/>
      </c>
    </row>
    <row r="494" customFormat="false" ht="15" hidden="false" customHeight="false" outlineLevel="0" collapsed="false">
      <c r="A494" s="6"/>
      <c r="B494" s="0" t="str">
        <f aca="false">IFERROR(INDEX(Master_Lista!$B$2:$B$151,MATCH(A494,Master_Lista!$A$2:$A$151,0)),"")</f>
        <v/>
      </c>
      <c r="C494" s="6"/>
      <c r="D494" s="7"/>
      <c r="E494" s="8"/>
      <c r="F494" s="0" t="str">
        <f aca="false">IFERROR(INDEX(Sheet11_Zarade!$C$2:$C$151,MATCH(A494,Sheet11_Zarade!$A$2:$A$151,0)),"")</f>
        <v/>
      </c>
      <c r="G494" s="5" t="n">
        <f aca="false">IFERROR(INDEX(Sheet11_Zarade!$D$2:$D$151,MATCH(A494,Sheet11_Zarade!$A$2:$A$151,0)),0)</f>
        <v>0</v>
      </c>
      <c r="H494" s="5" t="n">
        <f aca="false">IFERROR(D494*G494,0)</f>
        <v>0</v>
      </c>
      <c r="I494" s="5" t="n">
        <f aca="false">H494*0.5%</f>
        <v>0</v>
      </c>
      <c r="J494" s="5" t="n">
        <f aca="false">H494+I494</f>
        <v>0</v>
      </c>
      <c r="K494" s="0" t="str">
        <f aca="false">IF(D494="","",IF(D494&gt;12,"FLAG",IF(D494&gt;8,"OVERTIME","OK")))</f>
        <v/>
      </c>
      <c r="L494" s="0" t="str">
        <f aca="false">IF(OR(A494="",E494="",C494=""),"",IF(COUNTIFS($A:$A,A494,$E:$E,E494,$C:$C,C494)&gt;1,"DUPLIKAT","OK"))</f>
        <v/>
      </c>
    </row>
    <row r="495" customFormat="false" ht="15" hidden="false" customHeight="false" outlineLevel="0" collapsed="false">
      <c r="A495" s="6"/>
      <c r="B495" s="0" t="str">
        <f aca="false">IFERROR(INDEX(Master_Lista!$B$2:$B$151,MATCH(A495,Master_Lista!$A$2:$A$151,0)),"")</f>
        <v/>
      </c>
      <c r="C495" s="6"/>
      <c r="D495" s="7"/>
      <c r="E495" s="8"/>
      <c r="F495" s="0" t="str">
        <f aca="false">IFERROR(INDEX(Sheet11_Zarade!$C$2:$C$151,MATCH(A495,Sheet11_Zarade!$A$2:$A$151,0)),"")</f>
        <v/>
      </c>
      <c r="G495" s="5" t="n">
        <f aca="false">IFERROR(INDEX(Sheet11_Zarade!$D$2:$D$151,MATCH(A495,Sheet11_Zarade!$A$2:$A$151,0)),0)</f>
        <v>0</v>
      </c>
      <c r="H495" s="5" t="n">
        <f aca="false">IFERROR(D495*G495,0)</f>
        <v>0</v>
      </c>
      <c r="I495" s="5" t="n">
        <f aca="false">H495*0.5%</f>
        <v>0</v>
      </c>
      <c r="J495" s="5" t="n">
        <f aca="false">H495+I495</f>
        <v>0</v>
      </c>
      <c r="K495" s="0" t="str">
        <f aca="false">IF(D495="","",IF(D495&gt;12,"FLAG",IF(D495&gt;8,"OVERTIME","OK")))</f>
        <v/>
      </c>
      <c r="L495" s="0" t="str">
        <f aca="false">IF(OR(A495="",E495="",C495=""),"",IF(COUNTIFS($A:$A,A495,$E:$E,E495,$C:$C,C495)&gt;1,"DUPLIKAT","OK"))</f>
        <v/>
      </c>
    </row>
    <row r="496" customFormat="false" ht="15" hidden="false" customHeight="false" outlineLevel="0" collapsed="false">
      <c r="A496" s="6"/>
      <c r="B496" s="0" t="str">
        <f aca="false">IFERROR(INDEX(Master_Lista!$B$2:$B$151,MATCH(A496,Master_Lista!$A$2:$A$151,0)),"")</f>
        <v/>
      </c>
      <c r="C496" s="6"/>
      <c r="D496" s="7"/>
      <c r="E496" s="8"/>
      <c r="F496" s="0" t="str">
        <f aca="false">IFERROR(INDEX(Sheet11_Zarade!$C$2:$C$151,MATCH(A496,Sheet11_Zarade!$A$2:$A$151,0)),"")</f>
        <v/>
      </c>
      <c r="G496" s="5" t="n">
        <f aca="false">IFERROR(INDEX(Sheet11_Zarade!$D$2:$D$151,MATCH(A496,Sheet11_Zarade!$A$2:$A$151,0)),0)</f>
        <v>0</v>
      </c>
      <c r="H496" s="5" t="n">
        <f aca="false">IFERROR(D496*G496,0)</f>
        <v>0</v>
      </c>
      <c r="I496" s="5" t="n">
        <f aca="false">H496*0.5%</f>
        <v>0</v>
      </c>
      <c r="J496" s="5" t="n">
        <f aca="false">H496+I496</f>
        <v>0</v>
      </c>
      <c r="K496" s="0" t="str">
        <f aca="false">IF(D496="","",IF(D496&gt;12,"FLAG",IF(D496&gt;8,"OVERTIME","OK")))</f>
        <v/>
      </c>
      <c r="L496" s="0" t="str">
        <f aca="false">IF(OR(A496="",E496="",C496=""),"",IF(COUNTIFS($A:$A,A496,$E:$E,E496,$C:$C,C496)&gt;1,"DUPLIKAT","OK"))</f>
        <v/>
      </c>
    </row>
    <row r="497" customFormat="false" ht="15" hidden="false" customHeight="false" outlineLevel="0" collapsed="false">
      <c r="A497" s="6"/>
      <c r="B497" s="0" t="str">
        <f aca="false">IFERROR(INDEX(Master_Lista!$B$2:$B$151,MATCH(A497,Master_Lista!$A$2:$A$151,0)),"")</f>
        <v/>
      </c>
      <c r="C497" s="6"/>
      <c r="D497" s="7"/>
      <c r="E497" s="8"/>
      <c r="F497" s="0" t="str">
        <f aca="false">IFERROR(INDEX(Sheet11_Zarade!$C$2:$C$151,MATCH(A497,Sheet11_Zarade!$A$2:$A$151,0)),"")</f>
        <v/>
      </c>
      <c r="G497" s="5" t="n">
        <f aca="false">IFERROR(INDEX(Sheet11_Zarade!$D$2:$D$151,MATCH(A497,Sheet11_Zarade!$A$2:$A$151,0)),0)</f>
        <v>0</v>
      </c>
      <c r="H497" s="5" t="n">
        <f aca="false">IFERROR(D497*G497,0)</f>
        <v>0</v>
      </c>
      <c r="I497" s="5" t="n">
        <f aca="false">H497*0.5%</f>
        <v>0</v>
      </c>
      <c r="J497" s="5" t="n">
        <f aca="false">H497+I497</f>
        <v>0</v>
      </c>
      <c r="K497" s="0" t="str">
        <f aca="false">IF(D497="","",IF(D497&gt;12,"FLAG",IF(D497&gt;8,"OVERTIME","OK")))</f>
        <v/>
      </c>
      <c r="L497" s="0" t="str">
        <f aca="false">IF(OR(A497="",E497="",C497=""),"",IF(COUNTIFS($A:$A,A497,$E:$E,E497,$C:$C,C497)&gt;1,"DUPLIKAT","OK"))</f>
        <v/>
      </c>
    </row>
    <row r="498" customFormat="false" ht="15" hidden="false" customHeight="false" outlineLevel="0" collapsed="false">
      <c r="A498" s="6"/>
      <c r="B498" s="0" t="str">
        <f aca="false">IFERROR(INDEX(Master_Lista!$B$2:$B$151,MATCH(A498,Master_Lista!$A$2:$A$151,0)),"")</f>
        <v/>
      </c>
      <c r="C498" s="6"/>
      <c r="D498" s="7"/>
      <c r="E498" s="8"/>
      <c r="F498" s="0" t="str">
        <f aca="false">IFERROR(INDEX(Sheet11_Zarade!$C$2:$C$151,MATCH(A498,Sheet11_Zarade!$A$2:$A$151,0)),"")</f>
        <v/>
      </c>
      <c r="G498" s="5" t="n">
        <f aca="false">IFERROR(INDEX(Sheet11_Zarade!$D$2:$D$151,MATCH(A498,Sheet11_Zarade!$A$2:$A$151,0)),0)</f>
        <v>0</v>
      </c>
      <c r="H498" s="5" t="n">
        <f aca="false">IFERROR(D498*G498,0)</f>
        <v>0</v>
      </c>
      <c r="I498" s="5" t="n">
        <f aca="false">H498*0.5%</f>
        <v>0</v>
      </c>
      <c r="J498" s="5" t="n">
        <f aca="false">H498+I498</f>
        <v>0</v>
      </c>
      <c r="K498" s="0" t="str">
        <f aca="false">IF(D498="","",IF(D498&gt;12,"FLAG",IF(D498&gt;8,"OVERTIME","OK")))</f>
        <v/>
      </c>
      <c r="L498" s="0" t="str">
        <f aca="false">IF(OR(A498="",E498="",C498=""),"",IF(COUNTIFS($A:$A,A498,$E:$E,E498,$C:$C,C498)&gt;1,"DUPLIKAT","OK"))</f>
        <v/>
      </c>
    </row>
    <row r="499" customFormat="false" ht="15" hidden="false" customHeight="false" outlineLevel="0" collapsed="false">
      <c r="A499" s="6"/>
      <c r="B499" s="0" t="str">
        <f aca="false">IFERROR(INDEX(Master_Lista!$B$2:$B$151,MATCH(A499,Master_Lista!$A$2:$A$151,0)),"")</f>
        <v/>
      </c>
      <c r="C499" s="6"/>
      <c r="D499" s="7"/>
      <c r="E499" s="8"/>
      <c r="F499" s="0" t="str">
        <f aca="false">IFERROR(INDEX(Sheet11_Zarade!$C$2:$C$151,MATCH(A499,Sheet11_Zarade!$A$2:$A$151,0)),"")</f>
        <v/>
      </c>
      <c r="G499" s="5" t="n">
        <f aca="false">IFERROR(INDEX(Sheet11_Zarade!$D$2:$D$151,MATCH(A499,Sheet11_Zarade!$A$2:$A$151,0)),0)</f>
        <v>0</v>
      </c>
      <c r="H499" s="5" t="n">
        <f aca="false">IFERROR(D499*G499,0)</f>
        <v>0</v>
      </c>
      <c r="I499" s="5" t="n">
        <f aca="false">H499*0.5%</f>
        <v>0</v>
      </c>
      <c r="J499" s="5" t="n">
        <f aca="false">H499+I499</f>
        <v>0</v>
      </c>
      <c r="K499" s="0" t="str">
        <f aca="false">IF(D499="","",IF(D499&gt;12,"FLAG",IF(D499&gt;8,"OVERTIME","OK")))</f>
        <v/>
      </c>
      <c r="L499" s="0" t="str">
        <f aca="false">IF(OR(A499="",E499="",C499=""),"",IF(COUNTIFS($A:$A,A499,$E:$E,E499,$C:$C,C499)&gt;1,"DUPLIKAT","OK"))</f>
        <v/>
      </c>
    </row>
    <row r="500" customFormat="false" ht="15" hidden="false" customHeight="false" outlineLevel="0" collapsed="false">
      <c r="A500" s="6"/>
      <c r="B500" s="0" t="str">
        <f aca="false">IFERROR(INDEX(Master_Lista!$B$2:$B$151,MATCH(A500,Master_Lista!$A$2:$A$151,0)),"")</f>
        <v/>
      </c>
      <c r="C500" s="6"/>
      <c r="D500" s="7"/>
      <c r="E500" s="8"/>
      <c r="F500" s="0" t="str">
        <f aca="false">IFERROR(INDEX(Sheet11_Zarade!$C$2:$C$151,MATCH(A500,Sheet11_Zarade!$A$2:$A$151,0)),"")</f>
        <v/>
      </c>
      <c r="G500" s="5" t="n">
        <f aca="false">IFERROR(INDEX(Sheet11_Zarade!$D$2:$D$151,MATCH(A500,Sheet11_Zarade!$A$2:$A$151,0)),0)</f>
        <v>0</v>
      </c>
      <c r="H500" s="5" t="n">
        <f aca="false">IFERROR(D500*G500,0)</f>
        <v>0</v>
      </c>
      <c r="I500" s="5" t="n">
        <f aca="false">H500*0.5%</f>
        <v>0</v>
      </c>
      <c r="J500" s="5" t="n">
        <f aca="false">H500+I500</f>
        <v>0</v>
      </c>
      <c r="K500" s="0" t="str">
        <f aca="false">IF(D500="","",IF(D500&gt;12,"FLAG",IF(D500&gt;8,"OVERTIME","OK")))</f>
        <v/>
      </c>
      <c r="L500" s="0" t="str">
        <f aca="false">IF(OR(A500="",E500="",C500=""),"",IF(COUNTIFS($A:$A,A500,$E:$E,E500,$C:$C,C500)&gt;1,"DUPLIKAT","OK"))</f>
        <v/>
      </c>
    </row>
  </sheetData>
  <conditionalFormatting sqref="D2:D500">
    <cfRule type="cellIs" priority="2" operator="greaterThan" aboveAverage="0" equalAverage="0" bottom="0" percent="0" rank="0" text="" dxfId="0">
      <formula>12</formula>
    </cfRule>
  </conditionalFormatting>
  <conditionalFormatting sqref="K2:K500">
    <cfRule type="expression" priority="3" aboveAverage="0" equalAverage="0" bottom="0" percent="0" rank="0" text="" dxfId="1">
      <formula>$K2="FLAG"</formula>
    </cfRule>
  </conditionalFormatting>
  <conditionalFormatting sqref="L2:L500">
    <cfRule type="expression" priority="4" aboveAverage="0" equalAverage="0" bottom="0" percent="0" rank="0" text="" dxfId="1">
      <formula>$L2="DUPLIKAT"</formula>
    </cfRule>
  </conditionalFormatting>
  <dataValidations count="4">
    <dataValidation allowBlank="true" errorStyle="stop" operator="between" showDropDown="false" showErrorMessage="false" showInputMessage="false" sqref="A2:A500" type="list">
      <formula1>ListaRadnikaID</formula1>
      <formula2>0</formula2>
    </dataValidation>
    <dataValidation allowBlank="true" errorStyle="stop" operator="between" showDropDown="false" showErrorMessage="false" showInputMessage="false" sqref="C2:C500" type="list">
      <formula1>ListaProjekata</formula1>
      <formula2>0</formula2>
    </dataValidation>
    <dataValidation allowBlank="true" error="Broj sati po danu ne može biti manji od 0.5 niti veći od 16." errorStyle="stop" errorTitle="Sumnjiv unos" operator="between" showDropDown="false" showErrorMessage="false" showInputMessage="false" sqref="D2:D500" type="decimal">
      <formula1>0.5</formula1>
      <formula2>16</formula2>
    </dataValidation>
    <dataValidation allowBlank="true" errorStyle="stop" operator="between" showDropDown="false" showErrorMessage="false" showInputMessage="false" sqref="E2:E500" type="date">
      <formula1>DATE(2026,1,1)</formula1>
      <formula2>DATE(2026,12,31)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</cols>
  <sheetData>
    <row r="1" customFormat="false" ht="21.75" hidden="false" customHeight="true" outlineLevel="0" collapsed="false">
      <c r="A1" s="1" t="s">
        <v>340</v>
      </c>
      <c r="B1" s="1" t="s">
        <v>341</v>
      </c>
      <c r="C1" s="1" t="s">
        <v>342</v>
      </c>
    </row>
    <row r="2" customFormat="false" ht="15" hidden="false" customHeight="false" outlineLevel="0" collapsed="false">
      <c r="A2" s="0" t="s">
        <v>336</v>
      </c>
      <c r="B2" s="0" t="s">
        <v>343</v>
      </c>
      <c r="C2" s="0" t="s">
        <v>344</v>
      </c>
    </row>
    <row r="3" customFormat="false" ht="15" hidden="false" customHeight="false" outlineLevel="0" collapsed="false">
      <c r="A3" s="0" t="s">
        <v>339</v>
      </c>
      <c r="B3" s="0" t="s">
        <v>345</v>
      </c>
      <c r="C3" s="0" t="s">
        <v>344</v>
      </c>
    </row>
    <row r="4" customFormat="false" ht="15" hidden="false" customHeight="false" outlineLevel="0" collapsed="false">
      <c r="A4" s="0" t="s">
        <v>337</v>
      </c>
      <c r="B4" s="0" t="s">
        <v>346</v>
      </c>
      <c r="C4" s="0" t="s">
        <v>344</v>
      </c>
    </row>
    <row r="5" customFormat="false" ht="15" hidden="false" customHeight="false" outlineLevel="0" collapsed="false">
      <c r="A5" s="0" t="s">
        <v>329</v>
      </c>
      <c r="B5" s="0" t="s">
        <v>347</v>
      </c>
      <c r="C5" s="0" t="s">
        <v>348</v>
      </c>
    </row>
    <row r="6" customFormat="false" ht="15" hidden="false" customHeight="false" outlineLevel="0" collapsed="false">
      <c r="A6" s="0" t="s">
        <v>335</v>
      </c>
      <c r="B6" s="0" t="s">
        <v>349</v>
      </c>
      <c r="C6" s="0" t="s">
        <v>344</v>
      </c>
    </row>
    <row r="7" customFormat="false" ht="15" hidden="false" customHeight="false" outlineLevel="0" collapsed="false">
      <c r="A7" s="0" t="s">
        <v>333</v>
      </c>
      <c r="B7" s="0" t="s">
        <v>350</v>
      </c>
      <c r="C7" s="0" t="s">
        <v>344</v>
      </c>
    </row>
    <row r="8" customFormat="false" ht="15" hidden="false" customHeight="false" outlineLevel="0" collapsed="false">
      <c r="A8" s="0" t="s">
        <v>332</v>
      </c>
      <c r="B8" s="0" t="s">
        <v>351</v>
      </c>
      <c r="C8" s="0" t="s">
        <v>348</v>
      </c>
    </row>
    <row r="9" customFormat="false" ht="15" hidden="false" customHeight="false" outlineLevel="0" collapsed="false">
      <c r="A9" s="0" t="s">
        <v>325</v>
      </c>
      <c r="B9" s="0" t="s">
        <v>352</v>
      </c>
      <c r="C9" s="0" t="s">
        <v>344</v>
      </c>
    </row>
    <row r="10" customFormat="false" ht="15" hidden="false" customHeight="false" outlineLevel="0" collapsed="false">
      <c r="A10" s="0" t="s">
        <v>327</v>
      </c>
      <c r="B10" s="0" t="s">
        <v>353</v>
      </c>
      <c r="C10" s="0" t="s">
        <v>344</v>
      </c>
    </row>
    <row r="11" customFormat="false" ht="15" hidden="false" customHeight="false" outlineLevel="0" collapsed="false">
      <c r="A11" s="0" t="s">
        <v>331</v>
      </c>
      <c r="B11" s="0" t="s">
        <v>354</v>
      </c>
      <c r="C11" s="0" t="s">
        <v>348</v>
      </c>
    </row>
    <row r="12" customFormat="false" ht="15" hidden="false" customHeight="false" outlineLevel="0" collapsed="false">
      <c r="A12" s="0" t="s">
        <v>326</v>
      </c>
      <c r="B12" s="0" t="s">
        <v>355</v>
      </c>
      <c r="C12" s="0" t="s">
        <v>344</v>
      </c>
    </row>
    <row r="13" customFormat="false" ht="15" hidden="false" customHeight="false" outlineLevel="0" collapsed="false">
      <c r="A13" s="0" t="s">
        <v>328</v>
      </c>
      <c r="B13" s="0" t="s">
        <v>356</v>
      </c>
      <c r="C13" s="0" t="s">
        <v>348</v>
      </c>
    </row>
    <row r="14" customFormat="false" ht="15" hidden="false" customHeight="false" outlineLevel="0" collapsed="false">
      <c r="A14" s="0" t="s">
        <v>330</v>
      </c>
      <c r="B14" s="0" t="s">
        <v>357</v>
      </c>
      <c r="C14" s="0" t="s">
        <v>344</v>
      </c>
    </row>
    <row r="15" customFormat="false" ht="15" hidden="false" customHeight="false" outlineLevel="0" collapsed="false">
      <c r="A15" s="0" t="s">
        <v>334</v>
      </c>
      <c r="B15" s="0" t="s">
        <v>358</v>
      </c>
      <c r="C15" s="0" t="s">
        <v>344</v>
      </c>
    </row>
    <row r="16" customFormat="false" ht="15" hidden="false" customHeight="false" outlineLevel="0" collapsed="false">
      <c r="A16" s="0" t="s">
        <v>338</v>
      </c>
      <c r="B16" s="0" t="s">
        <v>359</v>
      </c>
      <c r="C16" s="0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L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318</v>
      </c>
      <c r="I1" s="1" t="s">
        <v>360</v>
      </c>
      <c r="J1" s="1" t="s">
        <v>361</v>
      </c>
      <c r="K1" s="1" t="s">
        <v>363</v>
      </c>
      <c r="L1" s="1" t="s">
        <v>365</v>
      </c>
    </row>
    <row r="2" customFormat="false" ht="15" hidden="false" customHeight="false" outlineLevel="0" collapsed="false">
      <c r="A2" s="0" t="s">
        <v>2</v>
      </c>
      <c r="B2" s="0" t="str">
        <f aca="false">INDEX(Master_Lista!$B$2:$B$151,MATCH(A2,Master_Lista!$A$2:$A$151,0))</f>
        <v>Branko Vasic</v>
      </c>
      <c r="C2" s="7" t="n">
        <f aca="false">SUMIFS(Sheet3_Sati!$D:$D,Sheet3_Sati!$A:$A,A2)</f>
        <v>11</v>
      </c>
      <c r="D2" s="5" t="n">
        <f aca="false">SUMIFS(Sheet3_Sati!$J:$J,Sheet3_Sati!$A:$A,A2)</f>
        <v>93.9675</v>
      </c>
      <c r="E2" s="5" t="n">
        <f aca="false">IFERROR(D2/C2,0)</f>
        <v>8.5425</v>
      </c>
      <c r="F2" s="0" t="n">
        <f aca="false">COUNTIF(Sheet3_Sati!$A:$A,A2)</f>
        <v>1</v>
      </c>
      <c r="G2" s="0" t="str">
        <f aca="false">IF(C2=0,"Nema unosa",IF(C2&lt;160,"Niska iskorištenost",IF(C2&lt;=220,"Optimalno","Preopterećenje")))</f>
        <v>Niska iskorištenost</v>
      </c>
      <c r="H2" s="0" t="s">
        <v>336</v>
      </c>
      <c r="I2" s="7" t="n">
        <f aca="false">SUMIFS(Sheet3_Sati!$D:$D,Sheet3_Sati!$C:$C,H2)</f>
        <v>65.5</v>
      </c>
      <c r="J2" s="5" t="n">
        <f aca="false">SUMIFS(Sheet3_Sati!$J:$J,Sheet3_Sati!$C:$C,H2)</f>
        <v>1124.34375</v>
      </c>
      <c r="K2" s="0" t="n">
        <f aca="false">COUNTIF(Sheet3_Sati!$C:$C,H2)</f>
        <v>7</v>
      </c>
      <c r="L2" s="5" t="n">
        <f aca="false">IFERROR(J2/K2,0)</f>
        <v>160.620535714286</v>
      </c>
    </row>
    <row r="3" customFormat="false" ht="15" hidden="false" customHeight="false" outlineLevel="0" collapsed="false">
      <c r="A3" s="0" t="s">
        <v>4</v>
      </c>
      <c r="B3" s="0" t="str">
        <f aca="false">INDEX(Master_Lista!$B$2:$B$151,MATCH(A3,Master_Lista!$A$2:$A$151,0))</f>
        <v>Filip Antic</v>
      </c>
      <c r="C3" s="7" t="n">
        <f aca="false">SUMIFS(Sheet3_Sati!$D:$D,Sheet3_Sati!$A:$A,A3)</f>
        <v>0</v>
      </c>
      <c r="D3" s="5" t="n">
        <f aca="false">SUMIFS(Sheet3_Sati!$J:$J,Sheet3_Sati!$A:$A,A3)</f>
        <v>0</v>
      </c>
      <c r="E3" s="5" t="n">
        <f aca="false">IFERROR(D3/C3,0)</f>
        <v>0</v>
      </c>
      <c r="F3" s="0" t="n">
        <f aca="false">COUNTIF(Sheet3_Sati!$A:$A,A3)</f>
        <v>0</v>
      </c>
      <c r="G3" s="0" t="str">
        <f aca="false">IF(C3=0,"Nema unosa",IF(C3&lt;160,"Niska iskorištenost",IF(C3&lt;=220,"Optimalno","Preopterećenje")))</f>
        <v>Nema unosa</v>
      </c>
      <c r="H3" s="0" t="s">
        <v>339</v>
      </c>
      <c r="I3" s="7" t="n">
        <f aca="false">SUMIFS(Sheet3_Sati!$D:$D,Sheet3_Sati!$C:$C,H3)</f>
        <v>99.5</v>
      </c>
      <c r="J3" s="5" t="n">
        <f aca="false">SUMIFS(Sheet3_Sati!$J:$J,Sheet3_Sati!$C:$C,H3)</f>
        <v>1089.9225</v>
      </c>
      <c r="K3" s="0" t="n">
        <f aca="false">COUNTIF(Sheet3_Sati!$C:$C,H3)</f>
        <v>11</v>
      </c>
      <c r="L3" s="5" t="n">
        <f aca="false">IFERROR(J3/K3,0)</f>
        <v>99.0838636363637</v>
      </c>
    </row>
    <row r="4" customFormat="false" ht="15" hidden="false" customHeight="false" outlineLevel="0" collapsed="false">
      <c r="A4" s="0" t="s">
        <v>6</v>
      </c>
      <c r="B4" s="0" t="str">
        <f aca="false">INDEX(Master_Lista!$B$2:$B$151,MATCH(A4,Master_Lista!$A$2:$A$151,0))</f>
        <v>Luka Filipovic</v>
      </c>
      <c r="C4" s="7" t="n">
        <f aca="false">SUMIFS(Sheet3_Sati!$D:$D,Sheet3_Sati!$A:$A,A4)</f>
        <v>8.5</v>
      </c>
      <c r="D4" s="5" t="n">
        <f aca="false">SUMIFS(Sheet3_Sati!$J:$J,Sheet3_Sati!$A:$A,A4)</f>
        <v>153.765</v>
      </c>
      <c r="E4" s="5" t="n">
        <f aca="false">IFERROR(D4/C4,0)</f>
        <v>18.09</v>
      </c>
      <c r="F4" s="0" t="n">
        <f aca="false">COUNTIF(Sheet3_Sati!$A:$A,A4)</f>
        <v>1</v>
      </c>
      <c r="G4" s="0" t="str">
        <f aca="false">IF(C4=0,"Nema unosa",IF(C4&lt;160,"Niska iskorištenost",IF(C4&lt;=220,"Optimalno","Preopterećenje")))</f>
        <v>Niska iskorištenost</v>
      </c>
      <c r="H4" s="0" t="s">
        <v>337</v>
      </c>
      <c r="I4" s="7" t="n">
        <f aca="false">SUMIFS(Sheet3_Sati!$D:$D,Sheet3_Sati!$C:$C,H4)</f>
        <v>85</v>
      </c>
      <c r="J4" s="5" t="n">
        <f aca="false">SUMIFS(Sheet3_Sati!$J:$J,Sheet3_Sati!$C:$C,H4)</f>
        <v>1069.32</v>
      </c>
      <c r="K4" s="0" t="n">
        <f aca="false">COUNTIF(Sheet3_Sati!$C:$C,H4)</f>
        <v>10</v>
      </c>
      <c r="L4" s="5" t="n">
        <f aca="false">IFERROR(J4/K4,0)</f>
        <v>106.932</v>
      </c>
    </row>
    <row r="5" customFormat="false" ht="15" hidden="false" customHeight="false" outlineLevel="0" collapsed="false">
      <c r="A5" s="0" t="s">
        <v>8</v>
      </c>
      <c r="B5" s="0" t="str">
        <f aca="false">INDEX(Master_Lista!$B$2:$B$151,MATCH(A5,Master_Lista!$A$2:$A$151,0))</f>
        <v>Tomas Obradovic</v>
      </c>
      <c r="C5" s="7" t="n">
        <f aca="false">SUMIFS(Sheet3_Sati!$D:$D,Sheet3_Sati!$A:$A,A5)</f>
        <v>7.5</v>
      </c>
      <c r="D5" s="5" t="n">
        <f aca="false">SUMIFS(Sheet3_Sati!$J:$J,Sheet3_Sati!$A:$A,A5)</f>
        <v>211.05</v>
      </c>
      <c r="E5" s="5" t="n">
        <f aca="false">IFERROR(D5/C5,0)</f>
        <v>28.14</v>
      </c>
      <c r="F5" s="0" t="n">
        <f aca="false">COUNTIF(Sheet3_Sati!$A:$A,A5)</f>
        <v>1</v>
      </c>
      <c r="G5" s="0" t="str">
        <f aca="false">IF(C5=0,"Nema unosa",IF(C5&lt;160,"Niska iskorištenost",IF(C5&lt;=220,"Optimalno","Preopterećenje")))</f>
        <v>Niska iskorištenost</v>
      </c>
      <c r="H5" s="0" t="s">
        <v>329</v>
      </c>
      <c r="I5" s="7" t="n">
        <f aca="false">SUMIFS(Sheet3_Sati!$D:$D,Sheet3_Sati!$C:$C,H5)</f>
        <v>175.5</v>
      </c>
      <c r="J5" s="5" t="n">
        <f aca="false">SUMIFS(Sheet3_Sati!$J:$J,Sheet3_Sati!$C:$C,H5)</f>
        <v>3170.52375</v>
      </c>
      <c r="K5" s="0" t="n">
        <f aca="false">COUNTIF(Sheet3_Sati!$C:$C,H5)</f>
        <v>18</v>
      </c>
      <c r="L5" s="5" t="n">
        <f aca="false">IFERROR(J5/K5,0)</f>
        <v>176.140208333333</v>
      </c>
    </row>
    <row r="6" customFormat="false" ht="15" hidden="false" customHeight="false" outlineLevel="0" collapsed="false">
      <c r="A6" s="0" t="s">
        <v>10</v>
      </c>
      <c r="B6" s="0" t="str">
        <f aca="false">INDEX(Master_Lista!$B$2:$B$151,MATCH(A6,Master_Lista!$A$2:$A$151,0))</f>
        <v>Jelena Nikolic</v>
      </c>
      <c r="C6" s="7" t="n">
        <f aca="false">SUMIFS(Sheet3_Sati!$D:$D,Sheet3_Sati!$A:$A,A6)</f>
        <v>7.5</v>
      </c>
      <c r="D6" s="5" t="n">
        <f aca="false">SUMIFS(Sheet3_Sati!$J:$J,Sheet3_Sati!$A:$A,A6)</f>
        <v>67.8375</v>
      </c>
      <c r="E6" s="5" t="n">
        <f aca="false">IFERROR(D6/C6,0)</f>
        <v>9.045</v>
      </c>
      <c r="F6" s="0" t="n">
        <f aca="false">COUNTIF(Sheet3_Sati!$A:$A,A6)</f>
        <v>1</v>
      </c>
      <c r="G6" s="0" t="str">
        <f aca="false">IF(C6=0,"Nema unosa",IF(C6&lt;160,"Niska iskorištenost",IF(C6&lt;=220,"Optimalno","Preopterećenje")))</f>
        <v>Niska iskorištenost</v>
      </c>
      <c r="H6" s="0" t="s">
        <v>335</v>
      </c>
      <c r="I6" s="7" t="n">
        <f aca="false">SUMIFS(Sheet3_Sati!$D:$D,Sheet3_Sati!$C:$C,H6)</f>
        <v>134.5</v>
      </c>
      <c r="J6" s="5" t="n">
        <f aca="false">SUMIFS(Sheet3_Sati!$J:$J,Sheet3_Sati!$C:$C,H6)</f>
        <v>1845.6825</v>
      </c>
      <c r="K6" s="0" t="n">
        <f aca="false">COUNTIF(Sheet3_Sati!$C:$C,H6)</f>
        <v>14</v>
      </c>
      <c r="L6" s="5" t="n">
        <f aca="false">IFERROR(J6/K6,0)</f>
        <v>131.834464285714</v>
      </c>
    </row>
    <row r="7" customFormat="false" ht="15" hidden="false" customHeight="false" outlineLevel="0" collapsed="false">
      <c r="A7" s="0" t="s">
        <v>12</v>
      </c>
      <c r="B7" s="0" t="str">
        <f aca="false">INDEX(Master_Lista!$B$2:$B$151,MATCH(A7,Master_Lista!$A$2:$A$151,0))</f>
        <v>Goran Zivkovic</v>
      </c>
      <c r="C7" s="7" t="n">
        <f aca="false">SUMIFS(Sheet3_Sati!$D:$D,Sheet3_Sati!$A:$A,A7)</f>
        <v>11</v>
      </c>
      <c r="D7" s="5" t="n">
        <f aca="false">SUMIFS(Sheet3_Sati!$J:$J,Sheet3_Sati!$A:$A,A7)</f>
        <v>110.55</v>
      </c>
      <c r="E7" s="5" t="n">
        <f aca="false">IFERROR(D7/C7,0)</f>
        <v>10.05</v>
      </c>
      <c r="F7" s="0" t="n">
        <f aca="false">COUNTIF(Sheet3_Sati!$A:$A,A7)</f>
        <v>1</v>
      </c>
      <c r="G7" s="0" t="str">
        <f aca="false">IF(C7=0,"Nema unosa",IF(C7&lt;160,"Niska iskorištenost",IF(C7&lt;=220,"Optimalno","Preopterećenje")))</f>
        <v>Niska iskorištenost</v>
      </c>
      <c r="H7" s="0" t="s">
        <v>333</v>
      </c>
      <c r="I7" s="7" t="n">
        <f aca="false">SUMIFS(Sheet3_Sati!$D:$D,Sheet3_Sati!$C:$C,H7)</f>
        <v>73.5</v>
      </c>
      <c r="J7" s="5" t="n">
        <f aca="false">SUMIFS(Sheet3_Sati!$J:$J,Sheet3_Sati!$C:$C,H7)</f>
        <v>1074.09375</v>
      </c>
      <c r="K7" s="0" t="n">
        <f aca="false">COUNTIF(Sheet3_Sati!$C:$C,H7)</f>
        <v>8</v>
      </c>
      <c r="L7" s="5" t="n">
        <f aca="false">IFERROR(J7/K7,0)</f>
        <v>134.26171875</v>
      </c>
    </row>
    <row r="8" customFormat="false" ht="15" hidden="false" customHeight="false" outlineLevel="0" collapsed="false">
      <c r="A8" s="0" t="s">
        <v>14</v>
      </c>
      <c r="B8" s="0" t="str">
        <f aca="false">INDEX(Master_Lista!$B$2:$B$151,MATCH(A8,Master_Lista!$A$2:$A$151,0))</f>
        <v>Filip Kostic</v>
      </c>
      <c r="C8" s="7" t="n">
        <f aca="false">SUMIFS(Sheet3_Sati!$D:$D,Sheet3_Sati!$A:$A,A8)</f>
        <v>11</v>
      </c>
      <c r="D8" s="5" t="n">
        <f aca="false">SUMIFS(Sheet3_Sati!$J:$J,Sheet3_Sati!$A:$A,A8)</f>
        <v>132.66</v>
      </c>
      <c r="E8" s="5" t="n">
        <f aca="false">IFERROR(D8/C8,0)</f>
        <v>12.06</v>
      </c>
      <c r="F8" s="0" t="n">
        <f aca="false">COUNTIF(Sheet3_Sati!$A:$A,A8)</f>
        <v>1</v>
      </c>
      <c r="G8" s="0" t="str">
        <f aca="false">IF(C8=0,"Nema unosa",IF(C8&lt;160,"Niska iskorištenost",IF(C8&lt;=220,"Optimalno","Preopterećenje")))</f>
        <v>Niska iskorištenost</v>
      </c>
      <c r="H8" s="0" t="s">
        <v>332</v>
      </c>
      <c r="I8" s="7" t="n">
        <f aca="false">SUMIFS(Sheet3_Sati!$D:$D,Sheet3_Sati!$C:$C,H8)</f>
        <v>67.5</v>
      </c>
      <c r="J8" s="5" t="n">
        <f aca="false">SUMIFS(Sheet3_Sati!$J:$J,Sheet3_Sati!$C:$C,H8)</f>
        <v>908.77125</v>
      </c>
      <c r="K8" s="0" t="n">
        <f aca="false">COUNTIF(Sheet3_Sati!$C:$C,H8)</f>
        <v>8</v>
      </c>
      <c r="L8" s="5" t="n">
        <f aca="false">IFERROR(J8/K8,0)</f>
        <v>113.59640625</v>
      </c>
    </row>
    <row r="9" customFormat="false" ht="15" hidden="false" customHeight="false" outlineLevel="0" collapsed="false">
      <c r="A9" s="0" t="s">
        <v>16</v>
      </c>
      <c r="B9" s="0" t="str">
        <f aca="false">INDEX(Master_Lista!$B$2:$B$151,MATCH(A9,Master_Lista!$A$2:$A$151,0))</f>
        <v>Lidija Tomic</v>
      </c>
      <c r="C9" s="7" t="n">
        <f aca="false">SUMIFS(Sheet3_Sati!$D:$D,Sheet3_Sati!$A:$A,A9)</f>
        <v>0</v>
      </c>
      <c r="D9" s="5" t="n">
        <f aca="false">SUMIFS(Sheet3_Sati!$J:$J,Sheet3_Sati!$A:$A,A9)</f>
        <v>0</v>
      </c>
      <c r="E9" s="5" t="n">
        <f aca="false">IFERROR(D9/C9,0)</f>
        <v>0</v>
      </c>
      <c r="F9" s="0" t="n">
        <f aca="false">COUNTIF(Sheet3_Sati!$A:$A,A9)</f>
        <v>0</v>
      </c>
      <c r="G9" s="0" t="str">
        <f aca="false">IF(C9=0,"Nema unosa",IF(C9&lt;160,"Niska iskorištenost",IF(C9&lt;=220,"Optimalno","Preopterećenje")))</f>
        <v>Nema unosa</v>
      </c>
      <c r="H9" s="0" t="s">
        <v>325</v>
      </c>
      <c r="I9" s="7" t="n">
        <f aca="false">SUMIFS(Sheet3_Sati!$D:$D,Sheet3_Sati!$C:$C,H9)</f>
        <v>143</v>
      </c>
      <c r="J9" s="5" t="n">
        <f aca="false">SUMIFS(Sheet3_Sati!$J:$J,Sheet3_Sati!$C:$C,H9)</f>
        <v>2061.7575</v>
      </c>
      <c r="K9" s="0" t="n">
        <f aca="false">COUNTIF(Sheet3_Sati!$C:$C,H9)</f>
        <v>17</v>
      </c>
      <c r="L9" s="5" t="n">
        <f aca="false">IFERROR(J9/K9,0)</f>
        <v>121.279852941176</v>
      </c>
    </row>
    <row r="10" customFormat="false" ht="15" hidden="false" customHeight="false" outlineLevel="0" collapsed="false">
      <c r="A10" s="0" t="s">
        <v>18</v>
      </c>
      <c r="B10" s="0" t="str">
        <f aca="false">INDEX(Master_Lista!$B$2:$B$151,MATCH(A10,Master_Lista!$A$2:$A$151,0))</f>
        <v>Petar Lazic</v>
      </c>
      <c r="C10" s="7" t="n">
        <f aca="false">SUMIFS(Sheet3_Sati!$D:$D,Sheet3_Sati!$A:$A,A10)</f>
        <v>8.5</v>
      </c>
      <c r="D10" s="5" t="n">
        <f aca="false">SUMIFS(Sheet3_Sati!$J:$J,Sheet3_Sati!$A:$A,A10)</f>
        <v>170.85</v>
      </c>
      <c r="E10" s="5" t="n">
        <f aca="false">IFERROR(D10/C10,0)</f>
        <v>20.1</v>
      </c>
      <c r="F10" s="0" t="n">
        <f aca="false">COUNTIF(Sheet3_Sati!$A:$A,A10)</f>
        <v>1</v>
      </c>
      <c r="G10" s="0" t="str">
        <f aca="false">IF(C10=0,"Nema unosa",IF(C10&lt;160,"Niska iskorištenost",IF(C10&lt;=220,"Optimalno","Preopterećenje")))</f>
        <v>Niska iskorištenost</v>
      </c>
      <c r="H10" s="0" t="s">
        <v>327</v>
      </c>
      <c r="I10" s="7" t="n">
        <f aca="false">SUMIFS(Sheet3_Sati!$D:$D,Sheet3_Sati!$C:$C,H10)</f>
        <v>159</v>
      </c>
      <c r="J10" s="5" t="n">
        <f aca="false">SUMIFS(Sheet3_Sati!$J:$J,Sheet3_Sati!$C:$C,H10)</f>
        <v>2082.8625</v>
      </c>
      <c r="K10" s="0" t="n">
        <f aca="false">COUNTIF(Sheet3_Sati!$C:$C,H10)</f>
        <v>18</v>
      </c>
      <c r="L10" s="5" t="n">
        <f aca="false">IFERROR(J10/K10,0)</f>
        <v>115.714583333333</v>
      </c>
    </row>
    <row r="11" customFormat="false" ht="15" hidden="false" customHeight="false" outlineLevel="0" collapsed="false">
      <c r="A11" s="0" t="s">
        <v>20</v>
      </c>
      <c r="B11" s="0" t="str">
        <f aca="false">INDEX(Master_Lista!$B$2:$B$151,MATCH(A11,Master_Lista!$A$2:$A$151,0))</f>
        <v>Branko Babic</v>
      </c>
      <c r="C11" s="7" t="n">
        <f aca="false">SUMIFS(Sheet3_Sati!$D:$D,Sheet3_Sati!$A:$A,A11)</f>
        <v>28.5</v>
      </c>
      <c r="D11" s="5" t="n">
        <f aca="false">SUMIFS(Sheet3_Sati!$J:$J,Sheet3_Sati!$A:$A,A11)</f>
        <v>630.135</v>
      </c>
      <c r="E11" s="5" t="n">
        <f aca="false">IFERROR(D11/C11,0)</f>
        <v>22.11</v>
      </c>
      <c r="F11" s="0" t="n">
        <f aca="false">COUNTIF(Sheet3_Sati!$A:$A,A11)</f>
        <v>3</v>
      </c>
      <c r="G11" s="0" t="str">
        <f aca="false">IF(C11=0,"Nema unosa",IF(C11&lt;160,"Niska iskorištenost",IF(C11&lt;=220,"Optimalno","Preopterećenje")))</f>
        <v>Niska iskorištenost</v>
      </c>
      <c r="H11" s="0" t="s">
        <v>331</v>
      </c>
      <c r="I11" s="7" t="n">
        <f aca="false">SUMIFS(Sheet3_Sati!$D:$D,Sheet3_Sati!$C:$C,H11)</f>
        <v>121</v>
      </c>
      <c r="J11" s="5" t="n">
        <f aca="false">SUMIFS(Sheet3_Sati!$J:$J,Sheet3_Sati!$C:$C,H11)</f>
        <v>1864.02375</v>
      </c>
      <c r="K11" s="0" t="n">
        <f aca="false">COUNTIF(Sheet3_Sati!$C:$C,H11)</f>
        <v>13</v>
      </c>
      <c r="L11" s="5" t="n">
        <f aca="false">IFERROR(J11/K11,0)</f>
        <v>143.386442307692</v>
      </c>
    </row>
    <row r="12" customFormat="false" ht="15" hidden="false" customHeight="false" outlineLevel="0" collapsed="false">
      <c r="A12" s="0" t="s">
        <v>22</v>
      </c>
      <c r="B12" s="0" t="str">
        <f aca="false">INDEX(Master_Lista!$B$2:$B$151,MATCH(A12,Master_Lista!$A$2:$A$151,0))</f>
        <v>Uros Djordjevic</v>
      </c>
      <c r="C12" s="7" t="n">
        <f aca="false">SUMIFS(Sheet3_Sati!$D:$D,Sheet3_Sati!$A:$A,A12)</f>
        <v>17.5</v>
      </c>
      <c r="D12" s="5" t="n">
        <f aca="false">SUMIFS(Sheet3_Sati!$J:$J,Sheet3_Sati!$A:$A,A12)</f>
        <v>167.08125</v>
      </c>
      <c r="E12" s="5" t="n">
        <f aca="false">IFERROR(D12/C12,0)</f>
        <v>9.5475</v>
      </c>
      <c r="F12" s="0" t="n">
        <f aca="false">COUNTIF(Sheet3_Sati!$A:$A,A12)</f>
        <v>2</v>
      </c>
      <c r="G12" s="0" t="str">
        <f aca="false">IF(C12=0,"Nema unosa",IF(C12&lt;160,"Niska iskorištenost",IF(C12&lt;=220,"Optimalno","Preopterećenje")))</f>
        <v>Niska iskorištenost</v>
      </c>
      <c r="H12" s="0" t="s">
        <v>326</v>
      </c>
      <c r="I12" s="7" t="n">
        <f aca="false">SUMIFS(Sheet3_Sati!$D:$D,Sheet3_Sati!$C:$C,H12)</f>
        <v>112</v>
      </c>
      <c r="J12" s="5" t="n">
        <f aca="false">SUMIFS(Sheet3_Sati!$J:$J,Sheet3_Sati!$C:$C,H12)</f>
        <v>1590.4125</v>
      </c>
      <c r="K12" s="0" t="n">
        <f aca="false">COUNTIF(Sheet3_Sati!$C:$C,H12)</f>
        <v>12</v>
      </c>
      <c r="L12" s="5" t="n">
        <f aca="false">IFERROR(J12/K12,0)</f>
        <v>132.534375</v>
      </c>
    </row>
    <row r="13" customFormat="false" ht="15" hidden="false" customHeight="false" outlineLevel="0" collapsed="false">
      <c r="A13" s="0" t="s">
        <v>24</v>
      </c>
      <c r="B13" s="0" t="str">
        <f aca="false">INDEX(Master_Lista!$B$2:$B$151,MATCH(A13,Master_Lista!$A$2:$A$151,0))</f>
        <v>Branko Babic</v>
      </c>
      <c r="C13" s="7" t="n">
        <f aca="false">SUMIFS(Sheet3_Sati!$D:$D,Sheet3_Sati!$A:$A,A13)</f>
        <v>7.5</v>
      </c>
      <c r="D13" s="5" t="n">
        <f aca="false">SUMIFS(Sheet3_Sati!$J:$J,Sheet3_Sati!$A:$A,A13)</f>
        <v>60.3</v>
      </c>
      <c r="E13" s="5" t="n">
        <f aca="false">IFERROR(D13/C13,0)</f>
        <v>8.04</v>
      </c>
      <c r="F13" s="0" t="n">
        <f aca="false">COUNTIF(Sheet3_Sati!$A:$A,A13)</f>
        <v>1</v>
      </c>
      <c r="G13" s="0" t="str">
        <f aca="false">IF(C13=0,"Nema unosa",IF(C13&lt;160,"Niska iskorištenost",IF(C13&lt;=220,"Optimalno","Preopterećenje")))</f>
        <v>Niska iskorištenost</v>
      </c>
      <c r="H13" s="0" t="s">
        <v>328</v>
      </c>
      <c r="I13" s="7" t="n">
        <f aca="false">SUMIFS(Sheet3_Sati!$D:$D,Sheet3_Sati!$C:$C,H13)</f>
        <v>112.5</v>
      </c>
      <c r="J13" s="5" t="n">
        <f aca="false">SUMIFS(Sheet3_Sati!$J:$J,Sheet3_Sati!$C:$C,H13)</f>
        <v>1519.56</v>
      </c>
      <c r="K13" s="0" t="n">
        <f aca="false">COUNTIF(Sheet3_Sati!$C:$C,H13)</f>
        <v>13</v>
      </c>
      <c r="L13" s="5" t="n">
        <f aca="false">IFERROR(J13/K13,0)</f>
        <v>116.889230769231</v>
      </c>
    </row>
    <row r="14" customFormat="false" ht="15" hidden="false" customHeight="false" outlineLevel="0" collapsed="false">
      <c r="A14" s="0" t="s">
        <v>25</v>
      </c>
      <c r="B14" s="0" t="str">
        <f aca="false">INDEX(Master_Lista!$B$2:$B$151,MATCH(A14,Master_Lista!$A$2:$A$151,0))</f>
        <v>Cedomir Vasic</v>
      </c>
      <c r="C14" s="7" t="n">
        <f aca="false">SUMIFS(Sheet3_Sati!$D:$D,Sheet3_Sati!$A:$A,A14)</f>
        <v>18.5</v>
      </c>
      <c r="D14" s="5" t="n">
        <f aca="false">SUMIFS(Sheet3_Sati!$J:$J,Sheet3_Sati!$A:$A,A14)</f>
        <v>139.44375</v>
      </c>
      <c r="E14" s="5" t="n">
        <f aca="false">IFERROR(D14/C14,0)</f>
        <v>7.5375</v>
      </c>
      <c r="F14" s="0" t="n">
        <f aca="false">COUNTIF(Sheet3_Sati!$A:$A,A14)</f>
        <v>2</v>
      </c>
      <c r="G14" s="0" t="str">
        <f aca="false">IF(C14=0,"Nema unosa",IF(C14&lt;160,"Niska iskorištenost",IF(C14&lt;=220,"Optimalno","Preopterećenje")))</f>
        <v>Niska iskorištenost</v>
      </c>
      <c r="H14" s="0" t="s">
        <v>330</v>
      </c>
      <c r="I14" s="7" t="n">
        <f aca="false">SUMIFS(Sheet3_Sati!$D:$D,Sheet3_Sati!$C:$C,H14)</f>
        <v>96</v>
      </c>
      <c r="J14" s="5" t="n">
        <f aca="false">SUMIFS(Sheet3_Sati!$J:$J,Sheet3_Sati!$C:$C,H14)</f>
        <v>1308.0075</v>
      </c>
      <c r="K14" s="0" t="n">
        <f aca="false">COUNTIF(Sheet3_Sati!$C:$C,H14)</f>
        <v>11</v>
      </c>
      <c r="L14" s="5" t="n">
        <f aca="false">IFERROR(J14/K14,0)</f>
        <v>118.909772727273</v>
      </c>
    </row>
    <row r="15" customFormat="false" ht="15" hidden="false" customHeight="false" outlineLevel="0" collapsed="false">
      <c r="A15" s="0" t="s">
        <v>27</v>
      </c>
      <c r="B15" s="0" t="str">
        <f aca="false">INDEX(Master_Lista!$B$2:$B$151,MATCH(A15,Master_Lista!$A$2:$A$151,0))</f>
        <v>Nikola Jankovic</v>
      </c>
      <c r="C15" s="7" t="n">
        <f aca="false">SUMIFS(Sheet3_Sati!$D:$D,Sheet3_Sati!$A:$A,A15)</f>
        <v>21</v>
      </c>
      <c r="D15" s="5" t="n">
        <f aca="false">SUMIFS(Sheet3_Sati!$J:$J,Sheet3_Sati!$A:$A,A15)</f>
        <v>221.6025</v>
      </c>
      <c r="E15" s="5" t="n">
        <f aca="false">IFERROR(D15/C15,0)</f>
        <v>10.5525</v>
      </c>
      <c r="F15" s="0" t="n">
        <f aca="false">COUNTIF(Sheet3_Sati!$A:$A,A15)</f>
        <v>2</v>
      </c>
      <c r="G15" s="0" t="str">
        <f aca="false">IF(C15=0,"Nema unosa",IF(C15&lt;160,"Niska iskorištenost",IF(C15&lt;=220,"Optimalno","Preopterećenje")))</f>
        <v>Niska iskorištenost</v>
      </c>
      <c r="H15" s="0" t="s">
        <v>334</v>
      </c>
      <c r="I15" s="7" t="n">
        <f aca="false">SUMIFS(Sheet3_Sati!$D:$D,Sheet3_Sati!$C:$C,H15)</f>
        <v>81</v>
      </c>
      <c r="J15" s="5" t="n">
        <f aca="false">SUMIFS(Sheet3_Sati!$J:$J,Sheet3_Sati!$C:$C,H15)</f>
        <v>963.2925</v>
      </c>
      <c r="K15" s="0" t="n">
        <f aca="false">COUNTIF(Sheet3_Sati!$C:$C,H15)</f>
        <v>9</v>
      </c>
      <c r="L15" s="5" t="n">
        <f aca="false">IFERROR(J15/K15,0)</f>
        <v>107.0325</v>
      </c>
    </row>
    <row r="16" customFormat="false" ht="15" hidden="false" customHeight="false" outlineLevel="0" collapsed="false">
      <c r="A16" s="0" t="s">
        <v>29</v>
      </c>
      <c r="B16" s="0" t="str">
        <f aca="false">INDEX(Master_Lista!$B$2:$B$151,MATCH(A16,Master_Lista!$A$2:$A$151,0))</f>
        <v>Petar Antic</v>
      </c>
      <c r="C16" s="7" t="n">
        <f aca="false">SUMIFS(Sheet3_Sati!$D:$D,Sheet3_Sati!$A:$A,A16)</f>
        <v>20</v>
      </c>
      <c r="D16" s="5" t="n">
        <f aca="false">SUMIFS(Sheet3_Sati!$J:$J,Sheet3_Sati!$A:$A,A16)</f>
        <v>502.5</v>
      </c>
      <c r="E16" s="5" t="n">
        <f aca="false">IFERROR(D16/C16,0)</f>
        <v>25.125</v>
      </c>
      <c r="F16" s="0" t="n">
        <f aca="false">COUNTIF(Sheet3_Sati!$A:$A,A16)</f>
        <v>2</v>
      </c>
      <c r="G16" s="0" t="str">
        <f aca="false">IF(C16=0,"Nema unosa",IF(C16&lt;160,"Niska iskorištenost",IF(C16&lt;=220,"Optimalno","Preopterećenje")))</f>
        <v>Niska iskorištenost</v>
      </c>
      <c r="H16" s="0" t="s">
        <v>338</v>
      </c>
      <c r="I16" s="7" t="n">
        <f aca="false">SUMIFS(Sheet3_Sati!$D:$D,Sheet3_Sati!$C:$C,H16)</f>
        <v>110.5</v>
      </c>
      <c r="J16" s="5" t="n">
        <f aca="false">SUMIFS(Sheet3_Sati!$J:$J,Sheet3_Sati!$C:$C,H16)</f>
        <v>1570.815</v>
      </c>
      <c r="K16" s="0" t="n">
        <f aca="false">COUNTIF(Sheet3_Sati!$C:$C,H16)</f>
        <v>11</v>
      </c>
      <c r="L16" s="5" t="n">
        <f aca="false">IFERROR(J16/K16,0)</f>
        <v>142.801363636364</v>
      </c>
    </row>
    <row r="17" customFormat="false" ht="15" hidden="false" customHeight="false" outlineLevel="0" collapsed="false">
      <c r="A17" s="0" t="s">
        <v>31</v>
      </c>
      <c r="B17" s="0" t="str">
        <f aca="false">INDEX(Master_Lista!$B$2:$B$151,MATCH(A17,Master_Lista!$A$2:$A$151,0))</f>
        <v>Stefan Cvetkovic</v>
      </c>
      <c r="C17" s="7" t="n">
        <f aca="false">SUMIFS(Sheet3_Sati!$D:$D,Sheet3_Sati!$A:$A,A17)</f>
        <v>0</v>
      </c>
      <c r="D17" s="5" t="n">
        <f aca="false">SUMIFS(Sheet3_Sati!$J:$J,Sheet3_Sati!$A:$A,A17)</f>
        <v>0</v>
      </c>
      <c r="E17" s="5" t="n">
        <f aca="false">IFERROR(D17/C17,0)</f>
        <v>0</v>
      </c>
      <c r="F17" s="0" t="n">
        <f aca="false">COUNTIF(Sheet3_Sati!$A:$A,A17)</f>
        <v>0</v>
      </c>
      <c r="G17" s="0" t="str">
        <f aca="false">IF(C17=0,"Nema unosa",IF(C17&lt;160,"Niska iskorištenost",IF(C17&lt;=220,"Optimalno","Preopterećenje")))</f>
        <v>Nema unosa</v>
      </c>
    </row>
    <row r="18" customFormat="false" ht="15" hidden="false" customHeight="false" outlineLevel="0" collapsed="false">
      <c r="A18" s="0" t="s">
        <v>33</v>
      </c>
      <c r="B18" s="0" t="str">
        <f aca="false">INDEX(Master_Lista!$B$2:$B$151,MATCH(A18,Master_Lista!$A$2:$A$151,0))</f>
        <v>Cedomir Markovic</v>
      </c>
      <c r="C18" s="7" t="n">
        <f aca="false">SUMIFS(Sheet3_Sati!$D:$D,Sheet3_Sati!$A:$A,A18)</f>
        <v>11</v>
      </c>
      <c r="D18" s="5" t="n">
        <f aca="false">SUMIFS(Sheet3_Sati!$J:$J,Sheet3_Sati!$A:$A,A18)</f>
        <v>138.1875</v>
      </c>
      <c r="E18" s="5" t="n">
        <f aca="false">IFERROR(D18/C18,0)</f>
        <v>12.5625</v>
      </c>
      <c r="F18" s="0" t="n">
        <f aca="false">COUNTIF(Sheet3_Sati!$A:$A,A18)</f>
        <v>1</v>
      </c>
      <c r="G18" s="0" t="str">
        <f aca="false">IF(C18=0,"Nema unosa",IF(C18&lt;160,"Niska iskorištenost",IF(C18&lt;=220,"Optimalno","Preopterećenje")))</f>
        <v>Niska iskorištenost</v>
      </c>
    </row>
    <row r="19" customFormat="false" ht="15" hidden="false" customHeight="false" outlineLevel="0" collapsed="false">
      <c r="A19" s="0" t="s">
        <v>35</v>
      </c>
      <c r="B19" s="0" t="str">
        <f aca="false">INDEX(Master_Lista!$B$2:$B$151,MATCH(A19,Master_Lista!$A$2:$A$151,0))</f>
        <v>Sanja Grujic</v>
      </c>
      <c r="C19" s="7" t="n">
        <f aca="false">SUMIFS(Sheet3_Sati!$D:$D,Sheet3_Sati!$A:$A,A19)</f>
        <v>0</v>
      </c>
      <c r="D19" s="5" t="n">
        <f aca="false">SUMIFS(Sheet3_Sati!$J:$J,Sheet3_Sati!$A:$A,A19)</f>
        <v>0</v>
      </c>
      <c r="E19" s="5" t="n">
        <f aca="false">IFERROR(D19/C19,0)</f>
        <v>0</v>
      </c>
      <c r="F19" s="0" t="n">
        <f aca="false">COUNTIF(Sheet3_Sati!$A:$A,A19)</f>
        <v>0</v>
      </c>
      <c r="G19" s="0" t="str">
        <f aca="false">IF(C19=0,"Nema unosa",IF(C19&lt;160,"Niska iskorištenost",IF(C19&lt;=220,"Optimalno","Preopterećenje")))</f>
        <v>Nema unosa</v>
      </c>
    </row>
    <row r="20" customFormat="false" ht="15" hidden="false" customHeight="false" outlineLevel="0" collapsed="false">
      <c r="A20" s="0" t="s">
        <v>37</v>
      </c>
      <c r="B20" s="0" t="str">
        <f aca="false">INDEX(Master_Lista!$B$2:$B$151,MATCH(A20,Master_Lista!$A$2:$A$151,0))</f>
        <v>Jovan Tomic</v>
      </c>
      <c r="C20" s="7" t="n">
        <f aca="false">SUMIFS(Sheet3_Sati!$D:$D,Sheet3_Sati!$A:$A,A20)</f>
        <v>0</v>
      </c>
      <c r="D20" s="5" t="n">
        <f aca="false">SUMIFS(Sheet3_Sati!$J:$J,Sheet3_Sati!$A:$A,A20)</f>
        <v>0</v>
      </c>
      <c r="E20" s="5" t="n">
        <f aca="false">IFERROR(D20/C20,0)</f>
        <v>0</v>
      </c>
      <c r="F20" s="0" t="n">
        <f aca="false">COUNTIF(Sheet3_Sati!$A:$A,A20)</f>
        <v>0</v>
      </c>
      <c r="G20" s="0" t="str">
        <f aca="false">IF(C20=0,"Nema unosa",IF(C20&lt;160,"Niska iskorištenost",IF(C20&lt;=220,"Optimalno","Preopterećenje")))</f>
        <v>Nema unosa</v>
      </c>
    </row>
    <row r="21" customFormat="false" ht="15" hidden="false" customHeight="false" outlineLevel="0" collapsed="false">
      <c r="A21" s="0" t="s">
        <v>39</v>
      </c>
      <c r="B21" s="0" t="str">
        <f aca="false">INDEX(Master_Lista!$B$2:$B$151,MATCH(A21,Master_Lista!$A$2:$A$151,0))</f>
        <v>Luka Kostic</v>
      </c>
      <c r="C21" s="7" t="n">
        <f aca="false">SUMIFS(Sheet3_Sati!$D:$D,Sheet3_Sati!$A:$A,A21)</f>
        <v>8</v>
      </c>
      <c r="D21" s="5" t="n">
        <f aca="false">SUMIFS(Sheet3_Sati!$J:$J,Sheet3_Sati!$A:$A,A21)</f>
        <v>88.44</v>
      </c>
      <c r="E21" s="5" t="n">
        <f aca="false">IFERROR(D21/C21,0)</f>
        <v>11.055</v>
      </c>
      <c r="F21" s="0" t="n">
        <f aca="false">COUNTIF(Sheet3_Sati!$A:$A,A21)</f>
        <v>1</v>
      </c>
      <c r="G21" s="0" t="str">
        <f aca="false">IF(C21=0,"Nema unosa",IF(C21&lt;160,"Niska iskorištenost",IF(C21&lt;=220,"Optimalno","Preopterećenje")))</f>
        <v>Niska iskorištenost</v>
      </c>
    </row>
    <row r="22" customFormat="false" ht="15" hidden="false" customHeight="false" outlineLevel="0" collapsed="false">
      <c r="A22" s="0" t="s">
        <v>41</v>
      </c>
      <c r="B22" s="0" t="str">
        <f aca="false">INDEX(Master_Lista!$B$2:$B$151,MATCH(A22,Master_Lista!$A$2:$A$151,0))</f>
        <v>Lidija Obradovic</v>
      </c>
      <c r="C22" s="7" t="n">
        <f aca="false">SUMIFS(Sheet3_Sati!$D:$D,Sheet3_Sati!$A:$A,A22)</f>
        <v>7.5</v>
      </c>
      <c r="D22" s="5" t="n">
        <f aca="false">SUMIFS(Sheet3_Sati!$J:$J,Sheet3_Sati!$A:$A,A22)</f>
        <v>135.675</v>
      </c>
      <c r="E22" s="5" t="n">
        <f aca="false">IFERROR(D22/C22,0)</f>
        <v>18.09</v>
      </c>
      <c r="F22" s="0" t="n">
        <f aca="false">COUNTIF(Sheet3_Sati!$A:$A,A22)</f>
        <v>1</v>
      </c>
      <c r="G22" s="0" t="str">
        <f aca="false">IF(C22=0,"Nema unosa",IF(C22&lt;160,"Niska iskorištenost",IF(C22&lt;=220,"Optimalno","Preopterećenje")))</f>
        <v>Niska iskorištenost</v>
      </c>
    </row>
    <row r="23" customFormat="false" ht="15" hidden="false" customHeight="false" outlineLevel="0" collapsed="false">
      <c r="A23" s="0" t="s">
        <v>43</v>
      </c>
      <c r="B23" s="0" t="str">
        <f aca="false">INDEX(Master_Lista!$B$2:$B$151,MATCH(A23,Master_Lista!$A$2:$A$151,0))</f>
        <v>Aleksandar Lazic</v>
      </c>
      <c r="C23" s="7" t="n">
        <f aca="false">SUMIFS(Sheet3_Sati!$D:$D,Sheet3_Sati!$A:$A,A23)</f>
        <v>0</v>
      </c>
      <c r="D23" s="5" t="n">
        <f aca="false">SUMIFS(Sheet3_Sati!$J:$J,Sheet3_Sati!$A:$A,A23)</f>
        <v>0</v>
      </c>
      <c r="E23" s="5" t="n">
        <f aca="false">IFERROR(D23/C23,0)</f>
        <v>0</v>
      </c>
      <c r="F23" s="0" t="n">
        <f aca="false">COUNTIF(Sheet3_Sati!$A:$A,A23)</f>
        <v>0</v>
      </c>
      <c r="G23" s="0" t="str">
        <f aca="false">IF(C23=0,"Nema unosa",IF(C23&lt;160,"Niska iskorištenost",IF(C23&lt;=220,"Optimalno","Preopterećenje")))</f>
        <v>Nema unosa</v>
      </c>
    </row>
    <row r="24" customFormat="false" ht="15" hidden="false" customHeight="false" outlineLevel="0" collapsed="false">
      <c r="A24" s="0" t="s">
        <v>45</v>
      </c>
      <c r="B24" s="0" t="str">
        <f aca="false">INDEX(Master_Lista!$B$2:$B$151,MATCH(A24,Master_Lista!$A$2:$A$151,0))</f>
        <v>Petra Lazic</v>
      </c>
      <c r="C24" s="7" t="n">
        <f aca="false">SUMIFS(Sheet3_Sati!$D:$D,Sheet3_Sati!$A:$A,A24)</f>
        <v>20.5</v>
      </c>
      <c r="D24" s="5" t="n">
        <f aca="false">SUMIFS(Sheet3_Sati!$J:$J,Sheet3_Sati!$A:$A,A24)</f>
        <v>185.4225</v>
      </c>
      <c r="E24" s="5" t="n">
        <f aca="false">IFERROR(D24/C24,0)</f>
        <v>9.045</v>
      </c>
      <c r="F24" s="0" t="n">
        <f aca="false">COUNTIF(Sheet3_Sati!$A:$A,A24)</f>
        <v>2</v>
      </c>
      <c r="G24" s="0" t="str">
        <f aca="false">IF(C24=0,"Nema unosa",IF(C24&lt;160,"Niska iskorištenost",IF(C24&lt;=220,"Optimalno","Preopterećenje")))</f>
        <v>Niska iskorištenost</v>
      </c>
    </row>
    <row r="25" customFormat="false" ht="15" hidden="false" customHeight="false" outlineLevel="0" collapsed="false">
      <c r="A25" s="0" t="s">
        <v>47</v>
      </c>
      <c r="B25" s="0" t="str">
        <f aca="false">INDEX(Master_Lista!$B$2:$B$151,MATCH(A25,Master_Lista!$A$2:$A$151,0))</f>
        <v>Una Kostic</v>
      </c>
      <c r="C25" s="7" t="n">
        <f aca="false">SUMIFS(Sheet3_Sati!$D:$D,Sheet3_Sati!$A:$A,A25)</f>
        <v>0</v>
      </c>
      <c r="D25" s="5" t="n">
        <f aca="false">SUMIFS(Sheet3_Sati!$J:$J,Sheet3_Sati!$A:$A,A25)</f>
        <v>0</v>
      </c>
      <c r="E25" s="5" t="n">
        <f aca="false">IFERROR(D25/C25,0)</f>
        <v>0</v>
      </c>
      <c r="F25" s="0" t="n">
        <f aca="false">COUNTIF(Sheet3_Sati!$A:$A,A25)</f>
        <v>0</v>
      </c>
      <c r="G25" s="0" t="str">
        <f aca="false">IF(C25=0,"Nema unosa",IF(C25&lt;160,"Niska iskorištenost",IF(C25&lt;=220,"Optimalno","Preopterećenje")))</f>
        <v>Nema unosa</v>
      </c>
    </row>
    <row r="26" customFormat="false" ht="15" hidden="false" customHeight="false" outlineLevel="0" collapsed="false">
      <c r="A26" s="0" t="s">
        <v>49</v>
      </c>
      <c r="B26" s="0" t="str">
        <f aca="false">INDEX(Master_Lista!$B$2:$B$151,MATCH(A26,Master_Lista!$A$2:$A$151,0))</f>
        <v>Radoslav Vasic</v>
      </c>
      <c r="C26" s="7" t="n">
        <f aca="false">SUMIFS(Sheet3_Sati!$D:$D,Sheet3_Sati!$A:$A,A26)</f>
        <v>11</v>
      </c>
      <c r="D26" s="5" t="n">
        <f aca="false">SUMIFS(Sheet3_Sati!$J:$J,Sheet3_Sati!$A:$A,A26)</f>
        <v>132.66</v>
      </c>
      <c r="E26" s="5" t="n">
        <f aca="false">IFERROR(D26/C26,0)</f>
        <v>12.06</v>
      </c>
      <c r="F26" s="0" t="n">
        <f aca="false">COUNTIF(Sheet3_Sati!$A:$A,A26)</f>
        <v>1</v>
      </c>
      <c r="G26" s="0" t="str">
        <f aca="false">IF(C26=0,"Nema unosa",IF(C26&lt;160,"Niska iskorištenost",IF(C26&lt;=220,"Optimalno","Preopterećenje")))</f>
        <v>Niska iskorištenost</v>
      </c>
    </row>
    <row r="27" customFormat="false" ht="15" hidden="false" customHeight="false" outlineLevel="0" collapsed="false">
      <c r="A27" s="0" t="s">
        <v>51</v>
      </c>
      <c r="B27" s="0" t="str">
        <f aca="false">INDEX(Master_Lista!$B$2:$B$151,MATCH(A27,Master_Lista!$A$2:$A$151,0))</f>
        <v>Ognjen Kostic</v>
      </c>
      <c r="C27" s="7" t="n">
        <f aca="false">SUMIFS(Sheet3_Sati!$D:$D,Sheet3_Sati!$A:$A,A27)</f>
        <v>0</v>
      </c>
      <c r="D27" s="5" t="n">
        <f aca="false">SUMIFS(Sheet3_Sati!$J:$J,Sheet3_Sati!$A:$A,A27)</f>
        <v>0</v>
      </c>
      <c r="E27" s="5" t="n">
        <f aca="false">IFERROR(D27/C27,0)</f>
        <v>0</v>
      </c>
      <c r="F27" s="0" t="n">
        <f aca="false">COUNTIF(Sheet3_Sati!$A:$A,A27)</f>
        <v>0</v>
      </c>
      <c r="G27" s="0" t="str">
        <f aca="false">IF(C27=0,"Nema unosa",IF(C27&lt;160,"Niska iskorištenost",IF(C27&lt;=220,"Optimalno","Preopterećenje")))</f>
        <v>Nema unosa</v>
      </c>
    </row>
    <row r="28" customFormat="false" ht="15" hidden="false" customHeight="false" outlineLevel="0" collapsed="false">
      <c r="A28" s="0" t="s">
        <v>53</v>
      </c>
      <c r="B28" s="0" t="str">
        <f aca="false">INDEX(Master_Lista!$B$2:$B$151,MATCH(A28,Master_Lista!$A$2:$A$151,0))</f>
        <v>Branko Jankovic</v>
      </c>
      <c r="C28" s="7" t="n">
        <f aca="false">SUMIFS(Sheet3_Sati!$D:$D,Sheet3_Sati!$A:$A,A28)</f>
        <v>6</v>
      </c>
      <c r="D28" s="5" t="n">
        <f aca="false">SUMIFS(Sheet3_Sati!$J:$J,Sheet3_Sati!$A:$A,A28)</f>
        <v>120.6</v>
      </c>
      <c r="E28" s="5" t="n">
        <f aca="false">IFERROR(D28/C28,0)</f>
        <v>20.1</v>
      </c>
      <c r="F28" s="0" t="n">
        <f aca="false">COUNTIF(Sheet3_Sati!$A:$A,A28)</f>
        <v>1</v>
      </c>
      <c r="G28" s="0" t="str">
        <f aca="false">IF(C28=0,"Nema unosa",IF(C28&lt;160,"Niska iskorištenost",IF(C28&lt;=220,"Optimalno","Preopterećenje")))</f>
        <v>Niska iskorištenost</v>
      </c>
    </row>
    <row r="29" customFormat="false" ht="15" hidden="false" customHeight="false" outlineLevel="0" collapsed="false">
      <c r="A29" s="0" t="s">
        <v>55</v>
      </c>
      <c r="B29" s="0" t="str">
        <f aca="false">INDEX(Master_Lista!$B$2:$B$151,MATCH(A29,Master_Lista!$A$2:$A$151,0))</f>
        <v>Aleksandar Cvetkovic</v>
      </c>
      <c r="C29" s="7" t="n">
        <f aca="false">SUMIFS(Sheet3_Sati!$D:$D,Sheet3_Sati!$A:$A,A29)</f>
        <v>15</v>
      </c>
      <c r="D29" s="5" t="n">
        <f aca="false">SUMIFS(Sheet3_Sati!$J:$J,Sheet3_Sati!$A:$A,A29)</f>
        <v>331.65</v>
      </c>
      <c r="E29" s="5" t="n">
        <f aca="false">IFERROR(D29/C29,0)</f>
        <v>22.11</v>
      </c>
      <c r="F29" s="0" t="n">
        <f aca="false">COUNTIF(Sheet3_Sati!$A:$A,A29)</f>
        <v>2</v>
      </c>
      <c r="G29" s="0" t="str">
        <f aca="false">IF(C29=0,"Nema unosa",IF(C29&lt;160,"Niska iskorištenost",IF(C29&lt;=220,"Optimalno","Preopterećenje")))</f>
        <v>Niska iskorištenost</v>
      </c>
    </row>
    <row r="30" customFormat="false" ht="15" hidden="false" customHeight="false" outlineLevel="0" collapsed="false">
      <c r="A30" s="0" t="s">
        <v>57</v>
      </c>
      <c r="B30" s="0" t="str">
        <f aca="false">INDEX(Master_Lista!$B$2:$B$151,MATCH(A30,Master_Lista!$A$2:$A$151,0))</f>
        <v>Ognjen Jankovic</v>
      </c>
      <c r="C30" s="7" t="n">
        <f aca="false">SUMIFS(Sheet3_Sati!$D:$D,Sheet3_Sati!$A:$A,A30)</f>
        <v>8.5</v>
      </c>
      <c r="D30" s="5" t="n">
        <f aca="false">SUMIFS(Sheet3_Sati!$J:$J,Sheet3_Sati!$A:$A,A30)</f>
        <v>81.15375</v>
      </c>
      <c r="E30" s="5" t="n">
        <f aca="false">IFERROR(D30/C30,0)</f>
        <v>9.5475</v>
      </c>
      <c r="F30" s="0" t="n">
        <f aca="false">COUNTIF(Sheet3_Sati!$A:$A,A30)</f>
        <v>1</v>
      </c>
      <c r="G30" s="0" t="str">
        <f aca="false">IF(C30=0,"Nema unosa",IF(C30&lt;160,"Niska iskorištenost",IF(C30&lt;=220,"Optimalno","Preopterećenje")))</f>
        <v>Niska iskorištenost</v>
      </c>
    </row>
    <row r="31" customFormat="false" ht="15" hidden="false" customHeight="false" outlineLevel="0" collapsed="false">
      <c r="A31" s="0" t="s">
        <v>59</v>
      </c>
      <c r="B31" s="0" t="str">
        <f aca="false">INDEX(Master_Lista!$B$2:$B$151,MATCH(A31,Master_Lista!$A$2:$A$151,0))</f>
        <v>Uros Pavlovic</v>
      </c>
      <c r="C31" s="7" t="n">
        <f aca="false">SUMIFS(Sheet3_Sati!$D:$D,Sheet3_Sati!$A:$A,A31)</f>
        <v>12</v>
      </c>
      <c r="D31" s="5" t="n">
        <f aca="false">SUMIFS(Sheet3_Sati!$J:$J,Sheet3_Sati!$A:$A,A31)</f>
        <v>96.48</v>
      </c>
      <c r="E31" s="5" t="n">
        <f aca="false">IFERROR(D31/C31,0)</f>
        <v>8.04</v>
      </c>
      <c r="F31" s="0" t="n">
        <f aca="false">COUNTIF(Sheet3_Sati!$A:$A,A31)</f>
        <v>1</v>
      </c>
      <c r="G31" s="0" t="str">
        <f aca="false">IF(C31=0,"Nema unosa",IF(C31&lt;160,"Niska iskorištenost",IF(C31&lt;=220,"Optimalno","Preopterećenje")))</f>
        <v>Niska iskorištenost</v>
      </c>
    </row>
    <row r="32" customFormat="false" ht="15" hidden="false" customHeight="false" outlineLevel="0" collapsed="false">
      <c r="A32" s="0" t="s">
        <v>61</v>
      </c>
      <c r="B32" s="0" t="str">
        <f aca="false">INDEX(Master_Lista!$B$2:$B$151,MATCH(A32,Master_Lista!$A$2:$A$151,0))</f>
        <v>Stefan Nikolic</v>
      </c>
      <c r="C32" s="7" t="n">
        <f aca="false">SUMIFS(Sheet3_Sati!$D:$D,Sheet3_Sati!$A:$A,A32)</f>
        <v>16</v>
      </c>
      <c r="D32" s="5" t="n">
        <f aca="false">SUMIFS(Sheet3_Sati!$J:$J,Sheet3_Sati!$A:$A,A32)</f>
        <v>120.6</v>
      </c>
      <c r="E32" s="5" t="n">
        <f aca="false">IFERROR(D32/C32,0)</f>
        <v>7.5375</v>
      </c>
      <c r="F32" s="0" t="n">
        <f aca="false">COUNTIF(Sheet3_Sati!$A:$A,A32)</f>
        <v>2</v>
      </c>
      <c r="G32" s="0" t="str">
        <f aca="false">IF(C32=0,"Nema unosa",IF(C32&lt;160,"Niska iskorištenost",IF(C32&lt;=220,"Optimalno","Preopterećenje")))</f>
        <v>Niska iskorištenost</v>
      </c>
    </row>
    <row r="33" customFormat="false" ht="15" hidden="false" customHeight="false" outlineLevel="0" collapsed="false">
      <c r="A33" s="0" t="s">
        <v>63</v>
      </c>
      <c r="B33" s="0" t="str">
        <f aca="false">INDEX(Master_Lista!$B$2:$B$151,MATCH(A33,Master_Lista!$A$2:$A$151,0))</f>
        <v>Uros Obradovic</v>
      </c>
      <c r="C33" s="7" t="n">
        <f aca="false">SUMIFS(Sheet3_Sati!$D:$D,Sheet3_Sati!$A:$A,A33)</f>
        <v>10</v>
      </c>
      <c r="D33" s="5" t="n">
        <f aca="false">SUMIFS(Sheet3_Sati!$J:$J,Sheet3_Sati!$A:$A,A33)</f>
        <v>105.525</v>
      </c>
      <c r="E33" s="5" t="n">
        <f aca="false">IFERROR(D33/C33,0)</f>
        <v>10.5525</v>
      </c>
      <c r="F33" s="0" t="n">
        <f aca="false">COUNTIF(Sheet3_Sati!$A:$A,A33)</f>
        <v>1</v>
      </c>
      <c r="G33" s="0" t="str">
        <f aca="false">IF(C33=0,"Nema unosa",IF(C33&lt;160,"Niska iskorištenost",IF(C33&lt;=220,"Optimalno","Preopterećenje")))</f>
        <v>Niska iskorištenost</v>
      </c>
    </row>
    <row r="34" customFormat="false" ht="15" hidden="false" customHeight="false" outlineLevel="0" collapsed="false">
      <c r="A34" s="0" t="s">
        <v>65</v>
      </c>
      <c r="B34" s="0" t="str">
        <f aca="false">INDEX(Master_Lista!$B$2:$B$151,MATCH(A34,Master_Lista!$A$2:$A$151,0))</f>
        <v>Uros Tomic</v>
      </c>
      <c r="C34" s="7" t="n">
        <f aca="false">SUMIFS(Sheet3_Sati!$D:$D,Sheet3_Sati!$A:$A,A34)</f>
        <v>9</v>
      </c>
      <c r="D34" s="5" t="n">
        <f aca="false">SUMIFS(Sheet3_Sati!$J:$J,Sheet3_Sati!$A:$A,A34)</f>
        <v>226.125</v>
      </c>
      <c r="E34" s="5" t="n">
        <f aca="false">IFERROR(D34/C34,0)</f>
        <v>25.125</v>
      </c>
      <c r="F34" s="0" t="n">
        <f aca="false">COUNTIF(Sheet3_Sati!$A:$A,A34)</f>
        <v>1</v>
      </c>
      <c r="G34" s="0" t="str">
        <f aca="false">IF(C34=0,"Nema unosa",IF(C34&lt;160,"Niska iskorištenost",IF(C34&lt;=220,"Optimalno","Preopterećenje")))</f>
        <v>Niska iskorištenost</v>
      </c>
    </row>
    <row r="35" customFormat="false" ht="15" hidden="false" customHeight="false" outlineLevel="0" collapsed="false">
      <c r="A35" s="0" t="s">
        <v>67</v>
      </c>
      <c r="B35" s="0" t="str">
        <f aca="false">INDEX(Master_Lista!$B$2:$B$151,MATCH(A35,Master_Lista!$A$2:$A$151,0))</f>
        <v>Stefan Antic</v>
      </c>
      <c r="C35" s="7" t="n">
        <f aca="false">SUMIFS(Sheet3_Sati!$D:$D,Sheet3_Sati!$A:$A,A35)</f>
        <v>0</v>
      </c>
      <c r="D35" s="5" t="n">
        <f aca="false">SUMIFS(Sheet3_Sati!$J:$J,Sheet3_Sati!$A:$A,A35)</f>
        <v>0</v>
      </c>
      <c r="E35" s="5" t="n">
        <f aca="false">IFERROR(D35/C35,0)</f>
        <v>0</v>
      </c>
      <c r="F35" s="0" t="n">
        <f aca="false">COUNTIF(Sheet3_Sati!$A:$A,A35)</f>
        <v>0</v>
      </c>
      <c r="G35" s="0" t="str">
        <f aca="false">IF(C35=0,"Nema unosa",IF(C35&lt;160,"Niska iskorištenost",IF(C35&lt;=220,"Optimalno","Preopterećenje")))</f>
        <v>Nema unosa</v>
      </c>
    </row>
    <row r="36" customFormat="false" ht="15" hidden="false" customHeight="false" outlineLevel="0" collapsed="false">
      <c r="A36" s="0" t="s">
        <v>69</v>
      </c>
      <c r="B36" s="0" t="str">
        <f aca="false">INDEX(Master_Lista!$B$2:$B$151,MATCH(A36,Master_Lista!$A$2:$A$151,0))</f>
        <v>Olga Markovic</v>
      </c>
      <c r="C36" s="7" t="n">
        <f aca="false">SUMIFS(Sheet3_Sati!$D:$D,Sheet3_Sati!$A:$A,A36)</f>
        <v>30.5</v>
      </c>
      <c r="D36" s="5" t="n">
        <f aca="false">SUMIFS(Sheet3_Sati!$J:$J,Sheet3_Sati!$A:$A,A36)</f>
        <v>383.15625</v>
      </c>
      <c r="E36" s="5" t="n">
        <f aca="false">IFERROR(D36/C36,0)</f>
        <v>12.5625</v>
      </c>
      <c r="F36" s="0" t="n">
        <f aca="false">COUNTIF(Sheet3_Sati!$A:$A,A36)</f>
        <v>3</v>
      </c>
      <c r="G36" s="0" t="str">
        <f aca="false">IF(C36=0,"Nema unosa",IF(C36&lt;160,"Niska iskorištenost",IF(C36&lt;=220,"Optimalno","Preopterećenje")))</f>
        <v>Niska iskorištenost</v>
      </c>
    </row>
    <row r="37" customFormat="false" ht="15" hidden="false" customHeight="false" outlineLevel="0" collapsed="false">
      <c r="A37" s="0" t="s">
        <v>71</v>
      </c>
      <c r="B37" s="0" t="str">
        <f aca="false">INDEX(Master_Lista!$B$2:$B$151,MATCH(A37,Master_Lista!$A$2:$A$151,0))</f>
        <v>Olga Zivkovic</v>
      </c>
      <c r="C37" s="7" t="n">
        <f aca="false">SUMIFS(Sheet3_Sati!$D:$D,Sheet3_Sati!$A:$A,A37)</f>
        <v>21</v>
      </c>
      <c r="D37" s="5" t="n">
        <f aca="false">SUMIFS(Sheet3_Sati!$J:$J,Sheet3_Sati!$A:$A,A37)</f>
        <v>337.68</v>
      </c>
      <c r="E37" s="5" t="n">
        <f aca="false">IFERROR(D37/C37,0)</f>
        <v>16.08</v>
      </c>
      <c r="F37" s="0" t="n">
        <f aca="false">COUNTIF(Sheet3_Sati!$A:$A,A37)</f>
        <v>2</v>
      </c>
      <c r="G37" s="0" t="str">
        <f aca="false">IF(C37=0,"Nema unosa",IF(C37&lt;160,"Niska iskorištenost",IF(C37&lt;=220,"Optimalno","Preopterećenje")))</f>
        <v>Niska iskorištenost</v>
      </c>
    </row>
    <row r="38" customFormat="false" ht="15" hidden="false" customHeight="false" outlineLevel="0" collapsed="false">
      <c r="A38" s="0" t="s">
        <v>73</v>
      </c>
      <c r="B38" s="0" t="str">
        <f aca="false">INDEX(Master_Lista!$B$2:$B$151,MATCH(A38,Master_Lista!$A$2:$A$151,0))</f>
        <v>Filip Tomic</v>
      </c>
      <c r="C38" s="7" t="n">
        <f aca="false">SUMIFS(Sheet3_Sati!$D:$D,Sheet3_Sati!$A:$A,A38)</f>
        <v>44.5</v>
      </c>
      <c r="D38" s="5" t="n">
        <f aca="false">SUMIFS(Sheet3_Sati!$J:$J,Sheet3_Sati!$A:$A,A38)</f>
        <v>380.14125</v>
      </c>
      <c r="E38" s="5" t="n">
        <f aca="false">IFERROR(D38/C38,0)</f>
        <v>8.5425</v>
      </c>
      <c r="F38" s="0" t="n">
        <f aca="false">COUNTIF(Sheet3_Sati!$A:$A,A38)</f>
        <v>6</v>
      </c>
      <c r="G38" s="0" t="str">
        <f aca="false">IF(C38=0,"Nema unosa",IF(C38&lt;160,"Niska iskorištenost",IF(C38&lt;=220,"Optimalno","Preopterećenje")))</f>
        <v>Niska iskorištenost</v>
      </c>
    </row>
    <row r="39" customFormat="false" ht="15" hidden="false" customHeight="false" outlineLevel="0" collapsed="false">
      <c r="A39" s="0" t="s">
        <v>75</v>
      </c>
      <c r="B39" s="0" t="str">
        <f aca="false">INDEX(Master_Lista!$B$2:$B$151,MATCH(A39,Master_Lista!$A$2:$A$151,0))</f>
        <v>Cedomir Simic</v>
      </c>
      <c r="C39" s="7" t="n">
        <f aca="false">SUMIFS(Sheet3_Sati!$D:$D,Sheet3_Sati!$A:$A,A39)</f>
        <v>17</v>
      </c>
      <c r="D39" s="5" t="n">
        <f aca="false">SUMIFS(Sheet3_Sati!$J:$J,Sheet3_Sati!$A:$A,A39)</f>
        <v>187.935</v>
      </c>
      <c r="E39" s="5" t="n">
        <f aca="false">IFERROR(D39/C39,0)</f>
        <v>11.055</v>
      </c>
      <c r="F39" s="0" t="n">
        <f aca="false">COUNTIF(Sheet3_Sati!$A:$A,A39)</f>
        <v>2</v>
      </c>
      <c r="G39" s="0" t="str">
        <f aca="false">IF(C39=0,"Nema unosa",IF(C39&lt;160,"Niska iskorištenost",IF(C39&lt;=220,"Optimalno","Preopterećenje")))</f>
        <v>Niska iskorištenost</v>
      </c>
    </row>
    <row r="40" customFormat="false" ht="15" hidden="false" customHeight="false" outlineLevel="0" collapsed="false">
      <c r="A40" s="0" t="s">
        <v>77</v>
      </c>
      <c r="B40" s="0" t="str">
        <f aca="false">INDEX(Master_Lista!$B$2:$B$151,MATCH(A40,Master_Lista!$A$2:$A$151,0))</f>
        <v>Radoslav Kostic</v>
      </c>
      <c r="C40" s="7" t="n">
        <f aca="false">SUMIFS(Sheet3_Sati!$D:$D,Sheet3_Sati!$A:$A,A40)</f>
        <v>14.5</v>
      </c>
      <c r="D40" s="5" t="n">
        <f aca="false">SUMIFS(Sheet3_Sati!$J:$J,Sheet3_Sati!$A:$A,A40)</f>
        <v>262.305</v>
      </c>
      <c r="E40" s="5" t="n">
        <f aca="false">IFERROR(D40/C40,0)</f>
        <v>18.09</v>
      </c>
      <c r="F40" s="0" t="n">
        <f aca="false">COUNTIF(Sheet3_Sati!$A:$A,A40)</f>
        <v>2</v>
      </c>
      <c r="G40" s="0" t="str">
        <f aca="false">IF(C40=0,"Nema unosa",IF(C40&lt;160,"Niska iskorištenost",IF(C40&lt;=220,"Optimalno","Preopterećenje")))</f>
        <v>Niska iskorištenost</v>
      </c>
    </row>
    <row r="41" customFormat="false" ht="15" hidden="false" customHeight="false" outlineLevel="0" collapsed="false">
      <c r="A41" s="0" t="s">
        <v>79</v>
      </c>
      <c r="B41" s="0" t="str">
        <f aca="false">INDEX(Master_Lista!$B$2:$B$151,MATCH(A41,Master_Lista!$A$2:$A$151,0))</f>
        <v>Zorica Vasic</v>
      </c>
      <c r="C41" s="7" t="n">
        <f aca="false">SUMIFS(Sheet3_Sati!$D:$D,Sheet3_Sati!$A:$A,A41)</f>
        <v>19.5</v>
      </c>
      <c r="D41" s="5" t="n">
        <f aca="false">SUMIFS(Sheet3_Sati!$J:$J,Sheet3_Sati!$A:$A,A41)</f>
        <v>548.73</v>
      </c>
      <c r="E41" s="5" t="n">
        <f aca="false">IFERROR(D41/C41,0)</f>
        <v>28.14</v>
      </c>
      <c r="F41" s="0" t="n">
        <f aca="false">COUNTIF(Sheet3_Sati!$A:$A,A41)</f>
        <v>2</v>
      </c>
      <c r="G41" s="0" t="str">
        <f aca="false">IF(C41=0,"Nema unosa",IF(C41&lt;160,"Niska iskorištenost",IF(C41&lt;=220,"Optimalno","Preopterećenje")))</f>
        <v>Niska iskorištenost</v>
      </c>
    </row>
    <row r="42" customFormat="false" ht="15" hidden="false" customHeight="false" outlineLevel="0" collapsed="false">
      <c r="A42" s="0" t="s">
        <v>81</v>
      </c>
      <c r="B42" s="0" t="str">
        <f aca="false">INDEX(Master_Lista!$B$2:$B$151,MATCH(A42,Master_Lista!$A$2:$A$151,0))</f>
        <v>Lidija Ilic</v>
      </c>
      <c r="C42" s="7" t="n">
        <f aca="false">SUMIFS(Sheet3_Sati!$D:$D,Sheet3_Sati!$A:$A,A42)</f>
        <v>0</v>
      </c>
      <c r="D42" s="5" t="n">
        <f aca="false">SUMIFS(Sheet3_Sati!$J:$J,Sheet3_Sati!$A:$A,A42)</f>
        <v>0</v>
      </c>
      <c r="E42" s="5" t="n">
        <f aca="false">IFERROR(D42/C42,0)</f>
        <v>0</v>
      </c>
      <c r="F42" s="0" t="n">
        <f aca="false">COUNTIF(Sheet3_Sati!$A:$A,A42)</f>
        <v>0</v>
      </c>
      <c r="G42" s="0" t="str">
        <f aca="false">IF(C42=0,"Nema unosa",IF(C42&lt;160,"Niska iskorištenost",IF(C42&lt;=220,"Optimalno","Preopterećenje")))</f>
        <v>Nema unosa</v>
      </c>
    </row>
    <row r="43" customFormat="false" ht="15" hidden="false" customHeight="false" outlineLevel="0" collapsed="false">
      <c r="A43" s="0" t="s">
        <v>83</v>
      </c>
      <c r="B43" s="0" t="str">
        <f aca="false">INDEX(Master_Lista!$B$2:$B$151,MATCH(A43,Master_Lista!$A$2:$A$151,0))</f>
        <v>Filip Antic</v>
      </c>
      <c r="C43" s="7" t="n">
        <f aca="false">SUMIFS(Sheet3_Sati!$D:$D,Sheet3_Sati!$A:$A,A43)</f>
        <v>0</v>
      </c>
      <c r="D43" s="5" t="n">
        <f aca="false">SUMIFS(Sheet3_Sati!$J:$J,Sheet3_Sati!$A:$A,A43)</f>
        <v>0</v>
      </c>
      <c r="E43" s="5" t="n">
        <f aca="false">IFERROR(D43/C43,0)</f>
        <v>0</v>
      </c>
      <c r="F43" s="0" t="n">
        <f aca="false">COUNTIF(Sheet3_Sati!$A:$A,A43)</f>
        <v>0</v>
      </c>
      <c r="G43" s="0" t="str">
        <f aca="false">IF(C43=0,"Nema unosa",IF(C43&lt;160,"Niska iskorištenost",IF(C43&lt;=220,"Optimalno","Preopterećenje")))</f>
        <v>Nema unosa</v>
      </c>
    </row>
    <row r="44" customFormat="false" ht="15" hidden="false" customHeight="false" outlineLevel="0" collapsed="false">
      <c r="A44" s="0" t="s">
        <v>84</v>
      </c>
      <c r="B44" s="0" t="str">
        <f aca="false">INDEX(Master_Lista!$B$2:$B$151,MATCH(A44,Master_Lista!$A$2:$A$151,0))</f>
        <v>Stefan Filipovic</v>
      </c>
      <c r="C44" s="7" t="n">
        <f aca="false">SUMIFS(Sheet3_Sati!$D:$D,Sheet3_Sati!$A:$A,A44)</f>
        <v>18.5</v>
      </c>
      <c r="D44" s="5" t="n">
        <f aca="false">SUMIFS(Sheet3_Sati!$J:$J,Sheet3_Sati!$A:$A,A44)</f>
        <v>223.11</v>
      </c>
      <c r="E44" s="5" t="n">
        <f aca="false">IFERROR(D44/C44,0)</f>
        <v>12.06</v>
      </c>
      <c r="F44" s="0" t="n">
        <f aca="false">COUNTIF(Sheet3_Sati!$A:$A,A44)</f>
        <v>2</v>
      </c>
      <c r="G44" s="0" t="str">
        <f aca="false">IF(C44=0,"Nema unosa",IF(C44&lt;160,"Niska iskorištenost",IF(C44&lt;=220,"Optimalno","Preopterećenje")))</f>
        <v>Niska iskorištenost</v>
      </c>
    </row>
    <row r="45" customFormat="false" ht="15" hidden="false" customHeight="false" outlineLevel="0" collapsed="false">
      <c r="A45" s="0" t="s">
        <v>86</v>
      </c>
      <c r="B45" s="0" t="str">
        <f aca="false">INDEX(Master_Lista!$B$2:$B$151,MATCH(A45,Master_Lista!$A$2:$A$151,0))</f>
        <v>Radmila Ilic</v>
      </c>
      <c r="C45" s="7" t="n">
        <f aca="false">SUMIFS(Sheet3_Sati!$D:$D,Sheet3_Sati!$A:$A,A45)</f>
        <v>7.5</v>
      </c>
      <c r="D45" s="5" t="n">
        <f aca="false">SUMIFS(Sheet3_Sati!$J:$J,Sheet3_Sati!$A:$A,A45)</f>
        <v>105.525</v>
      </c>
      <c r="E45" s="5" t="n">
        <f aca="false">IFERROR(D45/C45,0)</f>
        <v>14.07</v>
      </c>
      <c r="F45" s="0" t="n">
        <f aca="false">COUNTIF(Sheet3_Sati!$A:$A,A45)</f>
        <v>1</v>
      </c>
      <c r="G45" s="0" t="str">
        <f aca="false">IF(C45=0,"Nema unosa",IF(C45&lt;160,"Niska iskorištenost",IF(C45&lt;=220,"Optimalno","Preopterećenje")))</f>
        <v>Niska iskorištenost</v>
      </c>
    </row>
    <row r="46" customFormat="false" ht="15" hidden="false" customHeight="false" outlineLevel="0" collapsed="false">
      <c r="A46" s="0" t="s">
        <v>88</v>
      </c>
      <c r="B46" s="0" t="str">
        <f aca="false">INDEX(Master_Lista!$B$2:$B$151,MATCH(A46,Master_Lista!$A$2:$A$151,0))</f>
        <v>Ognjen Markovic</v>
      </c>
      <c r="C46" s="7" t="n">
        <f aca="false">SUMIFS(Sheet3_Sati!$D:$D,Sheet3_Sati!$A:$A,A46)</f>
        <v>6</v>
      </c>
      <c r="D46" s="5" t="n">
        <f aca="false">SUMIFS(Sheet3_Sati!$J:$J,Sheet3_Sati!$A:$A,A46)</f>
        <v>120.6</v>
      </c>
      <c r="E46" s="5" t="n">
        <f aca="false">IFERROR(D46/C46,0)</f>
        <v>20.1</v>
      </c>
      <c r="F46" s="0" t="n">
        <f aca="false">COUNTIF(Sheet3_Sati!$A:$A,A46)</f>
        <v>1</v>
      </c>
      <c r="G46" s="0" t="str">
        <f aca="false">IF(C46=0,"Nema unosa",IF(C46&lt;160,"Niska iskorištenost",IF(C46&lt;=220,"Optimalno","Preopterećenje")))</f>
        <v>Niska iskorištenost</v>
      </c>
    </row>
    <row r="47" customFormat="false" ht="15" hidden="false" customHeight="false" outlineLevel="0" collapsed="false">
      <c r="A47" s="0" t="s">
        <v>90</v>
      </c>
      <c r="B47" s="0" t="str">
        <f aca="false">INDEX(Master_Lista!$B$2:$B$151,MATCH(A47,Master_Lista!$A$2:$A$151,0))</f>
        <v>Ognjen Urosevic</v>
      </c>
      <c r="C47" s="7" t="n">
        <f aca="false">SUMIFS(Sheet3_Sati!$D:$D,Sheet3_Sati!$A:$A,A47)</f>
        <v>9</v>
      </c>
      <c r="D47" s="5" t="n">
        <f aca="false">SUMIFS(Sheet3_Sati!$J:$J,Sheet3_Sati!$A:$A,A47)</f>
        <v>198.99</v>
      </c>
      <c r="E47" s="5" t="n">
        <f aca="false">IFERROR(D47/C47,0)</f>
        <v>22.11</v>
      </c>
      <c r="F47" s="0" t="n">
        <f aca="false">COUNTIF(Sheet3_Sati!$A:$A,A47)</f>
        <v>1</v>
      </c>
      <c r="G47" s="0" t="str">
        <f aca="false">IF(C47=0,"Nema unosa",IF(C47&lt;160,"Niska iskorištenost",IF(C47&lt;=220,"Optimalno","Preopterećenje")))</f>
        <v>Niska iskorištenost</v>
      </c>
    </row>
    <row r="48" customFormat="false" ht="15" hidden="false" customHeight="false" outlineLevel="0" collapsed="false">
      <c r="A48" s="0" t="s">
        <v>92</v>
      </c>
      <c r="B48" s="0" t="str">
        <f aca="false">INDEX(Master_Lista!$B$2:$B$151,MATCH(A48,Master_Lista!$A$2:$A$151,0))</f>
        <v>Aleksandar Zivkovic</v>
      </c>
      <c r="C48" s="7" t="n">
        <f aca="false">SUMIFS(Sheet3_Sati!$D:$D,Sheet3_Sati!$A:$A,A48)</f>
        <v>15.5</v>
      </c>
      <c r="D48" s="5" t="n">
        <f aca="false">SUMIFS(Sheet3_Sati!$J:$J,Sheet3_Sati!$A:$A,A48)</f>
        <v>147.98625</v>
      </c>
      <c r="E48" s="5" t="n">
        <f aca="false">IFERROR(D48/C48,0)</f>
        <v>9.5475</v>
      </c>
      <c r="F48" s="0" t="n">
        <f aca="false">COUNTIF(Sheet3_Sati!$A:$A,A48)</f>
        <v>2</v>
      </c>
      <c r="G48" s="0" t="str">
        <f aca="false">IF(C48=0,"Nema unosa",IF(C48&lt;160,"Niska iskorištenost",IF(C48&lt;=220,"Optimalno","Preopterećenje")))</f>
        <v>Niska iskorištenost</v>
      </c>
    </row>
    <row r="49" customFormat="false" ht="15" hidden="false" customHeight="false" outlineLevel="0" collapsed="false">
      <c r="A49" s="0" t="s">
        <v>94</v>
      </c>
      <c r="B49" s="0" t="str">
        <f aca="false">INDEX(Master_Lista!$B$2:$B$151,MATCH(A49,Master_Lista!$A$2:$A$151,0))</f>
        <v>Jelena Urosevic</v>
      </c>
      <c r="C49" s="7" t="n">
        <f aca="false">SUMIFS(Sheet3_Sati!$D:$D,Sheet3_Sati!$A:$A,A49)</f>
        <v>12</v>
      </c>
      <c r="D49" s="5" t="n">
        <f aca="false">SUMIFS(Sheet3_Sati!$J:$J,Sheet3_Sati!$A:$A,A49)</f>
        <v>96.48</v>
      </c>
      <c r="E49" s="5" t="n">
        <f aca="false">IFERROR(D49/C49,0)</f>
        <v>8.04</v>
      </c>
      <c r="F49" s="0" t="n">
        <f aca="false">COUNTIF(Sheet3_Sati!$A:$A,A49)</f>
        <v>1</v>
      </c>
      <c r="G49" s="0" t="str">
        <f aca="false">IF(C49=0,"Nema unosa",IF(C49&lt;160,"Niska iskorištenost",IF(C49&lt;=220,"Optimalno","Preopterećenje")))</f>
        <v>Niska iskorištenost</v>
      </c>
    </row>
    <row r="50" customFormat="false" ht="15" hidden="false" customHeight="false" outlineLevel="0" collapsed="false">
      <c r="A50" s="0" t="s">
        <v>96</v>
      </c>
      <c r="B50" s="0" t="str">
        <f aca="false">INDEX(Master_Lista!$B$2:$B$151,MATCH(A50,Master_Lista!$A$2:$A$151,0))</f>
        <v>Cedomir Vasic</v>
      </c>
      <c r="C50" s="7" t="n">
        <f aca="false">SUMIFS(Sheet3_Sati!$D:$D,Sheet3_Sati!$A:$A,A50)</f>
        <v>26.5</v>
      </c>
      <c r="D50" s="5" t="n">
        <f aca="false">SUMIFS(Sheet3_Sati!$J:$J,Sheet3_Sati!$A:$A,A50)</f>
        <v>199.74375</v>
      </c>
      <c r="E50" s="5" t="n">
        <f aca="false">IFERROR(D50/C50,0)</f>
        <v>7.5375</v>
      </c>
      <c r="F50" s="0" t="n">
        <f aca="false">COUNTIF(Sheet3_Sati!$A:$A,A50)</f>
        <v>3</v>
      </c>
      <c r="G50" s="0" t="str">
        <f aca="false">IF(C50=0,"Nema unosa",IF(C50&lt;160,"Niska iskorištenost",IF(C50&lt;=220,"Optimalno","Preopterećenje")))</f>
        <v>Niska iskorištenost</v>
      </c>
    </row>
    <row r="51" customFormat="false" ht="15" hidden="false" customHeight="false" outlineLevel="0" collapsed="false">
      <c r="A51" s="0" t="s">
        <v>97</v>
      </c>
      <c r="B51" s="0" t="str">
        <f aca="false">INDEX(Master_Lista!$B$2:$B$151,MATCH(A51,Master_Lista!$A$2:$A$151,0))</f>
        <v>Petar Djordjevic</v>
      </c>
      <c r="C51" s="7" t="n">
        <f aca="false">SUMIFS(Sheet3_Sati!$D:$D,Sheet3_Sati!$A:$A,A51)</f>
        <v>18.5</v>
      </c>
      <c r="D51" s="5" t="n">
        <f aca="false">SUMIFS(Sheet3_Sati!$J:$J,Sheet3_Sati!$A:$A,A51)</f>
        <v>195.22125</v>
      </c>
      <c r="E51" s="5" t="n">
        <f aca="false">IFERROR(D51/C51,0)</f>
        <v>10.5525</v>
      </c>
      <c r="F51" s="0" t="n">
        <f aca="false">COUNTIF(Sheet3_Sati!$A:$A,A51)</f>
        <v>2</v>
      </c>
      <c r="G51" s="0" t="str">
        <f aca="false">IF(C51=0,"Nema unosa",IF(C51&lt;160,"Niska iskorištenost",IF(C51&lt;=220,"Optimalno","Preopterećenje")))</f>
        <v>Niska iskorištenost</v>
      </c>
    </row>
    <row r="52" customFormat="false" ht="15" hidden="false" customHeight="false" outlineLevel="0" collapsed="false">
      <c r="A52" s="0" t="s">
        <v>99</v>
      </c>
      <c r="B52" s="0" t="str">
        <f aca="false">INDEX(Master_Lista!$B$2:$B$151,MATCH(A52,Master_Lista!$A$2:$A$151,0))</f>
        <v>Elena Nikolic</v>
      </c>
      <c r="C52" s="7" t="n">
        <f aca="false">SUMIFS(Sheet3_Sati!$D:$D,Sheet3_Sati!$A:$A,A52)</f>
        <v>10</v>
      </c>
      <c r="D52" s="5" t="n">
        <f aca="false">SUMIFS(Sheet3_Sati!$J:$J,Sheet3_Sati!$A:$A,A52)</f>
        <v>251.25</v>
      </c>
      <c r="E52" s="5" t="n">
        <f aca="false">IFERROR(D52/C52,0)</f>
        <v>25.125</v>
      </c>
      <c r="F52" s="0" t="n">
        <f aca="false">COUNTIF(Sheet3_Sati!$A:$A,A52)</f>
        <v>1</v>
      </c>
      <c r="G52" s="0" t="str">
        <f aca="false">IF(C52=0,"Nema unosa",IF(C52&lt;160,"Niska iskorištenost",IF(C52&lt;=220,"Optimalno","Preopterećenje")))</f>
        <v>Niska iskorištenost</v>
      </c>
    </row>
    <row r="53" customFormat="false" ht="15" hidden="false" customHeight="false" outlineLevel="0" collapsed="false">
      <c r="A53" s="0" t="s">
        <v>101</v>
      </c>
      <c r="B53" s="0" t="str">
        <f aca="false">INDEX(Master_Lista!$B$2:$B$151,MATCH(A53,Master_Lista!$A$2:$A$151,0))</f>
        <v>Radoslav Vasic</v>
      </c>
      <c r="C53" s="7" t="n">
        <f aca="false">SUMIFS(Sheet3_Sati!$D:$D,Sheet3_Sati!$A:$A,A53)</f>
        <v>0</v>
      </c>
      <c r="D53" s="5" t="n">
        <f aca="false">SUMIFS(Sheet3_Sati!$J:$J,Sheet3_Sati!$A:$A,A53)</f>
        <v>0</v>
      </c>
      <c r="E53" s="5" t="n">
        <f aca="false">IFERROR(D53/C53,0)</f>
        <v>0</v>
      </c>
      <c r="F53" s="0" t="n">
        <f aca="false">COUNTIF(Sheet3_Sati!$A:$A,A53)</f>
        <v>0</v>
      </c>
      <c r="G53" s="0" t="str">
        <f aca="false">IF(C53=0,"Nema unosa",IF(C53&lt;160,"Niska iskorištenost",IF(C53&lt;=220,"Optimalno","Preopterećenje")))</f>
        <v>Nema unosa</v>
      </c>
    </row>
    <row r="54" customFormat="false" ht="15" hidden="false" customHeight="false" outlineLevel="0" collapsed="false">
      <c r="A54" s="0" t="s">
        <v>102</v>
      </c>
      <c r="B54" s="0" t="str">
        <f aca="false">INDEX(Master_Lista!$B$2:$B$151,MATCH(A54,Master_Lista!$A$2:$A$151,0))</f>
        <v>Radoslav Urosevic</v>
      </c>
      <c r="C54" s="7" t="n">
        <f aca="false">SUMIFS(Sheet3_Sati!$D:$D,Sheet3_Sati!$A:$A,A54)</f>
        <v>0</v>
      </c>
      <c r="D54" s="5" t="n">
        <f aca="false">SUMIFS(Sheet3_Sati!$J:$J,Sheet3_Sati!$A:$A,A54)</f>
        <v>0</v>
      </c>
      <c r="E54" s="5" t="n">
        <f aca="false">IFERROR(D54/C54,0)</f>
        <v>0</v>
      </c>
      <c r="F54" s="0" t="n">
        <f aca="false">COUNTIF(Sheet3_Sati!$A:$A,A54)</f>
        <v>0</v>
      </c>
      <c r="G54" s="0" t="str">
        <f aca="false">IF(C54=0,"Nema unosa",IF(C54&lt;160,"Niska iskorištenost",IF(C54&lt;=220,"Optimalno","Preopterećenje")))</f>
        <v>Nema unosa</v>
      </c>
    </row>
    <row r="55" customFormat="false" ht="15" hidden="false" customHeight="false" outlineLevel="0" collapsed="false">
      <c r="A55" s="0" t="s">
        <v>104</v>
      </c>
      <c r="B55" s="0" t="str">
        <f aca="false">INDEX(Master_Lista!$B$2:$B$151,MATCH(A55,Master_Lista!$A$2:$A$151,0))</f>
        <v>Uros Markovic</v>
      </c>
      <c r="C55" s="7" t="n">
        <f aca="false">SUMIFS(Sheet3_Sati!$D:$D,Sheet3_Sati!$A:$A,A55)</f>
        <v>19.5</v>
      </c>
      <c r="D55" s="5" t="n">
        <f aca="false">SUMIFS(Sheet3_Sati!$J:$J,Sheet3_Sati!$A:$A,A55)</f>
        <v>313.56</v>
      </c>
      <c r="E55" s="5" t="n">
        <f aca="false">IFERROR(D55/C55,0)</f>
        <v>16.08</v>
      </c>
      <c r="F55" s="0" t="n">
        <f aca="false">COUNTIF(Sheet3_Sati!$A:$A,A55)</f>
        <v>2</v>
      </c>
      <c r="G55" s="0" t="str">
        <f aca="false">IF(C55=0,"Nema unosa",IF(C55&lt;160,"Niska iskorištenost",IF(C55&lt;=220,"Optimalno","Preopterećenje")))</f>
        <v>Niska iskorištenost</v>
      </c>
    </row>
    <row r="56" customFormat="false" ht="15" hidden="false" customHeight="false" outlineLevel="0" collapsed="false">
      <c r="A56" s="0" t="s">
        <v>106</v>
      </c>
      <c r="B56" s="0" t="str">
        <f aca="false">INDEX(Master_Lista!$B$2:$B$151,MATCH(A56,Master_Lista!$A$2:$A$151,0))</f>
        <v>Kosta Lazic</v>
      </c>
      <c r="C56" s="7" t="n">
        <f aca="false">SUMIFS(Sheet3_Sati!$D:$D,Sheet3_Sati!$A:$A,A56)</f>
        <v>10</v>
      </c>
      <c r="D56" s="5" t="n">
        <f aca="false">SUMIFS(Sheet3_Sati!$J:$J,Sheet3_Sati!$A:$A,A56)</f>
        <v>85.425</v>
      </c>
      <c r="E56" s="5" t="n">
        <f aca="false">IFERROR(D56/C56,0)</f>
        <v>8.5425</v>
      </c>
      <c r="F56" s="0" t="n">
        <f aca="false">COUNTIF(Sheet3_Sati!$A:$A,A56)</f>
        <v>1</v>
      </c>
      <c r="G56" s="0" t="str">
        <f aca="false">IF(C56=0,"Nema unosa",IF(C56&lt;160,"Niska iskorištenost",IF(C56&lt;=220,"Optimalno","Preopterećenje")))</f>
        <v>Niska iskorištenost</v>
      </c>
    </row>
    <row r="57" customFormat="false" ht="15" hidden="false" customHeight="false" outlineLevel="0" collapsed="false">
      <c r="A57" s="0" t="s">
        <v>108</v>
      </c>
      <c r="B57" s="0" t="str">
        <f aca="false">INDEX(Master_Lista!$B$2:$B$151,MATCH(A57,Master_Lista!$A$2:$A$151,0))</f>
        <v>Kosta Urosevic</v>
      </c>
      <c r="C57" s="7" t="n">
        <f aca="false">SUMIFS(Sheet3_Sati!$D:$D,Sheet3_Sati!$A:$A,A57)</f>
        <v>12</v>
      </c>
      <c r="D57" s="5" t="n">
        <f aca="false">SUMIFS(Sheet3_Sati!$J:$J,Sheet3_Sati!$A:$A,A57)</f>
        <v>132.66</v>
      </c>
      <c r="E57" s="5" t="n">
        <f aca="false">IFERROR(D57/C57,0)</f>
        <v>11.055</v>
      </c>
      <c r="F57" s="0" t="n">
        <f aca="false">COUNTIF(Sheet3_Sati!$A:$A,A57)</f>
        <v>2</v>
      </c>
      <c r="G57" s="0" t="str">
        <f aca="false">IF(C57=0,"Nema unosa",IF(C57&lt;160,"Niska iskorištenost",IF(C57&lt;=220,"Optimalno","Preopterećenje")))</f>
        <v>Niska iskorištenost</v>
      </c>
    </row>
    <row r="58" customFormat="false" ht="15" hidden="false" customHeight="false" outlineLevel="0" collapsed="false">
      <c r="A58" s="0" t="s">
        <v>110</v>
      </c>
      <c r="B58" s="0" t="str">
        <f aca="false">INDEX(Master_Lista!$B$2:$B$151,MATCH(A58,Master_Lista!$A$2:$A$151,0))</f>
        <v>Vuk Markovic</v>
      </c>
      <c r="C58" s="7" t="n">
        <f aca="false">SUMIFS(Sheet3_Sati!$D:$D,Sheet3_Sati!$A:$A,A58)</f>
        <v>11</v>
      </c>
      <c r="D58" s="5" t="n">
        <f aca="false">SUMIFS(Sheet3_Sati!$J:$J,Sheet3_Sati!$A:$A,A58)</f>
        <v>198.99</v>
      </c>
      <c r="E58" s="5" t="n">
        <f aca="false">IFERROR(D58/C58,0)</f>
        <v>18.09</v>
      </c>
      <c r="F58" s="0" t="n">
        <f aca="false">COUNTIF(Sheet3_Sati!$A:$A,A58)</f>
        <v>1</v>
      </c>
      <c r="G58" s="0" t="str">
        <f aca="false">IF(C58=0,"Nema unosa",IF(C58&lt;160,"Niska iskorištenost",IF(C58&lt;=220,"Optimalno","Preopterećenje")))</f>
        <v>Niska iskorištenost</v>
      </c>
    </row>
    <row r="59" customFormat="false" ht="15" hidden="false" customHeight="false" outlineLevel="0" collapsed="false">
      <c r="A59" s="0" t="s">
        <v>112</v>
      </c>
      <c r="B59" s="0" t="str">
        <f aca="false">INDEX(Master_Lista!$B$2:$B$151,MATCH(A59,Master_Lista!$A$2:$A$151,0))</f>
        <v>Milan Grujic</v>
      </c>
      <c r="C59" s="7" t="n">
        <f aca="false">SUMIFS(Sheet3_Sati!$D:$D,Sheet3_Sati!$A:$A,A59)</f>
        <v>12</v>
      </c>
      <c r="D59" s="5" t="n">
        <f aca="false">SUMIFS(Sheet3_Sati!$J:$J,Sheet3_Sati!$A:$A,A59)</f>
        <v>337.68</v>
      </c>
      <c r="E59" s="5" t="n">
        <f aca="false">IFERROR(D59/C59,0)</f>
        <v>28.14</v>
      </c>
      <c r="F59" s="0" t="n">
        <f aca="false">COUNTIF(Sheet3_Sati!$A:$A,A59)</f>
        <v>1</v>
      </c>
      <c r="G59" s="0" t="str">
        <f aca="false">IF(C59=0,"Nema unosa",IF(C59&lt;160,"Niska iskorištenost",IF(C59&lt;=220,"Optimalno","Preopterećenje")))</f>
        <v>Niska iskorištenost</v>
      </c>
    </row>
    <row r="60" customFormat="false" ht="15" hidden="false" customHeight="false" outlineLevel="0" collapsed="false">
      <c r="A60" s="0" t="s">
        <v>114</v>
      </c>
      <c r="B60" s="0" t="str">
        <f aca="false">INDEX(Master_Lista!$B$2:$B$151,MATCH(A60,Master_Lista!$A$2:$A$151,0))</f>
        <v>Vesna Simic</v>
      </c>
      <c r="C60" s="7" t="n">
        <f aca="false">SUMIFS(Sheet3_Sati!$D:$D,Sheet3_Sati!$A:$A,A60)</f>
        <v>0</v>
      </c>
      <c r="D60" s="5" t="n">
        <f aca="false">SUMIFS(Sheet3_Sati!$J:$J,Sheet3_Sati!$A:$A,A60)</f>
        <v>0</v>
      </c>
      <c r="E60" s="5" t="n">
        <f aca="false">IFERROR(D60/C60,0)</f>
        <v>0</v>
      </c>
      <c r="F60" s="0" t="n">
        <f aca="false">COUNTIF(Sheet3_Sati!$A:$A,A60)</f>
        <v>0</v>
      </c>
      <c r="G60" s="0" t="str">
        <f aca="false">IF(C60=0,"Nema unosa",IF(C60&lt;160,"Niska iskorištenost",IF(C60&lt;=220,"Optimalno","Preopterećenje")))</f>
        <v>Nema unosa</v>
      </c>
    </row>
    <row r="61" customFormat="false" ht="15" hidden="false" customHeight="false" outlineLevel="0" collapsed="false">
      <c r="A61" s="0" t="s">
        <v>116</v>
      </c>
      <c r="B61" s="0" t="str">
        <f aca="false">INDEX(Master_Lista!$B$2:$B$151,MATCH(A61,Master_Lista!$A$2:$A$151,0))</f>
        <v>Cedomir Jankovic</v>
      </c>
      <c r="C61" s="7" t="n">
        <f aca="false">SUMIFS(Sheet3_Sati!$D:$D,Sheet3_Sati!$A:$A,A61)</f>
        <v>0</v>
      </c>
      <c r="D61" s="5" t="n">
        <f aca="false">SUMIFS(Sheet3_Sati!$J:$J,Sheet3_Sati!$A:$A,A61)</f>
        <v>0</v>
      </c>
      <c r="E61" s="5" t="n">
        <f aca="false">IFERROR(D61/C61,0)</f>
        <v>0</v>
      </c>
      <c r="F61" s="0" t="n">
        <f aca="false">COUNTIF(Sheet3_Sati!$A:$A,A61)</f>
        <v>0</v>
      </c>
      <c r="G61" s="0" t="str">
        <f aca="false">IF(C61=0,"Nema unosa",IF(C61&lt;160,"Niska iskorištenost",IF(C61&lt;=220,"Optimalno","Preopterećenje")))</f>
        <v>Nema unosa</v>
      </c>
    </row>
    <row r="62" customFormat="false" ht="15" hidden="false" customHeight="false" outlineLevel="0" collapsed="false">
      <c r="A62" s="0" t="s">
        <v>118</v>
      </c>
      <c r="B62" s="0" t="str">
        <f aca="false">INDEX(Master_Lista!$B$2:$B$151,MATCH(A62,Master_Lista!$A$2:$A$151,0))</f>
        <v>Vesna Filipovic</v>
      </c>
      <c r="C62" s="7" t="n">
        <f aca="false">SUMIFS(Sheet3_Sati!$D:$D,Sheet3_Sati!$A:$A,A62)</f>
        <v>15</v>
      </c>
      <c r="D62" s="5" t="n">
        <f aca="false">SUMIFS(Sheet3_Sati!$J:$J,Sheet3_Sati!$A:$A,A62)</f>
        <v>180.9</v>
      </c>
      <c r="E62" s="5" t="n">
        <f aca="false">IFERROR(D62/C62,0)</f>
        <v>12.06</v>
      </c>
      <c r="F62" s="0" t="n">
        <f aca="false">COUNTIF(Sheet3_Sati!$A:$A,A62)</f>
        <v>2</v>
      </c>
      <c r="G62" s="0" t="str">
        <f aca="false">IF(C62=0,"Nema unosa",IF(C62&lt;160,"Niska iskorištenost",IF(C62&lt;=220,"Optimalno","Preopterećenje")))</f>
        <v>Niska iskorištenost</v>
      </c>
    </row>
    <row r="63" customFormat="false" ht="15" hidden="false" customHeight="false" outlineLevel="0" collapsed="false">
      <c r="A63" s="0" t="s">
        <v>120</v>
      </c>
      <c r="B63" s="0" t="str">
        <f aca="false">INDEX(Master_Lista!$B$2:$B$151,MATCH(A63,Master_Lista!$A$2:$A$151,0))</f>
        <v>Ana Pavlovic</v>
      </c>
      <c r="C63" s="7" t="n">
        <f aca="false">SUMIFS(Sheet3_Sati!$D:$D,Sheet3_Sati!$A:$A,A63)</f>
        <v>23.5</v>
      </c>
      <c r="D63" s="5" t="n">
        <f aca="false">SUMIFS(Sheet3_Sati!$J:$J,Sheet3_Sati!$A:$A,A63)</f>
        <v>330.645</v>
      </c>
      <c r="E63" s="5" t="n">
        <f aca="false">IFERROR(D63/C63,0)</f>
        <v>14.07</v>
      </c>
      <c r="F63" s="0" t="n">
        <f aca="false">COUNTIF(Sheet3_Sati!$A:$A,A63)</f>
        <v>3</v>
      </c>
      <c r="G63" s="0" t="str">
        <f aca="false">IF(C63=0,"Nema unosa",IF(C63&lt;160,"Niska iskorištenost",IF(C63&lt;=220,"Optimalno","Preopterećenje")))</f>
        <v>Niska iskorištenost</v>
      </c>
    </row>
    <row r="64" customFormat="false" ht="15" hidden="false" customHeight="false" outlineLevel="0" collapsed="false">
      <c r="A64" s="0" t="s">
        <v>122</v>
      </c>
      <c r="B64" s="0" t="str">
        <f aca="false">INDEX(Master_Lista!$B$2:$B$151,MATCH(A64,Master_Lista!$A$2:$A$151,0))</f>
        <v>Dragan Cvetkovic</v>
      </c>
      <c r="C64" s="7" t="n">
        <f aca="false">SUMIFS(Sheet3_Sati!$D:$D,Sheet3_Sati!$A:$A,A64)</f>
        <v>12</v>
      </c>
      <c r="D64" s="5" t="n">
        <f aca="false">SUMIFS(Sheet3_Sati!$J:$J,Sheet3_Sati!$A:$A,A64)</f>
        <v>241.2</v>
      </c>
      <c r="E64" s="5" t="n">
        <f aca="false">IFERROR(D64/C64,0)</f>
        <v>20.1</v>
      </c>
      <c r="F64" s="0" t="n">
        <f aca="false">COUNTIF(Sheet3_Sati!$A:$A,A64)</f>
        <v>1</v>
      </c>
      <c r="G64" s="0" t="str">
        <f aca="false">IF(C64=0,"Nema unosa",IF(C64&lt;160,"Niska iskorištenost",IF(C64&lt;=220,"Optimalno","Preopterećenje")))</f>
        <v>Niska iskorištenost</v>
      </c>
    </row>
    <row r="65" customFormat="false" ht="15" hidden="false" customHeight="false" outlineLevel="0" collapsed="false">
      <c r="A65" s="0" t="s">
        <v>124</v>
      </c>
      <c r="B65" s="0" t="str">
        <f aca="false">INDEX(Master_Lista!$B$2:$B$151,MATCH(A65,Master_Lista!$A$2:$A$151,0))</f>
        <v>Branko Cvetkovic</v>
      </c>
      <c r="C65" s="7" t="n">
        <f aca="false">SUMIFS(Sheet3_Sati!$D:$D,Sheet3_Sati!$A:$A,A65)</f>
        <v>32.5</v>
      </c>
      <c r="D65" s="5" t="n">
        <f aca="false">SUMIFS(Sheet3_Sati!$J:$J,Sheet3_Sati!$A:$A,A65)</f>
        <v>718.575</v>
      </c>
      <c r="E65" s="5" t="n">
        <f aca="false">IFERROR(D65/C65,0)</f>
        <v>22.11</v>
      </c>
      <c r="F65" s="0" t="n">
        <f aca="false">COUNTIF(Sheet3_Sati!$A:$A,A65)</f>
        <v>3</v>
      </c>
      <c r="G65" s="0" t="str">
        <f aca="false">IF(C65=0,"Nema unosa",IF(C65&lt;160,"Niska iskorištenost",IF(C65&lt;=220,"Optimalno","Preopterećenje")))</f>
        <v>Niska iskorištenost</v>
      </c>
    </row>
    <row r="66" customFormat="false" ht="15" hidden="false" customHeight="false" outlineLevel="0" collapsed="false">
      <c r="A66" s="0" t="s">
        <v>126</v>
      </c>
      <c r="B66" s="0" t="str">
        <f aca="false">INDEX(Master_Lista!$B$2:$B$151,MATCH(A66,Master_Lista!$A$2:$A$151,0))</f>
        <v>Nikola Cvetkovic</v>
      </c>
      <c r="C66" s="7" t="n">
        <f aca="false">SUMIFS(Sheet3_Sati!$D:$D,Sheet3_Sati!$A:$A,A66)</f>
        <v>10</v>
      </c>
      <c r="D66" s="5" t="n">
        <f aca="false">SUMIFS(Sheet3_Sati!$J:$J,Sheet3_Sati!$A:$A,A66)</f>
        <v>95.475</v>
      </c>
      <c r="E66" s="5" t="n">
        <f aca="false">IFERROR(D66/C66,0)</f>
        <v>9.5475</v>
      </c>
      <c r="F66" s="0" t="n">
        <f aca="false">COUNTIF(Sheet3_Sati!$A:$A,A66)</f>
        <v>1</v>
      </c>
      <c r="G66" s="0" t="str">
        <f aca="false">IF(C66=0,"Nema unosa",IF(C66&lt;160,"Niska iskorištenost",IF(C66&lt;=220,"Optimalno","Preopterećenje")))</f>
        <v>Niska iskorištenost</v>
      </c>
    </row>
    <row r="67" customFormat="false" ht="15" hidden="false" customHeight="false" outlineLevel="0" collapsed="false">
      <c r="A67" s="0" t="s">
        <v>128</v>
      </c>
      <c r="B67" s="0" t="str">
        <f aca="false">INDEX(Master_Lista!$B$2:$B$151,MATCH(A67,Master_Lista!$A$2:$A$151,0))</f>
        <v>Filip Zivkovic</v>
      </c>
      <c r="C67" s="7" t="n">
        <f aca="false">SUMIFS(Sheet3_Sati!$D:$D,Sheet3_Sati!$A:$A,A67)</f>
        <v>34</v>
      </c>
      <c r="D67" s="5" t="n">
        <f aca="false">SUMIFS(Sheet3_Sati!$J:$J,Sheet3_Sati!$A:$A,A67)</f>
        <v>273.36</v>
      </c>
      <c r="E67" s="5" t="n">
        <f aca="false">IFERROR(D67/C67,0)</f>
        <v>8.04</v>
      </c>
      <c r="F67" s="0" t="n">
        <f aca="false">COUNTIF(Sheet3_Sati!$A:$A,A67)</f>
        <v>3</v>
      </c>
      <c r="G67" s="0" t="str">
        <f aca="false">IF(C67=0,"Nema unosa",IF(C67&lt;160,"Niska iskorištenost",IF(C67&lt;=220,"Optimalno","Preopterećenje")))</f>
        <v>Niska iskorištenost</v>
      </c>
    </row>
    <row r="68" customFormat="false" ht="15" hidden="false" customHeight="false" outlineLevel="0" collapsed="false">
      <c r="A68" s="0" t="s">
        <v>130</v>
      </c>
      <c r="B68" s="0" t="str">
        <f aca="false">INDEX(Master_Lista!$B$2:$B$151,MATCH(A68,Master_Lista!$A$2:$A$151,0))</f>
        <v>Petar Pavlovic</v>
      </c>
      <c r="C68" s="7" t="n">
        <f aca="false">SUMIFS(Sheet3_Sati!$D:$D,Sheet3_Sati!$A:$A,A68)</f>
        <v>25.5</v>
      </c>
      <c r="D68" s="5" t="n">
        <f aca="false">SUMIFS(Sheet3_Sati!$J:$J,Sheet3_Sati!$A:$A,A68)</f>
        <v>192.20625</v>
      </c>
      <c r="E68" s="5" t="n">
        <f aca="false">IFERROR(D68/C68,0)</f>
        <v>7.5375</v>
      </c>
      <c r="F68" s="0" t="n">
        <f aca="false">COUNTIF(Sheet3_Sati!$A:$A,A68)</f>
        <v>3</v>
      </c>
      <c r="G68" s="0" t="str">
        <f aca="false">IF(C68=0,"Nema unosa",IF(C68&lt;160,"Niska iskorištenost",IF(C68&lt;=220,"Optimalno","Preopterećenje")))</f>
        <v>Niska iskorištenost</v>
      </c>
    </row>
    <row r="69" customFormat="false" ht="15" hidden="false" customHeight="false" outlineLevel="0" collapsed="false">
      <c r="A69" s="0" t="s">
        <v>132</v>
      </c>
      <c r="B69" s="0" t="str">
        <f aca="false">INDEX(Master_Lista!$B$2:$B$151,MATCH(A69,Master_Lista!$A$2:$A$151,0))</f>
        <v>Branko Kostic</v>
      </c>
      <c r="C69" s="7" t="n">
        <f aca="false">SUMIFS(Sheet3_Sati!$D:$D,Sheet3_Sati!$A:$A,A69)</f>
        <v>6</v>
      </c>
      <c r="D69" s="5" t="n">
        <f aca="false">SUMIFS(Sheet3_Sati!$J:$J,Sheet3_Sati!$A:$A,A69)</f>
        <v>63.315</v>
      </c>
      <c r="E69" s="5" t="n">
        <f aca="false">IFERROR(D69/C69,0)</f>
        <v>10.5525</v>
      </c>
      <c r="F69" s="0" t="n">
        <f aca="false">COUNTIF(Sheet3_Sati!$A:$A,A69)</f>
        <v>1</v>
      </c>
      <c r="G69" s="0" t="str">
        <f aca="false">IF(C69=0,"Nema unosa",IF(C69&lt;160,"Niska iskorištenost",IF(C69&lt;=220,"Optimalno","Preopterećenje")))</f>
        <v>Niska iskorištenost</v>
      </c>
    </row>
    <row r="70" customFormat="false" ht="15" hidden="false" customHeight="false" outlineLevel="0" collapsed="false">
      <c r="A70" s="0" t="s">
        <v>134</v>
      </c>
      <c r="B70" s="0" t="str">
        <f aca="false">INDEX(Master_Lista!$B$2:$B$151,MATCH(A70,Master_Lista!$A$2:$A$151,0))</f>
        <v>Jovan Lazic</v>
      </c>
      <c r="C70" s="7" t="n">
        <f aca="false">SUMIFS(Sheet3_Sati!$D:$D,Sheet3_Sati!$A:$A,A70)</f>
        <v>12</v>
      </c>
      <c r="D70" s="5" t="n">
        <f aca="false">SUMIFS(Sheet3_Sati!$J:$J,Sheet3_Sati!$A:$A,A70)</f>
        <v>301.5</v>
      </c>
      <c r="E70" s="5" t="n">
        <f aca="false">IFERROR(D70/C70,0)</f>
        <v>25.125</v>
      </c>
      <c r="F70" s="0" t="n">
        <f aca="false">COUNTIF(Sheet3_Sati!$A:$A,A70)</f>
        <v>1</v>
      </c>
      <c r="G70" s="0" t="str">
        <f aca="false">IF(C70=0,"Nema unosa",IF(C70&lt;160,"Niska iskorištenost",IF(C70&lt;=220,"Optimalno","Preopterećenje")))</f>
        <v>Niska iskorištenost</v>
      </c>
    </row>
    <row r="71" customFormat="false" ht="15" hidden="false" customHeight="false" outlineLevel="0" collapsed="false">
      <c r="A71" s="0" t="s">
        <v>136</v>
      </c>
      <c r="B71" s="0" t="str">
        <f aca="false">INDEX(Master_Lista!$B$2:$B$151,MATCH(A71,Master_Lista!$A$2:$A$151,0))</f>
        <v>Radoslav Tomic</v>
      </c>
      <c r="C71" s="7" t="n">
        <f aca="false">SUMIFS(Sheet3_Sati!$D:$D,Sheet3_Sati!$A:$A,A71)</f>
        <v>12</v>
      </c>
      <c r="D71" s="5" t="n">
        <f aca="false">SUMIFS(Sheet3_Sati!$J:$J,Sheet3_Sati!$A:$A,A71)</f>
        <v>180.9</v>
      </c>
      <c r="E71" s="5" t="n">
        <f aca="false">IFERROR(D71/C71,0)</f>
        <v>15.075</v>
      </c>
      <c r="F71" s="0" t="n">
        <f aca="false">COUNTIF(Sheet3_Sati!$A:$A,A71)</f>
        <v>1</v>
      </c>
      <c r="G71" s="0" t="str">
        <f aca="false">IF(C71=0,"Nema unosa",IF(C71&lt;160,"Niska iskorištenost",IF(C71&lt;=220,"Optimalno","Preopterećenje")))</f>
        <v>Niska iskorištenost</v>
      </c>
    </row>
    <row r="72" customFormat="false" ht="15" hidden="false" customHeight="false" outlineLevel="0" collapsed="false">
      <c r="A72" s="0" t="s">
        <v>138</v>
      </c>
      <c r="B72" s="0" t="str">
        <f aca="false">INDEX(Master_Lista!$B$2:$B$151,MATCH(A72,Master_Lista!$A$2:$A$151,0))</f>
        <v>Tomas Nikolic</v>
      </c>
      <c r="C72" s="7" t="n">
        <f aca="false">SUMIFS(Sheet3_Sati!$D:$D,Sheet3_Sati!$A:$A,A72)</f>
        <v>0</v>
      </c>
      <c r="D72" s="5" t="n">
        <f aca="false">SUMIFS(Sheet3_Sati!$J:$J,Sheet3_Sati!$A:$A,A72)</f>
        <v>0</v>
      </c>
      <c r="E72" s="5" t="n">
        <f aca="false">IFERROR(D72/C72,0)</f>
        <v>0</v>
      </c>
      <c r="F72" s="0" t="n">
        <f aca="false">COUNTIF(Sheet3_Sati!$A:$A,A72)</f>
        <v>0</v>
      </c>
      <c r="G72" s="0" t="str">
        <f aca="false">IF(C72=0,"Nema unosa",IF(C72&lt;160,"Niska iskorištenost",IF(C72&lt;=220,"Optimalno","Preopterećenje")))</f>
        <v>Nema unosa</v>
      </c>
    </row>
    <row r="73" customFormat="false" ht="15" hidden="false" customHeight="false" outlineLevel="0" collapsed="false">
      <c r="A73" s="0" t="s">
        <v>140</v>
      </c>
      <c r="B73" s="0" t="str">
        <f aca="false">INDEX(Master_Lista!$B$2:$B$151,MATCH(A73,Master_Lista!$A$2:$A$151,0))</f>
        <v>Ivan Cvetkovic</v>
      </c>
      <c r="C73" s="7" t="n">
        <f aca="false">SUMIFS(Sheet3_Sati!$D:$D,Sheet3_Sati!$A:$A,A73)</f>
        <v>0</v>
      </c>
      <c r="D73" s="5" t="n">
        <f aca="false">SUMIFS(Sheet3_Sati!$J:$J,Sheet3_Sati!$A:$A,A73)</f>
        <v>0</v>
      </c>
      <c r="E73" s="5" t="n">
        <f aca="false">IFERROR(D73/C73,0)</f>
        <v>0</v>
      </c>
      <c r="F73" s="0" t="n">
        <f aca="false">COUNTIF(Sheet3_Sati!$A:$A,A73)</f>
        <v>0</v>
      </c>
      <c r="G73" s="0" t="str">
        <f aca="false">IF(C73=0,"Nema unosa",IF(C73&lt;160,"Niska iskorištenost",IF(C73&lt;=220,"Optimalno","Preopterećenje")))</f>
        <v>Nema unosa</v>
      </c>
    </row>
    <row r="74" customFormat="false" ht="15" hidden="false" customHeight="false" outlineLevel="0" collapsed="false">
      <c r="A74" s="0" t="s">
        <v>142</v>
      </c>
      <c r="B74" s="0" t="str">
        <f aca="false">INDEX(Master_Lista!$B$2:$B$151,MATCH(A74,Master_Lista!$A$2:$A$151,0))</f>
        <v>Cedomir Markovic</v>
      </c>
      <c r="C74" s="7" t="n">
        <f aca="false">SUMIFS(Sheet3_Sati!$D:$D,Sheet3_Sati!$A:$A,A74)</f>
        <v>19.5</v>
      </c>
      <c r="D74" s="5" t="n">
        <f aca="false">SUMIFS(Sheet3_Sati!$J:$J,Sheet3_Sati!$A:$A,A74)</f>
        <v>166.57875</v>
      </c>
      <c r="E74" s="5" t="n">
        <f aca="false">IFERROR(D74/C74,0)</f>
        <v>8.5425</v>
      </c>
      <c r="F74" s="0" t="n">
        <f aca="false">COUNTIF(Sheet3_Sati!$A:$A,A74)</f>
        <v>2</v>
      </c>
      <c r="G74" s="0" t="str">
        <f aca="false">IF(C74=0,"Nema unosa",IF(C74&lt;160,"Niska iskorištenost",IF(C74&lt;=220,"Optimalno","Preopterećenje")))</f>
        <v>Niska iskorištenost</v>
      </c>
    </row>
    <row r="75" customFormat="false" ht="15" hidden="false" customHeight="false" outlineLevel="0" collapsed="false">
      <c r="A75" s="0" t="s">
        <v>143</v>
      </c>
      <c r="B75" s="0" t="str">
        <f aca="false">INDEX(Master_Lista!$B$2:$B$151,MATCH(A75,Master_Lista!$A$2:$A$151,0))</f>
        <v>Sanja Tomic</v>
      </c>
      <c r="C75" s="7" t="n">
        <f aca="false">SUMIFS(Sheet3_Sati!$D:$D,Sheet3_Sati!$A:$A,A75)</f>
        <v>7.5</v>
      </c>
      <c r="D75" s="5" t="n">
        <f aca="false">SUMIFS(Sheet3_Sati!$J:$J,Sheet3_Sati!$A:$A,A75)</f>
        <v>82.9125</v>
      </c>
      <c r="E75" s="5" t="n">
        <f aca="false">IFERROR(D75/C75,0)</f>
        <v>11.055</v>
      </c>
      <c r="F75" s="0" t="n">
        <f aca="false">COUNTIF(Sheet3_Sati!$A:$A,A75)</f>
        <v>1</v>
      </c>
      <c r="G75" s="0" t="str">
        <f aca="false">IF(C75=0,"Nema unosa",IF(C75&lt;160,"Niska iskorištenost",IF(C75&lt;=220,"Optimalno","Preopterećenje")))</f>
        <v>Niska iskorištenost</v>
      </c>
    </row>
    <row r="76" customFormat="false" ht="15" hidden="false" customHeight="false" outlineLevel="0" collapsed="false">
      <c r="A76" s="0" t="s">
        <v>145</v>
      </c>
      <c r="B76" s="0" t="str">
        <f aca="false">INDEX(Master_Lista!$B$2:$B$151,MATCH(A76,Master_Lista!$A$2:$A$151,0))</f>
        <v>Milan Nikolic</v>
      </c>
      <c r="C76" s="7" t="n">
        <f aca="false">SUMIFS(Sheet3_Sati!$D:$D,Sheet3_Sati!$A:$A,A76)</f>
        <v>22</v>
      </c>
      <c r="D76" s="5" t="n">
        <f aca="false">SUMIFS(Sheet3_Sati!$J:$J,Sheet3_Sati!$A:$A,A76)</f>
        <v>397.98</v>
      </c>
      <c r="E76" s="5" t="n">
        <f aca="false">IFERROR(D76/C76,0)</f>
        <v>18.09</v>
      </c>
      <c r="F76" s="0" t="n">
        <f aca="false">COUNTIF(Sheet3_Sati!$A:$A,A76)</f>
        <v>2</v>
      </c>
      <c r="G76" s="0" t="str">
        <f aca="false">IF(C76=0,"Nema unosa",IF(C76&lt;160,"Niska iskorištenost",IF(C76&lt;=220,"Optimalno","Preopterećenje")))</f>
        <v>Niska iskorištenost</v>
      </c>
    </row>
    <row r="77" customFormat="false" ht="15" hidden="false" customHeight="false" outlineLevel="0" collapsed="false">
      <c r="A77" s="0" t="s">
        <v>147</v>
      </c>
      <c r="B77" s="0" t="str">
        <f aca="false">INDEX(Master_Lista!$B$2:$B$151,MATCH(A77,Master_Lista!$A$2:$A$151,0))</f>
        <v>Aleksandar Radovic</v>
      </c>
      <c r="C77" s="7" t="n">
        <f aca="false">SUMIFS(Sheet3_Sati!$D:$D,Sheet3_Sati!$A:$A,A77)</f>
        <v>0</v>
      </c>
      <c r="D77" s="5" t="n">
        <f aca="false">SUMIFS(Sheet3_Sati!$J:$J,Sheet3_Sati!$A:$A,A77)</f>
        <v>0</v>
      </c>
      <c r="E77" s="5" t="n">
        <f aca="false">IFERROR(D77/C77,0)</f>
        <v>0</v>
      </c>
      <c r="F77" s="0" t="n">
        <f aca="false">COUNTIF(Sheet3_Sati!$A:$A,A77)</f>
        <v>0</v>
      </c>
      <c r="G77" s="0" t="str">
        <f aca="false">IF(C77=0,"Nema unosa",IF(C77&lt;160,"Niska iskorištenost",IF(C77&lt;=220,"Optimalno","Preopterećenje")))</f>
        <v>Nema unosa</v>
      </c>
    </row>
    <row r="78" customFormat="false" ht="15" hidden="false" customHeight="false" outlineLevel="0" collapsed="false">
      <c r="A78" s="0" t="s">
        <v>149</v>
      </c>
      <c r="B78" s="0" t="str">
        <f aca="false">INDEX(Master_Lista!$B$2:$B$151,MATCH(A78,Master_Lista!$A$2:$A$151,0))</f>
        <v>Ana Babic</v>
      </c>
      <c r="C78" s="7" t="n">
        <f aca="false">SUMIFS(Sheet3_Sati!$D:$D,Sheet3_Sati!$A:$A,A78)</f>
        <v>8</v>
      </c>
      <c r="D78" s="5" t="n">
        <f aca="false">SUMIFS(Sheet3_Sati!$J:$J,Sheet3_Sati!$A:$A,A78)</f>
        <v>72.36</v>
      </c>
      <c r="E78" s="5" t="n">
        <f aca="false">IFERROR(D78/C78,0)</f>
        <v>9.045</v>
      </c>
      <c r="F78" s="0" t="n">
        <f aca="false">COUNTIF(Sheet3_Sati!$A:$A,A78)</f>
        <v>1</v>
      </c>
      <c r="G78" s="0" t="str">
        <f aca="false">IF(C78=0,"Nema unosa",IF(C78&lt;160,"Niska iskorištenost",IF(C78&lt;=220,"Optimalno","Preopterećenje")))</f>
        <v>Niska iskorištenost</v>
      </c>
    </row>
    <row r="79" customFormat="false" ht="15" hidden="false" customHeight="false" outlineLevel="0" collapsed="false">
      <c r="A79" s="0" t="s">
        <v>151</v>
      </c>
      <c r="B79" s="0" t="str">
        <f aca="false">INDEX(Master_Lista!$B$2:$B$151,MATCH(A79,Master_Lista!$A$2:$A$151,0))</f>
        <v>Natasa Tomic</v>
      </c>
      <c r="C79" s="7" t="n">
        <f aca="false">SUMIFS(Sheet3_Sati!$D:$D,Sheet3_Sati!$A:$A,A79)</f>
        <v>8</v>
      </c>
      <c r="D79" s="5" t="n">
        <f aca="false">SUMIFS(Sheet3_Sati!$J:$J,Sheet3_Sati!$A:$A,A79)</f>
        <v>80.4</v>
      </c>
      <c r="E79" s="5" t="n">
        <f aca="false">IFERROR(D79/C79,0)</f>
        <v>10.05</v>
      </c>
      <c r="F79" s="0" t="n">
        <f aca="false">COUNTIF(Sheet3_Sati!$A:$A,A79)</f>
        <v>1</v>
      </c>
      <c r="G79" s="0" t="str">
        <f aca="false">IF(C79=0,"Nema unosa",IF(C79&lt;160,"Niska iskorištenost",IF(C79&lt;=220,"Optimalno","Preopterećenje")))</f>
        <v>Niska iskorištenost</v>
      </c>
    </row>
    <row r="80" customFormat="false" ht="15" hidden="false" customHeight="false" outlineLevel="0" collapsed="false">
      <c r="A80" s="0" t="s">
        <v>153</v>
      </c>
      <c r="B80" s="0" t="str">
        <f aca="false">INDEX(Master_Lista!$B$2:$B$151,MATCH(A80,Master_Lista!$A$2:$A$151,0))</f>
        <v>Dragan Djordjevic</v>
      </c>
      <c r="C80" s="7" t="n">
        <f aca="false">SUMIFS(Sheet3_Sati!$D:$D,Sheet3_Sati!$A:$A,A80)</f>
        <v>51</v>
      </c>
      <c r="D80" s="5" t="n">
        <f aca="false">SUMIFS(Sheet3_Sati!$J:$J,Sheet3_Sati!$A:$A,A80)</f>
        <v>615.06</v>
      </c>
      <c r="E80" s="5" t="n">
        <f aca="false">IFERROR(D80/C80,0)</f>
        <v>12.06</v>
      </c>
      <c r="F80" s="0" t="n">
        <f aca="false">COUNTIF(Sheet3_Sati!$A:$A,A80)</f>
        <v>6</v>
      </c>
      <c r="G80" s="0" t="str">
        <f aca="false">IF(C80=0,"Nema unosa",IF(C80&lt;160,"Niska iskorištenost",IF(C80&lt;=220,"Optimalno","Preopterećenje")))</f>
        <v>Niska iskorištenost</v>
      </c>
    </row>
    <row r="81" customFormat="false" ht="15" hidden="false" customHeight="false" outlineLevel="0" collapsed="false">
      <c r="A81" s="0" t="s">
        <v>155</v>
      </c>
      <c r="B81" s="0" t="str">
        <f aca="false">INDEX(Master_Lista!$B$2:$B$151,MATCH(A81,Master_Lista!$A$2:$A$151,0))</f>
        <v>Kosta Vasic</v>
      </c>
      <c r="C81" s="7" t="n">
        <f aca="false">SUMIFS(Sheet3_Sati!$D:$D,Sheet3_Sati!$A:$A,A81)</f>
        <v>0</v>
      </c>
      <c r="D81" s="5" t="n">
        <f aca="false">SUMIFS(Sheet3_Sati!$J:$J,Sheet3_Sati!$A:$A,A81)</f>
        <v>0</v>
      </c>
      <c r="E81" s="5" t="n">
        <f aca="false">IFERROR(D81/C81,0)</f>
        <v>0</v>
      </c>
      <c r="F81" s="0" t="n">
        <f aca="false">COUNTIF(Sheet3_Sati!$A:$A,A81)</f>
        <v>0</v>
      </c>
      <c r="G81" s="0" t="str">
        <f aca="false">IF(C81=0,"Nema unosa",IF(C81&lt;160,"Niska iskorištenost",IF(C81&lt;=220,"Optimalno","Preopterećenje")))</f>
        <v>Nema unosa</v>
      </c>
    </row>
    <row r="82" customFormat="false" ht="15" hidden="false" customHeight="false" outlineLevel="0" collapsed="false">
      <c r="A82" s="0" t="s">
        <v>157</v>
      </c>
      <c r="B82" s="0" t="str">
        <f aca="false">INDEX(Master_Lista!$B$2:$B$151,MATCH(A82,Master_Lista!$A$2:$A$151,0))</f>
        <v>Kosta Zivkovic</v>
      </c>
      <c r="C82" s="7" t="n">
        <f aca="false">SUMIFS(Sheet3_Sati!$D:$D,Sheet3_Sati!$A:$A,A82)</f>
        <v>13.5</v>
      </c>
      <c r="D82" s="5" t="n">
        <f aca="false">SUMIFS(Sheet3_Sati!$J:$J,Sheet3_Sati!$A:$A,A82)</f>
        <v>271.35</v>
      </c>
      <c r="E82" s="5" t="n">
        <f aca="false">IFERROR(D82/C82,0)</f>
        <v>20.1</v>
      </c>
      <c r="F82" s="0" t="n">
        <f aca="false">COUNTIF(Sheet3_Sati!$A:$A,A82)</f>
        <v>2</v>
      </c>
      <c r="G82" s="0" t="str">
        <f aca="false">IF(C82=0,"Nema unosa",IF(C82&lt;160,"Niska iskorištenost",IF(C82&lt;=220,"Optimalno","Preopterećenje")))</f>
        <v>Niska iskorištenost</v>
      </c>
    </row>
    <row r="83" customFormat="false" ht="15" hidden="false" customHeight="false" outlineLevel="0" collapsed="false">
      <c r="A83" s="0" t="s">
        <v>159</v>
      </c>
      <c r="B83" s="0" t="str">
        <f aca="false">INDEX(Master_Lista!$B$2:$B$151,MATCH(A83,Master_Lista!$A$2:$A$151,0))</f>
        <v>Stefan Zivkovic</v>
      </c>
      <c r="C83" s="7" t="n">
        <f aca="false">SUMIFS(Sheet3_Sati!$D:$D,Sheet3_Sati!$A:$A,A83)</f>
        <v>7.5</v>
      </c>
      <c r="D83" s="5" t="n">
        <f aca="false">SUMIFS(Sheet3_Sati!$J:$J,Sheet3_Sati!$A:$A,A83)</f>
        <v>165.825</v>
      </c>
      <c r="E83" s="5" t="n">
        <f aca="false">IFERROR(D83/C83,0)</f>
        <v>22.11</v>
      </c>
      <c r="F83" s="0" t="n">
        <f aca="false">COUNTIF(Sheet3_Sati!$A:$A,A83)</f>
        <v>1</v>
      </c>
      <c r="G83" s="0" t="str">
        <f aca="false">IF(C83=0,"Nema unosa",IF(C83&lt;160,"Niska iskorištenost",IF(C83&lt;=220,"Optimalno","Preopterećenje")))</f>
        <v>Niska iskorištenost</v>
      </c>
    </row>
    <row r="84" customFormat="false" ht="15" hidden="false" customHeight="false" outlineLevel="0" collapsed="false">
      <c r="A84" s="0" t="s">
        <v>161</v>
      </c>
      <c r="B84" s="0" t="str">
        <f aca="false">INDEX(Master_Lista!$B$2:$B$151,MATCH(A84,Master_Lista!$A$2:$A$151,0))</f>
        <v>Filip Babic</v>
      </c>
      <c r="C84" s="7" t="n">
        <f aca="false">SUMIFS(Sheet3_Sati!$D:$D,Sheet3_Sati!$A:$A,A84)</f>
        <v>0</v>
      </c>
      <c r="D84" s="5" t="n">
        <f aca="false">SUMIFS(Sheet3_Sati!$J:$J,Sheet3_Sati!$A:$A,A84)</f>
        <v>0</v>
      </c>
      <c r="E84" s="5" t="n">
        <f aca="false">IFERROR(D84/C84,0)</f>
        <v>0</v>
      </c>
      <c r="F84" s="0" t="n">
        <f aca="false">COUNTIF(Sheet3_Sati!$A:$A,A84)</f>
        <v>0</v>
      </c>
      <c r="G84" s="0" t="str">
        <f aca="false">IF(C84=0,"Nema unosa",IF(C84&lt;160,"Niska iskorištenost",IF(C84&lt;=220,"Optimalno","Preopterećenje")))</f>
        <v>Nema unosa</v>
      </c>
    </row>
    <row r="85" customFormat="false" ht="15" hidden="false" customHeight="false" outlineLevel="0" collapsed="false">
      <c r="A85" s="0" t="s">
        <v>163</v>
      </c>
      <c r="B85" s="0" t="str">
        <f aca="false">INDEX(Master_Lista!$B$2:$B$151,MATCH(A85,Master_Lista!$A$2:$A$151,0))</f>
        <v>Tomas Simic</v>
      </c>
      <c r="C85" s="7" t="n">
        <f aca="false">SUMIFS(Sheet3_Sati!$D:$D,Sheet3_Sati!$A:$A,A85)</f>
        <v>10</v>
      </c>
      <c r="D85" s="5" t="n">
        <f aca="false">SUMIFS(Sheet3_Sati!$J:$J,Sheet3_Sati!$A:$A,A85)</f>
        <v>80.4</v>
      </c>
      <c r="E85" s="5" t="n">
        <f aca="false">IFERROR(D85/C85,0)</f>
        <v>8.04</v>
      </c>
      <c r="F85" s="0" t="n">
        <f aca="false">COUNTIF(Sheet3_Sati!$A:$A,A85)</f>
        <v>1</v>
      </c>
      <c r="G85" s="0" t="str">
        <f aca="false">IF(C85=0,"Nema unosa",IF(C85&lt;160,"Niska iskorištenost",IF(C85&lt;=220,"Optimalno","Preopterećenje")))</f>
        <v>Niska iskorištenost</v>
      </c>
    </row>
    <row r="86" customFormat="false" ht="15" hidden="false" customHeight="false" outlineLevel="0" collapsed="false">
      <c r="A86" s="0" t="s">
        <v>165</v>
      </c>
      <c r="B86" s="0" t="str">
        <f aca="false">INDEX(Master_Lista!$B$2:$B$151,MATCH(A86,Master_Lista!$A$2:$A$151,0))</f>
        <v>Danica Obradovic</v>
      </c>
      <c r="C86" s="7" t="n">
        <f aca="false">SUMIFS(Sheet3_Sati!$D:$D,Sheet3_Sati!$A:$A,A86)</f>
        <v>0</v>
      </c>
      <c r="D86" s="5" t="n">
        <f aca="false">SUMIFS(Sheet3_Sati!$J:$J,Sheet3_Sati!$A:$A,A86)</f>
        <v>0</v>
      </c>
      <c r="E86" s="5" t="n">
        <f aca="false">IFERROR(D86/C86,0)</f>
        <v>0</v>
      </c>
      <c r="F86" s="0" t="n">
        <f aca="false">COUNTIF(Sheet3_Sati!$A:$A,A86)</f>
        <v>0</v>
      </c>
      <c r="G86" s="0" t="str">
        <f aca="false">IF(C86=0,"Nema unosa",IF(C86&lt;160,"Niska iskorištenost",IF(C86&lt;=220,"Optimalno","Preopterećenje")))</f>
        <v>Nema unosa</v>
      </c>
    </row>
    <row r="87" customFormat="false" ht="15" hidden="false" customHeight="false" outlineLevel="0" collapsed="false">
      <c r="A87" s="0" t="s">
        <v>167</v>
      </c>
      <c r="B87" s="0" t="str">
        <f aca="false">INDEX(Master_Lista!$B$2:$B$151,MATCH(A87,Master_Lista!$A$2:$A$151,0))</f>
        <v>Ana Lazic</v>
      </c>
      <c r="C87" s="7" t="n">
        <f aca="false">SUMIFS(Sheet3_Sati!$D:$D,Sheet3_Sati!$A:$A,A87)</f>
        <v>11</v>
      </c>
      <c r="D87" s="5" t="n">
        <f aca="false">SUMIFS(Sheet3_Sati!$J:$J,Sheet3_Sati!$A:$A,A87)</f>
        <v>116.0775</v>
      </c>
      <c r="E87" s="5" t="n">
        <f aca="false">IFERROR(D87/C87,0)</f>
        <v>10.5525</v>
      </c>
      <c r="F87" s="0" t="n">
        <f aca="false">COUNTIF(Sheet3_Sati!$A:$A,A87)</f>
        <v>1</v>
      </c>
      <c r="G87" s="0" t="str">
        <f aca="false">IF(C87=0,"Nema unosa",IF(C87&lt;160,"Niska iskorištenost",IF(C87&lt;=220,"Optimalno","Preopterećenje")))</f>
        <v>Niska iskorištenost</v>
      </c>
    </row>
    <row r="88" customFormat="false" ht="15" hidden="false" customHeight="false" outlineLevel="0" collapsed="false">
      <c r="A88" s="0" t="s">
        <v>169</v>
      </c>
      <c r="B88" s="0" t="str">
        <f aca="false">INDEX(Master_Lista!$B$2:$B$151,MATCH(A88,Master_Lista!$A$2:$A$151,0))</f>
        <v>Ognjen Cvetkovic</v>
      </c>
      <c r="C88" s="7" t="n">
        <f aca="false">SUMIFS(Sheet3_Sati!$D:$D,Sheet3_Sati!$A:$A,A88)</f>
        <v>29</v>
      </c>
      <c r="D88" s="5" t="n">
        <f aca="false">SUMIFS(Sheet3_Sati!$J:$J,Sheet3_Sati!$A:$A,A88)</f>
        <v>728.625</v>
      </c>
      <c r="E88" s="5" t="n">
        <f aca="false">IFERROR(D88/C88,0)</f>
        <v>25.125</v>
      </c>
      <c r="F88" s="0" t="n">
        <f aca="false">COUNTIF(Sheet3_Sati!$A:$A,A88)</f>
        <v>3</v>
      </c>
      <c r="G88" s="0" t="str">
        <f aca="false">IF(C88=0,"Nema unosa",IF(C88&lt;160,"Niska iskorištenost",IF(C88&lt;=220,"Optimalno","Preopterećenje")))</f>
        <v>Niska iskorištenost</v>
      </c>
    </row>
    <row r="89" customFormat="false" ht="15" hidden="false" customHeight="false" outlineLevel="0" collapsed="false">
      <c r="A89" s="0" t="s">
        <v>171</v>
      </c>
      <c r="B89" s="0" t="str">
        <f aca="false">INDEX(Master_Lista!$B$2:$B$151,MATCH(A89,Master_Lista!$A$2:$A$151,0))</f>
        <v>Katarina Tomic</v>
      </c>
      <c r="C89" s="7" t="n">
        <f aca="false">SUMIFS(Sheet3_Sati!$D:$D,Sheet3_Sati!$A:$A,A89)</f>
        <v>19</v>
      </c>
      <c r="D89" s="5" t="n">
        <f aca="false">SUMIFS(Sheet3_Sati!$J:$J,Sheet3_Sati!$A:$A,A89)</f>
        <v>286.425</v>
      </c>
      <c r="E89" s="5" t="n">
        <f aca="false">IFERROR(D89/C89,0)</f>
        <v>15.075</v>
      </c>
      <c r="F89" s="0" t="n">
        <f aca="false">COUNTIF(Sheet3_Sati!$A:$A,A89)</f>
        <v>2</v>
      </c>
      <c r="G89" s="0" t="str">
        <f aca="false">IF(C89=0,"Nema unosa",IF(C89&lt;160,"Niska iskorištenost",IF(C89&lt;=220,"Optimalno","Preopterećenje")))</f>
        <v>Niska iskorištenost</v>
      </c>
    </row>
    <row r="90" customFormat="false" ht="15" hidden="false" customHeight="false" outlineLevel="0" collapsed="false">
      <c r="A90" s="0" t="s">
        <v>173</v>
      </c>
      <c r="B90" s="0" t="str">
        <f aca="false">INDEX(Master_Lista!$B$2:$B$151,MATCH(A90,Master_Lista!$A$2:$A$151,0))</f>
        <v>Ivan Nikolic</v>
      </c>
      <c r="C90" s="7" t="n">
        <f aca="false">SUMIFS(Sheet3_Sati!$D:$D,Sheet3_Sati!$A:$A,A90)</f>
        <v>8</v>
      </c>
      <c r="D90" s="5" t="n">
        <f aca="false">SUMIFS(Sheet3_Sati!$J:$J,Sheet3_Sati!$A:$A,A90)</f>
        <v>100.5</v>
      </c>
      <c r="E90" s="5" t="n">
        <f aca="false">IFERROR(D90/C90,0)</f>
        <v>12.5625</v>
      </c>
      <c r="F90" s="0" t="n">
        <f aca="false">COUNTIF(Sheet3_Sati!$A:$A,A90)</f>
        <v>1</v>
      </c>
      <c r="G90" s="0" t="str">
        <f aca="false">IF(C90=0,"Nema unosa",IF(C90&lt;160,"Niska iskorištenost",IF(C90&lt;=220,"Optimalno","Preopterećenje")))</f>
        <v>Niska iskorištenost</v>
      </c>
    </row>
    <row r="91" customFormat="false" ht="15" hidden="false" customHeight="false" outlineLevel="0" collapsed="false">
      <c r="A91" s="0" t="s">
        <v>175</v>
      </c>
      <c r="B91" s="0" t="str">
        <f aca="false">INDEX(Master_Lista!$B$2:$B$151,MATCH(A91,Master_Lista!$A$2:$A$151,0))</f>
        <v>Elena Grujic</v>
      </c>
      <c r="C91" s="7" t="n">
        <f aca="false">SUMIFS(Sheet3_Sati!$D:$D,Sheet3_Sati!$A:$A,A91)</f>
        <v>0</v>
      </c>
      <c r="D91" s="5" t="n">
        <f aca="false">SUMIFS(Sheet3_Sati!$J:$J,Sheet3_Sati!$A:$A,A91)</f>
        <v>0</v>
      </c>
      <c r="E91" s="5" t="n">
        <f aca="false">IFERROR(D91/C91,0)</f>
        <v>0</v>
      </c>
      <c r="F91" s="0" t="n">
        <f aca="false">COUNTIF(Sheet3_Sati!$A:$A,A91)</f>
        <v>0</v>
      </c>
      <c r="G91" s="0" t="str">
        <f aca="false">IF(C91=0,"Nema unosa",IF(C91&lt;160,"Niska iskorištenost",IF(C91&lt;=220,"Optimalno","Preopterećenje")))</f>
        <v>Nema unosa</v>
      </c>
    </row>
    <row r="92" customFormat="false" ht="15" hidden="false" customHeight="false" outlineLevel="0" collapsed="false">
      <c r="A92" s="0" t="s">
        <v>177</v>
      </c>
      <c r="B92" s="0" t="str">
        <f aca="false">INDEX(Master_Lista!$B$2:$B$151,MATCH(A92,Master_Lista!$A$2:$A$151,0))</f>
        <v>Cedomir Markovic</v>
      </c>
      <c r="C92" s="7" t="n">
        <f aca="false">SUMIFS(Sheet3_Sati!$D:$D,Sheet3_Sati!$A:$A,A92)</f>
        <v>22</v>
      </c>
      <c r="D92" s="5" t="n">
        <f aca="false">SUMIFS(Sheet3_Sati!$J:$J,Sheet3_Sati!$A:$A,A92)</f>
        <v>187.935</v>
      </c>
      <c r="E92" s="5" t="n">
        <f aca="false">IFERROR(D92/C92,0)</f>
        <v>8.5425</v>
      </c>
      <c r="F92" s="0" t="n">
        <f aca="false">COUNTIF(Sheet3_Sati!$A:$A,A92)</f>
        <v>2</v>
      </c>
      <c r="G92" s="0" t="str">
        <f aca="false">IF(C92=0,"Nema unosa",IF(C92&lt;160,"Niska iskorištenost",IF(C92&lt;=220,"Optimalno","Preopterećenje")))</f>
        <v>Niska iskorištenost</v>
      </c>
    </row>
    <row r="93" customFormat="false" ht="15" hidden="false" customHeight="false" outlineLevel="0" collapsed="false">
      <c r="A93" s="0" t="s">
        <v>178</v>
      </c>
      <c r="B93" s="0" t="str">
        <f aca="false">INDEX(Master_Lista!$B$2:$B$151,MATCH(A93,Master_Lista!$A$2:$A$151,0))</f>
        <v>Filip Filipovic</v>
      </c>
      <c r="C93" s="7" t="n">
        <f aca="false">SUMIFS(Sheet3_Sati!$D:$D,Sheet3_Sati!$A:$A,A93)</f>
        <v>11</v>
      </c>
      <c r="D93" s="5" t="n">
        <f aca="false">SUMIFS(Sheet3_Sati!$J:$J,Sheet3_Sati!$A:$A,A93)</f>
        <v>121.605</v>
      </c>
      <c r="E93" s="5" t="n">
        <f aca="false">IFERROR(D93/C93,0)</f>
        <v>11.055</v>
      </c>
      <c r="F93" s="0" t="n">
        <f aca="false">COUNTIF(Sheet3_Sati!$A:$A,A93)</f>
        <v>1</v>
      </c>
      <c r="G93" s="0" t="str">
        <f aca="false">IF(C93=0,"Nema unosa",IF(C93&lt;160,"Niska iskorištenost",IF(C93&lt;=220,"Optimalno","Preopterećenje")))</f>
        <v>Niska iskorištenost</v>
      </c>
    </row>
    <row r="94" customFormat="false" ht="15" hidden="false" customHeight="false" outlineLevel="0" collapsed="false">
      <c r="A94" s="0" t="s">
        <v>180</v>
      </c>
      <c r="B94" s="0" t="str">
        <f aca="false">INDEX(Master_Lista!$B$2:$B$151,MATCH(A94,Master_Lista!$A$2:$A$151,0))</f>
        <v>Nikola Lazic</v>
      </c>
      <c r="C94" s="7" t="n">
        <f aca="false">SUMIFS(Sheet3_Sati!$D:$D,Sheet3_Sati!$A:$A,A94)</f>
        <v>0</v>
      </c>
      <c r="D94" s="5" t="n">
        <f aca="false">SUMIFS(Sheet3_Sati!$J:$J,Sheet3_Sati!$A:$A,A94)</f>
        <v>0</v>
      </c>
      <c r="E94" s="5" t="n">
        <f aca="false">IFERROR(D94/C94,0)</f>
        <v>0</v>
      </c>
      <c r="F94" s="0" t="n">
        <f aca="false">COUNTIF(Sheet3_Sati!$A:$A,A94)</f>
        <v>0</v>
      </c>
      <c r="G94" s="0" t="str">
        <f aca="false">IF(C94=0,"Nema unosa",IF(C94&lt;160,"Niska iskorištenost",IF(C94&lt;=220,"Optimalno","Preopterećenje")))</f>
        <v>Nema unosa</v>
      </c>
    </row>
    <row r="95" customFormat="false" ht="15" hidden="false" customHeight="false" outlineLevel="0" collapsed="false">
      <c r="A95" s="0" t="s">
        <v>182</v>
      </c>
      <c r="B95" s="0" t="str">
        <f aca="false">INDEX(Master_Lista!$B$2:$B$151,MATCH(A95,Master_Lista!$A$2:$A$151,0))</f>
        <v>Nikola Pavlovic</v>
      </c>
      <c r="C95" s="7" t="n">
        <f aca="false">SUMIFS(Sheet3_Sati!$D:$D,Sheet3_Sati!$A:$A,A95)</f>
        <v>28.5</v>
      </c>
      <c r="D95" s="5" t="n">
        <f aca="false">SUMIFS(Sheet3_Sati!$J:$J,Sheet3_Sati!$A:$A,A95)</f>
        <v>801.99</v>
      </c>
      <c r="E95" s="5" t="n">
        <f aca="false">IFERROR(D95/C95,0)</f>
        <v>28.14</v>
      </c>
      <c r="F95" s="0" t="n">
        <f aca="false">COUNTIF(Sheet3_Sati!$A:$A,A95)</f>
        <v>3</v>
      </c>
      <c r="G95" s="0" t="str">
        <f aca="false">IF(C95=0,"Nema unosa",IF(C95&lt;160,"Niska iskorištenost",IF(C95&lt;=220,"Optimalno","Preopterećenje")))</f>
        <v>Niska iskorištenost</v>
      </c>
    </row>
    <row r="96" customFormat="false" ht="15" hidden="false" customHeight="false" outlineLevel="0" collapsed="false">
      <c r="A96" s="0" t="s">
        <v>184</v>
      </c>
      <c r="B96" s="0" t="str">
        <f aca="false">INDEX(Master_Lista!$B$2:$B$151,MATCH(A96,Master_Lista!$A$2:$A$151,0))</f>
        <v>Tamara Babic</v>
      </c>
      <c r="C96" s="7" t="n">
        <f aca="false">SUMIFS(Sheet3_Sati!$D:$D,Sheet3_Sati!$A:$A,A96)</f>
        <v>8.5</v>
      </c>
      <c r="D96" s="5" t="n">
        <f aca="false">SUMIFS(Sheet3_Sati!$J:$J,Sheet3_Sati!$A:$A,A96)</f>
        <v>76.8825</v>
      </c>
      <c r="E96" s="5" t="n">
        <f aca="false">IFERROR(D96/C96,0)</f>
        <v>9.045</v>
      </c>
      <c r="F96" s="0" t="n">
        <f aca="false">COUNTIF(Sheet3_Sati!$A:$A,A96)</f>
        <v>1</v>
      </c>
      <c r="G96" s="0" t="str">
        <f aca="false">IF(C96=0,"Nema unosa",IF(C96&lt;160,"Niska iskorištenost",IF(C96&lt;=220,"Optimalno","Preopterećenje")))</f>
        <v>Niska iskorištenost</v>
      </c>
    </row>
    <row r="97" customFormat="false" ht="15" hidden="false" customHeight="false" outlineLevel="0" collapsed="false">
      <c r="A97" s="0" t="s">
        <v>186</v>
      </c>
      <c r="B97" s="0" t="str">
        <f aca="false">INDEX(Master_Lista!$B$2:$B$151,MATCH(A97,Master_Lista!$A$2:$A$151,0))</f>
        <v>Petar Markovic</v>
      </c>
      <c r="C97" s="7" t="n">
        <f aca="false">SUMIFS(Sheet3_Sati!$D:$D,Sheet3_Sati!$A:$A,A97)</f>
        <v>20</v>
      </c>
      <c r="D97" s="5" t="n">
        <f aca="false">SUMIFS(Sheet3_Sati!$J:$J,Sheet3_Sati!$A:$A,A97)</f>
        <v>201</v>
      </c>
      <c r="E97" s="5" t="n">
        <f aca="false">IFERROR(D97/C97,0)</f>
        <v>10.05</v>
      </c>
      <c r="F97" s="0" t="n">
        <f aca="false">COUNTIF(Sheet3_Sati!$A:$A,A97)</f>
        <v>2</v>
      </c>
      <c r="G97" s="0" t="str">
        <f aca="false">IF(C97=0,"Nema unosa",IF(C97&lt;160,"Niska iskorištenost",IF(C97&lt;=220,"Optimalno","Preopterećenje")))</f>
        <v>Niska iskorištenost</v>
      </c>
    </row>
    <row r="98" customFormat="false" ht="15" hidden="false" customHeight="false" outlineLevel="0" collapsed="false">
      <c r="A98" s="0" t="s">
        <v>188</v>
      </c>
      <c r="B98" s="0" t="str">
        <f aca="false">INDEX(Master_Lista!$B$2:$B$151,MATCH(A98,Master_Lista!$A$2:$A$151,0))</f>
        <v>Goran Pavlovic</v>
      </c>
      <c r="C98" s="7" t="n">
        <f aca="false">SUMIFS(Sheet3_Sati!$D:$D,Sheet3_Sati!$A:$A,A98)</f>
        <v>11</v>
      </c>
      <c r="D98" s="5" t="n">
        <f aca="false">SUMIFS(Sheet3_Sati!$J:$J,Sheet3_Sati!$A:$A,A98)</f>
        <v>132.66</v>
      </c>
      <c r="E98" s="5" t="n">
        <f aca="false">IFERROR(D98/C98,0)</f>
        <v>12.06</v>
      </c>
      <c r="F98" s="0" t="n">
        <f aca="false">COUNTIF(Sheet3_Sati!$A:$A,A98)</f>
        <v>1</v>
      </c>
      <c r="G98" s="0" t="str">
        <f aca="false">IF(C98=0,"Nema unosa",IF(C98&lt;160,"Niska iskorištenost",IF(C98&lt;=220,"Optimalno","Preopterećenje")))</f>
        <v>Niska iskorištenost</v>
      </c>
    </row>
    <row r="99" customFormat="false" ht="15" hidden="false" customHeight="false" outlineLevel="0" collapsed="false">
      <c r="A99" s="0" t="s">
        <v>190</v>
      </c>
      <c r="B99" s="0" t="str">
        <f aca="false">INDEX(Master_Lista!$B$2:$B$151,MATCH(A99,Master_Lista!$A$2:$A$151,0))</f>
        <v>Danica Cvetkovic</v>
      </c>
      <c r="C99" s="7" t="n">
        <f aca="false">SUMIFS(Sheet3_Sati!$D:$D,Sheet3_Sati!$A:$A,A99)</f>
        <v>24.5</v>
      </c>
      <c r="D99" s="5" t="n">
        <f aca="false">SUMIFS(Sheet3_Sati!$J:$J,Sheet3_Sati!$A:$A,A99)</f>
        <v>344.715</v>
      </c>
      <c r="E99" s="5" t="n">
        <f aca="false">IFERROR(D99/C99,0)</f>
        <v>14.07</v>
      </c>
      <c r="F99" s="0" t="n">
        <f aca="false">COUNTIF(Sheet3_Sati!$A:$A,A99)</f>
        <v>3</v>
      </c>
      <c r="G99" s="0" t="str">
        <f aca="false">IF(C99=0,"Nema unosa",IF(C99&lt;160,"Niska iskorištenost",IF(C99&lt;=220,"Optimalno","Preopterećenje")))</f>
        <v>Niska iskorištenost</v>
      </c>
    </row>
    <row r="100" customFormat="false" ht="15" hidden="false" customHeight="false" outlineLevel="0" collapsed="false">
      <c r="A100" s="0" t="s">
        <v>192</v>
      </c>
      <c r="B100" s="0" t="str">
        <f aca="false">INDEX(Master_Lista!$B$2:$B$151,MATCH(A100,Master_Lista!$A$2:$A$151,0))</f>
        <v>Petra Pavlovic</v>
      </c>
      <c r="C100" s="7" t="n">
        <f aca="false">SUMIFS(Sheet3_Sati!$D:$D,Sheet3_Sati!$A:$A,A100)</f>
        <v>0</v>
      </c>
      <c r="D100" s="5" t="n">
        <f aca="false">SUMIFS(Sheet3_Sati!$J:$J,Sheet3_Sati!$A:$A,A100)</f>
        <v>0</v>
      </c>
      <c r="E100" s="5" t="n">
        <f aca="false">IFERROR(D100/C100,0)</f>
        <v>0</v>
      </c>
      <c r="F100" s="0" t="n">
        <f aca="false">COUNTIF(Sheet3_Sati!$A:$A,A100)</f>
        <v>0</v>
      </c>
      <c r="G100" s="0" t="str">
        <f aca="false">IF(C100=0,"Nema unosa",IF(C100&lt;160,"Niska iskorištenost",IF(C100&lt;=220,"Optimalno","Preopterećenje")))</f>
        <v>Nema unosa</v>
      </c>
    </row>
    <row r="101" customFormat="false" ht="15" hidden="false" customHeight="false" outlineLevel="0" collapsed="false">
      <c r="A101" s="0" t="s">
        <v>194</v>
      </c>
      <c r="B101" s="0" t="str">
        <f aca="false">INDEX(Master_Lista!$B$2:$B$151,MATCH(A101,Master_Lista!$A$2:$A$151,0))</f>
        <v>Uros Tomic</v>
      </c>
      <c r="C101" s="7" t="n">
        <f aca="false">SUMIFS(Sheet3_Sati!$D:$D,Sheet3_Sati!$A:$A,A101)</f>
        <v>19.5</v>
      </c>
      <c r="D101" s="5" t="n">
        <f aca="false">SUMIFS(Sheet3_Sati!$J:$J,Sheet3_Sati!$A:$A,A101)</f>
        <v>431.145</v>
      </c>
      <c r="E101" s="5" t="n">
        <f aca="false">IFERROR(D101/C101,0)</f>
        <v>22.11</v>
      </c>
      <c r="F101" s="0" t="n">
        <f aca="false">COUNTIF(Sheet3_Sati!$A:$A,A101)</f>
        <v>2</v>
      </c>
      <c r="G101" s="0" t="str">
        <f aca="false">IF(C101=0,"Nema unosa",IF(C101&lt;160,"Niska iskorištenost",IF(C101&lt;=220,"Optimalno","Preopterećenje")))</f>
        <v>Niska iskorištenost</v>
      </c>
    </row>
    <row r="102" customFormat="false" ht="15" hidden="false" customHeight="false" outlineLevel="0" collapsed="false">
      <c r="A102" s="0" t="s">
        <v>195</v>
      </c>
      <c r="B102" s="0" t="str">
        <f aca="false">INDEX(Master_Lista!$B$2:$B$151,MATCH(A102,Master_Lista!$A$2:$A$151,0))</f>
        <v>Biljana Lazic</v>
      </c>
      <c r="C102" s="7" t="n">
        <f aca="false">SUMIFS(Sheet3_Sati!$D:$D,Sheet3_Sati!$A:$A,A102)</f>
        <v>10</v>
      </c>
      <c r="D102" s="5" t="n">
        <f aca="false">SUMIFS(Sheet3_Sati!$J:$J,Sheet3_Sati!$A:$A,A102)</f>
        <v>95.475</v>
      </c>
      <c r="E102" s="5" t="n">
        <f aca="false">IFERROR(D102/C102,0)</f>
        <v>9.5475</v>
      </c>
      <c r="F102" s="0" t="n">
        <f aca="false">COUNTIF(Sheet3_Sati!$A:$A,A102)</f>
        <v>1</v>
      </c>
      <c r="G102" s="0" t="str">
        <f aca="false">IF(C102=0,"Nema unosa",IF(C102&lt;160,"Niska iskorištenost",IF(C102&lt;=220,"Optimalno","Preopterećenje")))</f>
        <v>Niska iskorištenost</v>
      </c>
    </row>
    <row r="103" customFormat="false" ht="15" hidden="false" customHeight="false" outlineLevel="0" collapsed="false">
      <c r="A103" s="0" t="s">
        <v>197</v>
      </c>
      <c r="B103" s="0" t="str">
        <f aca="false">INDEX(Master_Lista!$B$2:$B$151,MATCH(A103,Master_Lista!$A$2:$A$151,0))</f>
        <v>Kosta Cvetkovic</v>
      </c>
      <c r="C103" s="7" t="n">
        <f aca="false">SUMIFS(Sheet3_Sati!$D:$D,Sheet3_Sati!$A:$A,A103)</f>
        <v>0</v>
      </c>
      <c r="D103" s="5" t="n">
        <f aca="false">SUMIFS(Sheet3_Sati!$J:$J,Sheet3_Sati!$A:$A,A103)</f>
        <v>0</v>
      </c>
      <c r="E103" s="5" t="n">
        <f aca="false">IFERROR(D103/C103,0)</f>
        <v>0</v>
      </c>
      <c r="F103" s="0" t="n">
        <f aca="false">COUNTIF(Sheet3_Sati!$A:$A,A103)</f>
        <v>0</v>
      </c>
      <c r="G103" s="0" t="str">
        <f aca="false">IF(C103=0,"Nema unosa",IF(C103&lt;160,"Niska iskorištenost",IF(C103&lt;=220,"Optimalno","Preopterećenje")))</f>
        <v>Nema unosa</v>
      </c>
    </row>
    <row r="104" customFormat="false" ht="15" hidden="false" customHeight="false" outlineLevel="0" collapsed="false">
      <c r="A104" s="0" t="s">
        <v>199</v>
      </c>
      <c r="B104" s="0" t="str">
        <f aca="false">INDEX(Master_Lista!$B$2:$B$151,MATCH(A104,Master_Lista!$A$2:$A$151,0))</f>
        <v>Radmila Radovic</v>
      </c>
      <c r="C104" s="7" t="n">
        <f aca="false">SUMIFS(Sheet3_Sati!$D:$D,Sheet3_Sati!$A:$A,A104)</f>
        <v>0</v>
      </c>
      <c r="D104" s="5" t="n">
        <f aca="false">SUMIFS(Sheet3_Sati!$J:$J,Sheet3_Sati!$A:$A,A104)</f>
        <v>0</v>
      </c>
      <c r="E104" s="5" t="n">
        <f aca="false">IFERROR(D104/C104,0)</f>
        <v>0</v>
      </c>
      <c r="F104" s="0" t="n">
        <f aca="false">COUNTIF(Sheet3_Sati!$A:$A,A104)</f>
        <v>0</v>
      </c>
      <c r="G104" s="0" t="str">
        <f aca="false">IF(C104=0,"Nema unosa",IF(C104&lt;160,"Niska iskorištenost",IF(C104&lt;=220,"Optimalno","Preopterećenje")))</f>
        <v>Nema unosa</v>
      </c>
    </row>
    <row r="105" customFormat="false" ht="15" hidden="false" customHeight="false" outlineLevel="0" collapsed="false">
      <c r="A105" s="0" t="s">
        <v>201</v>
      </c>
      <c r="B105" s="0" t="str">
        <f aca="false">INDEX(Master_Lista!$B$2:$B$151,MATCH(A105,Master_Lista!$A$2:$A$151,0))</f>
        <v>Sanja Djordjevic</v>
      </c>
      <c r="C105" s="7" t="n">
        <f aca="false">SUMIFS(Sheet3_Sati!$D:$D,Sheet3_Sati!$A:$A,A105)</f>
        <v>6</v>
      </c>
      <c r="D105" s="5" t="n">
        <f aca="false">SUMIFS(Sheet3_Sati!$J:$J,Sheet3_Sati!$A:$A,A105)</f>
        <v>63.315</v>
      </c>
      <c r="E105" s="5" t="n">
        <f aca="false">IFERROR(D105/C105,0)</f>
        <v>10.5525</v>
      </c>
      <c r="F105" s="0" t="n">
        <f aca="false">COUNTIF(Sheet3_Sati!$A:$A,A105)</f>
        <v>1</v>
      </c>
      <c r="G105" s="0" t="str">
        <f aca="false">IF(C105=0,"Nema unosa",IF(C105&lt;160,"Niska iskorištenost",IF(C105&lt;=220,"Optimalno","Preopterećenje")))</f>
        <v>Niska iskorištenost</v>
      </c>
    </row>
    <row r="106" customFormat="false" ht="15" hidden="false" customHeight="false" outlineLevel="0" collapsed="false">
      <c r="A106" s="0" t="s">
        <v>203</v>
      </c>
      <c r="B106" s="0" t="str">
        <f aca="false">INDEX(Master_Lista!$B$2:$B$151,MATCH(A106,Master_Lista!$A$2:$A$151,0))</f>
        <v>Aleksandar Babic</v>
      </c>
      <c r="C106" s="7" t="n">
        <f aca="false">SUMIFS(Sheet3_Sati!$D:$D,Sheet3_Sati!$A:$A,A106)</f>
        <v>0</v>
      </c>
      <c r="D106" s="5" t="n">
        <f aca="false">SUMIFS(Sheet3_Sati!$J:$J,Sheet3_Sati!$A:$A,A106)</f>
        <v>0</v>
      </c>
      <c r="E106" s="5" t="n">
        <f aca="false">IFERROR(D106/C106,0)</f>
        <v>0</v>
      </c>
      <c r="F106" s="0" t="n">
        <f aca="false">COUNTIF(Sheet3_Sati!$A:$A,A106)</f>
        <v>0</v>
      </c>
      <c r="G106" s="0" t="str">
        <f aca="false">IF(C106=0,"Nema unosa",IF(C106&lt;160,"Niska iskorištenost",IF(C106&lt;=220,"Optimalno","Preopterećenje")))</f>
        <v>Nema unosa</v>
      </c>
    </row>
    <row r="107" customFormat="false" ht="15" hidden="false" customHeight="false" outlineLevel="0" collapsed="false">
      <c r="A107" s="0" t="s">
        <v>205</v>
      </c>
      <c r="B107" s="0" t="str">
        <f aca="false">INDEX(Master_Lista!$B$2:$B$151,MATCH(A107,Master_Lista!$A$2:$A$151,0))</f>
        <v>Ivana Jankovic</v>
      </c>
      <c r="C107" s="7" t="n">
        <f aca="false">SUMIFS(Sheet3_Sati!$D:$D,Sheet3_Sati!$A:$A,A107)</f>
        <v>37.5</v>
      </c>
      <c r="D107" s="5" t="n">
        <f aca="false">SUMIFS(Sheet3_Sati!$J:$J,Sheet3_Sati!$A:$A,A107)</f>
        <v>565.3125</v>
      </c>
      <c r="E107" s="5" t="n">
        <f aca="false">IFERROR(D107/C107,0)</f>
        <v>15.075</v>
      </c>
      <c r="F107" s="0" t="n">
        <f aca="false">COUNTIF(Sheet3_Sati!$A:$A,A107)</f>
        <v>4</v>
      </c>
      <c r="G107" s="0" t="str">
        <f aca="false">IF(C107=0,"Nema unosa",IF(C107&lt;160,"Niska iskorištenost",IF(C107&lt;=220,"Optimalno","Preopterećenje")))</f>
        <v>Niska iskorištenost</v>
      </c>
    </row>
    <row r="108" customFormat="false" ht="15" hidden="false" customHeight="false" outlineLevel="0" collapsed="false">
      <c r="A108" s="0" t="s">
        <v>207</v>
      </c>
      <c r="B108" s="0" t="str">
        <f aca="false">INDEX(Master_Lista!$B$2:$B$151,MATCH(A108,Master_Lista!$A$2:$A$151,0))</f>
        <v>Jelena Urosevic</v>
      </c>
      <c r="C108" s="7" t="n">
        <f aca="false">SUMIFS(Sheet3_Sati!$D:$D,Sheet3_Sati!$A:$A,A108)</f>
        <v>7.5</v>
      </c>
      <c r="D108" s="5" t="n">
        <f aca="false">SUMIFS(Sheet3_Sati!$J:$J,Sheet3_Sati!$A:$A,A108)</f>
        <v>94.21875</v>
      </c>
      <c r="E108" s="5" t="n">
        <f aca="false">IFERROR(D108/C108,0)</f>
        <v>12.5625</v>
      </c>
      <c r="F108" s="0" t="n">
        <f aca="false">COUNTIF(Sheet3_Sati!$A:$A,A108)</f>
        <v>1</v>
      </c>
      <c r="G108" s="0" t="str">
        <f aca="false">IF(C108=0,"Nema unosa",IF(C108&lt;160,"Niska iskorištenost",IF(C108&lt;=220,"Optimalno","Preopterećenje")))</f>
        <v>Niska iskorištenost</v>
      </c>
    </row>
    <row r="109" customFormat="false" ht="15" hidden="false" customHeight="false" outlineLevel="0" collapsed="false">
      <c r="A109" s="0" t="s">
        <v>208</v>
      </c>
      <c r="B109" s="0" t="str">
        <f aca="false">INDEX(Master_Lista!$B$2:$B$151,MATCH(A109,Master_Lista!$A$2:$A$151,0))</f>
        <v>Jovan Radovic</v>
      </c>
      <c r="C109" s="7" t="n">
        <f aca="false">SUMIFS(Sheet3_Sati!$D:$D,Sheet3_Sati!$A:$A,A109)</f>
        <v>0</v>
      </c>
      <c r="D109" s="5" t="n">
        <f aca="false">SUMIFS(Sheet3_Sati!$J:$J,Sheet3_Sati!$A:$A,A109)</f>
        <v>0</v>
      </c>
      <c r="E109" s="5" t="n">
        <f aca="false">IFERROR(D109/C109,0)</f>
        <v>0</v>
      </c>
      <c r="F109" s="0" t="n">
        <f aca="false">COUNTIF(Sheet3_Sati!$A:$A,A109)</f>
        <v>0</v>
      </c>
      <c r="G109" s="0" t="str">
        <f aca="false">IF(C109=0,"Nema unosa",IF(C109&lt;160,"Niska iskorištenost",IF(C109&lt;=220,"Optimalno","Preopterećenje")))</f>
        <v>Nema unosa</v>
      </c>
    </row>
    <row r="110" customFormat="false" ht="15" hidden="false" customHeight="false" outlineLevel="0" collapsed="false">
      <c r="A110" s="0" t="s">
        <v>210</v>
      </c>
      <c r="B110" s="0" t="str">
        <f aca="false">INDEX(Master_Lista!$B$2:$B$151,MATCH(A110,Master_Lista!$A$2:$A$151,0))</f>
        <v>Goran Nikolic</v>
      </c>
      <c r="C110" s="7" t="n">
        <f aca="false">SUMIFS(Sheet3_Sati!$D:$D,Sheet3_Sati!$A:$A,A110)</f>
        <v>0</v>
      </c>
      <c r="D110" s="5" t="n">
        <f aca="false">SUMIFS(Sheet3_Sati!$J:$J,Sheet3_Sati!$A:$A,A110)</f>
        <v>0</v>
      </c>
      <c r="E110" s="5" t="n">
        <f aca="false">IFERROR(D110/C110,0)</f>
        <v>0</v>
      </c>
      <c r="F110" s="0" t="n">
        <f aca="false">COUNTIF(Sheet3_Sati!$A:$A,A110)</f>
        <v>0</v>
      </c>
      <c r="G110" s="0" t="str">
        <f aca="false">IF(C110=0,"Nema unosa",IF(C110&lt;160,"Niska iskorištenost",IF(C110&lt;=220,"Optimalno","Preopterećenje")))</f>
        <v>Nema unosa</v>
      </c>
    </row>
    <row r="111" customFormat="false" ht="15" hidden="false" customHeight="false" outlineLevel="0" collapsed="false">
      <c r="A111" s="0" t="s">
        <v>212</v>
      </c>
      <c r="B111" s="0" t="str">
        <f aca="false">INDEX(Master_Lista!$B$2:$B$151,MATCH(A111,Master_Lista!$A$2:$A$151,0))</f>
        <v>Cedomir Urosevic</v>
      </c>
      <c r="C111" s="7" t="n">
        <f aca="false">SUMIFS(Sheet3_Sati!$D:$D,Sheet3_Sati!$A:$A,A111)</f>
        <v>0</v>
      </c>
      <c r="D111" s="5" t="n">
        <f aca="false">SUMIFS(Sheet3_Sati!$J:$J,Sheet3_Sati!$A:$A,A111)</f>
        <v>0</v>
      </c>
      <c r="E111" s="5" t="n">
        <f aca="false">IFERROR(D111/C111,0)</f>
        <v>0</v>
      </c>
      <c r="F111" s="0" t="n">
        <f aca="false">COUNTIF(Sheet3_Sati!$A:$A,A111)</f>
        <v>0</v>
      </c>
      <c r="G111" s="0" t="str">
        <f aca="false">IF(C111=0,"Nema unosa",IF(C111&lt;160,"Niska iskorištenost",IF(C111&lt;=220,"Optimalno","Preopterećenje")))</f>
        <v>Nema unosa</v>
      </c>
    </row>
    <row r="112" customFormat="false" ht="15" hidden="false" customHeight="false" outlineLevel="0" collapsed="false">
      <c r="A112" s="0" t="s">
        <v>214</v>
      </c>
      <c r="B112" s="0" t="str">
        <f aca="false">INDEX(Master_Lista!$B$2:$B$151,MATCH(A112,Master_Lista!$A$2:$A$151,0))</f>
        <v>Ivan Grujic</v>
      </c>
      <c r="C112" s="7" t="n">
        <f aca="false">SUMIFS(Sheet3_Sati!$D:$D,Sheet3_Sati!$A:$A,A112)</f>
        <v>0</v>
      </c>
      <c r="D112" s="5" t="n">
        <f aca="false">SUMIFS(Sheet3_Sati!$J:$J,Sheet3_Sati!$A:$A,A112)</f>
        <v>0</v>
      </c>
      <c r="E112" s="5" t="n">
        <f aca="false">IFERROR(D112/C112,0)</f>
        <v>0</v>
      </c>
      <c r="F112" s="0" t="n">
        <f aca="false">COUNTIF(Sheet3_Sati!$A:$A,A112)</f>
        <v>0</v>
      </c>
      <c r="G112" s="0" t="str">
        <f aca="false">IF(C112=0,"Nema unosa",IF(C112&lt;160,"Niska iskorištenost",IF(C112&lt;=220,"Optimalno","Preopterećenje")))</f>
        <v>Nema unosa</v>
      </c>
    </row>
    <row r="113" customFormat="false" ht="15" hidden="false" customHeight="false" outlineLevel="0" collapsed="false">
      <c r="A113" s="0" t="s">
        <v>216</v>
      </c>
      <c r="B113" s="0" t="str">
        <f aca="false">INDEX(Master_Lista!$B$2:$B$151,MATCH(A113,Master_Lista!$A$2:$A$151,0))</f>
        <v>Cedomir Obradovic</v>
      </c>
      <c r="C113" s="7" t="n">
        <f aca="false">SUMIFS(Sheet3_Sati!$D:$D,Sheet3_Sati!$A:$A,A113)</f>
        <v>8</v>
      </c>
      <c r="D113" s="5" t="n">
        <f aca="false">SUMIFS(Sheet3_Sati!$J:$J,Sheet3_Sati!$A:$A,A113)</f>
        <v>225.12</v>
      </c>
      <c r="E113" s="5" t="n">
        <f aca="false">IFERROR(D113/C113,0)</f>
        <v>28.14</v>
      </c>
      <c r="F113" s="0" t="n">
        <f aca="false">COUNTIF(Sheet3_Sati!$A:$A,A113)</f>
        <v>1</v>
      </c>
      <c r="G113" s="0" t="str">
        <f aca="false">IF(C113=0,"Nema unosa",IF(C113&lt;160,"Niska iskorištenost",IF(C113&lt;=220,"Optimalno","Preopterećenje")))</f>
        <v>Niska iskorištenost</v>
      </c>
    </row>
    <row r="114" customFormat="false" ht="15" hidden="false" customHeight="false" outlineLevel="0" collapsed="false">
      <c r="A114" s="0" t="s">
        <v>218</v>
      </c>
      <c r="B114" s="0" t="str">
        <f aca="false">INDEX(Master_Lista!$B$2:$B$151,MATCH(A114,Master_Lista!$A$2:$A$151,0))</f>
        <v>Zoran Markovic</v>
      </c>
      <c r="C114" s="7" t="n">
        <f aca="false">SUMIFS(Sheet3_Sati!$D:$D,Sheet3_Sati!$A:$A,A114)</f>
        <v>10</v>
      </c>
      <c r="D114" s="5" t="n">
        <f aca="false">SUMIFS(Sheet3_Sati!$J:$J,Sheet3_Sati!$A:$A,A114)</f>
        <v>90.45</v>
      </c>
      <c r="E114" s="5" t="n">
        <f aca="false">IFERROR(D114/C114,0)</f>
        <v>9.045</v>
      </c>
      <c r="F114" s="0" t="n">
        <f aca="false">COUNTIF(Sheet3_Sati!$A:$A,A114)</f>
        <v>1</v>
      </c>
      <c r="G114" s="0" t="str">
        <f aca="false">IF(C114=0,"Nema unosa",IF(C114&lt;160,"Niska iskorištenost",IF(C114&lt;=220,"Optimalno","Preopterećenje")))</f>
        <v>Niska iskorištenost</v>
      </c>
    </row>
    <row r="115" customFormat="false" ht="15" hidden="false" customHeight="false" outlineLevel="0" collapsed="false">
      <c r="A115" s="0" t="s">
        <v>220</v>
      </c>
      <c r="B115" s="0" t="str">
        <f aca="false">INDEX(Master_Lista!$B$2:$B$151,MATCH(A115,Master_Lista!$A$2:$A$151,0))</f>
        <v>Petar Tomic</v>
      </c>
      <c r="C115" s="7" t="n">
        <f aca="false">SUMIFS(Sheet3_Sati!$D:$D,Sheet3_Sati!$A:$A,A115)</f>
        <v>8.5</v>
      </c>
      <c r="D115" s="5" t="n">
        <f aca="false">SUMIFS(Sheet3_Sati!$J:$J,Sheet3_Sati!$A:$A,A115)</f>
        <v>85.425</v>
      </c>
      <c r="E115" s="5" t="n">
        <f aca="false">IFERROR(D115/C115,0)</f>
        <v>10.05</v>
      </c>
      <c r="F115" s="0" t="n">
        <f aca="false">COUNTIF(Sheet3_Sati!$A:$A,A115)</f>
        <v>1</v>
      </c>
      <c r="G115" s="0" t="str">
        <f aca="false">IF(C115=0,"Nema unosa",IF(C115&lt;160,"Niska iskorištenost",IF(C115&lt;=220,"Optimalno","Preopterećenje")))</f>
        <v>Niska iskorištenost</v>
      </c>
    </row>
    <row r="116" customFormat="false" ht="15" hidden="false" customHeight="false" outlineLevel="0" collapsed="false">
      <c r="A116" s="0" t="s">
        <v>222</v>
      </c>
      <c r="B116" s="0" t="str">
        <f aca="false">INDEX(Master_Lista!$B$2:$B$151,MATCH(A116,Master_Lista!$A$2:$A$151,0))</f>
        <v>Vuk Grujic</v>
      </c>
      <c r="C116" s="7" t="n">
        <f aca="false">SUMIFS(Sheet3_Sati!$D:$D,Sheet3_Sati!$A:$A,A116)</f>
        <v>8.5</v>
      </c>
      <c r="D116" s="5" t="n">
        <f aca="false">SUMIFS(Sheet3_Sati!$J:$J,Sheet3_Sati!$A:$A,A116)</f>
        <v>102.51</v>
      </c>
      <c r="E116" s="5" t="n">
        <f aca="false">IFERROR(D116/C116,0)</f>
        <v>12.06</v>
      </c>
      <c r="F116" s="0" t="n">
        <f aca="false">COUNTIF(Sheet3_Sati!$A:$A,A116)</f>
        <v>1</v>
      </c>
      <c r="G116" s="0" t="str">
        <f aca="false">IF(C116=0,"Nema unosa",IF(C116&lt;160,"Niska iskorištenost",IF(C116&lt;=220,"Optimalno","Preopterećenje")))</f>
        <v>Niska iskorištenost</v>
      </c>
    </row>
    <row r="117" customFormat="false" ht="15" hidden="false" customHeight="false" outlineLevel="0" collapsed="false">
      <c r="A117" s="0" t="s">
        <v>224</v>
      </c>
      <c r="B117" s="0" t="str">
        <f aca="false">INDEX(Master_Lista!$B$2:$B$151,MATCH(A117,Master_Lista!$A$2:$A$151,0))</f>
        <v>Ana Urosevic</v>
      </c>
      <c r="C117" s="7" t="n">
        <f aca="false">SUMIFS(Sheet3_Sati!$D:$D,Sheet3_Sati!$A:$A,A117)</f>
        <v>17.5</v>
      </c>
      <c r="D117" s="5" t="n">
        <f aca="false">SUMIFS(Sheet3_Sati!$J:$J,Sheet3_Sati!$A:$A,A117)</f>
        <v>246.225</v>
      </c>
      <c r="E117" s="5" t="n">
        <f aca="false">IFERROR(D117/C117,0)</f>
        <v>14.07</v>
      </c>
      <c r="F117" s="0" t="n">
        <f aca="false">COUNTIF(Sheet3_Sati!$A:$A,A117)</f>
        <v>2</v>
      </c>
      <c r="G117" s="0" t="str">
        <f aca="false">IF(C117=0,"Nema unosa",IF(C117&lt;160,"Niska iskorištenost",IF(C117&lt;=220,"Optimalno","Preopterećenje")))</f>
        <v>Niska iskorištenost</v>
      </c>
    </row>
    <row r="118" customFormat="false" ht="15" hidden="false" customHeight="false" outlineLevel="0" collapsed="false">
      <c r="A118" s="0" t="s">
        <v>226</v>
      </c>
      <c r="B118" s="0" t="str">
        <f aca="false">INDEX(Master_Lista!$B$2:$B$151,MATCH(A118,Master_Lista!$A$2:$A$151,0))</f>
        <v>Radoslav Zivkovic</v>
      </c>
      <c r="C118" s="7" t="n">
        <f aca="false">SUMIFS(Sheet3_Sati!$D:$D,Sheet3_Sati!$A:$A,A118)</f>
        <v>46</v>
      </c>
      <c r="D118" s="5" t="n">
        <f aca="false">SUMIFS(Sheet3_Sati!$J:$J,Sheet3_Sati!$A:$A,A118)</f>
        <v>924.6</v>
      </c>
      <c r="E118" s="5" t="n">
        <f aca="false">IFERROR(D118/C118,0)</f>
        <v>20.1</v>
      </c>
      <c r="F118" s="0" t="n">
        <f aca="false">COUNTIF(Sheet3_Sati!$A:$A,A118)</f>
        <v>5</v>
      </c>
      <c r="G118" s="0" t="str">
        <f aca="false">IF(C118=0,"Nema unosa",IF(C118&lt;160,"Niska iskorištenost",IF(C118&lt;=220,"Optimalno","Preopterećenje")))</f>
        <v>Niska iskorištenost</v>
      </c>
    </row>
    <row r="119" customFormat="false" ht="15" hidden="false" customHeight="false" outlineLevel="0" collapsed="false">
      <c r="A119" s="0" t="s">
        <v>228</v>
      </c>
      <c r="B119" s="0" t="str">
        <f aca="false">INDEX(Master_Lista!$B$2:$B$151,MATCH(A119,Master_Lista!$A$2:$A$151,0))</f>
        <v>Kosta Vasic</v>
      </c>
      <c r="C119" s="7" t="n">
        <f aca="false">SUMIFS(Sheet3_Sati!$D:$D,Sheet3_Sati!$A:$A,A119)</f>
        <v>0</v>
      </c>
      <c r="D119" s="5" t="n">
        <f aca="false">SUMIFS(Sheet3_Sati!$J:$J,Sheet3_Sati!$A:$A,A119)</f>
        <v>0</v>
      </c>
      <c r="E119" s="5" t="n">
        <f aca="false">IFERROR(D119/C119,0)</f>
        <v>0</v>
      </c>
      <c r="F119" s="0" t="n">
        <f aca="false">COUNTIF(Sheet3_Sati!$A:$A,A119)</f>
        <v>0</v>
      </c>
      <c r="G119" s="0" t="str">
        <f aca="false">IF(C119=0,"Nema unosa",IF(C119&lt;160,"Niska iskorištenost",IF(C119&lt;=220,"Optimalno","Preopterećenje")))</f>
        <v>Nema unosa</v>
      </c>
    </row>
    <row r="120" customFormat="false" ht="15" hidden="false" customHeight="false" outlineLevel="0" collapsed="false">
      <c r="A120" s="0" t="s">
        <v>229</v>
      </c>
      <c r="B120" s="0" t="str">
        <f aca="false">INDEX(Master_Lista!$B$2:$B$151,MATCH(A120,Master_Lista!$A$2:$A$151,0))</f>
        <v>Ivana Ilic</v>
      </c>
      <c r="C120" s="7" t="n">
        <f aca="false">SUMIFS(Sheet3_Sati!$D:$D,Sheet3_Sati!$A:$A,A120)</f>
        <v>35.5</v>
      </c>
      <c r="D120" s="5" t="n">
        <f aca="false">SUMIFS(Sheet3_Sati!$J:$J,Sheet3_Sati!$A:$A,A120)</f>
        <v>338.93625</v>
      </c>
      <c r="E120" s="5" t="n">
        <f aca="false">IFERROR(D120/C120,0)</f>
        <v>9.5475</v>
      </c>
      <c r="F120" s="0" t="n">
        <f aca="false">COUNTIF(Sheet3_Sati!$A:$A,A120)</f>
        <v>4</v>
      </c>
      <c r="G120" s="0" t="str">
        <f aca="false">IF(C120=0,"Nema unosa",IF(C120&lt;160,"Niska iskorištenost",IF(C120&lt;=220,"Optimalno","Preopterećenje")))</f>
        <v>Niska iskorištenost</v>
      </c>
    </row>
    <row r="121" customFormat="false" ht="15" hidden="false" customHeight="false" outlineLevel="0" collapsed="false">
      <c r="A121" s="0" t="s">
        <v>231</v>
      </c>
      <c r="B121" s="0" t="str">
        <f aca="false">INDEX(Master_Lista!$B$2:$B$151,MATCH(A121,Master_Lista!$A$2:$A$151,0))</f>
        <v>Ivan Obradovic</v>
      </c>
      <c r="C121" s="7" t="n">
        <f aca="false">SUMIFS(Sheet3_Sati!$D:$D,Sheet3_Sati!$A:$A,A121)</f>
        <v>8</v>
      </c>
      <c r="D121" s="5" t="n">
        <f aca="false">SUMIFS(Sheet3_Sati!$J:$J,Sheet3_Sati!$A:$A,A121)</f>
        <v>64.32</v>
      </c>
      <c r="E121" s="5" t="n">
        <f aca="false">IFERROR(D121/C121,0)</f>
        <v>8.04</v>
      </c>
      <c r="F121" s="0" t="n">
        <f aca="false">COUNTIF(Sheet3_Sati!$A:$A,A121)</f>
        <v>1</v>
      </c>
      <c r="G121" s="0" t="str">
        <f aca="false">IF(C121=0,"Nema unosa",IF(C121&lt;160,"Niska iskorištenost",IF(C121&lt;=220,"Optimalno","Preopterećenje")))</f>
        <v>Niska iskorištenost</v>
      </c>
    </row>
    <row r="122" customFormat="false" ht="15" hidden="false" customHeight="false" outlineLevel="0" collapsed="false">
      <c r="A122" s="0" t="s">
        <v>233</v>
      </c>
      <c r="B122" s="0" t="str">
        <f aca="false">INDEX(Master_Lista!$B$2:$B$151,MATCH(A122,Master_Lista!$A$2:$A$151,0))</f>
        <v>Vesna Kostic</v>
      </c>
      <c r="C122" s="7" t="n">
        <f aca="false">SUMIFS(Sheet3_Sati!$D:$D,Sheet3_Sati!$A:$A,A122)</f>
        <v>16.5</v>
      </c>
      <c r="D122" s="5" t="n">
        <f aca="false">SUMIFS(Sheet3_Sati!$J:$J,Sheet3_Sati!$A:$A,A122)</f>
        <v>124.36875</v>
      </c>
      <c r="E122" s="5" t="n">
        <f aca="false">IFERROR(D122/C122,0)</f>
        <v>7.5375</v>
      </c>
      <c r="F122" s="0" t="n">
        <f aca="false">COUNTIF(Sheet3_Sati!$A:$A,A122)</f>
        <v>2</v>
      </c>
      <c r="G122" s="0" t="str">
        <f aca="false">IF(C122=0,"Nema unosa",IF(C122&lt;160,"Niska iskorištenost",IF(C122&lt;=220,"Optimalno","Preopterećenje")))</f>
        <v>Niska iskorištenost</v>
      </c>
    </row>
    <row r="123" customFormat="false" ht="15" hidden="false" customHeight="false" outlineLevel="0" collapsed="false">
      <c r="A123" s="0" t="s">
        <v>235</v>
      </c>
      <c r="B123" s="0" t="str">
        <f aca="false">INDEX(Master_Lista!$B$2:$B$151,MATCH(A123,Master_Lista!$A$2:$A$151,0))</f>
        <v>Luka Ilic</v>
      </c>
      <c r="C123" s="7" t="n">
        <f aca="false">SUMIFS(Sheet3_Sati!$D:$D,Sheet3_Sati!$A:$A,A123)</f>
        <v>9</v>
      </c>
      <c r="D123" s="5" t="n">
        <f aca="false">SUMIFS(Sheet3_Sati!$J:$J,Sheet3_Sati!$A:$A,A123)</f>
        <v>94.9725</v>
      </c>
      <c r="E123" s="5" t="n">
        <f aca="false">IFERROR(D123/C123,0)</f>
        <v>10.5525</v>
      </c>
      <c r="F123" s="0" t="n">
        <f aca="false">COUNTIF(Sheet3_Sati!$A:$A,A123)</f>
        <v>1</v>
      </c>
      <c r="G123" s="0" t="str">
        <f aca="false">IF(C123=0,"Nema unosa",IF(C123&lt;160,"Niska iskorištenost",IF(C123&lt;=220,"Optimalno","Preopterećenje")))</f>
        <v>Niska iskorištenost</v>
      </c>
    </row>
    <row r="124" customFormat="false" ht="15" hidden="false" customHeight="false" outlineLevel="0" collapsed="false">
      <c r="A124" s="0" t="s">
        <v>237</v>
      </c>
      <c r="B124" s="0" t="str">
        <f aca="false">INDEX(Master_Lista!$B$2:$B$151,MATCH(A124,Master_Lista!$A$2:$A$151,0))</f>
        <v>Petra Filipovic</v>
      </c>
      <c r="C124" s="7" t="n">
        <f aca="false">SUMIFS(Sheet3_Sati!$D:$D,Sheet3_Sati!$A:$A,A124)</f>
        <v>6</v>
      </c>
      <c r="D124" s="5" t="n">
        <f aca="false">SUMIFS(Sheet3_Sati!$J:$J,Sheet3_Sati!$A:$A,A124)</f>
        <v>150.75</v>
      </c>
      <c r="E124" s="5" t="n">
        <f aca="false">IFERROR(D124/C124,0)</f>
        <v>25.125</v>
      </c>
      <c r="F124" s="0" t="n">
        <f aca="false">COUNTIF(Sheet3_Sati!$A:$A,A124)</f>
        <v>1</v>
      </c>
      <c r="G124" s="0" t="str">
        <f aca="false">IF(C124=0,"Nema unosa",IF(C124&lt;160,"Niska iskorištenost",IF(C124&lt;=220,"Optimalno","Preopterećenje")))</f>
        <v>Niska iskorištenost</v>
      </c>
    </row>
    <row r="125" customFormat="false" ht="15" hidden="false" customHeight="false" outlineLevel="0" collapsed="false">
      <c r="A125" s="0" t="s">
        <v>239</v>
      </c>
      <c r="B125" s="0" t="str">
        <f aca="false">INDEX(Master_Lista!$B$2:$B$151,MATCH(A125,Master_Lista!$A$2:$A$151,0))</f>
        <v>Cedomir Babic</v>
      </c>
      <c r="C125" s="7" t="n">
        <f aca="false">SUMIFS(Sheet3_Sati!$D:$D,Sheet3_Sati!$A:$A,A125)</f>
        <v>0</v>
      </c>
      <c r="D125" s="5" t="n">
        <f aca="false">SUMIFS(Sheet3_Sati!$J:$J,Sheet3_Sati!$A:$A,A125)</f>
        <v>0</v>
      </c>
      <c r="E125" s="5" t="n">
        <f aca="false">IFERROR(D125/C125,0)</f>
        <v>0</v>
      </c>
      <c r="F125" s="0" t="n">
        <f aca="false">COUNTIF(Sheet3_Sati!$A:$A,A125)</f>
        <v>0</v>
      </c>
      <c r="G125" s="0" t="str">
        <f aca="false">IF(C125=0,"Nema unosa",IF(C125&lt;160,"Niska iskorištenost",IF(C125&lt;=220,"Optimalno","Preopterećenje")))</f>
        <v>Nema unosa</v>
      </c>
    </row>
    <row r="126" customFormat="false" ht="15" hidden="false" customHeight="false" outlineLevel="0" collapsed="false">
      <c r="A126" s="0" t="s">
        <v>241</v>
      </c>
      <c r="B126" s="0" t="str">
        <f aca="false">INDEX(Master_Lista!$B$2:$B$151,MATCH(A126,Master_Lista!$A$2:$A$151,0))</f>
        <v>Petar Ilic</v>
      </c>
      <c r="C126" s="7" t="n">
        <f aca="false">SUMIFS(Sheet3_Sati!$D:$D,Sheet3_Sati!$A:$A,A126)</f>
        <v>18.5</v>
      </c>
      <c r="D126" s="5" t="n">
        <f aca="false">SUMIFS(Sheet3_Sati!$J:$J,Sheet3_Sati!$A:$A,A126)</f>
        <v>232.40625</v>
      </c>
      <c r="E126" s="5" t="n">
        <f aca="false">IFERROR(D126/C126,0)</f>
        <v>12.5625</v>
      </c>
      <c r="F126" s="0" t="n">
        <f aca="false">COUNTIF(Sheet3_Sati!$A:$A,A126)</f>
        <v>2</v>
      </c>
      <c r="G126" s="0" t="str">
        <f aca="false">IF(C126=0,"Nema unosa",IF(C126&lt;160,"Niska iskorištenost",IF(C126&lt;=220,"Optimalno","Preopterećenje")))</f>
        <v>Niska iskorištenost</v>
      </c>
    </row>
    <row r="127" customFormat="false" ht="15" hidden="false" customHeight="false" outlineLevel="0" collapsed="false">
      <c r="A127" s="0" t="s">
        <v>243</v>
      </c>
      <c r="B127" s="0" t="str">
        <f aca="false">INDEX(Master_Lista!$B$2:$B$151,MATCH(A127,Master_Lista!$A$2:$A$151,0))</f>
        <v>Aleksandar Grujic</v>
      </c>
      <c r="C127" s="7" t="n">
        <f aca="false">SUMIFS(Sheet3_Sati!$D:$D,Sheet3_Sati!$A:$A,A127)</f>
        <v>0</v>
      </c>
      <c r="D127" s="5" t="n">
        <f aca="false">SUMIFS(Sheet3_Sati!$J:$J,Sheet3_Sati!$A:$A,A127)</f>
        <v>0</v>
      </c>
      <c r="E127" s="5" t="n">
        <f aca="false">IFERROR(D127/C127,0)</f>
        <v>0</v>
      </c>
      <c r="F127" s="0" t="n">
        <f aca="false">COUNTIF(Sheet3_Sati!$A:$A,A127)</f>
        <v>0</v>
      </c>
      <c r="G127" s="0" t="str">
        <f aca="false">IF(C127=0,"Nema unosa",IF(C127&lt;160,"Niska iskorištenost",IF(C127&lt;=220,"Optimalno","Preopterećenje")))</f>
        <v>Nema unosa</v>
      </c>
    </row>
    <row r="128" customFormat="false" ht="15" hidden="false" customHeight="false" outlineLevel="0" collapsed="false">
      <c r="A128" s="0" t="s">
        <v>245</v>
      </c>
      <c r="B128" s="0" t="str">
        <f aca="false">INDEX(Master_Lista!$B$2:$B$151,MATCH(A128,Master_Lista!$A$2:$A$151,0))</f>
        <v>Radmila Jankovic</v>
      </c>
      <c r="C128" s="7" t="n">
        <f aca="false">SUMIFS(Sheet3_Sati!$D:$D,Sheet3_Sati!$A:$A,A128)</f>
        <v>0</v>
      </c>
      <c r="D128" s="5" t="n">
        <f aca="false">SUMIFS(Sheet3_Sati!$J:$J,Sheet3_Sati!$A:$A,A128)</f>
        <v>0</v>
      </c>
      <c r="E128" s="5" t="n">
        <f aca="false">IFERROR(D128/C128,0)</f>
        <v>0</v>
      </c>
      <c r="F128" s="0" t="n">
        <f aca="false">COUNTIF(Sheet3_Sati!$A:$A,A128)</f>
        <v>0</v>
      </c>
      <c r="G128" s="0" t="str">
        <f aca="false">IF(C128=0,"Nema unosa",IF(C128&lt;160,"Niska iskorištenost",IF(C128&lt;=220,"Optimalno","Preopterećenje")))</f>
        <v>Nema unosa</v>
      </c>
    </row>
    <row r="129" customFormat="false" ht="15" hidden="false" customHeight="false" outlineLevel="0" collapsed="false">
      <c r="A129" s="0" t="s">
        <v>247</v>
      </c>
      <c r="B129" s="0" t="str">
        <f aca="false">INDEX(Master_Lista!$B$2:$B$151,MATCH(A129,Master_Lista!$A$2:$A$151,0))</f>
        <v>Jelena Tomic</v>
      </c>
      <c r="C129" s="7" t="n">
        <f aca="false">SUMIFS(Sheet3_Sati!$D:$D,Sheet3_Sati!$A:$A,A129)</f>
        <v>20.5</v>
      </c>
      <c r="D129" s="5" t="n">
        <f aca="false">SUMIFS(Sheet3_Sati!$J:$J,Sheet3_Sati!$A:$A,A129)</f>
        <v>226.6275</v>
      </c>
      <c r="E129" s="5" t="n">
        <f aca="false">IFERROR(D129/C129,0)</f>
        <v>11.055</v>
      </c>
      <c r="F129" s="0" t="n">
        <f aca="false">COUNTIF(Sheet3_Sati!$A:$A,A129)</f>
        <v>2</v>
      </c>
      <c r="G129" s="0" t="str">
        <f aca="false">IF(C129=0,"Nema unosa",IF(C129&lt;160,"Niska iskorištenost",IF(C129&lt;=220,"Optimalno","Preopterećenje")))</f>
        <v>Niska iskorištenost</v>
      </c>
    </row>
    <row r="130" customFormat="false" ht="15" hidden="false" customHeight="false" outlineLevel="0" collapsed="false">
      <c r="A130" s="0" t="s">
        <v>249</v>
      </c>
      <c r="B130" s="0" t="str">
        <f aca="false">INDEX(Master_Lista!$B$2:$B$151,MATCH(A130,Master_Lista!$A$2:$A$151,0))</f>
        <v>Kosta Pavlovic</v>
      </c>
      <c r="C130" s="7" t="n">
        <f aca="false">SUMIFS(Sheet3_Sati!$D:$D,Sheet3_Sati!$A:$A,A130)</f>
        <v>0</v>
      </c>
      <c r="D130" s="5" t="n">
        <f aca="false">SUMIFS(Sheet3_Sati!$J:$J,Sheet3_Sati!$A:$A,A130)</f>
        <v>0</v>
      </c>
      <c r="E130" s="5" t="n">
        <f aca="false">IFERROR(D130/C130,0)</f>
        <v>0</v>
      </c>
      <c r="F130" s="0" t="n">
        <f aca="false">COUNTIF(Sheet3_Sati!$A:$A,A130)</f>
        <v>0</v>
      </c>
      <c r="G130" s="0" t="str">
        <f aca="false">IF(C130=0,"Nema unosa",IF(C130&lt;160,"Niska iskorištenost",IF(C130&lt;=220,"Optimalno","Preopterećenje")))</f>
        <v>Nema unosa</v>
      </c>
    </row>
    <row r="131" customFormat="false" ht="15" hidden="false" customHeight="false" outlineLevel="0" collapsed="false">
      <c r="A131" s="0" t="s">
        <v>251</v>
      </c>
      <c r="B131" s="0" t="str">
        <f aca="false">INDEX(Master_Lista!$B$2:$B$151,MATCH(A131,Master_Lista!$A$2:$A$151,0))</f>
        <v>Goran Urosevic</v>
      </c>
      <c r="C131" s="7" t="n">
        <f aca="false">SUMIFS(Sheet3_Sati!$D:$D,Sheet3_Sati!$A:$A,A131)</f>
        <v>0</v>
      </c>
      <c r="D131" s="5" t="n">
        <f aca="false">SUMIFS(Sheet3_Sati!$J:$J,Sheet3_Sati!$A:$A,A131)</f>
        <v>0</v>
      </c>
      <c r="E131" s="5" t="n">
        <f aca="false">IFERROR(D131/C131,0)</f>
        <v>0</v>
      </c>
      <c r="F131" s="0" t="n">
        <f aca="false">COUNTIF(Sheet3_Sati!$A:$A,A131)</f>
        <v>0</v>
      </c>
      <c r="G131" s="0" t="str">
        <f aca="false">IF(C131=0,"Nema unosa",IF(C131&lt;160,"Niska iskorištenost",IF(C131&lt;=220,"Optimalno","Preopterećenje")))</f>
        <v>Nema unosa</v>
      </c>
    </row>
    <row r="132" customFormat="false" ht="15" hidden="false" customHeight="false" outlineLevel="0" collapsed="false">
      <c r="A132" s="0" t="s">
        <v>253</v>
      </c>
      <c r="B132" s="0" t="str">
        <f aca="false">INDEX(Master_Lista!$B$2:$B$151,MATCH(A132,Master_Lista!$A$2:$A$151,0))</f>
        <v>Dragan Kostic</v>
      </c>
      <c r="C132" s="7" t="n">
        <f aca="false">SUMIFS(Sheet3_Sati!$D:$D,Sheet3_Sati!$A:$A,A132)</f>
        <v>18</v>
      </c>
      <c r="D132" s="5" t="n">
        <f aca="false">SUMIFS(Sheet3_Sati!$J:$J,Sheet3_Sati!$A:$A,A132)</f>
        <v>162.81</v>
      </c>
      <c r="E132" s="5" t="n">
        <f aca="false">IFERROR(D132/C132,0)</f>
        <v>9.045</v>
      </c>
      <c r="F132" s="0" t="n">
        <f aca="false">COUNTIF(Sheet3_Sati!$A:$A,A132)</f>
        <v>2</v>
      </c>
      <c r="G132" s="0" t="str">
        <f aca="false">IF(C132=0,"Nema unosa",IF(C132&lt;160,"Niska iskorištenost",IF(C132&lt;=220,"Optimalno","Preopterećenje")))</f>
        <v>Niska iskorištenost</v>
      </c>
    </row>
    <row r="133" customFormat="false" ht="15" hidden="false" customHeight="false" outlineLevel="0" collapsed="false">
      <c r="A133" s="0" t="s">
        <v>255</v>
      </c>
      <c r="B133" s="0" t="str">
        <f aca="false">INDEX(Master_Lista!$B$2:$B$151,MATCH(A133,Master_Lista!$A$2:$A$151,0))</f>
        <v>Petar Antic</v>
      </c>
      <c r="C133" s="7" t="n">
        <f aca="false">SUMIFS(Sheet3_Sati!$D:$D,Sheet3_Sati!$A:$A,A133)</f>
        <v>28</v>
      </c>
      <c r="D133" s="5" t="n">
        <f aca="false">SUMIFS(Sheet3_Sati!$J:$J,Sheet3_Sati!$A:$A,A133)</f>
        <v>281.4</v>
      </c>
      <c r="E133" s="5" t="n">
        <f aca="false">IFERROR(D133/C133,0)</f>
        <v>10.05</v>
      </c>
      <c r="F133" s="0" t="n">
        <f aca="false">COUNTIF(Sheet3_Sati!$A:$A,A133)</f>
        <v>3</v>
      </c>
      <c r="G133" s="0" t="str">
        <f aca="false">IF(C133=0,"Nema unosa",IF(C133&lt;160,"Niska iskorištenost",IF(C133&lt;=220,"Optimalno","Preopterećenje")))</f>
        <v>Niska iskorištenost</v>
      </c>
    </row>
    <row r="134" customFormat="false" ht="15" hidden="false" customHeight="false" outlineLevel="0" collapsed="false">
      <c r="A134" s="0" t="s">
        <v>256</v>
      </c>
      <c r="B134" s="0" t="str">
        <f aca="false">INDEX(Master_Lista!$B$2:$B$151,MATCH(A134,Master_Lista!$A$2:$A$151,0))</f>
        <v>Milan Jankovic</v>
      </c>
      <c r="C134" s="7" t="n">
        <f aca="false">SUMIFS(Sheet3_Sati!$D:$D,Sheet3_Sati!$A:$A,A134)</f>
        <v>10</v>
      </c>
      <c r="D134" s="5" t="n">
        <f aca="false">SUMIFS(Sheet3_Sati!$J:$J,Sheet3_Sati!$A:$A,A134)</f>
        <v>120.6</v>
      </c>
      <c r="E134" s="5" t="n">
        <f aca="false">IFERROR(D134/C134,0)</f>
        <v>12.06</v>
      </c>
      <c r="F134" s="0" t="n">
        <f aca="false">COUNTIF(Sheet3_Sati!$A:$A,A134)</f>
        <v>1</v>
      </c>
      <c r="G134" s="0" t="str">
        <f aca="false">IF(C134=0,"Nema unosa",IF(C134&lt;160,"Niska iskorištenost",IF(C134&lt;=220,"Optimalno","Preopterećenje")))</f>
        <v>Niska iskorištenost</v>
      </c>
    </row>
    <row r="135" customFormat="false" ht="15" hidden="false" customHeight="false" outlineLevel="0" collapsed="false">
      <c r="A135" s="0" t="s">
        <v>258</v>
      </c>
      <c r="B135" s="0" t="str">
        <f aca="false">INDEX(Master_Lista!$B$2:$B$151,MATCH(A135,Master_Lista!$A$2:$A$151,0))</f>
        <v>Radoslav Antic</v>
      </c>
      <c r="C135" s="7" t="n">
        <f aca="false">SUMIFS(Sheet3_Sati!$D:$D,Sheet3_Sati!$A:$A,A135)</f>
        <v>21</v>
      </c>
      <c r="D135" s="5" t="n">
        <f aca="false">SUMIFS(Sheet3_Sati!$J:$J,Sheet3_Sati!$A:$A,A135)</f>
        <v>295.47</v>
      </c>
      <c r="E135" s="5" t="n">
        <f aca="false">IFERROR(D135/C135,0)</f>
        <v>14.07</v>
      </c>
      <c r="F135" s="0" t="n">
        <f aca="false">COUNTIF(Sheet3_Sati!$A:$A,A135)</f>
        <v>2</v>
      </c>
      <c r="G135" s="0" t="str">
        <f aca="false">IF(C135=0,"Nema unosa",IF(C135&lt;160,"Niska iskorištenost",IF(C135&lt;=220,"Optimalno","Preopterećenje")))</f>
        <v>Niska iskorištenost</v>
      </c>
    </row>
    <row r="136" customFormat="false" ht="15" hidden="false" customHeight="false" outlineLevel="0" collapsed="false">
      <c r="A136" s="0" t="s">
        <v>260</v>
      </c>
      <c r="B136" s="0" t="str">
        <f aca="false">INDEX(Master_Lista!$B$2:$B$151,MATCH(A136,Master_Lista!$A$2:$A$151,0))</f>
        <v>Tomas Radovic</v>
      </c>
      <c r="C136" s="7" t="n">
        <f aca="false">SUMIFS(Sheet3_Sati!$D:$D,Sheet3_Sati!$A:$A,A136)</f>
        <v>12</v>
      </c>
      <c r="D136" s="5" t="n">
        <f aca="false">SUMIFS(Sheet3_Sati!$J:$J,Sheet3_Sati!$A:$A,A136)</f>
        <v>241.2</v>
      </c>
      <c r="E136" s="5" t="n">
        <f aca="false">IFERROR(D136/C136,0)</f>
        <v>20.1</v>
      </c>
      <c r="F136" s="0" t="n">
        <f aca="false">COUNTIF(Sheet3_Sati!$A:$A,A136)</f>
        <v>1</v>
      </c>
      <c r="G136" s="0" t="str">
        <f aca="false">IF(C136=0,"Nema unosa",IF(C136&lt;160,"Niska iskorištenost",IF(C136&lt;=220,"Optimalno","Preopterećenje")))</f>
        <v>Niska iskorištenost</v>
      </c>
    </row>
    <row r="137" customFormat="false" ht="15" hidden="false" customHeight="false" outlineLevel="0" collapsed="false">
      <c r="A137" s="0" t="s">
        <v>262</v>
      </c>
      <c r="B137" s="0" t="str">
        <f aca="false">INDEX(Master_Lista!$B$2:$B$151,MATCH(A137,Master_Lista!$A$2:$A$151,0))</f>
        <v>Petar Vasic</v>
      </c>
      <c r="C137" s="7" t="n">
        <f aca="false">SUMIFS(Sheet3_Sati!$D:$D,Sheet3_Sati!$A:$A,A137)</f>
        <v>0</v>
      </c>
      <c r="D137" s="5" t="n">
        <f aca="false">SUMIFS(Sheet3_Sati!$J:$J,Sheet3_Sati!$A:$A,A137)</f>
        <v>0</v>
      </c>
      <c r="E137" s="5" t="n">
        <f aca="false">IFERROR(D137/C137,0)</f>
        <v>0</v>
      </c>
      <c r="F137" s="0" t="n">
        <f aca="false">COUNTIF(Sheet3_Sati!$A:$A,A137)</f>
        <v>0</v>
      </c>
      <c r="G137" s="0" t="str">
        <f aca="false">IF(C137=0,"Nema unosa",IF(C137&lt;160,"Niska iskorištenost",IF(C137&lt;=220,"Optimalno","Preopterećenje")))</f>
        <v>Nema unosa</v>
      </c>
    </row>
    <row r="138" customFormat="false" ht="15" hidden="false" customHeight="false" outlineLevel="0" collapsed="false">
      <c r="A138" s="0" t="s">
        <v>264</v>
      </c>
      <c r="B138" s="0" t="str">
        <f aca="false">INDEX(Master_Lista!$B$2:$B$151,MATCH(A138,Master_Lista!$A$2:$A$151,0))</f>
        <v>Petar Babic</v>
      </c>
      <c r="C138" s="7" t="n">
        <f aca="false">SUMIFS(Sheet3_Sati!$D:$D,Sheet3_Sati!$A:$A,A138)</f>
        <v>0</v>
      </c>
      <c r="D138" s="5" t="n">
        <f aca="false">SUMIFS(Sheet3_Sati!$J:$J,Sheet3_Sati!$A:$A,A138)</f>
        <v>0</v>
      </c>
      <c r="E138" s="5" t="n">
        <f aca="false">IFERROR(D138/C138,0)</f>
        <v>0</v>
      </c>
      <c r="F138" s="0" t="n">
        <f aca="false">COUNTIF(Sheet3_Sati!$A:$A,A138)</f>
        <v>0</v>
      </c>
      <c r="G138" s="0" t="str">
        <f aca="false">IF(C138=0,"Nema unosa",IF(C138&lt;160,"Niska iskorištenost",IF(C138&lt;=220,"Optimalno","Preopterećenje")))</f>
        <v>Nema unosa</v>
      </c>
    </row>
    <row r="139" customFormat="false" ht="15" hidden="false" customHeight="false" outlineLevel="0" collapsed="false">
      <c r="A139" s="0" t="s">
        <v>266</v>
      </c>
      <c r="B139" s="0" t="str">
        <f aca="false">INDEX(Master_Lista!$B$2:$B$151,MATCH(A139,Master_Lista!$A$2:$A$151,0))</f>
        <v>Ana Urosevic</v>
      </c>
      <c r="C139" s="7" t="n">
        <f aca="false">SUMIFS(Sheet3_Sati!$D:$D,Sheet3_Sati!$A:$A,A139)</f>
        <v>0</v>
      </c>
      <c r="D139" s="5" t="n">
        <f aca="false">SUMIFS(Sheet3_Sati!$J:$J,Sheet3_Sati!$A:$A,A139)</f>
        <v>0</v>
      </c>
      <c r="E139" s="5" t="n">
        <f aca="false">IFERROR(D139/C139,0)</f>
        <v>0</v>
      </c>
      <c r="F139" s="0" t="n">
        <f aca="false">COUNTIF(Sheet3_Sati!$A:$A,A139)</f>
        <v>0</v>
      </c>
      <c r="G139" s="0" t="str">
        <f aca="false">IF(C139=0,"Nema unosa",IF(C139&lt;160,"Niska iskorištenost",IF(C139&lt;=220,"Optimalno","Preopterećenje")))</f>
        <v>Nema unosa</v>
      </c>
    </row>
    <row r="140" customFormat="false" ht="15" hidden="false" customHeight="false" outlineLevel="0" collapsed="false">
      <c r="A140" s="0" t="s">
        <v>267</v>
      </c>
      <c r="B140" s="0" t="str">
        <f aca="false">INDEX(Master_Lista!$B$2:$B$151,MATCH(A140,Master_Lista!$A$2:$A$151,0))</f>
        <v>Petar Cvetkovic</v>
      </c>
      <c r="C140" s="7" t="n">
        <f aca="false">SUMIFS(Sheet3_Sati!$D:$D,Sheet3_Sati!$A:$A,A140)</f>
        <v>8.5</v>
      </c>
      <c r="D140" s="5" t="n">
        <f aca="false">SUMIFS(Sheet3_Sati!$J:$J,Sheet3_Sati!$A:$A,A140)</f>
        <v>64.06875</v>
      </c>
      <c r="E140" s="5" t="n">
        <f aca="false">IFERROR(D140/C140,0)</f>
        <v>7.5375</v>
      </c>
      <c r="F140" s="0" t="n">
        <f aca="false">COUNTIF(Sheet3_Sati!$A:$A,A140)</f>
        <v>1</v>
      </c>
      <c r="G140" s="0" t="str">
        <f aca="false">IF(C140=0,"Nema unosa",IF(C140&lt;160,"Niska iskorištenost",IF(C140&lt;=220,"Optimalno","Preopterećenje")))</f>
        <v>Niska iskorištenost</v>
      </c>
    </row>
    <row r="141" customFormat="false" ht="15" hidden="false" customHeight="false" outlineLevel="0" collapsed="false">
      <c r="A141" s="0" t="s">
        <v>269</v>
      </c>
      <c r="B141" s="0" t="str">
        <f aca="false">INDEX(Master_Lista!$B$2:$B$151,MATCH(A141,Master_Lista!$A$2:$A$151,0))</f>
        <v>Tamara Urosevic</v>
      </c>
      <c r="C141" s="7" t="n">
        <f aca="false">SUMIFS(Sheet3_Sati!$D:$D,Sheet3_Sati!$A:$A,A141)</f>
        <v>0</v>
      </c>
      <c r="D141" s="5" t="n">
        <f aca="false">SUMIFS(Sheet3_Sati!$J:$J,Sheet3_Sati!$A:$A,A141)</f>
        <v>0</v>
      </c>
      <c r="E141" s="5" t="n">
        <f aca="false">IFERROR(D141/C141,0)</f>
        <v>0</v>
      </c>
      <c r="F141" s="0" t="n">
        <f aca="false">COUNTIF(Sheet3_Sati!$A:$A,A141)</f>
        <v>0</v>
      </c>
      <c r="G141" s="0" t="str">
        <f aca="false">IF(C141=0,"Nema unosa",IF(C141&lt;160,"Niska iskorištenost",IF(C141&lt;=220,"Optimalno","Preopterećenje")))</f>
        <v>Nema unosa</v>
      </c>
    </row>
    <row r="142" customFormat="false" ht="15" hidden="false" customHeight="false" outlineLevel="0" collapsed="false">
      <c r="A142" s="0" t="s">
        <v>271</v>
      </c>
      <c r="B142" s="0" t="str">
        <f aca="false">INDEX(Master_Lista!$B$2:$B$151,MATCH(A142,Master_Lista!$A$2:$A$151,0))</f>
        <v>Tomas Urosevic</v>
      </c>
      <c r="C142" s="7" t="n">
        <f aca="false">SUMIFS(Sheet3_Sati!$D:$D,Sheet3_Sati!$A:$A,A142)</f>
        <v>8.5</v>
      </c>
      <c r="D142" s="5" t="n">
        <f aca="false">SUMIFS(Sheet3_Sati!$J:$J,Sheet3_Sati!$A:$A,A142)</f>
        <v>213.5625</v>
      </c>
      <c r="E142" s="5" t="n">
        <f aca="false">IFERROR(D142/C142,0)</f>
        <v>25.125</v>
      </c>
      <c r="F142" s="0" t="n">
        <f aca="false">COUNTIF(Sheet3_Sati!$A:$A,A142)</f>
        <v>1</v>
      </c>
      <c r="G142" s="0" t="str">
        <f aca="false">IF(C142=0,"Nema unosa",IF(C142&lt;160,"Niska iskorištenost",IF(C142&lt;=220,"Optimalno","Preopterećenje")))</f>
        <v>Niska iskorištenost</v>
      </c>
    </row>
    <row r="143" customFormat="false" ht="15" hidden="false" customHeight="false" outlineLevel="0" collapsed="false">
      <c r="A143" s="0" t="s">
        <v>273</v>
      </c>
      <c r="B143" s="0" t="str">
        <f aca="false">INDEX(Master_Lista!$B$2:$B$151,MATCH(A143,Master_Lista!$A$2:$A$151,0))</f>
        <v>Filip Vasic</v>
      </c>
      <c r="C143" s="7" t="n">
        <f aca="false">SUMIFS(Sheet3_Sati!$D:$D,Sheet3_Sati!$A:$A,A143)</f>
        <v>0</v>
      </c>
      <c r="D143" s="5" t="n">
        <f aca="false">SUMIFS(Sheet3_Sati!$J:$J,Sheet3_Sati!$A:$A,A143)</f>
        <v>0</v>
      </c>
      <c r="E143" s="5" t="n">
        <f aca="false">IFERROR(D143/C143,0)</f>
        <v>0</v>
      </c>
      <c r="F143" s="0" t="n">
        <f aca="false">COUNTIF(Sheet3_Sati!$A:$A,A143)</f>
        <v>0</v>
      </c>
      <c r="G143" s="0" t="str">
        <f aca="false">IF(C143=0,"Nema unosa",IF(C143&lt;160,"Niska iskorištenost",IF(C143&lt;=220,"Optimalno","Preopterećenje")))</f>
        <v>Nema unosa</v>
      </c>
    </row>
    <row r="144" customFormat="false" ht="15" hidden="false" customHeight="false" outlineLevel="0" collapsed="false">
      <c r="A144" s="0" t="s">
        <v>275</v>
      </c>
      <c r="B144" s="0" t="str">
        <f aca="false">INDEX(Master_Lista!$B$2:$B$151,MATCH(A144,Master_Lista!$A$2:$A$151,0))</f>
        <v>Ivan Babic</v>
      </c>
      <c r="C144" s="7" t="n">
        <f aca="false">SUMIFS(Sheet3_Sati!$D:$D,Sheet3_Sati!$A:$A,A144)</f>
        <v>0</v>
      </c>
      <c r="D144" s="5" t="n">
        <f aca="false">SUMIFS(Sheet3_Sati!$J:$J,Sheet3_Sati!$A:$A,A144)</f>
        <v>0</v>
      </c>
      <c r="E144" s="5" t="n">
        <f aca="false">IFERROR(D144/C144,0)</f>
        <v>0</v>
      </c>
      <c r="F144" s="0" t="n">
        <f aca="false">COUNTIF(Sheet3_Sati!$A:$A,A144)</f>
        <v>0</v>
      </c>
      <c r="G144" s="0" t="str">
        <f aca="false">IF(C144=0,"Nema unosa",IF(C144&lt;160,"Niska iskorištenost",IF(C144&lt;=220,"Optimalno","Preopterećenje")))</f>
        <v>Nema unosa</v>
      </c>
    </row>
    <row r="145" customFormat="false" ht="15" hidden="false" customHeight="false" outlineLevel="0" collapsed="false">
      <c r="A145" s="0" t="s">
        <v>277</v>
      </c>
      <c r="B145" s="0" t="str">
        <f aca="false">INDEX(Master_Lista!$B$2:$B$151,MATCH(A145,Master_Lista!$A$2:$A$151,0))</f>
        <v>Cedomir Vasic</v>
      </c>
      <c r="C145" s="7" t="n">
        <f aca="false">SUMIFS(Sheet3_Sati!$D:$D,Sheet3_Sati!$A:$A,A145)</f>
        <v>0</v>
      </c>
      <c r="D145" s="5" t="n">
        <f aca="false">SUMIFS(Sheet3_Sati!$J:$J,Sheet3_Sati!$A:$A,A145)</f>
        <v>0</v>
      </c>
      <c r="E145" s="5" t="n">
        <f aca="false">IFERROR(D145/C145,0)</f>
        <v>0</v>
      </c>
      <c r="F145" s="0" t="n">
        <f aca="false">COUNTIF(Sheet3_Sati!$A:$A,A145)</f>
        <v>0</v>
      </c>
      <c r="G145" s="0" t="str">
        <f aca="false">IF(C145=0,"Nema unosa",IF(C145&lt;160,"Niska iskorištenost",IF(C145&lt;=220,"Optimalno","Preopterećenje")))</f>
        <v>Nema unosa</v>
      </c>
    </row>
    <row r="146" customFormat="false" ht="15" hidden="false" customHeight="false" outlineLevel="0" collapsed="false">
      <c r="A146" s="0" t="s">
        <v>278</v>
      </c>
      <c r="B146" s="0" t="str">
        <f aca="false">INDEX(Master_Lista!$B$2:$B$151,MATCH(A146,Master_Lista!$A$2:$A$151,0))</f>
        <v>Filip Pavlovic</v>
      </c>
      <c r="C146" s="7" t="n">
        <f aca="false">SUMIFS(Sheet3_Sati!$D:$D,Sheet3_Sati!$A:$A,A146)</f>
        <v>16</v>
      </c>
      <c r="D146" s="5" t="n">
        <f aca="false">SUMIFS(Sheet3_Sati!$J:$J,Sheet3_Sati!$A:$A,A146)</f>
        <v>136.68</v>
      </c>
      <c r="E146" s="5" t="n">
        <f aca="false">IFERROR(D146/C146,0)</f>
        <v>8.5425</v>
      </c>
      <c r="F146" s="0" t="n">
        <f aca="false">COUNTIF(Sheet3_Sati!$A:$A,A146)</f>
        <v>2</v>
      </c>
      <c r="G146" s="0" t="str">
        <f aca="false">IF(C146=0,"Nema unosa",IF(C146&lt;160,"Niska iskorištenost",IF(C146&lt;=220,"Optimalno","Preopterećenje")))</f>
        <v>Niska iskorištenost</v>
      </c>
    </row>
    <row r="147" customFormat="false" ht="15" hidden="false" customHeight="false" outlineLevel="0" collapsed="false">
      <c r="A147" s="0" t="s">
        <v>280</v>
      </c>
      <c r="B147" s="0" t="str">
        <f aca="false">INDEX(Master_Lista!$B$2:$B$151,MATCH(A147,Master_Lista!$A$2:$A$151,0))</f>
        <v>Jovan Urosevic</v>
      </c>
      <c r="C147" s="7" t="n">
        <f aca="false">SUMIFS(Sheet3_Sati!$D:$D,Sheet3_Sati!$A:$A,A147)</f>
        <v>13.5</v>
      </c>
      <c r="D147" s="5" t="n">
        <f aca="false">SUMIFS(Sheet3_Sati!$J:$J,Sheet3_Sati!$A:$A,A147)</f>
        <v>149.2425</v>
      </c>
      <c r="E147" s="5" t="n">
        <f aca="false">IFERROR(D147/C147,0)</f>
        <v>11.055</v>
      </c>
      <c r="F147" s="0" t="n">
        <f aca="false">COUNTIF(Sheet3_Sati!$A:$A,A147)</f>
        <v>2</v>
      </c>
      <c r="G147" s="0" t="str">
        <f aca="false">IF(C147=0,"Nema unosa",IF(C147&lt;160,"Niska iskorištenost",IF(C147&lt;=220,"Optimalno","Preopterećenje")))</f>
        <v>Niska iskorištenost</v>
      </c>
    </row>
    <row r="148" customFormat="false" ht="15" hidden="false" customHeight="false" outlineLevel="0" collapsed="false">
      <c r="A148" s="0" t="s">
        <v>282</v>
      </c>
      <c r="B148" s="0" t="str">
        <f aca="false">INDEX(Master_Lista!$B$2:$B$151,MATCH(A148,Master_Lista!$A$2:$A$151,0))</f>
        <v>Elena Ilic</v>
      </c>
      <c r="C148" s="7" t="n">
        <f aca="false">SUMIFS(Sheet3_Sati!$D:$D,Sheet3_Sati!$A:$A,A148)</f>
        <v>17</v>
      </c>
      <c r="D148" s="5" t="n">
        <f aca="false">SUMIFS(Sheet3_Sati!$J:$J,Sheet3_Sati!$A:$A,A148)</f>
        <v>307.53</v>
      </c>
      <c r="E148" s="5" t="n">
        <f aca="false">IFERROR(D148/C148,0)</f>
        <v>18.09</v>
      </c>
      <c r="F148" s="0" t="n">
        <f aca="false">COUNTIF(Sheet3_Sati!$A:$A,A148)</f>
        <v>2</v>
      </c>
      <c r="G148" s="0" t="str">
        <f aca="false">IF(C148=0,"Nema unosa",IF(C148&lt;160,"Niska iskorištenost",IF(C148&lt;=220,"Optimalno","Preopterećenje")))</f>
        <v>Niska iskorištenost</v>
      </c>
    </row>
    <row r="149" customFormat="false" ht="15" hidden="false" customHeight="false" outlineLevel="0" collapsed="false">
      <c r="A149" s="0" t="s">
        <v>284</v>
      </c>
      <c r="B149" s="0" t="str">
        <f aca="false">INDEX(Master_Lista!$B$2:$B$151,MATCH(A149,Master_Lista!$A$2:$A$151,0))</f>
        <v>Dragan Tomic</v>
      </c>
      <c r="C149" s="7" t="n">
        <f aca="false">SUMIFS(Sheet3_Sati!$D:$D,Sheet3_Sati!$A:$A,A149)</f>
        <v>9</v>
      </c>
      <c r="D149" s="5" t="n">
        <f aca="false">SUMIFS(Sheet3_Sati!$J:$J,Sheet3_Sati!$A:$A,A149)</f>
        <v>253.26</v>
      </c>
      <c r="E149" s="5" t="n">
        <f aca="false">IFERROR(D149/C149,0)</f>
        <v>28.14</v>
      </c>
      <c r="F149" s="0" t="n">
        <f aca="false">COUNTIF(Sheet3_Sati!$A:$A,A149)</f>
        <v>1</v>
      </c>
      <c r="G149" s="0" t="str">
        <f aca="false">IF(C149=0,"Nema unosa",IF(C149&lt;160,"Niska iskorištenost",IF(C149&lt;=220,"Optimalno","Preopterećenje")))</f>
        <v>Niska iskorištenost</v>
      </c>
    </row>
    <row r="150" customFormat="false" ht="15" hidden="false" customHeight="false" outlineLevel="0" collapsed="false">
      <c r="A150" s="0" t="s">
        <v>286</v>
      </c>
      <c r="B150" s="0" t="str">
        <f aca="false">INDEX(Master_Lista!$B$2:$B$151,MATCH(A150,Master_Lista!$A$2:$A$151,0))</f>
        <v>Dragan Kostic</v>
      </c>
      <c r="C150" s="7" t="n">
        <f aca="false">SUMIFS(Sheet3_Sati!$D:$D,Sheet3_Sati!$A:$A,A150)</f>
        <v>0</v>
      </c>
      <c r="D150" s="5" t="n">
        <f aca="false">SUMIFS(Sheet3_Sati!$J:$J,Sheet3_Sati!$A:$A,A150)</f>
        <v>0</v>
      </c>
      <c r="E150" s="5" t="n">
        <f aca="false">IFERROR(D150/C150,0)</f>
        <v>0</v>
      </c>
      <c r="F150" s="0" t="n">
        <f aca="false">COUNTIF(Sheet3_Sati!$A:$A,A150)</f>
        <v>0</v>
      </c>
      <c r="G150" s="0" t="str">
        <f aca="false">IF(C150=0,"Nema unosa",IF(C150&lt;160,"Niska iskorištenost",IF(C150&lt;=220,"Optimalno","Preopterećenje")))</f>
        <v>Nema unosa</v>
      </c>
    </row>
    <row r="151" customFormat="false" ht="15" hidden="false" customHeight="false" outlineLevel="0" collapsed="false">
      <c r="A151" s="0" t="s">
        <v>287</v>
      </c>
      <c r="B151" s="0" t="str">
        <f aca="false">INDEX(Master_Lista!$B$2:$B$151,MATCH(A151,Master_Lista!$A$2:$A$151,0))</f>
        <v>Filip Lazic</v>
      </c>
      <c r="C151" s="7" t="n">
        <f aca="false">SUMIFS(Sheet3_Sati!$D:$D,Sheet3_Sati!$A:$A,A151)</f>
        <v>12</v>
      </c>
      <c r="D151" s="5" t="n">
        <f aca="false">SUMIFS(Sheet3_Sati!$J:$J,Sheet3_Sati!$A:$A,A151)</f>
        <v>120.6</v>
      </c>
      <c r="E151" s="5" t="n">
        <f aca="false">IFERROR(D151/C151,0)</f>
        <v>10.05</v>
      </c>
      <c r="F151" s="0" t="n">
        <f aca="false">COUNTIF(Sheet3_Sati!$A:$A,A151)</f>
        <v>1</v>
      </c>
      <c r="G151" s="0" t="str">
        <f aca="false">IF(C151=0,"Nema unosa",IF(C151&lt;160,"Niska iskorištenost",IF(C151&lt;=220,"Optimalno","Preopterećenje")))</f>
        <v>Niska iskorištenost</v>
      </c>
    </row>
  </sheetData>
  <conditionalFormatting sqref="G2:G151">
    <cfRule type="expression" priority="2" aboveAverage="0" equalAverage="0" bottom="0" percent="0" rank="0" text="" dxfId="2">
      <formula>$G2="Optimalno"</formula>
    </cfRule>
    <cfRule type="expression" priority="3" aboveAverage="0" equalAverage="0" bottom="0" percent="0" rank="0" text="" dxfId="3">
      <formula>ISNUMBER(SEARCH("Niska",$G2))</formula>
    </cfRule>
    <cfRule type="expression" priority="4" aboveAverage="0" equalAverage="0" bottom="0" percent="0" rank="0" text="" dxfId="0">
      <formula>ISNUMBER(SEARCH("Preopterećenje",$G2))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1.75" hidden="false" customHeight="true" outlineLevel="0" collapsed="false"/>
    <row r="2" customFormat="false" ht="19.7" hidden="false" customHeight="false" outlineLevel="0" collapsed="false">
      <c r="B2" s="9" t="s">
        <v>366</v>
      </c>
    </row>
    <row r="4" customFormat="false" ht="15" hidden="false" customHeight="false" outlineLevel="0" collapsed="false">
      <c r="B4" s="10" t="s">
        <v>367</v>
      </c>
      <c r="C4" s="11" t="n">
        <f aca="false">SUM(Sheet3_Sati!J:J)</f>
        <v>23243.38875</v>
      </c>
      <c r="E4" s="12" t="s">
        <v>368</v>
      </c>
    </row>
    <row r="5" customFormat="false" ht="15" hidden="false" customHeight="false" outlineLevel="0" collapsed="false">
      <c r="B5" s="10" t="s">
        <v>369</v>
      </c>
      <c r="C5" s="13" t="n">
        <f aca="false">SUM(Sheet3_Sati!D:D)</f>
        <v>1636</v>
      </c>
      <c r="E5" s="0" t="s">
        <v>370</v>
      </c>
      <c r="F5" s="0" t="n">
        <v>16</v>
      </c>
    </row>
    <row r="6" customFormat="false" ht="15" hidden="false" customHeight="false" outlineLevel="0" collapsed="false">
      <c r="B6" s="10" t="s">
        <v>371</v>
      </c>
      <c r="C6" s="11" t="n">
        <f aca="false">IFERROR(C4/C5,0)</f>
        <v>14.2074503361858</v>
      </c>
      <c r="E6" s="0" t="s">
        <v>372</v>
      </c>
      <c r="F6" s="0" t="n">
        <v>12</v>
      </c>
    </row>
    <row r="7" customFormat="false" ht="15" hidden="false" customHeight="false" outlineLevel="0" collapsed="false">
      <c r="B7" s="10" t="s">
        <v>373</v>
      </c>
      <c r="C7" s="0" t="n">
        <f aca="false">COUNTIF(Sheet3_Sati!A:A,"&lt;&gt;")</f>
        <v>181</v>
      </c>
      <c r="E7" s="0" t="s">
        <v>374</v>
      </c>
      <c r="F7" s="0" t="s">
        <v>375</v>
      </c>
    </row>
    <row r="8" customFormat="false" ht="15" hidden="false" customHeight="false" outlineLevel="0" collapsed="false">
      <c r="B8" s="10" t="s">
        <v>376</v>
      </c>
      <c r="C8" s="0" t="str">
        <f aca="false">INDEX(Sheet31_Analitika!H2:H16,MATCH(MAX(Sheet31_Analitika!J2:J16),Sheet31_Analitika!J2:J16,0))</f>
        <v>P004</v>
      </c>
      <c r="E8" s="0" t="s">
        <v>377</v>
      </c>
      <c r="F8" s="0" t="s">
        <v>378</v>
      </c>
    </row>
    <row r="9" customFormat="false" ht="15" hidden="false" customHeight="false" outlineLevel="0" collapsed="false">
      <c r="B9" s="10" t="s">
        <v>379</v>
      </c>
      <c r="C9" s="0" t="str">
        <f aca="false">INDEX(Sheet31_Analitika!A2:A151,MATCH(MAX(Sheet31_Analitika!C2:C151),Sheet31_Analitika!C2:C151,0))</f>
        <v>EMP079</v>
      </c>
    </row>
    <row r="10" customFormat="false" ht="15" hidden="false" customHeight="false" outlineLevel="0" collapsed="false">
      <c r="B10" s="14" t="s">
        <v>380</v>
      </c>
      <c r="C10" s="15" t="n">
        <f aca="false">COUNTIF(Sheet3_Sati!D2:D500,"&gt;12")</f>
        <v>0</v>
      </c>
    </row>
    <row r="11" customFormat="false" ht="15" hidden="false" customHeight="false" outlineLevel="0" collapsed="false">
      <c r="B11" s="14" t="s">
        <v>381</v>
      </c>
      <c r="C11" s="15" t="n">
        <f aca="false">COUNTIF(Sheet3_Sati!L2:L500,"DUPLIKAT")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12"/>
  </cols>
  <sheetData>
    <row r="1" customFormat="false" ht="21.75" hidden="false" customHeight="true" outlineLevel="0" collapsed="false">
      <c r="A1" s="9" t="s">
        <v>382</v>
      </c>
    </row>
    <row r="3" customFormat="false" ht="15" hidden="false" customHeight="false" outlineLevel="0" collapsed="false">
      <c r="A3" s="1" t="s">
        <v>383</v>
      </c>
      <c r="B3" s="1" t="s">
        <v>384</v>
      </c>
      <c r="C3" s="1" t="s">
        <v>385</v>
      </c>
      <c r="D3" s="1" t="s">
        <v>386</v>
      </c>
    </row>
    <row r="4" customFormat="false" ht="15" hidden="false" customHeight="false" outlineLevel="0" collapsed="false">
      <c r="A4" s="0" t="s">
        <v>387</v>
      </c>
      <c r="B4" s="7" t="n">
        <f aca="false">SUM(Sheet3_Sati!D:D)</f>
        <v>1636</v>
      </c>
      <c r="C4" s="0" t="s">
        <v>388</v>
      </c>
      <c r="D4" s="0" t="str">
        <f aca="false">IF(B4&gt;0,"PASS","REVIEW")</f>
        <v>PASS</v>
      </c>
    </row>
    <row r="5" customFormat="false" ht="15" hidden="false" customHeight="false" outlineLevel="0" collapsed="false">
      <c r="A5" s="0" t="s">
        <v>389</v>
      </c>
      <c r="B5" s="5" t="n">
        <f aca="false">SUM(Sheet3_Sati!J:J)</f>
        <v>23243.38875</v>
      </c>
      <c r="C5" s="0" t="s">
        <v>388</v>
      </c>
      <c r="D5" s="0" t="str">
        <f aca="false">IF(B5&gt;0,"PASS","REVIEW")</f>
        <v>PASS</v>
      </c>
    </row>
    <row r="6" customFormat="false" ht="15" hidden="false" customHeight="false" outlineLevel="0" collapsed="false">
      <c r="A6" s="0" t="s">
        <v>390</v>
      </c>
      <c r="B6" s="0" t="n">
        <f aca="false">COUNTIF(Sheet3_Sati!D2:D500,"&gt;12")</f>
        <v>0</v>
      </c>
      <c r="C6" s="0" t="n">
        <f aca="false">0</f>
        <v>0</v>
      </c>
      <c r="D6" s="0" t="str">
        <f aca="false">IF(B6=0,"PASS","REVIEW")</f>
        <v>PASS</v>
      </c>
    </row>
    <row r="7" customFormat="false" ht="15" hidden="false" customHeight="false" outlineLevel="0" collapsed="false">
      <c r="A7" s="0" t="s">
        <v>391</v>
      </c>
      <c r="B7" s="0" t="n">
        <f aca="false">COUNTIF(Sheet3_Sati!L2:L500,"DUPLIKAT")</f>
        <v>0</v>
      </c>
      <c r="C7" s="0" t="n">
        <f aca="false">0</f>
        <v>0</v>
      </c>
      <c r="D7" s="0" t="str">
        <f aca="false">IF(B7=0,"PASS","REVIEW")</f>
        <v>PASS</v>
      </c>
    </row>
    <row r="8" customFormat="false" ht="15" hidden="false" customHeight="false" outlineLevel="0" collapsed="false">
      <c r="A8" s="0" t="s">
        <v>392</v>
      </c>
      <c r="B8" s="0" t="n">
        <f aca="false">COUNTIF(Sheet3_Sati!B2:B500,"")-COUNTBLANK(Sheet3_Sati!A2:A500)</f>
        <v>0</v>
      </c>
      <c r="C8" s="0" t="n">
        <f aca="false">0</f>
        <v>0</v>
      </c>
      <c r="D8" s="0" t="str">
        <f aca="false">IF(B8=0,"PASS","REVIEW")</f>
        <v>PASS</v>
      </c>
    </row>
  </sheetData>
  <conditionalFormatting sqref="D4:D8">
    <cfRule type="expression" priority="2" aboveAverage="0" equalAverage="0" bottom="0" percent="0" rank="0" text="" dxfId="2">
      <formula>$D4="PASS"</formula>
    </cfRule>
    <cfRule type="expression" priority="3" aboveAverage="0" equalAverage="0" bottom="0" percent="0" rank="0" text="" dxfId="0">
      <formula>$D4="REVIEW"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2026-03-15T16:15:36Z</dcterms:created>
  <dc:creator>openpyxl</dc:creator>
  <dc:description/>
  <dc:language>en-US</dc:language>
  <cp:lastModifiedBy/>
  <dcterms:modified xsi:type="dcterms:W3CDTF">2026-03-15T16:15:36Z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