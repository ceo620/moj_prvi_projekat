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_MASTER" sheetId="1" state="visible" r:id="rId1"/>
    <sheet xmlns:r="http://schemas.openxmlformats.org/officeDocument/2006/relationships" name="OPEX_MASTER" sheetId="2" state="visible" r:id="rId2"/>
    <sheet xmlns:r="http://schemas.openxmlformats.org/officeDocument/2006/relationships" name="DEBT_MODEL" sheetId="3" state="visible" r:id="rId3"/>
    <sheet xmlns:r="http://schemas.openxmlformats.org/officeDocument/2006/relationships" name="PHASING_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Base_CAPEX_2025</t>
        </is>
      </c>
      <c r="E1" t="inlineStr">
        <is>
          <t>EU_Increase_%</t>
        </is>
      </c>
      <c r="F1" t="inlineStr">
        <is>
          <t>EU_CAPEX_2028</t>
        </is>
      </c>
      <c r="G1" t="inlineStr">
        <is>
          <t>Phase</t>
        </is>
      </c>
      <c r="H1" t="inlineStr">
        <is>
          <t>Notes</t>
        </is>
      </c>
    </row>
    <row r="2">
      <c r="A2" t="inlineStr">
        <is>
          <t>A01</t>
        </is>
      </c>
      <c r="B2" t="inlineStr">
        <is>
          <t>Industrial land</t>
        </is>
      </c>
      <c r="C2" t="inlineStr">
        <is>
          <t>Land</t>
        </is>
      </c>
      <c r="D2" t="n">
        <v>1100000</v>
      </c>
      <c r="E2" t="n">
        <v>0.31</v>
      </c>
      <c r="F2">
        <f>D2*(1+E2)</f>
        <v/>
      </c>
      <c r="G2" t="inlineStr">
        <is>
          <t>Phase 1</t>
        </is>
      </c>
      <c r="H2" t="inlineStr"/>
    </row>
    <row r="3">
      <c r="A3" t="inlineStr">
        <is>
          <t>B04</t>
        </is>
      </c>
      <c r="B3" t="inlineStr">
        <is>
          <t>Steel structure frame</t>
        </is>
      </c>
      <c r="C3" t="inlineStr">
        <is>
          <t>Structure</t>
        </is>
      </c>
      <c r="D3" t="n">
        <v>2187500</v>
      </c>
      <c r="E3" t="n">
        <v>0.38</v>
      </c>
      <c r="F3">
        <f>D3*(1+E3)</f>
        <v/>
      </c>
      <c r="G3" t="inlineStr">
        <is>
          <t>Phase 1</t>
        </is>
      </c>
      <c r="H3" t="inlineStr"/>
    </row>
    <row r="4">
      <c r="A4" t="inlineStr">
        <is>
          <t>B07</t>
        </is>
      </c>
      <c r="B4" t="inlineStr">
        <is>
          <t>Roof sandwich panels</t>
        </is>
      </c>
      <c r="C4" t="inlineStr">
        <is>
          <t>Envelope</t>
        </is>
      </c>
      <c r="D4" t="n">
        <v>368000</v>
      </c>
      <c r="E4" t="n">
        <v>0.25</v>
      </c>
      <c r="F4">
        <f>D4*(1+E4)</f>
        <v/>
      </c>
      <c r="G4" t="inlineStr">
        <is>
          <t>Phase 1</t>
        </is>
      </c>
      <c r="H4" t="inlineStr"/>
    </row>
    <row r="5">
      <c r="A5" t="inlineStr">
        <is>
          <t>C06</t>
        </is>
      </c>
      <c r="B5" t="inlineStr">
        <is>
          <t>Compressed air system</t>
        </is>
      </c>
      <c r="C5" t="inlineStr">
        <is>
          <t>MEP</t>
        </is>
      </c>
      <c r="D5" t="n">
        <v>260000</v>
      </c>
      <c r="E5" t="n">
        <v>0.3</v>
      </c>
      <c r="F5">
        <f>D5*(1+E5)</f>
        <v/>
      </c>
      <c r="G5" t="inlineStr">
        <is>
          <t>Phase 2</t>
        </is>
      </c>
      <c r="H5" t="inlineStr"/>
    </row>
    <row r="6">
      <c r="A6" t="inlineStr">
        <is>
          <t>C01</t>
        </is>
      </c>
      <c r="B6" t="inlineStr">
        <is>
          <t>MV grid connection</t>
        </is>
      </c>
      <c r="C6" t="inlineStr">
        <is>
          <t>MEP</t>
        </is>
      </c>
      <c r="D6" t="n">
        <v>280000</v>
      </c>
      <c r="E6" t="n">
        <v>0.2</v>
      </c>
      <c r="F6">
        <f>D6*(1+E6)</f>
        <v/>
      </c>
      <c r="G6" t="inlineStr">
        <is>
          <t>Phase 2</t>
        </is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OPEX_Code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Annual_OPEX_2025</t>
        </is>
      </c>
      <c r="E1" t="inlineStr">
        <is>
          <t>EU_Increase_%</t>
        </is>
      </c>
      <c r="F1" t="inlineStr">
        <is>
          <t>EU_OPEX_2028</t>
        </is>
      </c>
      <c r="G1" t="inlineStr">
        <is>
          <t>Notes</t>
        </is>
      </c>
    </row>
    <row r="2">
      <c r="A2" t="inlineStr">
        <is>
          <t>F01</t>
        </is>
      </c>
      <c r="B2" t="inlineStr">
        <is>
          <t>Management salaries</t>
        </is>
      </c>
      <c r="C2" t="inlineStr">
        <is>
          <t>Payroll</t>
        </is>
      </c>
      <c r="D2" t="n">
        <v>420000</v>
      </c>
      <c r="E2" t="n">
        <v>0.25</v>
      </c>
      <c r="F2">
        <f>D2*(1+E2)</f>
        <v/>
      </c>
      <c r="G2" t="inlineStr"/>
    </row>
    <row r="3">
      <c r="A3" t="inlineStr">
        <is>
          <t>F02</t>
        </is>
      </c>
      <c r="B3" t="inlineStr">
        <is>
          <t>Engineering staff</t>
        </is>
      </c>
      <c r="C3" t="inlineStr">
        <is>
          <t>Payroll</t>
        </is>
      </c>
      <c r="D3" t="n">
        <v>610000</v>
      </c>
      <c r="E3" t="n">
        <v>0.3</v>
      </c>
      <c r="F3">
        <f>D3*(1+E3)</f>
        <v/>
      </c>
      <c r="G3" t="inlineStr"/>
    </row>
    <row r="4">
      <c r="A4" t="inlineStr">
        <is>
          <t>F06</t>
        </is>
      </c>
      <c r="B4" t="inlineStr">
        <is>
          <t>Electricity</t>
        </is>
      </c>
      <c r="C4" t="inlineStr">
        <is>
          <t>Utilities</t>
        </is>
      </c>
      <c r="D4" t="n">
        <v>310000</v>
      </c>
      <c r="E4" t="n">
        <v>0.15</v>
      </c>
      <c r="F4">
        <f>D4*(1+E4)</f>
        <v/>
      </c>
      <c r="G4" t="inlineStr"/>
    </row>
    <row r="5">
      <c r="A5" t="inlineStr">
        <is>
          <t>F10</t>
        </is>
      </c>
      <c r="B5" t="inlineStr">
        <is>
          <t>Audit &amp; compliance</t>
        </is>
      </c>
      <c r="C5" t="inlineStr">
        <is>
          <t>Compliance</t>
        </is>
      </c>
      <c r="D5" t="n">
        <v>70000</v>
      </c>
      <c r="E5" t="n">
        <v>0.4</v>
      </c>
      <c r="F5">
        <f>D5*(1+E5)</f>
        <v/>
      </c>
      <c r="G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Opening_Debt</t>
        </is>
      </c>
      <c r="C1" t="inlineStr">
        <is>
          <t>Drawdown</t>
        </is>
      </c>
      <c r="D1" t="inlineStr">
        <is>
          <t>Interest_Rate</t>
        </is>
      </c>
      <c r="E1" t="inlineStr">
        <is>
          <t>Interest_Cost</t>
        </is>
      </c>
      <c r="F1" t="inlineStr">
        <is>
          <t>Closing_Debt</t>
        </is>
      </c>
    </row>
    <row r="2">
      <c r="A2" t="n">
        <v>2025</v>
      </c>
      <c r="B2" t="n">
        <v>0</v>
      </c>
      <c r="C2" t="n">
        <v>4000000</v>
      </c>
      <c r="D2" t="n">
        <v>0.065</v>
      </c>
      <c r="E2">
        <f>B2*C2*D2</f>
        <v/>
      </c>
      <c r="F2">
        <f>B2+C2</f>
        <v/>
      </c>
    </row>
    <row r="3">
      <c r="A3" t="n">
        <v>2026</v>
      </c>
      <c r="B3">
        <f>F2</f>
        <v/>
      </c>
      <c r="C3" t="n">
        <v>3000000</v>
      </c>
      <c r="D3" t="n">
        <v>0.065</v>
      </c>
      <c r="E3">
        <f>B3*C3*D3</f>
        <v/>
      </c>
      <c r="F3">
        <f>B3+C3</f>
        <v/>
      </c>
    </row>
    <row r="4">
      <c r="A4" t="n">
        <v>2027</v>
      </c>
      <c r="B4">
        <f>F3</f>
        <v/>
      </c>
      <c r="C4" t="n">
        <v>0</v>
      </c>
      <c r="D4" t="n">
        <v>0.065</v>
      </c>
      <c r="E4">
        <f>B4*C4*D4</f>
        <v/>
      </c>
      <c r="F4">
        <f>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Phase</t>
        </is>
      </c>
      <c r="C1" t="inlineStr">
        <is>
          <t>Included_Scope</t>
        </is>
      </c>
      <c r="D1" t="inlineStr">
        <is>
          <t>CAPEX_€</t>
        </is>
      </c>
      <c r="E1" t="inlineStr">
        <is>
          <t>Timing</t>
        </is>
      </c>
    </row>
    <row r="2">
      <c r="A2" t="inlineStr">
        <is>
          <t>Shell Now</t>
        </is>
      </c>
      <c r="B2" t="inlineStr">
        <is>
          <t>Phase 1</t>
        </is>
      </c>
      <c r="C2" t="inlineStr">
        <is>
          <t>Land + Structure + Envelope</t>
        </is>
      </c>
      <c r="D2" t="n">
        <v>4500000</v>
      </c>
      <c r="E2" t="inlineStr">
        <is>
          <t>2025</t>
        </is>
      </c>
    </row>
    <row r="3">
      <c r="A3" t="inlineStr">
        <is>
          <t>MEP Later</t>
        </is>
      </c>
      <c r="B3" t="inlineStr">
        <is>
          <t>Phase 2</t>
        </is>
      </c>
      <c r="C3" t="inlineStr">
        <is>
          <t>All MEP Systems</t>
        </is>
      </c>
      <c r="D3" t="n">
        <v>2200000</v>
      </c>
      <c r="E3" t="inlineStr">
        <is>
          <t>2027</t>
        </is>
      </c>
    </row>
    <row r="4">
      <c r="A4" t="inlineStr">
        <is>
          <t>Full Build Now</t>
        </is>
      </c>
      <c r="B4" t="inlineStr">
        <is>
          <t>Single</t>
        </is>
      </c>
      <c r="C4" t="inlineStr">
        <is>
          <t>All Scope</t>
        </is>
      </c>
      <c r="D4" t="n">
        <v>10950000</v>
      </c>
      <c r="E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2025-12-19T11:48:57Z</dcterms:created>
  <dcterms:modified xmlns:dcterms="http://purl.org/dc/terms/" xmlns:xsi="http://www.w3.org/2001/XMLSchema-instance" xsi:type="dcterms:W3CDTF">2025-12-19T11:48:57Z</dcterms:modified>
</cp:coreProperties>
</file>