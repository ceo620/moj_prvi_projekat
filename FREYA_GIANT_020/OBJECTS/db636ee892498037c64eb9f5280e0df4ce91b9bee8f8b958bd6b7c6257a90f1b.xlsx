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ASSUMPTIONS_v4_5" sheetId="2" state="visible" r:id="rId2"/>
    <sheet xmlns:r="http://schemas.openxmlformats.org/officeDocument/2006/relationships" name="LAND ACQUISITION" sheetId="3" state="visible" r:id="rId3"/>
    <sheet xmlns:r="http://schemas.openxmlformats.org/officeDocument/2006/relationships" name="SITE PREPARATION &amp; CIVIL INFRAS" sheetId="4" state="visible" r:id="rId4"/>
    <sheet xmlns:r="http://schemas.openxmlformats.org/officeDocument/2006/relationships" name="BUILDINGS (INDUSTRIAL FACILITIE" sheetId="5" state="visible" r:id="rId5"/>
    <sheet xmlns:r="http://schemas.openxmlformats.org/officeDocument/2006/relationships" name="PRODUCTION EQUIPMENT (CORE PROC" sheetId="6" state="visible" r:id="rId6"/>
    <sheet xmlns:r="http://schemas.openxmlformats.org/officeDocument/2006/relationships" name="DRYING   INSULATION TECHNOLOGY" sheetId="7" state="visible" r:id="rId7"/>
    <sheet xmlns:r="http://schemas.openxmlformats.org/officeDocument/2006/relationships" name="TANK FABRICATION   METAL PROCES" sheetId="8" state="visible" r:id="rId8"/>
    <sheet xmlns:r="http://schemas.openxmlformats.org/officeDocument/2006/relationships" name="FINAL ASSEMBLY SYSTEMS" sheetId="9" state="visible" r:id="rId9"/>
    <sheet xmlns:r="http://schemas.openxmlformats.org/officeDocument/2006/relationships" name="TESTING HALL EQUIPMENT" sheetId="10" state="visible" r:id="rId10"/>
    <sheet xmlns:r="http://schemas.openxmlformats.org/officeDocument/2006/relationships" name="INTERNAL LOGISTICS &amp; MATERIAL " sheetId="11" state="visible" r:id="rId11"/>
    <sheet xmlns:r="http://schemas.openxmlformats.org/officeDocument/2006/relationships" name="UTILITIES &amp; ENERGY INFRASTRUCTU" sheetId="12" state="visible" r:id="rId12"/>
    <sheet xmlns:r="http://schemas.openxmlformats.org/officeDocument/2006/relationships" name="RENEWABLES &amp; ENERGY MANAGEMENT" sheetId="13" state="visible" r:id="rId13"/>
    <sheet xmlns:r="http://schemas.openxmlformats.org/officeDocument/2006/relationships" name="IT &amp; DIGITAL INFRASTRUCTURE" sheetId="14" state="visible" r:id="rId14"/>
    <sheet xmlns:r="http://schemas.openxmlformats.org/officeDocument/2006/relationships" name="QA LABORATORY &amp; MATERIAL TESTIN" sheetId="15" state="visible" r:id="rId15"/>
    <sheet xmlns:r="http://schemas.openxmlformats.org/officeDocument/2006/relationships" name="TRANSPORT &amp; FLEET" sheetId="16" state="visible" r:id="rId16"/>
    <sheet xmlns:r="http://schemas.openxmlformats.org/officeDocument/2006/relationships" name="SECURITY &amp; SAFETY SYSTEMS" sheetId="17" state="visible" r:id="rId17"/>
    <sheet xmlns:r="http://schemas.openxmlformats.org/officeDocument/2006/relationships" name="ENGINEERING &amp; PERMITS" sheetId="18" state="visible" r:id="rId18"/>
    <sheet xmlns:r="http://schemas.openxmlformats.org/officeDocument/2006/relationships" name="PROJECT MANAGEMENT &amp; IMPLEMENTA" sheetId="19" state="visible" r:id="rId19"/>
    <sheet xmlns:r="http://schemas.openxmlformats.org/officeDocument/2006/relationships" name="CONTINGENCY &amp; COST ESCALATION" sheetId="20" state="visible" r:id="rId20"/>
    <sheet xmlns:r="http://schemas.openxmlformats.org/officeDocument/2006/relationships" name="FINANCING COSTS" sheetId="21" state="visible" r:id="rId21"/>
    <sheet xmlns:r="http://schemas.openxmlformats.org/officeDocument/2006/relationships" name="START-UP INVENTORY &amp; SPARE PART" sheetId="22" state="visible" r:id="rId22"/>
    <sheet xmlns:r="http://schemas.openxmlformats.org/officeDocument/2006/relationships" name="TRAINING &amp; HUMAN CAPITAL DEVELO" sheetId="23" state="visible" r:id="rId23"/>
    <sheet xmlns:r="http://schemas.openxmlformats.org/officeDocument/2006/relationships" name="WORKING CAPITAL (START-UP INVEN" sheetId="24" state="visible" r:id="rId24"/>
    <sheet xmlns:r="http://schemas.openxmlformats.org/officeDocument/2006/relationships" name="LISTS" sheetId="25" state="hidden" r:id="rId25"/>
    <sheet xmlns:r="http://schemas.openxmlformats.org/officeDocument/2006/relationships" name="CONTROL_PANEL" sheetId="26" state="hidden" r:id="rId26"/>
  </sheets>
  <definedNames>
    <definedName name="_xlnm._FilterDatabase" localSheetId="1" hidden="1">'ASSUMPTIONS_v4_5'!$A$1:$F$25</definedName>
    <definedName name="_xlnm.Print_Titles" localSheetId="2">'LAND ACQUISITION'!$1:$2</definedName>
    <definedName name="_xlnm.Print_Titles" localSheetId="3">'SITE PREPARATION &amp; CIVIL INFRAS'!$1:$2</definedName>
    <definedName name="_xlnm.Print_Titles" localSheetId="4">'BUILDINGS (INDUSTRIAL FACILITIE'!$1:$2</definedName>
    <definedName name="_xlnm.Print_Titles" localSheetId="5">'PRODUCTION EQUIPMENT (CORE PROC'!$1:$2</definedName>
    <definedName name="_xlnm.Print_Titles" localSheetId="6">'DRYING   INSULATION TECHNOLOGY'!$1:$2</definedName>
    <definedName name="_xlnm.Print_Titles" localSheetId="7">'TANK FABRICATION   METAL PROCES'!$1:$2</definedName>
    <definedName name="_xlnm.Print_Titles" localSheetId="8">'FINAL ASSEMBLY SYSTEMS'!$1:$2</definedName>
    <definedName name="_xlnm.Print_Titles" localSheetId="9">'TESTING HALL EQUIPMENT'!$1:$2</definedName>
    <definedName name="_xlnm.Print_Titles" localSheetId="10">'INTERNAL LOGISTICS &amp; MATERIAL '!$1:$2</definedName>
    <definedName name="_xlnm.Print_Titles" localSheetId="11">'UTILITIES &amp; ENERGY INFRASTRUCTU'!$1:$2</definedName>
    <definedName name="_xlnm.Print_Titles" localSheetId="12">'RENEWABLES &amp; ENERGY MANAGEMENT'!$1:$2</definedName>
    <definedName name="_xlnm.Print_Titles" localSheetId="13">'IT &amp; DIGITAL INFRASTRUCTURE'!$1:$2</definedName>
    <definedName name="_xlnm.Print_Titles" localSheetId="14">'QA LABORATORY &amp; MATERIAL TESTIN'!$1:$2</definedName>
    <definedName name="_xlnm.Print_Titles" localSheetId="15">'TRANSPORT &amp; FLEET'!$1:$2</definedName>
    <definedName name="_xlnm.Print_Titles" localSheetId="16">'SECURITY &amp; SAFETY SYSTEMS'!$1:$2</definedName>
    <definedName name="_xlnm.Print_Titles" localSheetId="17">'ENGINEERING &amp; PERMITS'!$1:$2</definedName>
    <definedName name="_xlnm.Print_Titles" localSheetId="18">'PROJECT MANAGEMENT &amp; IMPLEMENTA'!$1:$2</definedName>
    <definedName name="_xlnm.Print_Titles" localSheetId="19">'CONTINGENCY &amp; COST ESCALATION'!$1:$2</definedName>
    <definedName name="_xlnm.Print_Titles" localSheetId="20">'FINANCING COSTS'!$1:$2</definedName>
    <definedName name="_xlnm.Print_Titles" localSheetId="21">'START-UP INVENTORY &amp; SPARE PART'!$1:$2</definedName>
    <definedName name="_xlnm.Print_Titles" localSheetId="22">'TRAINING &amp; HUMAN CAPITAL DEVELO'!$1:$2</definedName>
    <definedName name="_xlnm.Print_Titles" localSheetId="23">'WORKING CAPITAL (START-UP INVEN'!$1:$2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_);[Red](#,##0.00);-"/>
    <numFmt numFmtId="165" formatCode="0.0%"/>
    <numFmt numFmtId="166" formatCode="0.00x"/>
    <numFmt numFmtId="167" formatCode="#,##0_);[Red](#,##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666666"/>
    </font>
    <font>
      <color rgb="00008000"/>
    </font>
    <font>
      <b val="1"/>
      <color rgb="00FFFFFF"/>
      <sz val="12"/>
    </font>
    <font>
      <color rgb="000000FF"/>
    </font>
    <font>
      <b val="1"/>
    </font>
    <font>
      <i val="1"/>
      <color rgb="00C65911"/>
    </font>
    <font>
      <b val="1"/>
      <color rgb="00FFFFFF"/>
      <sz val="14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thin">
        <color rgb="009EADBA"/>
      </bottom>
    </border>
    <border>
      <bottom style="medium">
        <color rgb="001F4E78"/>
      </bottom>
    </border>
    <border>
      <top style="medium">
        <color rgb="001F4E78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0" fillId="7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6" fontId="10" fillId="7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7" fillId="6" borderId="3" pivotButton="0" quotePrefix="0" xfId="0"/>
    <xf numFmtId="164" fontId="7" fillId="6" borderId="3" pivotButton="0" quotePrefix="0" xfId="0"/>
    <xf numFmtId="165" fontId="7" fillId="6" borderId="3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167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top" wrapText="1"/>
    </xf>
    <xf numFmtId="167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'SUMMARY_DASHBOARD'!$A$7:$A$28</f>
            </numRef>
          </cat>
          <val>
            <numRef>
              <f>'SUMMARY_DASHBOARD'!$D$7:$D$28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Total (EUR)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2" authorId="0" shapeId="0">
      <text>
        <t>Source: List Nepokretnosti 3301</t>
      </text>
    </comment>
    <comment ref="C3" authorId="0" shapeId="0">
      <text>
        <t>Source: UTU dokument</t>
      </text>
    </comment>
    <comment ref="C4" authorId="0" shapeId="0">
      <text>
        <t>Source: List Nepokretnosti</t>
      </text>
    </comment>
    <comment ref="C5" authorId="0" shapeId="0">
      <text>
        <t>Source: Rješenje o registraciji</t>
      </text>
    </comment>
    <comment ref="C6" authorId="0" shapeId="0">
      <text>
        <t>Source: Rješenje o registraciji</t>
      </text>
    </comment>
    <comment ref="C7" authorId="0" shapeId="0">
      <text>
        <t>Source: Titan Grid v4.5</t>
      </text>
    </comment>
    <comment ref="C8" authorId="0" shapeId="0">
      <text>
        <t>Source: Titan Grid v4.5</t>
      </text>
    </comment>
    <comment ref="C9" authorId="0" shapeId="0">
      <text>
        <t>Source: Titan Grid v4.5 (10%)</t>
      </text>
    </comment>
    <comment ref="C10" authorId="0" shapeId="0">
      <text>
        <t>Source: Titan Grid v4.5</t>
      </text>
    </comment>
    <comment ref="C11" authorId="0" shapeId="0">
      <text>
        <t>Source: Titan Grid v4.5</t>
      </text>
    </comment>
    <comment ref="C12" authorId="0" shapeId="0">
      <text>
        <t>Source: Titan Grid v4.5</t>
      </text>
    </comment>
    <comment ref="C13" authorId="0" shapeId="0">
      <text>
        <t>Source: Model + seizmički podaci</t>
      </text>
    </comment>
    <comment ref="C14" authorId="0" shapeId="0">
      <text>
        <t>Source: Lokacija Podgorica</t>
      </text>
    </comment>
    <comment ref="C15" authorId="0" shapeId="0">
      <text>
        <t>Source: ARS_Full_v3 + v4.5</t>
      </text>
    </comment>
    <comment ref="C16" authorId="0" shapeId="0">
      <text>
        <t>Source: Titan Grid v4.5</t>
      </text>
    </comment>
    <comment ref="C17" authorId="0" shapeId="0">
      <text>
        <t>Source: Titan Grid v4.5</t>
      </text>
    </comment>
    <comment ref="C18" authorId="0" shapeId="0">
      <text>
        <t>Source: Titan Grid v4.5</t>
      </text>
    </comment>
    <comment ref="C19" authorId="0" shapeId="0">
      <text>
        <t>Source: Titan Grid v4.5</t>
      </text>
    </comment>
    <comment ref="C20" authorId="0" shapeId="0">
      <text>
        <t>Source: Titan Grid v4.5</t>
      </text>
    </comment>
    <comment ref="C21" authorId="0" shapeId="0">
      <text>
        <t>Source: Titan Grid v4.5</t>
      </text>
    </comment>
    <comment ref="C22" authorId="0" shapeId="0">
      <text>
        <t>Source: Titan Grid v4.5</t>
      </text>
    </comment>
    <comment ref="C23" authorId="0" shapeId="0">
      <text>
        <t>Source: Titan Grid v4.5</t>
      </text>
    </comment>
    <comment ref="C24" authorId="0" shapeId="0">
      <text>
        <t>Source: Titan Grid v4.5</t>
      </text>
    </comment>
    <comment ref="C25" authorId="0" shapeId="0">
      <text>
        <t>Source: Titan Grid v4.5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ummary_dashboard" displayName="tbl_summary_dashboard" ref="A6:F28" headerRowCount="1">
  <autoFilter ref="A6:F28"/>
  <tableColumns count="6">
    <tableColumn id="1" name="Category"/>
    <tableColumn id="2" name="Base Total (EUR)"/>
    <tableColumn id="3" name="Contingency (EUR)"/>
    <tableColumn id="4" name="Gross Total (EUR)"/>
    <tableColumn id="5" name="% of Gross Total"/>
    <tableColumn id="6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LAND_ACQUISITION" displayName="tbl_LAND_ACQUISITION" ref="A2:O25" headerRowCount="1">
  <autoFilter ref="A2:O25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_SITE_PREPARATION___CI" displayName="tbl_SITE_PREPARATION___CI" ref="A2:O28" headerRowCount="1">
  <autoFilter ref="A2:O28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_BUILDINGS__INDUSTRIAL" displayName="tbl_BUILDINGS__INDUSTRIAL" ref="A2:O32" headerRowCount="1">
  <autoFilter ref="A2:O32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_PRODUCTION_EQUIPMENT_" displayName="tbl_PRODUCTION_EQUIPMENT_" ref="A2:O35" headerRowCount="1">
  <autoFilter ref="A2:O35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_DRYING___INSULATION_T" displayName="tbl_DRYING___INSULATION_T" ref="A2:O26" headerRowCount="1">
  <autoFilter ref="A2:O26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_TANK_FABRICATION___ME" displayName="tbl_TANK_FABRICATION___ME" ref="A2:O35" headerRowCount="1">
  <autoFilter ref="A2:O35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_FINAL_ASSEMBLY_SYSTEM" displayName="tbl_FINAL_ASSEMBLY_SYSTEM" ref="A2:O30" headerRowCount="1">
  <autoFilter ref="A2:O30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_TESTING_HALL_EQUIPMEN" displayName="tbl_TESTING_HALL_EQUIPMEN" ref="A2:O35" headerRowCount="1">
  <autoFilter ref="A2:O35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_INTERNAL_LOGISTICS___" displayName="tbl_INTERNAL_LOGISTICS___" ref="A2:O27" headerRowCount="1">
  <autoFilter ref="A2:O2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tbl_UTILITIES___ENERGY_IN" displayName="tbl_UTILITIES___ENERGY_IN" ref="A2:O42" headerRowCount="1">
  <autoFilter ref="A2:O42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tbl_RENEWABLES___ENERGY_M" displayName="tbl_RENEWABLES___ENERGY_M" ref="A2:O28" headerRowCount="1">
  <autoFilter ref="A2:O28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tbl_IT___DIGITAL_INFRASTR" displayName="tbl_IT___DIGITAL_INFRASTR" ref="A2:O37" headerRowCount="1">
  <autoFilter ref="A2:O3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tbl_QA_LABORATORY___MATER" displayName="tbl_QA_LABORATORY___MATER" ref="A2:O32" headerRowCount="1">
  <autoFilter ref="A2:O32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5.xml><?xml version="1.0" encoding="utf-8"?>
<table xmlns="http://schemas.openxmlformats.org/spreadsheetml/2006/main" id="15" name="tbl_TRANSPORT___FLEET" displayName="tbl_TRANSPORT___FLEET" ref="A2:O27" headerRowCount="1">
  <autoFilter ref="A2:O2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6.xml><?xml version="1.0" encoding="utf-8"?>
<table xmlns="http://schemas.openxmlformats.org/spreadsheetml/2006/main" id="16" name="tbl_SECURITY___SAFETY_SYS" displayName="tbl_SECURITY___SAFETY_SYS" ref="A2:O32" headerRowCount="1">
  <autoFilter ref="A2:O32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7.xml><?xml version="1.0" encoding="utf-8"?>
<table xmlns="http://schemas.openxmlformats.org/spreadsheetml/2006/main" id="17" name="tbl_ENGINEERING___PERMITS" displayName="tbl_ENGINEERING___PERMITS" ref="A2:O34" headerRowCount="1">
  <autoFilter ref="A2:O34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8.xml><?xml version="1.0" encoding="utf-8"?>
<table xmlns="http://schemas.openxmlformats.org/spreadsheetml/2006/main" id="18" name="tbl_PROJECT_MANAGEMENT___" displayName="tbl_PROJECT_MANAGEMENT___" ref="A2:O29" headerRowCount="1">
  <autoFilter ref="A2:O29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19.xml><?xml version="1.0" encoding="utf-8"?>
<table xmlns="http://schemas.openxmlformats.org/spreadsheetml/2006/main" id="19" name="tbl_CONTINGENCY___COST_ES" displayName="tbl_CONTINGENCY___COST_ES" ref="A2:O29" headerRowCount="1">
  <autoFilter ref="A2:O29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20.xml><?xml version="1.0" encoding="utf-8"?>
<table xmlns="http://schemas.openxmlformats.org/spreadsheetml/2006/main" id="20" name="tbl_FINANCING_COSTS" displayName="tbl_FINANCING_COSTS" ref="A2:O26" headerRowCount="1">
  <autoFilter ref="A2:O26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21.xml><?xml version="1.0" encoding="utf-8"?>
<table xmlns="http://schemas.openxmlformats.org/spreadsheetml/2006/main" id="21" name="tbl_START_UP_INVENTORY___" displayName="tbl_START_UP_INVENTORY___" ref="A2:O27" headerRowCount="1">
  <autoFilter ref="A2:O2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22.xml><?xml version="1.0" encoding="utf-8"?>
<table xmlns="http://schemas.openxmlformats.org/spreadsheetml/2006/main" id="22" name="tbl_TRAINING___HUMAN_CAPI" displayName="tbl_TRAINING___HUMAN_CAPI" ref="A2:O27" headerRowCount="1">
  <autoFilter ref="A2:O2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ables/table23.xml><?xml version="1.0" encoding="utf-8"?>
<table xmlns="http://schemas.openxmlformats.org/spreadsheetml/2006/main" id="23" name="tbl_WORKING_CAPITAL__STAR" displayName="tbl_WORKING_CAPITAL__STAR" ref="A2:O27" headerRowCount="1">
  <autoFilter ref="A2:O27"/>
  <tableColumns count="15">
    <tableColumn id="1" name="Category"/>
    <tableColumn id="2" name="CAPEX item"/>
    <tableColumn id="3" name="Description"/>
    <tableColumn id="4" name="Quantity"/>
    <tableColumn id="5" name="Unit"/>
    <tableColumn id="6" name="Unit Price (EUR)"/>
    <tableColumn id="7" name="Total Cost (EUR)"/>
    <tableColumn id="8" name="% of Category"/>
    <tableColumn id="9" name="Vendor"/>
    <tableColumn id="10" name="Timeline"/>
    <tableColumn id="11" name="Status"/>
    <tableColumn id="12" name="Contingency %"/>
    <tableColumn id="13" name="Contingency Amount"/>
    <tableColumn id="14" name="Gross Total (EUR)"/>
    <tableColumn id="15" name="Risk 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3" customWidth="1" min="7" max="7"/>
    <col width="3" customWidth="1" min="8" max="8"/>
  </cols>
  <sheetData>
    <row r="1">
      <c r="A1" s="1" t="inlineStr">
        <is>
          <t>TITAN GRID | CAPEX SUMMARY DASHBOARD</t>
        </is>
      </c>
    </row>
    <row r="2">
      <c r="A2" s="2" t="inlineStr">
        <is>
          <t>Locked assumptions reflected from v4.5. Category totals update automatically once Quantity and Unit Price are entered in category sheets.</t>
        </is>
      </c>
    </row>
    <row r="3">
      <c r="A3" s="3" t="inlineStr">
        <is>
          <t>Direct CAPEX</t>
        </is>
      </c>
      <c r="B3" s="4">
        <f>CONTROL_PANEL!B2</f>
        <v/>
      </c>
      <c r="C3" s="3" t="inlineStr">
        <is>
          <t>Contingency</t>
        </is>
      </c>
      <c r="D3" s="4">
        <f>CONTROL_PANEL!B3</f>
        <v/>
      </c>
      <c r="E3" s="3" t="inlineStr">
        <is>
          <t>TPC</t>
        </is>
      </c>
      <c r="F3" s="4">
        <f>CONTROL_PANEL!B4</f>
        <v/>
      </c>
      <c r="G3" s="3" t="inlineStr">
        <is>
          <t>IDC</t>
        </is>
      </c>
      <c r="H3" s="4">
        <f>CONTROL_PANEL!B5</f>
        <v/>
      </c>
    </row>
    <row r="4">
      <c r="A4" s="3" t="inlineStr">
        <is>
          <t>Debt %</t>
        </is>
      </c>
      <c r="B4" s="5">
        <f>CONTROL_PANEL!B6</f>
        <v/>
      </c>
      <c r="C4" s="3" t="inlineStr">
        <is>
          <t>Equity %</t>
        </is>
      </c>
      <c r="D4" s="5">
        <f>CONTROL_PANEL!B7</f>
        <v/>
      </c>
      <c r="E4" s="3" t="inlineStr">
        <is>
          <t>Min DSCR</t>
        </is>
      </c>
      <c r="F4" s="6">
        <f>CONTROL_PANEL!B8</f>
        <v/>
      </c>
      <c r="G4" s="3" t="inlineStr">
        <is>
          <t>Avg DSCR</t>
        </is>
      </c>
      <c r="H4" s="6">
        <f>CONTROL_PANEL!B9</f>
        <v/>
      </c>
    </row>
    <row r="6">
      <c r="A6" s="3" t="inlineStr">
        <is>
          <t>Category</t>
        </is>
      </c>
      <c r="B6" s="3" t="inlineStr">
        <is>
          <t>Base Total (EUR)</t>
        </is>
      </c>
      <c r="C6" s="3" t="inlineStr">
        <is>
          <t>Contingency (EUR)</t>
        </is>
      </c>
      <c r="D6" s="3" t="inlineStr">
        <is>
          <t>Gross Total (EUR)</t>
        </is>
      </c>
      <c r="E6" s="3" t="inlineStr">
        <is>
          <t>% of Gross Total</t>
        </is>
      </c>
      <c r="F6" s="3" t="inlineStr">
        <is>
          <t>Status</t>
        </is>
      </c>
    </row>
    <row r="7">
      <c r="A7" t="inlineStr">
        <is>
          <t>LAND ACQUISITION</t>
        </is>
      </c>
      <c r="B7" s="7">
        <f>'LAND ACQUISITION'!G27</f>
        <v/>
      </c>
      <c r="C7" s="7">
        <f>'LAND ACQUISITION'!M27</f>
        <v/>
      </c>
      <c r="D7" s="7">
        <f>'LAND ACQUISITION'!N27</f>
        <v/>
      </c>
      <c r="E7" s="8">
        <f>IFERROR(D7/SUM($D$7:$D$28),0)</f>
        <v/>
      </c>
      <c r="F7" s="9">
        <f>IF(D7=0,"Awaiting Input","Active")</f>
        <v/>
      </c>
    </row>
    <row r="8">
      <c r="A8" t="inlineStr">
        <is>
          <t>SITE PREPARATION &amp; CIVIL INFRAS</t>
        </is>
      </c>
      <c r="B8" s="7">
        <f>'SITE PREPARATION &amp; CIVIL INFRAS'!G30</f>
        <v/>
      </c>
      <c r="C8" s="7">
        <f>'SITE PREPARATION &amp; CIVIL INFRAS'!M30</f>
        <v/>
      </c>
      <c r="D8" s="7">
        <f>'SITE PREPARATION &amp; CIVIL INFRAS'!N30</f>
        <v/>
      </c>
      <c r="E8" s="8">
        <f>IFERROR(D8/SUM($D$7:$D$28),0)</f>
        <v/>
      </c>
      <c r="F8" s="9">
        <f>IF(D8=0,"Awaiting Input","Active")</f>
        <v/>
      </c>
    </row>
    <row r="9">
      <c r="A9" t="inlineStr">
        <is>
          <t>BUILDINGS (INDUSTRIAL FACILITIE</t>
        </is>
      </c>
      <c r="B9" s="7">
        <f>'BUILDINGS (INDUSTRIAL FACILITIE'!G34</f>
        <v/>
      </c>
      <c r="C9" s="7">
        <f>'BUILDINGS (INDUSTRIAL FACILITIE'!M34</f>
        <v/>
      </c>
      <c r="D9" s="7">
        <f>'BUILDINGS (INDUSTRIAL FACILITIE'!N34</f>
        <v/>
      </c>
      <c r="E9" s="8">
        <f>IFERROR(D9/SUM($D$7:$D$28),0)</f>
        <v/>
      </c>
      <c r="F9" s="9">
        <f>IF(D9=0,"Awaiting Input","Active")</f>
        <v/>
      </c>
    </row>
    <row r="10">
      <c r="A10" t="inlineStr">
        <is>
          <t>PRODUCTION EQUIPMENT (CORE PROC</t>
        </is>
      </c>
      <c r="B10" s="7">
        <f>'PRODUCTION EQUIPMENT (CORE PROC'!G37</f>
        <v/>
      </c>
      <c r="C10" s="7">
        <f>'PRODUCTION EQUIPMENT (CORE PROC'!M37</f>
        <v/>
      </c>
      <c r="D10" s="7">
        <f>'PRODUCTION EQUIPMENT (CORE PROC'!N37</f>
        <v/>
      </c>
      <c r="E10" s="8">
        <f>IFERROR(D10/SUM($D$7:$D$28),0)</f>
        <v/>
      </c>
      <c r="F10" s="9">
        <f>IF(D10=0,"Awaiting Input","Active")</f>
        <v/>
      </c>
    </row>
    <row r="11">
      <c r="A11" t="inlineStr">
        <is>
          <t>DRYING   INSULATION TECHNOLOGY</t>
        </is>
      </c>
      <c r="B11" s="7">
        <f>'DRYING   INSULATION TECHNOLOGY'!G28</f>
        <v/>
      </c>
      <c r="C11" s="7">
        <f>'DRYING   INSULATION TECHNOLOGY'!M28</f>
        <v/>
      </c>
      <c r="D11" s="7">
        <f>'DRYING   INSULATION TECHNOLOGY'!N28</f>
        <v/>
      </c>
      <c r="E11" s="8">
        <f>IFERROR(D11/SUM($D$7:$D$28),0)</f>
        <v/>
      </c>
      <c r="F11" s="9">
        <f>IF(D11=0,"Awaiting Input","Active")</f>
        <v/>
      </c>
    </row>
    <row r="12">
      <c r="A12" t="inlineStr">
        <is>
          <t>TANK FABRICATION   METAL PROCES</t>
        </is>
      </c>
      <c r="B12" s="7">
        <f>'TANK FABRICATION   METAL PROCES'!G37</f>
        <v/>
      </c>
      <c r="C12" s="7">
        <f>'TANK FABRICATION   METAL PROCES'!M37</f>
        <v/>
      </c>
      <c r="D12" s="7">
        <f>'TANK FABRICATION   METAL PROCES'!N37</f>
        <v/>
      </c>
      <c r="E12" s="8">
        <f>IFERROR(D12/SUM($D$7:$D$28),0)</f>
        <v/>
      </c>
      <c r="F12" s="9">
        <f>IF(D12=0,"Awaiting Input","Active")</f>
        <v/>
      </c>
    </row>
    <row r="13">
      <c r="A13" t="inlineStr">
        <is>
          <t>FINAL ASSEMBLY SYSTEMS</t>
        </is>
      </c>
      <c r="B13" s="7">
        <f>'FINAL ASSEMBLY SYSTEMS'!G32</f>
        <v/>
      </c>
      <c r="C13" s="7">
        <f>'FINAL ASSEMBLY SYSTEMS'!M32</f>
        <v/>
      </c>
      <c r="D13" s="7">
        <f>'FINAL ASSEMBLY SYSTEMS'!N32</f>
        <v/>
      </c>
      <c r="E13" s="8">
        <f>IFERROR(D13/SUM($D$7:$D$28),0)</f>
        <v/>
      </c>
      <c r="F13" s="9">
        <f>IF(D13=0,"Awaiting Input","Active")</f>
        <v/>
      </c>
    </row>
    <row r="14">
      <c r="A14" t="inlineStr">
        <is>
          <t>TESTING HALL EQUIPMENT</t>
        </is>
      </c>
      <c r="B14" s="7">
        <f>'TESTING HALL EQUIPMENT'!G37</f>
        <v/>
      </c>
      <c r="C14" s="7">
        <f>'TESTING HALL EQUIPMENT'!M37</f>
        <v/>
      </c>
      <c r="D14" s="7">
        <f>'TESTING HALL EQUIPMENT'!N37</f>
        <v/>
      </c>
      <c r="E14" s="8">
        <f>IFERROR(D14/SUM($D$7:$D$28),0)</f>
        <v/>
      </c>
      <c r="F14" s="9">
        <f>IF(D14=0,"Awaiting Input","Active")</f>
        <v/>
      </c>
    </row>
    <row r="15">
      <c r="A15" t="inlineStr">
        <is>
          <t xml:space="preserve">INTERNAL LOGISTICS &amp; MATERIAL </t>
        </is>
      </c>
      <c r="B15" s="7">
        <f>'INTERNAL LOGISTICS &amp; MATERIAL '!G29</f>
        <v/>
      </c>
      <c r="C15" s="7">
        <f>'INTERNAL LOGISTICS &amp; MATERIAL '!M29</f>
        <v/>
      </c>
      <c r="D15" s="7">
        <f>'INTERNAL LOGISTICS &amp; MATERIAL '!N29</f>
        <v/>
      </c>
      <c r="E15" s="8">
        <f>IFERROR(D15/SUM($D$7:$D$28),0)</f>
        <v/>
      </c>
      <c r="F15" s="9">
        <f>IF(D15=0,"Awaiting Input","Active")</f>
        <v/>
      </c>
    </row>
    <row r="16">
      <c r="A16" t="inlineStr">
        <is>
          <t>UTILITIES &amp; ENERGY INFRASTRUCTU</t>
        </is>
      </c>
      <c r="B16" s="7">
        <f>'UTILITIES &amp; ENERGY INFRASTRUCTU'!G44</f>
        <v/>
      </c>
      <c r="C16" s="7">
        <f>'UTILITIES &amp; ENERGY INFRASTRUCTU'!M44</f>
        <v/>
      </c>
      <c r="D16" s="7">
        <f>'UTILITIES &amp; ENERGY INFRASTRUCTU'!N44</f>
        <v/>
      </c>
      <c r="E16" s="8">
        <f>IFERROR(D16/SUM($D$7:$D$28),0)</f>
        <v/>
      </c>
      <c r="F16" s="9">
        <f>IF(D16=0,"Awaiting Input","Active")</f>
        <v/>
      </c>
    </row>
    <row r="17">
      <c r="A17" t="inlineStr">
        <is>
          <t>RENEWABLES &amp; ENERGY MANAGEMENT</t>
        </is>
      </c>
      <c r="B17" s="7">
        <f>'RENEWABLES &amp; ENERGY MANAGEMENT'!G30</f>
        <v/>
      </c>
      <c r="C17" s="7">
        <f>'RENEWABLES &amp; ENERGY MANAGEMENT'!M30</f>
        <v/>
      </c>
      <c r="D17" s="7">
        <f>'RENEWABLES &amp; ENERGY MANAGEMENT'!N30</f>
        <v/>
      </c>
      <c r="E17" s="8">
        <f>IFERROR(D17/SUM($D$7:$D$28),0)</f>
        <v/>
      </c>
      <c r="F17" s="9">
        <f>IF(D17=0,"Awaiting Input","Active")</f>
        <v/>
      </c>
    </row>
    <row r="18">
      <c r="A18" t="inlineStr">
        <is>
          <t>IT &amp; DIGITAL INFRASTRUCTURE</t>
        </is>
      </c>
      <c r="B18" s="7">
        <f>'IT &amp; DIGITAL INFRASTRUCTURE'!G39</f>
        <v/>
      </c>
      <c r="C18" s="7">
        <f>'IT &amp; DIGITAL INFRASTRUCTURE'!M39</f>
        <v/>
      </c>
      <c r="D18" s="7">
        <f>'IT &amp; DIGITAL INFRASTRUCTURE'!N39</f>
        <v/>
      </c>
      <c r="E18" s="8">
        <f>IFERROR(D18/SUM($D$7:$D$28),0)</f>
        <v/>
      </c>
      <c r="F18" s="9">
        <f>IF(D18=0,"Awaiting Input","Active")</f>
        <v/>
      </c>
    </row>
    <row r="19">
      <c r="A19" t="inlineStr">
        <is>
          <t>QA LABORATORY &amp; MATERIAL TESTIN</t>
        </is>
      </c>
      <c r="B19" s="7">
        <f>'QA LABORATORY &amp; MATERIAL TESTIN'!G34</f>
        <v/>
      </c>
      <c r="C19" s="7">
        <f>'QA LABORATORY &amp; MATERIAL TESTIN'!M34</f>
        <v/>
      </c>
      <c r="D19" s="7">
        <f>'QA LABORATORY &amp; MATERIAL TESTIN'!N34</f>
        <v/>
      </c>
      <c r="E19" s="8">
        <f>IFERROR(D19/SUM($D$7:$D$28),0)</f>
        <v/>
      </c>
      <c r="F19" s="9">
        <f>IF(D19=0,"Awaiting Input","Active")</f>
        <v/>
      </c>
    </row>
    <row r="20">
      <c r="A20" t="inlineStr">
        <is>
          <t>TRANSPORT &amp; FLEET</t>
        </is>
      </c>
      <c r="B20" s="7">
        <f>'TRANSPORT &amp; FLEET'!G29</f>
        <v/>
      </c>
      <c r="C20" s="7">
        <f>'TRANSPORT &amp; FLEET'!M29</f>
        <v/>
      </c>
      <c r="D20" s="7">
        <f>'TRANSPORT &amp; FLEET'!N29</f>
        <v/>
      </c>
      <c r="E20" s="8">
        <f>IFERROR(D20/SUM($D$7:$D$28),0)</f>
        <v/>
      </c>
      <c r="F20" s="9">
        <f>IF(D20=0,"Awaiting Input","Active")</f>
        <v/>
      </c>
    </row>
    <row r="21">
      <c r="A21" t="inlineStr">
        <is>
          <t>SECURITY &amp; SAFETY SYSTEMS</t>
        </is>
      </c>
      <c r="B21" s="7">
        <f>'SECURITY &amp; SAFETY SYSTEMS'!G34</f>
        <v/>
      </c>
      <c r="C21" s="7">
        <f>'SECURITY &amp; SAFETY SYSTEMS'!M34</f>
        <v/>
      </c>
      <c r="D21" s="7">
        <f>'SECURITY &amp; SAFETY SYSTEMS'!N34</f>
        <v/>
      </c>
      <c r="E21" s="8">
        <f>IFERROR(D21/SUM($D$7:$D$28),0)</f>
        <v/>
      </c>
      <c r="F21" s="9">
        <f>IF(D21=0,"Awaiting Input","Active")</f>
        <v/>
      </c>
    </row>
    <row r="22">
      <c r="A22" t="inlineStr">
        <is>
          <t>ENGINEERING &amp; PERMITS</t>
        </is>
      </c>
      <c r="B22" s="7">
        <f>'ENGINEERING &amp; PERMITS'!G36</f>
        <v/>
      </c>
      <c r="C22" s="7">
        <f>'ENGINEERING &amp; PERMITS'!M36</f>
        <v/>
      </c>
      <c r="D22" s="7">
        <f>'ENGINEERING &amp; PERMITS'!N36</f>
        <v/>
      </c>
      <c r="E22" s="8">
        <f>IFERROR(D22/SUM($D$7:$D$28),0)</f>
        <v/>
      </c>
      <c r="F22" s="9">
        <f>IF(D22=0,"Awaiting Input","Active")</f>
        <v/>
      </c>
    </row>
    <row r="23">
      <c r="A23" t="inlineStr">
        <is>
          <t>PROJECT MANAGEMENT &amp; IMPLEMENTA</t>
        </is>
      </c>
      <c r="B23" s="7">
        <f>'PROJECT MANAGEMENT &amp; IMPLEMENTA'!G31</f>
        <v/>
      </c>
      <c r="C23" s="7">
        <f>'PROJECT MANAGEMENT &amp; IMPLEMENTA'!M31</f>
        <v/>
      </c>
      <c r="D23" s="7">
        <f>'PROJECT MANAGEMENT &amp; IMPLEMENTA'!N31</f>
        <v/>
      </c>
      <c r="E23" s="8">
        <f>IFERROR(D23/SUM($D$7:$D$28),0)</f>
        <v/>
      </c>
      <c r="F23" s="9">
        <f>IF(D23=0,"Awaiting Input","Active")</f>
        <v/>
      </c>
    </row>
    <row r="24">
      <c r="A24" t="inlineStr">
        <is>
          <t>CONTINGENCY &amp; COST ESCALATION</t>
        </is>
      </c>
      <c r="B24" s="7">
        <f>'CONTINGENCY &amp; COST ESCALATION'!G31</f>
        <v/>
      </c>
      <c r="C24" s="7">
        <f>'CONTINGENCY &amp; COST ESCALATION'!M31</f>
        <v/>
      </c>
      <c r="D24" s="7">
        <f>'CONTINGENCY &amp; COST ESCALATION'!N31</f>
        <v/>
      </c>
      <c r="E24" s="8">
        <f>IFERROR(D24/SUM($D$7:$D$28),0)</f>
        <v/>
      </c>
      <c r="F24" s="9">
        <f>IF(D24=0,"Awaiting Input","Active")</f>
        <v/>
      </c>
    </row>
    <row r="25">
      <c r="A25" t="inlineStr">
        <is>
          <t>FINANCING COSTS</t>
        </is>
      </c>
      <c r="B25" s="7">
        <f>'FINANCING COSTS'!G28</f>
        <v/>
      </c>
      <c r="C25" s="7">
        <f>'FINANCING COSTS'!M28</f>
        <v/>
      </c>
      <c r="D25" s="7">
        <f>'FINANCING COSTS'!N28</f>
        <v/>
      </c>
      <c r="E25" s="8">
        <f>IFERROR(D25/SUM($D$7:$D$28),0)</f>
        <v/>
      </c>
      <c r="F25" s="9">
        <f>IF(D25=0,"Awaiting Input","Active")</f>
        <v/>
      </c>
    </row>
    <row r="26">
      <c r="A26" t="inlineStr">
        <is>
          <t>START-UP INVENTORY &amp; SPARE PART</t>
        </is>
      </c>
      <c r="B26" s="7">
        <f>'START-UP INVENTORY &amp; SPARE PART'!G29</f>
        <v/>
      </c>
      <c r="C26" s="7">
        <f>'START-UP INVENTORY &amp; SPARE PART'!M29</f>
        <v/>
      </c>
      <c r="D26" s="7">
        <f>'START-UP INVENTORY &amp; SPARE PART'!N29</f>
        <v/>
      </c>
      <c r="E26" s="8">
        <f>IFERROR(D26/SUM($D$7:$D$28),0)</f>
        <v/>
      </c>
      <c r="F26" s="9">
        <f>IF(D26=0,"Awaiting Input","Active")</f>
        <v/>
      </c>
    </row>
    <row r="27">
      <c r="A27" t="inlineStr">
        <is>
          <t>TRAINING &amp; HUMAN CAPITAL DEVELO</t>
        </is>
      </c>
      <c r="B27" s="7">
        <f>'TRAINING &amp; HUMAN CAPITAL DEVELO'!G29</f>
        <v/>
      </c>
      <c r="C27" s="7">
        <f>'TRAINING &amp; HUMAN CAPITAL DEVELO'!M29</f>
        <v/>
      </c>
      <c r="D27" s="7">
        <f>'TRAINING &amp; HUMAN CAPITAL DEVELO'!N29</f>
        <v/>
      </c>
      <c r="E27" s="8">
        <f>IFERROR(D27/SUM($D$7:$D$28),0)</f>
        <v/>
      </c>
      <c r="F27" s="9">
        <f>IF(D27=0,"Awaiting Input","Active")</f>
        <v/>
      </c>
    </row>
    <row r="28">
      <c r="A28" t="inlineStr">
        <is>
          <t>WORKING CAPITAL (START-UP INVEN</t>
        </is>
      </c>
      <c r="B28" s="7">
        <f>'WORKING CAPITAL (START-UP INVEN'!G29</f>
        <v/>
      </c>
      <c r="C28" s="7">
        <f>'WORKING CAPITAL (START-UP INVEN'!M29</f>
        <v/>
      </c>
      <c r="D28" s="7">
        <f>'WORKING CAPITAL (START-UP INVEN'!N29</f>
        <v/>
      </c>
      <c r="E28" s="8">
        <f>IFERROR(D28/SUM($D$7:$D$28),0)</f>
        <v/>
      </c>
      <c r="F28" s="9">
        <f>IF(D28=0,"Awaiting Input","Active")</f>
        <v/>
      </c>
    </row>
    <row r="30">
      <c r="A30" s="10" t="inlineStr">
        <is>
          <t>GRAND TOTAL</t>
        </is>
      </c>
      <c r="B30" s="11">
        <f>SUM(B7:B28)</f>
        <v/>
      </c>
      <c r="C30" s="11">
        <f>SUM(C7:C28)</f>
        <v/>
      </c>
      <c r="D30" s="11">
        <f>SUM(D7:D28)</f>
        <v/>
      </c>
      <c r="E30" s="12" t="n">
        <v>1</v>
      </c>
    </row>
  </sheetData>
  <mergeCells count="2">
    <mergeCell ref="A2:H2"/>
    <mergeCell ref="A1:H1"/>
  </mergeCells>
  <pageMargins left="0.3" right="0.3" top="0.5" bottom="0.5" header="0.2" footer="0.2"/>
  <pageSetup orientation="landscape" fitToHeight="1" fitToWidth="1"/>
  <headerFooter>
    <oddHeader/>
    <oddFooter>&amp;L&amp;8Confidential&amp;C&amp;8Titan Grid v4.5 Dashboard&amp;R&amp;8Page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24" customWidth="1" min="4" max="4"/>
    <col width="12" customWidth="1" min="5" max="5"/>
    <col width="36" customWidth="1" min="6" max="6"/>
  </cols>
  <sheetData>
    <row r="1">
      <c r="A1" s="3" t="inlineStr">
        <is>
          <t>Kategorija</t>
        </is>
      </c>
      <c r="B1" s="3" t="inlineStr">
        <is>
          <t>Parametar</t>
        </is>
      </c>
      <c r="C1" s="3" t="inlineStr">
        <is>
          <t>Vrijednost</t>
        </is>
      </c>
      <c r="D1" s="3" t="inlineStr">
        <is>
          <t>Izvor</t>
        </is>
      </c>
      <c r="E1" s="3" t="inlineStr">
        <is>
          <t>Status</t>
        </is>
      </c>
      <c r="F1" s="3" t="inlineStr">
        <is>
          <t>Napomena</t>
        </is>
      </c>
    </row>
    <row r="2">
      <c r="A2" s="13" t="inlineStr">
        <is>
          <t>Land &amp; Location</t>
        </is>
      </c>
      <c r="B2" s="13" t="inlineStr">
        <is>
          <t>Površina parcele</t>
        </is>
      </c>
      <c r="C2" s="14" t="inlineStr">
        <is>
          <t>22.742 m²</t>
        </is>
      </c>
      <c r="D2" s="15" t="inlineStr">
        <is>
          <t>List Nepokretnosti 3301</t>
        </is>
      </c>
      <c r="E2" s="13" t="inlineStr">
        <is>
          <t>Locked</t>
        </is>
      </c>
      <c r="F2" s="13" t="inlineStr">
        <is>
          <t>Tuške Livade, parcela 413/3</t>
        </is>
      </c>
    </row>
    <row r="3">
      <c r="A3" s="13" t="inlineStr">
        <is>
          <t>Land &amp; Location</t>
        </is>
      </c>
      <c r="B3" s="13" t="inlineStr">
        <is>
          <t>UTU ograničenje</t>
        </is>
      </c>
      <c r="C3" s="14" t="inlineStr">
        <is>
          <t>10.000 m² BGP</t>
        </is>
      </c>
      <c r="D3" s="15" t="inlineStr">
        <is>
          <t>UTU dokument</t>
        </is>
      </c>
      <c r="E3" s="13" t="inlineStr">
        <is>
          <t>Locked</t>
        </is>
      </c>
      <c r="F3" s="13" t="inlineStr">
        <is>
          <t>Maksimalna dozvoljena građevinska površina</t>
        </is>
      </c>
    </row>
    <row r="4">
      <c r="A4" s="13" t="inlineStr">
        <is>
          <t>Land &amp; Location</t>
        </is>
      </c>
      <c r="B4" s="13" t="inlineStr">
        <is>
          <t>Vlasnik</t>
        </is>
      </c>
      <c r="C4" s="14" t="inlineStr">
        <is>
          <t>ARS METAL INDUSTRIES DOO</t>
        </is>
      </c>
      <c r="D4" s="15" t="inlineStr">
        <is>
          <t>List Nepokretnosti</t>
        </is>
      </c>
      <c r="E4" s="13" t="inlineStr">
        <is>
          <t>Locked</t>
        </is>
      </c>
      <c r="F4" s="13" t="inlineStr">
        <is>
          <t>100% vlasništvo, bez tereta</t>
        </is>
      </c>
    </row>
    <row r="5">
      <c r="A5" s="13" t="inlineStr">
        <is>
          <t>Company &amp; Legal</t>
        </is>
      </c>
      <c r="B5" s="13" t="inlineStr">
        <is>
          <t>Crnogorska kompanija PIB</t>
        </is>
      </c>
      <c r="C5" s="14" t="inlineStr">
        <is>
          <t>03570843</t>
        </is>
      </c>
      <c r="D5" s="15" t="inlineStr">
        <is>
          <t>Rješenje o registraciji</t>
        </is>
      </c>
      <c r="E5" s="13" t="inlineStr">
        <is>
          <t>Locked</t>
        </is>
      </c>
      <c r="F5" s="13" t="inlineStr">
        <is>
          <t>Registrovana 19.06.2023.</t>
        </is>
      </c>
    </row>
    <row r="6">
      <c r="A6" s="13" t="inlineStr">
        <is>
          <t>Company &amp; Legal</t>
        </is>
      </c>
      <c r="B6" s="13" t="inlineStr">
        <is>
          <t>Turska matična firma PIB</t>
        </is>
      </c>
      <c r="C6" s="14" t="inlineStr">
        <is>
          <t>03674762</t>
        </is>
      </c>
      <c r="D6" s="15" t="inlineStr">
        <is>
          <t>Rješenje o registraciji</t>
        </is>
      </c>
      <c r="E6" s="13" t="inlineStr">
        <is>
          <t>Locked</t>
        </is>
      </c>
      <c r="F6" s="13" t="inlineStr">
        <is>
          <t>Dio stranog društva (17.07.2024.)</t>
        </is>
      </c>
    </row>
    <row r="7">
      <c r="A7" s="13" t="inlineStr">
        <is>
          <t>Financial &amp; Funding</t>
        </is>
      </c>
      <c r="B7" s="13" t="inlineStr">
        <is>
          <t>Total Project Cost (TPC)</t>
        </is>
      </c>
      <c r="C7" s="14" t="inlineStr">
        <is>
          <t>27.796.156 €</t>
        </is>
      </c>
      <c r="D7" s="15" t="inlineStr">
        <is>
          <t>Titan Grid v4.5</t>
        </is>
      </c>
      <c r="E7" s="13" t="inlineStr">
        <is>
          <t>Locked</t>
        </is>
      </c>
      <c r="F7" s="13" t="inlineStr">
        <is>
          <t>Ukupni troškovi projekta</t>
        </is>
      </c>
    </row>
    <row r="8">
      <c r="A8" s="13" t="inlineStr">
        <is>
          <t>Financial &amp; Funding</t>
        </is>
      </c>
      <c r="B8" s="13" t="inlineStr">
        <is>
          <t>Direct CAPEX (BoQ)</t>
        </is>
      </c>
      <c r="C8" s="14" t="inlineStr">
        <is>
          <t>24.715.200 €</t>
        </is>
      </c>
      <c r="D8" s="15" t="inlineStr">
        <is>
          <t>Titan Grid v4.5</t>
        </is>
      </c>
      <c r="E8" s="13" t="inlineStr">
        <is>
          <t>Locked</t>
        </is>
      </c>
      <c r="F8" s="13" t="inlineStr">
        <is>
          <t>Osnovni CAPEX</t>
        </is>
      </c>
    </row>
    <row r="9">
      <c r="A9" s="13" t="inlineStr">
        <is>
          <t>Financial &amp; Funding</t>
        </is>
      </c>
      <c r="B9" s="13" t="inlineStr">
        <is>
          <t>Contingency</t>
        </is>
      </c>
      <c r="C9" s="14" t="inlineStr">
        <is>
          <t>2.471.520 €</t>
        </is>
      </c>
      <c r="D9" s="15" t="inlineStr">
        <is>
          <t>Titan Grid v4.5 (10%)</t>
        </is>
      </c>
      <c r="E9" s="13" t="inlineStr">
        <is>
          <t>Locked</t>
        </is>
      </c>
      <c r="F9" s="13" t="inlineStr">
        <is>
          <t>10% od Direct CAPEX</t>
        </is>
      </c>
    </row>
    <row r="10">
      <c r="A10" s="13" t="inlineStr">
        <is>
          <t>Financial &amp; Funding</t>
        </is>
      </c>
      <c r="B10" s="13" t="inlineStr">
        <is>
          <t>Debt (gearing)</t>
        </is>
      </c>
      <c r="C10" s="14" t="inlineStr">
        <is>
          <t>60%</t>
        </is>
      </c>
      <c r="D10" s="15" t="inlineStr">
        <is>
          <t>Titan Grid v4.5</t>
        </is>
      </c>
      <c r="E10" s="13" t="inlineStr">
        <is>
          <t>Locked</t>
        </is>
      </c>
      <c r="F10" s="13" t="inlineStr">
        <is>
          <t>16.677.694 €</t>
        </is>
      </c>
    </row>
    <row r="11">
      <c r="A11" s="13" t="inlineStr">
        <is>
          <t>Financial &amp; Funding</t>
        </is>
      </c>
      <c r="B11" s="13" t="inlineStr">
        <is>
          <t>Equity</t>
        </is>
      </c>
      <c r="C11" s="14" t="inlineStr">
        <is>
          <t>40%</t>
        </is>
      </c>
      <c r="D11" s="15" t="inlineStr">
        <is>
          <t>Titan Grid v4.5</t>
        </is>
      </c>
      <c r="E11" s="13" t="inlineStr">
        <is>
          <t>Locked</t>
        </is>
      </c>
      <c r="F11" s="13" t="inlineStr">
        <is>
          <t>11.118.462 €</t>
        </is>
      </c>
    </row>
    <row r="12">
      <c r="A12" s="13" t="inlineStr">
        <is>
          <t>Financial &amp; Funding</t>
        </is>
      </c>
      <c r="B12" s="13" t="inlineStr">
        <is>
          <t>IDC (Interest During Construction)</t>
        </is>
      </c>
      <c r="C12" s="14" t="inlineStr">
        <is>
          <t>1.031.579 €</t>
        </is>
      </c>
      <c r="D12" s="15" t="inlineStr">
        <is>
          <t>Titan Grid v4.5</t>
        </is>
      </c>
      <c r="E12" s="13" t="inlineStr">
        <is>
          <t>Locked</t>
        </is>
      </c>
      <c r="F12" s="13" t="inlineStr">
        <is>
          <t>Kapitalizovani kamati</t>
        </is>
      </c>
    </row>
    <row r="13">
      <c r="A13" s="13" t="inlineStr">
        <is>
          <t>Technical &amp; Production</t>
        </is>
      </c>
      <c r="B13" s="13" t="inlineStr">
        <is>
          <t>TRL nivo</t>
        </is>
      </c>
      <c r="C13" s="14" t="inlineStr">
        <is>
          <t>8</t>
        </is>
      </c>
      <c r="D13" s="15" t="inlineStr">
        <is>
          <t>Model + seizmički podaci</t>
        </is>
      </c>
      <c r="E13" s="13" t="inlineStr">
        <is>
          <t>Locked</t>
        </is>
      </c>
      <c r="F13" s="13" t="inlineStr">
        <is>
          <t>Sistem kvalifikovan u operativnom okruženju</t>
        </is>
      </c>
    </row>
    <row r="14">
      <c r="A14" s="13" t="inlineStr">
        <is>
          <t>Technical &amp; Production</t>
        </is>
      </c>
      <c r="B14" s="13" t="inlineStr">
        <is>
          <t>Seizmička zona</t>
        </is>
      </c>
      <c r="C14" s="14" t="inlineStr">
        <is>
          <t>Eurocode 8 (zona 2–3)</t>
        </is>
      </c>
      <c r="D14" s="15" t="inlineStr">
        <is>
          <t>Lokacija Podgorica</t>
        </is>
      </c>
      <c r="E14" s="13" t="inlineStr">
        <is>
          <t>Locked</t>
        </is>
      </c>
      <c r="F14" s="13" t="inlineStr">
        <is>
          <t>Ojačana konstrukcija hale</t>
        </is>
      </c>
    </row>
    <row r="15">
      <c r="A15" s="13" t="inlineStr">
        <is>
          <t>Operational &amp; Revenue</t>
        </is>
      </c>
      <c r="B15" s="13" t="inlineStr">
        <is>
          <t>Kapacitet Y1 (ramp-up)</t>
        </is>
      </c>
      <c r="C15" s="14" t="inlineStr">
        <is>
          <t>660 jedinica</t>
        </is>
      </c>
      <c r="D15" s="15" t="inlineStr">
        <is>
          <t>ARS_Full_v3 + v4.5</t>
        </is>
      </c>
      <c r="E15" s="13" t="inlineStr">
        <is>
          <t>Active</t>
        </is>
      </c>
      <c r="F15" s="13" t="inlineStr">
        <is>
          <t>Početni ramp-up</t>
        </is>
      </c>
    </row>
    <row r="16">
      <c r="A16" s="13" t="inlineStr">
        <is>
          <t>Operational &amp; Revenue</t>
        </is>
      </c>
      <c r="B16" s="13" t="inlineStr">
        <is>
          <t>Revenue Y1</t>
        </is>
      </c>
      <c r="C16" s="14" t="inlineStr">
        <is>
          <t>8.000.000 €</t>
        </is>
      </c>
      <c r="D16" s="15" t="inlineStr">
        <is>
          <t>Titan Grid v4.5</t>
        </is>
      </c>
      <c r="E16" s="13" t="inlineStr">
        <is>
          <t>Locked</t>
        </is>
      </c>
      <c r="F16" s="13" t="inlineStr">
        <is>
          <t>Godina 1</t>
        </is>
      </c>
    </row>
    <row r="17">
      <c r="A17" s="13" t="inlineStr">
        <is>
          <t>Operational &amp; Revenue</t>
        </is>
      </c>
      <c r="B17" s="13" t="inlineStr">
        <is>
          <t>Revenue Y5</t>
        </is>
      </c>
      <c r="C17" s="14" t="inlineStr">
        <is>
          <t>28.000.000 €</t>
        </is>
      </c>
      <c r="D17" s="15" t="inlineStr">
        <is>
          <t>Titan Grid v4.5</t>
        </is>
      </c>
      <c r="E17" s="13" t="inlineStr">
        <is>
          <t>Locked</t>
        </is>
      </c>
      <c r="F17" s="13" t="inlineStr">
        <is>
          <t>Stabilizovani prihod</t>
        </is>
      </c>
    </row>
    <row r="18">
      <c r="A18" s="13" t="inlineStr">
        <is>
          <t>Operational &amp; Revenue</t>
        </is>
      </c>
      <c r="B18" s="13" t="inlineStr">
        <is>
          <t>Revenue Y12</t>
        </is>
      </c>
      <c r="C18" s="14" t="inlineStr">
        <is>
          <t>32.163.198 €</t>
        </is>
      </c>
      <c r="D18" s="15" t="inlineStr">
        <is>
          <t>Titan Grid v4.5</t>
        </is>
      </c>
      <c r="E18" s="13" t="inlineStr">
        <is>
          <t>Locked</t>
        </is>
      </c>
      <c r="F18" s="13" t="inlineStr">
        <is>
          <t>Kraj perioda</t>
        </is>
      </c>
    </row>
    <row r="19">
      <c r="A19" s="13" t="inlineStr">
        <is>
          <t>Operational &amp; Revenue</t>
        </is>
      </c>
      <c r="B19" s="13" t="inlineStr">
        <is>
          <t>EBITDA Margin (steady state)</t>
        </is>
      </c>
      <c r="C19" s="14" t="inlineStr">
        <is>
          <t>22%</t>
        </is>
      </c>
      <c r="D19" s="15" t="inlineStr">
        <is>
          <t>Titan Grid v4.5</t>
        </is>
      </c>
      <c r="E19" s="13" t="inlineStr">
        <is>
          <t>Locked</t>
        </is>
      </c>
      <c r="F19" s="13" t="inlineStr">
        <is>
          <t>Od Y5 nadalje</t>
        </is>
      </c>
    </row>
    <row r="20">
      <c r="A20" s="13" t="inlineStr">
        <is>
          <t>Operational &amp; Revenue</t>
        </is>
      </c>
      <c r="B20" s="13" t="inlineStr">
        <is>
          <t>Cash Conversion Cycle (CCC)</t>
        </is>
      </c>
      <c r="C20" s="14" t="inlineStr">
        <is>
          <t>100 dana</t>
        </is>
      </c>
      <c r="D20" s="15" t="inlineStr">
        <is>
          <t>Titan Grid v4.5</t>
        </is>
      </c>
      <c r="E20" s="13" t="inlineStr">
        <is>
          <t>Locked</t>
        </is>
      </c>
      <c r="F20" s="13" t="inlineStr">
        <is>
          <t>Obrtni kapital</t>
        </is>
      </c>
    </row>
    <row r="21">
      <c r="A21" s="13" t="inlineStr">
        <is>
          <t>Operational &amp; Revenue</t>
        </is>
      </c>
      <c r="B21" s="13" t="inlineStr">
        <is>
          <t>NWC Y5</t>
        </is>
      </c>
      <c r="C21" s="14" t="inlineStr">
        <is>
          <t>5.753.425 €</t>
        </is>
      </c>
      <c r="D21" s="15" t="inlineStr">
        <is>
          <t>Titan Grid v4.5</t>
        </is>
      </c>
      <c r="E21" s="13" t="inlineStr">
        <is>
          <t>Locked</t>
        </is>
      </c>
      <c r="F21" s="13" t="inlineStr">
        <is>
          <t>Net Working Capital</t>
        </is>
      </c>
    </row>
    <row r="22">
      <c r="A22" s="13" t="inlineStr">
        <is>
          <t>Operational &amp; Revenue</t>
        </is>
      </c>
      <c r="B22" s="13" t="inlineStr">
        <is>
          <t>NWC % Revenue</t>
        </is>
      </c>
      <c r="C22" s="14" t="inlineStr">
        <is>
          <t>20.55%</t>
        </is>
      </c>
      <c r="D22" s="15" t="inlineStr">
        <is>
          <t>Titan Grid v4.5</t>
        </is>
      </c>
      <c r="E22" s="13" t="inlineStr">
        <is>
          <t>Locked</t>
        </is>
      </c>
      <c r="F22" s="13" t="inlineStr">
        <is>
          <t>Stabilni nivo</t>
        </is>
      </c>
    </row>
    <row r="23">
      <c r="A23" s="13" t="inlineStr">
        <is>
          <t>Debt &amp; Coverage</t>
        </is>
      </c>
      <c r="B23" s="13" t="inlineStr">
        <is>
          <t>Minimum DSCR</t>
        </is>
      </c>
      <c r="C23" s="14" t="inlineStr">
        <is>
          <t>1.68x (Year 2)</t>
        </is>
      </c>
      <c r="D23" s="15" t="inlineStr">
        <is>
          <t>Titan Grid v4.5</t>
        </is>
      </c>
      <c r="E23" s="13" t="inlineStr">
        <is>
          <t>Locked</t>
        </is>
      </c>
      <c r="F23" s="13" t="inlineStr">
        <is>
          <t>Covenant floor</t>
        </is>
      </c>
    </row>
    <row r="24">
      <c r="A24" s="13" t="inlineStr">
        <is>
          <t>Debt &amp; Coverage</t>
        </is>
      </c>
      <c r="B24" s="13" t="inlineStr">
        <is>
          <t>Average DSCR</t>
        </is>
      </c>
      <c r="C24" s="14" t="inlineStr">
        <is>
          <t>3.07x</t>
        </is>
      </c>
      <c r="D24" s="15" t="inlineStr">
        <is>
          <t>Titan Grid v4.5</t>
        </is>
      </c>
      <c r="E24" s="13" t="inlineStr">
        <is>
          <t>Locked</t>
        </is>
      </c>
      <c r="F24" s="13" t="inlineStr">
        <is>
          <t>Životni vijek duga</t>
        </is>
      </c>
    </row>
    <row r="25">
      <c r="A25" s="13" t="inlineStr">
        <is>
          <t>Debt &amp; Coverage</t>
        </is>
      </c>
      <c r="B25" s="13" t="inlineStr">
        <is>
          <t>DSRA</t>
        </is>
      </c>
      <c r="C25" s="14" t="inlineStr">
        <is>
          <t>6 mjeseci</t>
        </is>
      </c>
      <c r="D25" s="15" t="inlineStr">
        <is>
          <t>Titan Grid v4.5</t>
        </is>
      </c>
      <c r="E25" s="13" t="inlineStr">
        <is>
          <t>Locked</t>
        </is>
      </c>
      <c r="F25" s="13" t="inlineStr">
        <is>
          <t>Debt Service Reserve Account</t>
        </is>
      </c>
    </row>
  </sheetData>
  <autoFilter ref="A1:F2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LAND ACQUISITION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Land acquisition</t>
        </is>
      </c>
      <c r="B3" s="13" t="inlineStr">
        <is>
          <t>Land purchase</t>
        </is>
      </c>
      <c r="C3" s="13" t="inlineStr">
        <is>
          <t>kupovina zemljišta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IFERROR(G3/SUM($G$3:$G$25),0)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Land acquisition</t>
        </is>
      </c>
      <c r="B4" s="13" t="inlineStr">
        <is>
          <t>Legal fees</t>
        </is>
      </c>
      <c r="C4" s="13" t="inlineStr">
        <is>
          <t>pravni troškovi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IFERROR(G4/SUM($G$3:$G$25),0)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Land acquisition</t>
        </is>
      </c>
      <c r="B5" s="13" t="inlineStr">
        <is>
          <t>Notary and registration</t>
        </is>
      </c>
      <c r="C5" s="13" t="inlineStr">
        <is>
          <t>katastar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IFERROR(G5/SUM($G$3:$G$25),0)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Land acquisition</t>
        </is>
      </c>
      <c r="B6" s="13" t="inlineStr">
        <is>
          <t>Land conversion</t>
        </is>
      </c>
      <c r="C6" s="13" t="inlineStr">
        <is>
          <t>prenamjena zemljišta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IFERROR(G6/SUM($G$3:$G$25),0)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Land acquisition</t>
        </is>
      </c>
      <c r="B7" s="13" t="inlineStr">
        <is>
          <t>Site surveys</t>
        </is>
      </c>
      <c r="C7" s="13" t="inlineStr">
        <is>
          <t>geodetski radovi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IFERROR(G7/SUM($G$3:$G$25),0)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Land acquisition</t>
        </is>
      </c>
      <c r="B8" s="13" t="inlineStr">
        <is>
          <t>Soil investigation</t>
        </is>
      </c>
      <c r="C8" s="13" t="inlineStr">
        <is>
          <t>geomehanika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IFERROR(G8/SUM($G$3:$G$25),0)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Land acquisition</t>
        </is>
      </c>
      <c r="B9" s="13" t="inlineStr">
        <is>
          <t>Environmental baseline</t>
        </is>
      </c>
      <c r="C9" s="13" t="inlineStr">
        <is>
          <t>početne studije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IFERROR(G9/SUM($G$3:$G$25),0)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Land acquisition</t>
        </is>
      </c>
      <c r="B10" s="13" t="inlineStr">
        <is>
          <t>Land clearing</t>
        </is>
      </c>
      <c r="C10" s="13" t="inlineStr">
        <is>
          <t>čišćenje zemljišta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IFERROR(G10/SUM($G$3:$G$25),0)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Land acquisition</t>
        </is>
      </c>
      <c r="B11" s="13" t="inlineStr">
        <is>
          <t>Demolition works</t>
        </is>
      </c>
      <c r="C11" s="13" t="inlineStr">
        <is>
          <t>uklanjanje postojećih objekata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IFERROR(G11/SUM($G$3:$G$25),0)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Land acquisition</t>
        </is>
      </c>
      <c r="B12" s="13" t="inlineStr">
        <is>
          <t>Land grading</t>
        </is>
      </c>
      <c r="C12" s="13" t="inlineStr">
        <is>
          <t>nivelacija terena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IFERROR(G12/SUM($G$3:$G$25),0)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Land acquisition</t>
        </is>
      </c>
      <c r="B13" s="13" t="inlineStr">
        <is>
          <t>Boundary marking</t>
        </is>
      </c>
      <c r="C13" s="13" t="inlineStr">
        <is>
          <t>obilježavanje parcele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IFERROR(G13/SUM($G$3:$G$25),0)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Land acquisition</t>
        </is>
      </c>
      <c r="B14" s="13" t="inlineStr">
        <is>
          <t>Access road preparation</t>
        </is>
      </c>
      <c r="C14" s="13" t="inlineStr">
        <is>
          <t>pristupni put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IFERROR(G14/SUM($G$3:$G$25),0)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Land acquisition</t>
        </is>
      </c>
      <c r="B15" s="13" t="inlineStr">
        <is>
          <t>Temporary site facilities</t>
        </is>
      </c>
      <c r="C15" s="13" t="inlineStr">
        <is>
          <t>privremena infrastruktura gradilišta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IFERROR(G15/SUM($G$3:$G$25),0)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Land acquisition</t>
        </is>
      </c>
      <c r="B16" s="13" t="inlineStr">
        <is>
          <t>Land tax and duties</t>
        </is>
      </c>
      <c r="C16" s="13" t="inlineStr">
        <is>
          <t>porezi i takse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IFERROR(G16/SUM($G$3:$G$25),0)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Land acquisition</t>
        </is>
      </c>
      <c r="B17" s="13" t="inlineStr">
        <is>
          <t>Environmental permitting</t>
        </is>
      </c>
      <c r="C17" s="13" t="inlineStr">
        <is>
          <t>ekološke dozvole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IFERROR(G17/SUM($G$3:$G$25),0)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Land acquisition</t>
        </is>
      </c>
      <c r="B18" s="13" t="inlineStr">
        <is>
          <t>Archaeological surveys</t>
        </is>
      </c>
      <c r="C18" s="13" t="inlineStr">
        <is>
          <t>arheološka provjera (ako je potrebno)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IFERROR(G18/SUM($G$3:$G$25),0)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Land acquisition</t>
        </is>
      </c>
      <c r="B19" s="13" t="inlineStr">
        <is>
          <t>Site fencing temporary</t>
        </is>
      </c>
      <c r="C19" s="13" t="inlineStr">
        <is>
          <t>privremena ograda gradilišta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IFERROR(G19/SUM($G$3:$G$25),0)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Land acquisition</t>
        </is>
      </c>
      <c r="B20" s="13" t="inlineStr">
        <is>
          <t>Utilities connection studies</t>
        </is>
      </c>
      <c r="C20" s="13" t="inlineStr">
        <is>
          <t>studije priključenja infrastrukture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IFERROR(G20/SUM($G$3:$G$25),0)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Land acquisition</t>
        </is>
      </c>
      <c r="B21" s="13" t="inlineStr">
        <is>
          <t>Topographical mapping</t>
        </is>
      </c>
      <c r="C21" s="13" t="inlineStr">
        <is>
          <t>topografsko mapiranje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IFERROR(G21/SUM($G$3:$G$25),0)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Land acquisition</t>
        </is>
      </c>
      <c r="B22" s="13" t="inlineStr">
        <is>
          <t>Land title insurance</t>
        </is>
      </c>
      <c r="C22" s="13" t="inlineStr">
        <is>
          <t>osiguranje vlasništva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IFERROR(G22/SUM($G$3:$G$25),0)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Land acquisition</t>
        </is>
      </c>
      <c r="B23" s="13" t="inlineStr">
        <is>
          <t>Land valuation services</t>
        </is>
      </c>
      <c r="C23" s="13" t="inlineStr">
        <is>
          <t>procjena vrijednosti zemljišta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IFERROR(G23/SUM($G$3:$G$25),0)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Land acquisition</t>
        </is>
      </c>
      <c r="B24" s="13" t="inlineStr">
        <is>
          <t>Transaction advisory</t>
        </is>
      </c>
      <c r="C24" s="13" t="inlineStr">
        <is>
          <t>savjetodavne usluge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IFERROR(G24/SUM($G$3:$G$25),0)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Land acquisition</t>
        </is>
      </c>
      <c r="B25" s="13" t="inlineStr">
        <is>
          <t>Land development planning</t>
        </is>
      </c>
      <c r="C25" s="13" t="inlineStr">
        <is>
          <t>planiranje razvoja lokacije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IFERROR(G25/SUM($G$3:$G$25),0)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D26" s="25" t="n"/>
      <c r="F26" s="7" t="n"/>
      <c r="G26" s="7" t="n"/>
      <c r="H26" s="8" t="n"/>
      <c r="L26" s="8" t="n"/>
      <c r="M26" s="7" t="n"/>
      <c r="N26" s="7" t="n"/>
    </row>
    <row r="27">
      <c r="A27" s="10">
        <f>== TOTAL CATEGORY ===</f>
        <v/>
      </c>
      <c r="D27" s="25" t="n"/>
      <c r="F27" s="7" t="n"/>
      <c r="G27" s="11">
        <f>SUM(G3:G25)</f>
        <v/>
      </c>
      <c r="H27" s="8" t="n"/>
      <c r="L27" s="8" t="n"/>
      <c r="M27" s="11">
        <f>SUM(M3:M25)</f>
        <v/>
      </c>
      <c r="N27" s="11">
        <f>SUM(N3:N25)</f>
        <v/>
      </c>
    </row>
    <row r="29">
      <c r="A29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LAND ACQUISITION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SITE PREPARATION &amp; CIVIL INFRAS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Site preparation</t>
        </is>
      </c>
      <c r="B3" s="13" t="inlineStr">
        <is>
          <t>Earthworks</t>
        </is>
      </c>
      <c r="C3" s="13" t="inlineStr">
        <is>
          <t>iskopi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IFERROR(G3/SUM($G$3:$G$28),0)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Site preparation</t>
        </is>
      </c>
      <c r="B4" s="13" t="inlineStr">
        <is>
          <t>Site leveling</t>
        </is>
      </c>
      <c r="C4" s="13" t="inlineStr">
        <is>
          <t>nivelacija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IFERROR(G4/SUM($G$3:$G$28),0)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Site preparation</t>
        </is>
      </c>
      <c r="B5" s="13" t="inlineStr">
        <is>
          <t>Soil stabilization</t>
        </is>
      </c>
      <c r="C5" s="13" t="inlineStr">
        <is>
          <t>stabilizacija tla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IFERROR(G5/SUM($G$3:$G$28),0)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Site preparation</t>
        </is>
      </c>
      <c r="B6" s="13" t="inlineStr">
        <is>
          <t>Land clearing</t>
        </is>
      </c>
      <c r="C6" s="13" t="inlineStr">
        <is>
          <t>uklanjanje vegetacije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IFERROR(G6/SUM($G$3:$G$28),0)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Site preparation</t>
        </is>
      </c>
      <c r="B7" s="13" t="inlineStr">
        <is>
          <t>Excavation and backfill</t>
        </is>
      </c>
      <c r="C7" s="13" t="inlineStr">
        <is>
          <t>iskop i nasip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IFERROR(G7/SUM($G$3:$G$28),0)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Site preparation</t>
        </is>
      </c>
      <c r="B8" s="13" t="inlineStr">
        <is>
          <t>Ground compaction</t>
        </is>
      </c>
      <c r="C8" s="13" t="inlineStr">
        <is>
          <t>zbijanje tla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IFERROR(G8/SUM($G$3:$G$28),0)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Site preparation</t>
        </is>
      </c>
      <c r="B9" s="13" t="inlineStr">
        <is>
          <t>Temporary site roads</t>
        </is>
      </c>
      <c r="C9" s="13" t="inlineStr">
        <is>
          <t>privremeni putevi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IFERROR(G9/SUM($G$3:$G$28),0)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Site preparation</t>
        </is>
      </c>
      <c r="B10" s="13" t="inlineStr">
        <is>
          <t>Construction site offices</t>
        </is>
      </c>
      <c r="C10" s="13" t="inlineStr">
        <is>
          <t>gradilišne kancelarije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IFERROR(G10/SUM($G$3:$G$28),0)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Site preparation</t>
        </is>
      </c>
      <c r="B11" s="13" t="inlineStr">
        <is>
          <t>Construction utilities</t>
        </is>
      </c>
      <c r="C11" s="13" t="inlineStr">
        <is>
          <t>privremena struja i voda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IFERROR(G11/SUM($G$3:$G$28),0)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Road infrastructure</t>
        </is>
      </c>
      <c r="B12" s="13" t="inlineStr">
        <is>
          <t>Internal roads</t>
        </is>
      </c>
      <c r="C12" s="13" t="inlineStr">
        <is>
          <t>putevi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IFERROR(G12/SUM($G$3:$G$28),0)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Road infrastructure</t>
        </is>
      </c>
      <c r="B13" s="13" t="inlineStr">
        <is>
          <t>Parking areas</t>
        </is>
      </c>
      <c r="C13" s="13" t="inlineStr">
        <is>
          <t>parking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IFERROR(G13/SUM($G$3:$G$28),0)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Road infrastructure</t>
        </is>
      </c>
      <c r="B14" s="13" t="inlineStr">
        <is>
          <t>Truck loading areas</t>
        </is>
      </c>
      <c r="C14" s="13" t="inlineStr">
        <is>
          <t>logistika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IFERROR(G14/SUM($G$3:$G$28),0)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Road infrastructure</t>
        </is>
      </c>
      <c r="B15" s="13" t="inlineStr">
        <is>
          <t>Heavy truck turning areas</t>
        </is>
      </c>
      <c r="C15" s="13" t="inlineStr">
        <is>
          <t>manipulativni platoi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IFERROR(G15/SUM($G$3:$G$28),0)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Road infrastructure</t>
        </is>
      </c>
      <c r="B16" s="13" t="inlineStr">
        <is>
          <t>Sidewalks and pedestrian paths</t>
        </is>
      </c>
      <c r="C16" s="13" t="inlineStr">
        <is>
          <t>pješačke staze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IFERROR(G16/SUM($G$3:$G$28),0)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Road infrastructure</t>
        </is>
      </c>
      <c r="B17" s="13" t="inlineStr">
        <is>
          <t>Road markings and signage</t>
        </is>
      </c>
      <c r="C17" s="13" t="inlineStr">
        <is>
          <t>signalizacija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IFERROR(G17/SUM($G$3:$G$28),0)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Utilities</t>
        </is>
      </c>
      <c r="B18" s="13" t="inlineStr">
        <is>
          <t>Drainage systems</t>
        </is>
      </c>
      <c r="C18" s="13" t="inlineStr">
        <is>
          <t>odvodnja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IFERROR(G18/SUM($G$3:$G$28),0)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Utilities</t>
        </is>
      </c>
      <c r="B19" s="13" t="inlineStr">
        <is>
          <t>Stormwater systems</t>
        </is>
      </c>
      <c r="C19" s="13" t="inlineStr">
        <is>
          <t>oborinska voda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IFERROR(G19/SUM($G$3:$G$28),0)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Utilities</t>
        </is>
      </c>
      <c r="B20" s="13" t="inlineStr">
        <is>
          <t>Sewage systems</t>
        </is>
      </c>
      <c r="C20" s="13" t="inlineStr">
        <is>
          <t>kanalizacija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IFERROR(G20/SUM($G$3:$G$28),0)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Utilities</t>
        </is>
      </c>
      <c r="B21" s="13" t="inlineStr">
        <is>
          <t>Oil separators</t>
        </is>
      </c>
      <c r="C21" s="13" t="inlineStr">
        <is>
          <t>separatori ulja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IFERROR(G21/SUM($G$3:$G$28),0)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Utilities</t>
        </is>
      </c>
      <c r="B22" s="13" t="inlineStr">
        <is>
          <t>Underground utility ducts</t>
        </is>
      </c>
      <c r="C22" s="13" t="inlineStr">
        <is>
          <t>podzemni kanali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IFERROR(G22/SUM($G$3:$G$28),0)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Utilities</t>
        </is>
      </c>
      <c r="B23" s="13" t="inlineStr">
        <is>
          <t>Utility service corridors</t>
        </is>
      </c>
      <c r="C23" s="13" t="inlineStr">
        <is>
          <t>infrastrukturni koridori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IFERROR(G23/SUM($G$3:$G$28),0)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Security</t>
        </is>
      </c>
      <c r="B24" s="13" t="inlineStr">
        <is>
          <t>Fencing</t>
        </is>
      </c>
      <c r="C24" s="13" t="inlineStr">
        <is>
          <t>ograde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IFERROR(G24/SUM($G$3:$G$28),0)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Security</t>
        </is>
      </c>
      <c r="B25" s="13" t="inlineStr">
        <is>
          <t>Gates</t>
        </is>
      </c>
      <c r="C25" s="13" t="inlineStr">
        <is>
          <t>kapije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IFERROR(G25/SUM($G$3:$G$28),0)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Security</t>
        </is>
      </c>
      <c r="B26" s="13" t="inlineStr">
        <is>
          <t>Guardhouse</t>
        </is>
      </c>
      <c r="C26" s="13" t="inlineStr">
        <is>
          <t>portirnica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IFERROR(G26/SUM($G$3:$G$28),0)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Security</t>
        </is>
      </c>
      <c r="B27" s="13" t="inlineStr">
        <is>
          <t>Perimeter lighting</t>
        </is>
      </c>
      <c r="C27" s="13" t="inlineStr">
        <is>
          <t>rasvjeta perimetra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IFERROR(G27/SUM($G$3:$G$28),0)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Security</t>
        </is>
      </c>
      <c r="B28" s="13" t="inlineStr">
        <is>
          <t>Access control infrastructure</t>
        </is>
      </c>
      <c r="C28" s="13" t="inlineStr">
        <is>
          <t>kontrola pristupa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IFERROR(G28/SUM($G$3:$G$28),0)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D29" s="25" t="n"/>
      <c r="F29" s="7" t="n"/>
      <c r="G29" s="7" t="n"/>
      <c r="H29" s="8" t="n"/>
      <c r="L29" s="8" t="n"/>
      <c r="M29" s="7" t="n"/>
      <c r="N29" s="7" t="n"/>
    </row>
    <row r="30">
      <c r="A30" s="10">
        <f>== TOTAL CATEGORY ===</f>
        <v/>
      </c>
      <c r="D30" s="25" t="n"/>
      <c r="F30" s="7" t="n"/>
      <c r="G30" s="11">
        <f>SUM(G3:G28)</f>
        <v/>
      </c>
      <c r="H30" s="8" t="n"/>
      <c r="L30" s="8" t="n"/>
      <c r="M30" s="11">
        <f>SUM(M3:M28)</f>
        <v/>
      </c>
      <c r="N30" s="11">
        <f>SUM(N3:N28)</f>
        <v/>
      </c>
    </row>
    <row r="32">
      <c r="A32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SITE PREPARATION &amp; CIVIL INFRAS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BUILDINGS (INDUSTRIAL FACILITIE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Production building</t>
        </is>
      </c>
      <c r="B3" s="13" t="inlineStr">
        <is>
          <t>Steel structure</t>
        </is>
      </c>
      <c r="C3" s="13" t="inlineStr">
        <is>
          <t>čelična konstrukcija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IFERROR(G3/SUM($G$3:$G$32),0)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Production building</t>
        </is>
      </c>
      <c r="B4" s="13" t="inlineStr">
        <is>
          <t>Roof structure</t>
        </is>
      </c>
      <c r="C4" s="13" t="inlineStr">
        <is>
          <t>krov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IFERROR(G4/SUM($G$3:$G$32),0)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Production building</t>
        </is>
      </c>
      <c r="B5" s="13" t="inlineStr">
        <is>
          <t>Roof insulation</t>
        </is>
      </c>
      <c r="C5" s="13" t="inlineStr">
        <is>
          <t>krovna izolacija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IFERROR(G5/SUM($G$3:$G$32),0)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Production building</t>
        </is>
      </c>
      <c r="B6" s="13" t="inlineStr">
        <is>
          <t>Roof drainage</t>
        </is>
      </c>
      <c r="C6" s="13" t="inlineStr">
        <is>
          <t>odvodnja krova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IFERROR(G6/SUM($G$3:$G$32),0)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Production building</t>
        </is>
      </c>
      <c r="B7" s="13" t="inlineStr">
        <is>
          <t>Wall panels</t>
        </is>
      </c>
      <c r="C7" s="13" t="inlineStr">
        <is>
          <t>fasada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IFERROR(G7/SUM($G$3:$G$32),0)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Production building</t>
        </is>
      </c>
      <c r="B8" s="13" t="inlineStr">
        <is>
          <t>Thermal insulation</t>
        </is>
      </c>
      <c r="C8" s="13" t="inlineStr">
        <is>
          <t>termo izolacija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IFERROR(G8/SUM($G$3:$G$32),0)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Production building</t>
        </is>
      </c>
      <c r="B9" s="13" t="inlineStr">
        <is>
          <t>Industrial floors</t>
        </is>
      </c>
      <c r="C9" s="13" t="inlineStr">
        <is>
          <t>podovi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IFERROR(G9/SUM($G$3:$G$32),0)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Production building</t>
        </is>
      </c>
      <c r="B10" s="13" t="inlineStr">
        <is>
          <t>Heavy-duty reinforced floors</t>
        </is>
      </c>
      <c r="C10" s="13" t="inlineStr">
        <is>
          <t>podovi za tešku opremu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IFERROR(G10/SUM($G$3:$G$32),0)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Production building</t>
        </is>
      </c>
      <c r="B11" s="13" t="inlineStr">
        <is>
          <t>Crane rails</t>
        </is>
      </c>
      <c r="C11" s="13" t="inlineStr">
        <is>
          <t>kranske staze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IFERROR(G11/SUM($G$3:$G$32),0)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Production building</t>
        </is>
      </c>
      <c r="B12" s="13" t="inlineStr">
        <is>
          <t>Crane support columns</t>
        </is>
      </c>
      <c r="C12" s="13" t="inlineStr">
        <is>
          <t>stubovi za dizalice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IFERROR(G12/SUM($G$3:$G$32),0)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Production building</t>
        </is>
      </c>
      <c r="B13" s="13" t="inlineStr">
        <is>
          <t>Skylights</t>
        </is>
      </c>
      <c r="C13" s="13" t="inlineStr">
        <is>
          <t>krovni svjetlarnici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IFERROR(G13/SUM($G$3:$G$32),0)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Production building</t>
        </is>
      </c>
      <c r="B14" s="13" t="inlineStr">
        <is>
          <t>Industrial doors</t>
        </is>
      </c>
      <c r="C14" s="13" t="inlineStr">
        <is>
          <t>industrijska vrata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IFERROR(G14/SUM($G$3:$G$32),0)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Production building</t>
        </is>
      </c>
      <c r="B15" s="13" t="inlineStr">
        <is>
          <t>Emergency exits</t>
        </is>
      </c>
      <c r="C15" s="13" t="inlineStr">
        <is>
          <t>sigurnosni izlazi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IFERROR(G15/SUM($G$3:$G$32),0)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Production building</t>
        </is>
      </c>
      <c r="B16" s="13" t="inlineStr">
        <is>
          <t>Internal partitions</t>
        </is>
      </c>
      <c r="C16" s="13" t="inlineStr">
        <is>
          <t>unutrašnje pregrade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IFERROR(G16/SUM($G$3:$G$32),0)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Warehouse</t>
        </is>
      </c>
      <c r="B17" s="13" t="inlineStr">
        <is>
          <t>Storage building</t>
        </is>
      </c>
      <c r="C17" s="13" t="inlineStr">
        <is>
          <t>skladište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IFERROR(G17/SUM($G$3:$G$32),0)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Warehouse</t>
        </is>
      </c>
      <c r="B18" s="13" t="inlineStr">
        <is>
          <t>Loading docks</t>
        </is>
      </c>
      <c r="C18" s="13" t="inlineStr">
        <is>
          <t>utovarno-istovarne rampe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IFERROR(G18/SUM($G$3:$G$32),0)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Warehouse</t>
        </is>
      </c>
      <c r="B19" s="13" t="inlineStr">
        <is>
          <t>Storage mezzanine</t>
        </is>
      </c>
      <c r="C19" s="13" t="inlineStr">
        <is>
          <t>međusprat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IFERROR(G19/SUM($G$3:$G$32),0)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Warehouse</t>
        </is>
      </c>
      <c r="B20" s="13" t="inlineStr">
        <is>
          <t>Racking systems</t>
        </is>
      </c>
      <c r="C20" s="13" t="inlineStr">
        <is>
          <t>regali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IFERROR(G20/SUM($G$3:$G$32),0)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Warehouse</t>
        </is>
      </c>
      <c r="B21" s="13" t="inlineStr">
        <is>
          <t>Pallet storage systems</t>
        </is>
      </c>
      <c r="C21" s="13" t="inlineStr">
        <is>
          <t>skladištenje paleta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IFERROR(G21/SUM($G$3:$G$32),0)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Offices</t>
        </is>
      </c>
      <c r="B22" s="13" t="inlineStr">
        <is>
          <t>Office building</t>
        </is>
      </c>
      <c r="C22" s="13" t="inlineStr">
        <is>
          <t>kancelarije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IFERROR(G22/SUM($G$3:$G$32),0)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Offices</t>
        </is>
      </c>
      <c r="B23" s="13" t="inlineStr">
        <is>
          <t>Office interiors</t>
        </is>
      </c>
      <c r="C23" s="13" t="inlineStr">
        <is>
          <t>unutrašnje uređenje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IFERROR(G23/SUM($G$3:$G$32),0)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Offices</t>
        </is>
      </c>
      <c r="B24" s="13" t="inlineStr">
        <is>
          <t>Training rooms</t>
        </is>
      </c>
      <c r="C24" s="13" t="inlineStr">
        <is>
          <t>obuka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IFERROR(G24/SUM($G$3:$G$32),0)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Offices</t>
        </is>
      </c>
      <c r="B25" s="13" t="inlineStr">
        <is>
          <t>Meeting rooms</t>
        </is>
      </c>
      <c r="C25" s="13" t="inlineStr">
        <is>
          <t>sale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IFERROR(G25/SUM($G$3:$G$32),0)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Offices</t>
        </is>
      </c>
      <c r="B26" s="13" t="inlineStr">
        <is>
          <t>Reception area</t>
        </is>
      </c>
      <c r="C26" s="13" t="inlineStr">
        <is>
          <t>recepcija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IFERROR(G26/SUM($G$3:$G$32),0)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Offices</t>
        </is>
      </c>
      <c r="B27" s="13" t="inlineStr">
        <is>
          <t>IT rooms</t>
        </is>
      </c>
      <c r="C27" s="13" t="inlineStr">
        <is>
          <t>server soba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IFERROR(G27/SUM($G$3:$G$32),0)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QA facilities</t>
        </is>
      </c>
      <c r="B28" s="13" t="inlineStr">
        <is>
          <t>Laboratory building</t>
        </is>
      </c>
      <c r="C28" s="13" t="inlineStr">
        <is>
          <t>laboratorija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IFERROR(G28/SUM($G$3:$G$32),0)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QA facilities</t>
        </is>
      </c>
      <c r="B29" s="13" t="inlineStr">
        <is>
          <t>QA inspection rooms</t>
        </is>
      </c>
      <c r="C29" s="13" t="inlineStr">
        <is>
          <t>kontrola kvaliteta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IFERROR(G29/SUM($G$3:$G$32),0)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QA facilities</t>
        </is>
      </c>
      <c r="B30" s="13" t="inlineStr">
        <is>
          <t>Material testing rooms</t>
        </is>
      </c>
      <c r="C30" s="13" t="inlineStr">
        <is>
          <t>test materijala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IFERROR(G30/SUM($G$3:$G$32),0)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QA facilities</t>
        </is>
      </c>
      <c r="B31" s="13" t="inlineStr">
        <is>
          <t>Clean room areas</t>
        </is>
      </c>
      <c r="C31" s="13" t="inlineStr">
        <is>
          <t>kontrolisani prostori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IFERROR(G31/SUM($G$3:$G$32),0)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QA facilities</t>
        </is>
      </c>
      <c r="B32" s="13" t="inlineStr">
        <is>
          <t>Storage for test equipment</t>
        </is>
      </c>
      <c r="C32" s="13" t="inlineStr">
        <is>
          <t>skladište opreme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IFERROR(G32/SUM($G$3:$G$32),0)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D33" s="25" t="n"/>
      <c r="F33" s="7" t="n"/>
      <c r="G33" s="7" t="n"/>
      <c r="H33" s="8" t="n"/>
      <c r="L33" s="8" t="n"/>
      <c r="M33" s="7" t="n"/>
      <c r="N33" s="7" t="n"/>
    </row>
    <row r="34">
      <c r="A34" s="10">
        <f>== TOTAL CATEGORY ===</f>
        <v/>
      </c>
      <c r="D34" s="25" t="n"/>
      <c r="F34" s="7" t="n"/>
      <c r="G34" s="11">
        <f>SUM(G3:G32)</f>
        <v/>
      </c>
      <c r="H34" s="8" t="n"/>
      <c r="L34" s="8" t="n"/>
      <c r="M34" s="11">
        <f>SUM(M3:M32)</f>
        <v/>
      </c>
      <c r="N34" s="11">
        <f>SUM(N3:N32)</f>
        <v/>
      </c>
    </row>
    <row r="36">
      <c r="A36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BUILDINGS (INDUSTRIAL FACILITIE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PRODUCTION EQUIPMENT (CORE PROC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Core manufacturing</t>
        </is>
      </c>
      <c r="B3" s="13" t="inlineStr">
        <is>
          <t>Core cutting line</t>
        </is>
      </c>
      <c r="C3" s="13" t="inlineStr">
        <is>
          <t>rezanje jezgra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IFERROR(G3/SUM($G$3:$G$35),0)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Core manufacturing</t>
        </is>
      </c>
      <c r="B4" s="13" t="inlineStr">
        <is>
          <t>Slitting machine</t>
        </is>
      </c>
      <c r="C4" s="13" t="inlineStr">
        <is>
          <t>slitting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IFERROR(G4/SUM($G$3:$G$35),0)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Core manufacturing</t>
        </is>
      </c>
      <c r="B5" s="13" t="inlineStr">
        <is>
          <t>Core stacking tables</t>
        </is>
      </c>
      <c r="C5" s="13" t="inlineStr">
        <is>
          <t>slaganje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IFERROR(G5/SUM($G$3:$G$35),0)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Core manufacturing</t>
        </is>
      </c>
      <c r="B6" s="13" t="inlineStr">
        <is>
          <t>Core stacking presses</t>
        </is>
      </c>
      <c r="C6" s="13" t="inlineStr">
        <is>
          <t>presovanje jezgra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IFERROR(G6/SUM($G$3:$G$35),0)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Core manufacturing</t>
        </is>
      </c>
      <c r="B7" s="13" t="inlineStr">
        <is>
          <t>Core clamping system</t>
        </is>
      </c>
      <c r="C7" s="13" t="inlineStr">
        <is>
          <t>stezanje jezgra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IFERROR(G7/SUM($G$3:$G$35),0)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Core manufacturing</t>
        </is>
      </c>
      <c r="B8" s="13" t="inlineStr">
        <is>
          <t>Automatic core stacking line</t>
        </is>
      </c>
      <c r="C8" s="13" t="inlineStr">
        <is>
          <t>automatizovana linija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IFERROR(G8/SUM($G$3:$G$35),0)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Core manufacturing</t>
        </is>
      </c>
      <c r="B9" s="13" t="inlineStr">
        <is>
          <t>Core handling cranes</t>
        </is>
      </c>
      <c r="C9" s="13" t="inlineStr">
        <is>
          <t>manipulacija jezgra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IFERROR(G9/SUM($G$3:$G$35),0)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Core manufacturing</t>
        </is>
      </c>
      <c r="B10" s="13" t="inlineStr">
        <is>
          <t>Core tilting devices</t>
        </is>
      </c>
      <c r="C10" s="13" t="inlineStr">
        <is>
          <t>rotacija jezgra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IFERROR(G10/SUM($G$3:$G$35),0)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Core manufacturing</t>
        </is>
      </c>
      <c r="B11" s="13" t="inlineStr">
        <is>
          <t>Core annealing furnace</t>
        </is>
      </c>
      <c r="C11" s="13" t="inlineStr">
        <is>
          <t>termička obrada jezgra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IFERROR(G11/SUM($G$3:$G$35),0)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Winding</t>
        </is>
      </c>
      <c r="B12" s="13" t="inlineStr">
        <is>
          <t>CNC winding machines</t>
        </is>
      </c>
      <c r="C12" s="13" t="inlineStr">
        <is>
          <t>namotavanje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IFERROR(G12/SUM($G$3:$G$35),0)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Winding</t>
        </is>
      </c>
      <c r="B13" s="13" t="inlineStr">
        <is>
          <t>Foil winding machine</t>
        </is>
      </c>
      <c r="C13" s="13" t="inlineStr">
        <is>
          <t>foil winding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IFERROR(G13/SUM($G$3:$G$35),0)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Winding</t>
        </is>
      </c>
      <c r="B14" s="13" t="inlineStr">
        <is>
          <t>Coil pressing machines</t>
        </is>
      </c>
      <c r="C14" s="13" t="inlineStr">
        <is>
          <t>presovanje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IFERROR(G14/SUM($G$3:$G$35),0)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Winding</t>
        </is>
      </c>
      <c r="B15" s="13" t="inlineStr">
        <is>
          <t>Vertical winding machines</t>
        </is>
      </c>
      <c r="C15" s="13" t="inlineStr">
        <is>
          <t>vertikalno namotavanje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IFERROR(G15/SUM($G$3:$G$35),0)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Winding</t>
        </is>
      </c>
      <c r="B16" s="13" t="inlineStr">
        <is>
          <t>Horizontal winding machines</t>
        </is>
      </c>
      <c r="C16" s="13" t="inlineStr">
        <is>
          <t>horizontalno namotavanje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IFERROR(G16/SUM($G$3:$G$35),0)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Winding</t>
        </is>
      </c>
      <c r="B17" s="13" t="inlineStr">
        <is>
          <t>Coil tilting machines</t>
        </is>
      </c>
      <c r="C17" s="13" t="inlineStr">
        <is>
          <t>rotacija zavojnica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IFERROR(G17/SUM($G$3:$G$35),0)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Winding</t>
        </is>
      </c>
      <c r="B18" s="13" t="inlineStr">
        <is>
          <t>Conductor insulation wrapping machines</t>
        </is>
      </c>
      <c r="C18" s="13" t="inlineStr">
        <is>
          <t>izolacija provodnika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IFERROR(G18/SUM($G$3:$G$35),0)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Winding</t>
        </is>
      </c>
      <c r="B19" s="13" t="inlineStr">
        <is>
          <t>Automatic coil winding line</t>
        </is>
      </c>
      <c r="C19" s="13" t="inlineStr">
        <is>
          <t>automatizovana linija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IFERROR(G19/SUM($G$3:$G$35),0)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Winding</t>
        </is>
      </c>
      <c r="B20" s="13" t="inlineStr">
        <is>
          <t>Coil drying ovens</t>
        </is>
      </c>
      <c r="C20" s="13" t="inlineStr">
        <is>
          <t>sušenje zavojnica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IFERROR(G20/SUM($G$3:$G$35),0)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Insulation</t>
        </is>
      </c>
      <c r="B21" s="13" t="inlineStr">
        <is>
          <t>Insulation cutting machines</t>
        </is>
      </c>
      <c r="C21" s="13" t="inlineStr">
        <is>
          <t>izolacija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IFERROR(G21/SUM($G$3:$G$35),0)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Insulation</t>
        </is>
      </c>
      <c r="B22" s="13" t="inlineStr">
        <is>
          <t>Insulation punching machines</t>
        </is>
      </c>
      <c r="C22" s="13" t="inlineStr">
        <is>
          <t>perforacija izolacije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IFERROR(G22/SUM($G$3:$G$35),0)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Insulation</t>
        </is>
      </c>
      <c r="B23" s="13" t="inlineStr">
        <is>
          <t>Insulation forming presses</t>
        </is>
      </c>
      <c r="C23" s="13" t="inlineStr">
        <is>
          <t>oblikovanje izolacije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IFERROR(G23/SUM($G$3:$G$35),0)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Insulation</t>
        </is>
      </c>
      <c r="B24" s="13" t="inlineStr">
        <is>
          <t>Insulation drying systems</t>
        </is>
      </c>
      <c r="C24" s="13" t="inlineStr">
        <is>
          <t>sušenje izolacije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IFERROR(G24/SUM($G$3:$G$35),0)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Insulation</t>
        </is>
      </c>
      <c r="B25" s="13" t="inlineStr">
        <is>
          <t>Assembly stations</t>
        </is>
      </c>
      <c r="C25" s="13" t="inlineStr">
        <is>
          <t>priprema aktivnog dijela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IFERROR(G25/SUM($G$3:$G$35),0)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Assembly</t>
        </is>
      </c>
      <c r="B26" s="13" t="inlineStr">
        <is>
          <t>Active part assembly line</t>
        </is>
      </c>
      <c r="C26" s="13" t="inlineStr">
        <is>
          <t>montaža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IFERROR(G26/SUM($G$3:$G$35),0)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Assembly</t>
        </is>
      </c>
      <c r="B27" s="13" t="inlineStr">
        <is>
          <t>Core-clamp assembly</t>
        </is>
      </c>
      <c r="C27" s="13" t="inlineStr">
        <is>
          <t>stezanje jezgra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IFERROR(G27/SUM($G$3:$G$35),0)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Assembly</t>
        </is>
      </c>
      <c r="B28" s="13" t="inlineStr">
        <is>
          <t>Active part lifting systems</t>
        </is>
      </c>
      <c r="C28" s="13" t="inlineStr">
        <is>
          <t>dizanje aktivnog dijela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IFERROR(G28/SUM($G$3:$G$35),0)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Assembly</t>
        </is>
      </c>
      <c r="B29" s="13" t="inlineStr">
        <is>
          <t>Transformer tank positioning systems</t>
        </is>
      </c>
      <c r="C29" s="13" t="inlineStr">
        <is>
          <t>pozicioniranje tankova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IFERROR(G29/SUM($G$3:$G$35),0)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Assembly</t>
        </is>
      </c>
      <c r="B30" s="13" t="inlineStr">
        <is>
          <t>Radiator installation stations</t>
        </is>
      </c>
      <c r="C30" s="13" t="inlineStr">
        <is>
          <t>instalacija radijatora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IFERROR(G30/SUM($G$3:$G$35),0)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Assembly</t>
        </is>
      </c>
      <c r="B31" s="13" t="inlineStr">
        <is>
          <t>Bushing installation stations</t>
        </is>
      </c>
      <c r="C31" s="13" t="inlineStr">
        <is>
          <t>instalacija provodnika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IFERROR(G31/SUM($G$3:$G$35),0)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Assembly</t>
        </is>
      </c>
      <c r="B32" s="13" t="inlineStr">
        <is>
          <t>Oil filling systems</t>
        </is>
      </c>
      <c r="C32" s="13" t="inlineStr">
        <is>
          <t>punjenje ulja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IFERROR(G32/SUM($G$3:$G$35),0)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Assembly</t>
        </is>
      </c>
      <c r="B33" s="13" t="inlineStr">
        <is>
          <t>Vacuum oil filling system</t>
        </is>
      </c>
      <c r="C33" s="13" t="inlineStr">
        <is>
          <t>vakuumsko punjenje ulja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IFERROR(G33/SUM($G$3:$G$35),0)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Assembly</t>
        </is>
      </c>
      <c r="B34" s="13" t="inlineStr">
        <is>
          <t>Transformer tilting platforms</t>
        </is>
      </c>
      <c r="C34" s="13" t="inlineStr">
        <is>
          <t>rotacija transformatora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IFERROR(G34/SUM($G$3:$G$35),0)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A35" s="13" t="inlineStr">
        <is>
          <t>Assembly</t>
        </is>
      </c>
      <c r="B35" s="13" t="inlineStr">
        <is>
          <t>Torque control systems</t>
        </is>
      </c>
      <c r="C35" s="13" t="inlineStr">
        <is>
          <t>kontrola momenta</t>
        </is>
      </c>
      <c r="D35" s="18" t="inlineStr"/>
      <c r="E35" s="19" t="inlineStr"/>
      <c r="F35" s="20" t="inlineStr"/>
      <c r="G35" s="21">
        <f>IFERROR(D35*F35,"")</f>
        <v/>
      </c>
      <c r="H35" s="22">
        <f>IFERROR(G35/SUM($G$3:$G$35),0)</f>
        <v/>
      </c>
      <c r="I35" s="19" t="inlineStr"/>
      <c r="J35" s="19" t="inlineStr"/>
      <c r="K35" s="19" t="inlineStr">
        <is>
          <t>Planned</t>
        </is>
      </c>
      <c r="L35" s="23" t="n">
        <v>0.1</v>
      </c>
      <c r="M35" s="21">
        <f>IFERROR(G35*L35,"")</f>
        <v/>
      </c>
      <c r="N35" s="21">
        <f>IFERROR(G35+M35,"")</f>
        <v/>
      </c>
      <c r="O35" s="24" t="inlineStr"/>
    </row>
    <row r="36">
      <c r="D36" s="25" t="n"/>
      <c r="F36" s="7" t="n"/>
      <c r="G36" s="7" t="n"/>
      <c r="H36" s="8" t="n"/>
      <c r="L36" s="8" t="n"/>
      <c r="M36" s="7" t="n"/>
      <c r="N36" s="7" t="n"/>
    </row>
    <row r="37">
      <c r="A37" s="10">
        <f>== TOTAL CATEGORY ===</f>
        <v/>
      </c>
      <c r="D37" s="25" t="n"/>
      <c r="F37" s="7" t="n"/>
      <c r="G37" s="11">
        <f>SUM(G3:G35)</f>
        <v/>
      </c>
      <c r="H37" s="8" t="n"/>
      <c r="L37" s="8" t="n"/>
      <c r="M37" s="11">
        <f>SUM(M3:M35)</f>
        <v/>
      </c>
      <c r="N37" s="11">
        <f>SUM(N3:N35)</f>
        <v/>
      </c>
    </row>
    <row r="39">
      <c r="A39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PRODUCTION EQUIPMENT (CORE PROC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DRYING   INSULATION TECHNOLOGY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Drying systems</t>
        </is>
      </c>
      <c r="B3" s="13" t="inlineStr">
        <is>
          <t>Vacuum drying ovens</t>
        </is>
      </c>
      <c r="C3" s="13" t="inlineStr">
        <is>
          <t>vakuumske peći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IFERROR(G3/SUM($G$3:$G$26),0)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Drying systems</t>
        </is>
      </c>
      <c r="B4" s="13" t="inlineStr">
        <is>
          <t>VPD system</t>
        </is>
      </c>
      <c r="C4" s="13" t="inlineStr">
        <is>
          <t>vacuum pressure drying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IFERROR(G4/SUM($G$3:$G$26),0)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Drying systems</t>
        </is>
      </c>
      <c r="B5" s="13" t="inlineStr">
        <is>
          <t>VPI system</t>
        </is>
      </c>
      <c r="C5" s="13" t="inlineStr">
        <is>
          <t>impregnacija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IFERROR(G5/SUM($G$3:$G$26),0)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Drying systems</t>
        </is>
      </c>
      <c r="B6" s="13" t="inlineStr">
        <is>
          <t>Vacuum pumps</t>
        </is>
      </c>
      <c r="C6" s="13" t="inlineStr">
        <is>
          <t>vakuum pumpe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IFERROR(G6/SUM($G$3:$G$26),0)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Drying systems</t>
        </is>
      </c>
      <c r="B7" s="13" t="inlineStr">
        <is>
          <t>Oil vapor recovery</t>
        </is>
      </c>
      <c r="C7" s="13" t="inlineStr">
        <is>
          <t>rekuperacija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IFERROR(G7/SUM($G$3:$G$26),0)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Drying systems</t>
        </is>
      </c>
      <c r="B8" s="13" t="inlineStr">
        <is>
          <t>Vacuum chambers</t>
        </is>
      </c>
      <c r="C8" s="13" t="inlineStr">
        <is>
          <t>vakuumske komore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IFERROR(G8/SUM($G$3:$G$26),0)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Drying systems</t>
        </is>
      </c>
      <c r="B9" s="13" t="inlineStr">
        <is>
          <t>Heating systems for drying</t>
        </is>
      </c>
      <c r="C9" s="13" t="inlineStr">
        <is>
          <t>grijanje komora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IFERROR(G9/SUM($G$3:$G$26),0)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Drying systems</t>
        </is>
      </c>
      <c r="B10" s="13" t="inlineStr">
        <is>
          <t>Dry air generators</t>
        </is>
      </c>
      <c r="C10" s="13" t="inlineStr">
        <is>
          <t>generatori suhog zraka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IFERROR(G10/SUM($G$3:$G$26),0)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Drying systems</t>
        </is>
      </c>
      <c r="B11" s="13" t="inlineStr">
        <is>
          <t>Nitrogen drying system</t>
        </is>
      </c>
      <c r="C11" s="13" t="inlineStr">
        <is>
          <t>sušenje azotom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IFERROR(G11/SUM($G$3:$G$26),0)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Drying systems</t>
        </is>
      </c>
      <c r="B12" s="13" t="inlineStr">
        <is>
          <t>Oil heating systems</t>
        </is>
      </c>
      <c r="C12" s="13" t="inlineStr">
        <is>
          <t>grijanje ulja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IFERROR(G12/SUM($G$3:$G$26),0)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Drying systems</t>
        </is>
      </c>
      <c r="B13" s="13" t="inlineStr">
        <is>
          <t>Oil circulation pumps</t>
        </is>
      </c>
      <c r="C13" s="13" t="inlineStr">
        <is>
          <t>pumpe za ulje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IFERROR(G13/SUM($G$3:$G$26),0)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Drying systems</t>
        </is>
      </c>
      <c r="B14" s="13" t="inlineStr">
        <is>
          <t>Oil filtration systems</t>
        </is>
      </c>
      <c r="C14" s="13" t="inlineStr">
        <is>
          <t>filtracija ulja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IFERROR(G14/SUM($G$3:$G$26),0)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Drying systems</t>
        </is>
      </c>
      <c r="B15" s="13" t="inlineStr">
        <is>
          <t>Oil degassing systems</t>
        </is>
      </c>
      <c r="C15" s="13" t="inlineStr">
        <is>
          <t>degazacija ulja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IFERROR(G15/SUM($G$3:$G$26),0)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Drying systems</t>
        </is>
      </c>
      <c r="B16" s="13" t="inlineStr">
        <is>
          <t>Vacuum piping network</t>
        </is>
      </c>
      <c r="C16" s="13" t="inlineStr">
        <is>
          <t>vakuumski cjevovodi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IFERROR(G16/SUM($G$3:$G$26),0)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Drying systems</t>
        </is>
      </c>
      <c r="B17" s="13" t="inlineStr">
        <is>
          <t>Condensation units</t>
        </is>
      </c>
      <c r="C17" s="13" t="inlineStr">
        <is>
          <t>kondenzacione jedinice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IFERROR(G17/SUM($G$3:$G$26),0)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Drying systems</t>
        </is>
      </c>
      <c r="B18" s="13" t="inlineStr">
        <is>
          <t>Thermal oil heating system</t>
        </is>
      </c>
      <c r="C18" s="13" t="inlineStr">
        <is>
          <t>grijanje termalnim uljem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IFERROR(G18/SUM($G$3:$G$26),0)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Drying systems</t>
        </is>
      </c>
      <c r="B19" s="13" t="inlineStr">
        <is>
          <t>Drying control systems</t>
        </is>
      </c>
      <c r="C19" s="13" t="inlineStr">
        <is>
          <t>kontrolni sistemi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IFERROR(G19/SUM($G$3:$G$26),0)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Drying systems</t>
        </is>
      </c>
      <c r="B20" s="13" t="inlineStr">
        <is>
          <t>Temperature monitoring</t>
        </is>
      </c>
      <c r="C20" s="13" t="inlineStr">
        <is>
          <t>senzori temperature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IFERROR(G20/SUM($G$3:$G$26),0)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Drying systems</t>
        </is>
      </c>
      <c r="B21" s="13" t="inlineStr">
        <is>
          <t>Pressure monitoring</t>
        </is>
      </c>
      <c r="C21" s="13" t="inlineStr">
        <is>
          <t>senzori pritiska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IFERROR(G21/SUM($G$3:$G$26),0)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Drying systems</t>
        </is>
      </c>
      <c r="B22" s="13" t="inlineStr">
        <is>
          <t>Process automation PLC</t>
        </is>
      </c>
      <c r="C22" s="13" t="inlineStr">
        <is>
          <t>automatizacija procesa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IFERROR(G22/SUM($G$3:$G$26),0)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Drying systems</t>
        </is>
      </c>
      <c r="B23" s="13" t="inlineStr">
        <is>
          <t>Vacuum storage tanks</t>
        </is>
      </c>
      <c r="C23" s="13" t="inlineStr">
        <is>
          <t>rezervoari vakuuma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IFERROR(G23/SUM($G$3:$G$26),0)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Drying systems</t>
        </is>
      </c>
      <c r="B24" s="13" t="inlineStr">
        <is>
          <t>Oil storage tanks</t>
        </is>
      </c>
      <c r="C24" s="13" t="inlineStr">
        <is>
          <t>rezervoari ulja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IFERROR(G24/SUM($G$3:$G$26),0)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Drying systems</t>
        </is>
      </c>
      <c r="B25" s="13" t="inlineStr">
        <is>
          <t>Oil cooling systems</t>
        </is>
      </c>
      <c r="C25" s="13" t="inlineStr">
        <is>
          <t>hlađenje ulja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IFERROR(G25/SUM($G$3:$G$26),0)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Drying systems</t>
        </is>
      </c>
      <c r="B26" s="13" t="inlineStr">
        <is>
          <t>Process safety systems</t>
        </is>
      </c>
      <c r="C26" s="13" t="inlineStr">
        <is>
          <t>sigurnosni sistemi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IFERROR(G26/SUM($G$3:$G$26),0)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D27" s="25" t="n"/>
      <c r="F27" s="7" t="n"/>
      <c r="G27" s="7" t="n"/>
      <c r="H27" s="8" t="n"/>
      <c r="L27" s="8" t="n"/>
      <c r="M27" s="7" t="n"/>
      <c r="N27" s="7" t="n"/>
    </row>
    <row r="28">
      <c r="A28" s="10">
        <f>== TOTAL CATEGORY ===</f>
        <v/>
      </c>
      <c r="D28" s="25" t="n"/>
      <c r="F28" s="7" t="n"/>
      <c r="G28" s="11">
        <f>SUM(G3:G26)</f>
        <v/>
      </c>
      <c r="H28" s="8" t="n"/>
      <c r="L28" s="8" t="n"/>
      <c r="M28" s="11">
        <f>SUM(M3:M26)</f>
        <v/>
      </c>
      <c r="N28" s="11">
        <f>SUM(N3:N26)</f>
        <v/>
      </c>
    </row>
    <row r="30">
      <c r="A30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DRYING   INSULATION TECHNOLOGY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TANK FABRICATION   METAL PROCES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Metal fabrication</t>
        </is>
      </c>
      <c r="B3" s="13" t="inlineStr">
        <is>
          <t>CNC plasma cutting</t>
        </is>
      </c>
      <c r="C3" s="13" t="inlineStr">
        <is>
          <t>rezanje čelika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IFERROR(G3/SUM($G$3:$G$35),0)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Metal fabrication</t>
        </is>
      </c>
      <c r="B4" s="13" t="inlineStr">
        <is>
          <t>CNC laser cutting</t>
        </is>
      </c>
      <c r="C4" s="13" t="inlineStr">
        <is>
          <t>lasersko rezanje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IFERROR(G4/SUM($G$3:$G$35),0)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Metal fabrication</t>
        </is>
      </c>
      <c r="B5" s="13" t="inlineStr">
        <is>
          <t>Press brake</t>
        </is>
      </c>
      <c r="C5" s="13" t="inlineStr">
        <is>
          <t>savijanje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IFERROR(G5/SUM($G$3:$G$35),0)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Metal fabrication</t>
        </is>
      </c>
      <c r="B6" s="13" t="inlineStr">
        <is>
          <t>Plate rolling machine</t>
        </is>
      </c>
      <c r="C6" s="13" t="inlineStr">
        <is>
          <t>valjanje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IFERROR(G6/SUM($G$3:$G$35),0)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Metal fabrication</t>
        </is>
      </c>
      <c r="B7" s="13" t="inlineStr">
        <is>
          <t>Sheet metal bending machines</t>
        </is>
      </c>
      <c r="C7" s="13" t="inlineStr">
        <is>
          <t>savijanje limova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IFERROR(G7/SUM($G$3:$G$35),0)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Metal fabrication</t>
        </is>
      </c>
      <c r="B8" s="13" t="inlineStr">
        <is>
          <t>CNC drilling machines</t>
        </is>
      </c>
      <c r="C8" s="13" t="inlineStr">
        <is>
          <t>bušenje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IFERROR(G8/SUM($G$3:$G$35),0)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Metal fabrication</t>
        </is>
      </c>
      <c r="B9" s="13" t="inlineStr">
        <is>
          <t>Metal punching machines</t>
        </is>
      </c>
      <c r="C9" s="13" t="inlineStr">
        <is>
          <t>perforacija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IFERROR(G9/SUM($G$3:$G$35),0)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Metal fabrication</t>
        </is>
      </c>
      <c r="B10" s="13" t="inlineStr">
        <is>
          <t>Edge milling machines</t>
        </is>
      </c>
      <c r="C10" s="13" t="inlineStr">
        <is>
          <t>obrada ivica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IFERROR(G10/SUM($G$3:$G$35),0)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Metal fabrication</t>
        </is>
      </c>
      <c r="B11" s="13" t="inlineStr">
        <is>
          <t>Plate straightening machines</t>
        </is>
      </c>
      <c r="C11" s="13" t="inlineStr">
        <is>
          <t>ravnanje ploča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IFERROR(G11/SUM($G$3:$G$35),0)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Metal fabrication</t>
        </is>
      </c>
      <c r="B12" s="13" t="inlineStr">
        <is>
          <t>Metal cutting saws</t>
        </is>
      </c>
      <c r="C12" s="13" t="inlineStr">
        <is>
          <t>rezanje profila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IFERROR(G12/SUM($G$3:$G$35),0)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Welding</t>
        </is>
      </c>
      <c r="B13" s="13" t="inlineStr">
        <is>
          <t>Robotic welding systems</t>
        </is>
      </c>
      <c r="C13" s="13" t="inlineStr">
        <is>
          <t>robot zavarivanje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IFERROR(G13/SUM($G$3:$G$35),0)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Welding</t>
        </is>
      </c>
      <c r="B14" s="13" t="inlineStr">
        <is>
          <t>Manual welding stations</t>
        </is>
      </c>
      <c r="C14" s="13" t="inlineStr">
        <is>
          <t>ručno zavarivanje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IFERROR(G14/SUM($G$3:$G$35),0)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Welding</t>
        </is>
      </c>
      <c r="B15" s="13" t="inlineStr">
        <is>
          <t>Submerged arc welding system</t>
        </is>
      </c>
      <c r="C15" s="13" t="inlineStr">
        <is>
          <t>SAW zavarivanje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IFERROR(G15/SUM($G$3:$G$35),0)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Welding</t>
        </is>
      </c>
      <c r="B16" s="13" t="inlineStr">
        <is>
          <t>MIG/MAG welding machines</t>
        </is>
      </c>
      <c r="C16" s="13" t="inlineStr">
        <is>
          <t>industrijsko zavarivanje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IFERROR(G16/SUM($G$3:$G$35),0)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Welding</t>
        </is>
      </c>
      <c r="B17" s="13" t="inlineStr">
        <is>
          <t>Welding positioners</t>
        </is>
      </c>
      <c r="C17" s="13" t="inlineStr">
        <is>
          <t>rotacioni držači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IFERROR(G17/SUM($G$3:$G$35),0)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Welding</t>
        </is>
      </c>
      <c r="B18" s="13" t="inlineStr">
        <is>
          <t>Welding manipulators</t>
        </is>
      </c>
      <c r="C18" s="13" t="inlineStr">
        <is>
          <t>manipulacija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IFERROR(G18/SUM($G$3:$G$35),0)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Welding</t>
        </is>
      </c>
      <c r="B19" s="13" t="inlineStr">
        <is>
          <t>Welding power sources</t>
        </is>
      </c>
      <c r="C19" s="13" t="inlineStr">
        <is>
          <t>izvori napajanja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IFERROR(G19/SUM($G$3:$G$35),0)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Welding</t>
        </is>
      </c>
      <c r="B20" s="13" t="inlineStr">
        <is>
          <t>Welding fume extraction systems</t>
        </is>
      </c>
      <c r="C20" s="13" t="inlineStr">
        <is>
          <t>filtracija dima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IFERROR(G20/SUM($G$3:$G$35),0)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Surface treatment</t>
        </is>
      </c>
      <c r="B21" s="13" t="inlineStr">
        <is>
          <t>Shot blasting</t>
        </is>
      </c>
      <c r="C21" s="13" t="inlineStr">
        <is>
          <t>čišćenje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IFERROR(G21/SUM($G$3:$G$35),0)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Surface treatment</t>
        </is>
      </c>
      <c r="B22" s="13" t="inlineStr">
        <is>
          <t>Sand blasting systems</t>
        </is>
      </c>
      <c r="C22" s="13" t="inlineStr">
        <is>
          <t>pjeskarenje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IFERROR(G22/SUM($G$3:$G$35),0)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Surface treatment</t>
        </is>
      </c>
      <c r="B23" s="13" t="inlineStr">
        <is>
          <t>Surface grinding machines</t>
        </is>
      </c>
      <c r="C23" s="13" t="inlineStr">
        <is>
          <t>brušenje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IFERROR(G23/SUM($G$3:$G$35),0)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Surface treatment</t>
        </is>
      </c>
      <c r="B24" s="13" t="inlineStr">
        <is>
          <t>Degreasing systems</t>
        </is>
      </c>
      <c r="C24" s="13" t="inlineStr">
        <is>
          <t>odmašćivanje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IFERROR(G24/SUM($G$3:$G$35),0)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Surface treatment</t>
        </is>
      </c>
      <c r="B25" s="13" t="inlineStr">
        <is>
          <t>Painting booth</t>
        </is>
      </c>
      <c r="C25" s="13" t="inlineStr">
        <is>
          <t>farbanje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IFERROR(G25/SUM($G$3:$G$35),0)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Surface treatment</t>
        </is>
      </c>
      <c r="B26" s="13" t="inlineStr">
        <is>
          <t>Paint drying ovens</t>
        </is>
      </c>
      <c r="C26" s="13" t="inlineStr">
        <is>
          <t>sušenje boje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IFERROR(G26/SUM($G$3:$G$35),0)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Surface treatment</t>
        </is>
      </c>
      <c r="B27" s="13" t="inlineStr">
        <is>
          <t>Industrial coating systems</t>
        </is>
      </c>
      <c r="C27" s="13" t="inlineStr">
        <is>
          <t>zaštitni premaz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IFERROR(G27/SUM($G$3:$G$35),0)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Surface treatment</t>
        </is>
      </c>
      <c r="B28" s="13" t="inlineStr">
        <is>
          <t>Paint mixing systems</t>
        </is>
      </c>
      <c r="C28" s="13" t="inlineStr">
        <is>
          <t>priprema boje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IFERROR(G28/SUM($G$3:$G$35),0)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Testing</t>
        </is>
      </c>
      <c r="B29" s="13" t="inlineStr">
        <is>
          <t>Tank leak testing</t>
        </is>
      </c>
      <c r="C29" s="13" t="inlineStr">
        <is>
          <t>test nepropusnosti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IFERROR(G29/SUM($G$3:$G$35),0)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Testing</t>
        </is>
      </c>
      <c r="B30" s="13" t="inlineStr">
        <is>
          <t>Pressure testing systems</t>
        </is>
      </c>
      <c r="C30" s="13" t="inlineStr">
        <is>
          <t>test pritiska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IFERROR(G30/SUM($G$3:$G$35),0)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Testing</t>
        </is>
      </c>
      <c r="B31" s="13" t="inlineStr">
        <is>
          <t>Vacuum testing systems</t>
        </is>
      </c>
      <c r="C31" s="13" t="inlineStr">
        <is>
          <t>vakuumski test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IFERROR(G31/SUM($G$3:$G$35),0)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Testing</t>
        </is>
      </c>
      <c r="B32" s="13" t="inlineStr">
        <is>
          <t>Weld inspection equipment</t>
        </is>
      </c>
      <c r="C32" s="13" t="inlineStr">
        <is>
          <t>kontrola zavara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IFERROR(G32/SUM($G$3:$G$35),0)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Testing</t>
        </is>
      </c>
      <c r="B33" s="13" t="inlineStr">
        <is>
          <t>Ultrasonic testing equipment</t>
        </is>
      </c>
      <c r="C33" s="13" t="inlineStr">
        <is>
          <t>ultrazvučna kontrola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IFERROR(G33/SUM($G$3:$G$35),0)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Testing</t>
        </is>
      </c>
      <c r="B34" s="13" t="inlineStr">
        <is>
          <t>Dye penetrant testing</t>
        </is>
      </c>
      <c r="C34" s="13" t="inlineStr">
        <is>
          <t>penetrant test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IFERROR(G34/SUM($G$3:$G$35),0)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A35" s="13" t="inlineStr">
        <is>
          <t>Testing</t>
        </is>
      </c>
      <c r="B35" s="13" t="inlineStr">
        <is>
          <t>Dimensional inspection systems</t>
        </is>
      </c>
      <c r="C35" s="13" t="inlineStr">
        <is>
          <t>mjerenje dimenzija</t>
        </is>
      </c>
      <c r="D35" s="18" t="inlineStr"/>
      <c r="E35" s="19" t="inlineStr"/>
      <c r="F35" s="20" t="inlineStr"/>
      <c r="G35" s="21">
        <f>IFERROR(D35*F35,"")</f>
        <v/>
      </c>
      <c r="H35" s="22">
        <f>IFERROR(G35/SUM($G$3:$G$35),0)</f>
        <v/>
      </c>
      <c r="I35" s="19" t="inlineStr"/>
      <c r="J35" s="19" t="inlineStr"/>
      <c r="K35" s="19" t="inlineStr">
        <is>
          <t>Planned</t>
        </is>
      </c>
      <c r="L35" s="23" t="n">
        <v>0.1</v>
      </c>
      <c r="M35" s="21">
        <f>IFERROR(G35*L35,"")</f>
        <v/>
      </c>
      <c r="N35" s="21">
        <f>IFERROR(G35+M35,"")</f>
        <v/>
      </c>
      <c r="O35" s="24" t="inlineStr"/>
    </row>
    <row r="36">
      <c r="D36" s="25" t="n"/>
      <c r="F36" s="7" t="n"/>
      <c r="G36" s="7" t="n"/>
      <c r="H36" s="8" t="n"/>
      <c r="L36" s="8" t="n"/>
      <c r="M36" s="7" t="n"/>
      <c r="N36" s="7" t="n"/>
    </row>
    <row r="37">
      <c r="A37" s="10">
        <f>== TOTAL CATEGORY ===</f>
        <v/>
      </c>
      <c r="D37" s="25" t="n"/>
      <c r="F37" s="7" t="n"/>
      <c r="G37" s="11">
        <f>SUM(G3:G35)</f>
        <v/>
      </c>
      <c r="H37" s="8" t="n"/>
      <c r="L37" s="8" t="n"/>
      <c r="M37" s="11">
        <f>SUM(M3:M35)</f>
        <v/>
      </c>
      <c r="N37" s="11">
        <f>SUM(N3:N35)</f>
        <v/>
      </c>
    </row>
    <row r="39">
      <c r="A39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TANK FABRICATION   METAL PROCES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FINAL ASSEMBLY SYSTEMS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Assembly</t>
        </is>
      </c>
      <c r="B3" s="13" t="inlineStr">
        <is>
          <t>Transformer assembly stations</t>
        </is>
      </c>
      <c r="C3" s="13" t="inlineStr">
        <is>
          <t>montaža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IFERROR(G3/SUM($G$3:$G$30),0)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Assembly</t>
        </is>
      </c>
      <c r="B4" s="13" t="inlineStr">
        <is>
          <t>Radiator installation stations</t>
        </is>
      </c>
      <c r="C4" s="13" t="inlineStr">
        <is>
          <t>radijatori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IFERROR(G4/SUM($G$3:$G$30),0)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Assembly</t>
        </is>
      </c>
      <c r="B5" s="13" t="inlineStr">
        <is>
          <t>Oil filling systems</t>
        </is>
      </c>
      <c r="C5" s="13" t="inlineStr">
        <is>
          <t>punjenje ulja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IFERROR(G5/SUM($G$3:$G$30),0)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Assembly</t>
        </is>
      </c>
      <c r="B6" s="13" t="inlineStr">
        <is>
          <t>Dry nitrogen systems</t>
        </is>
      </c>
      <c r="C6" s="13" t="inlineStr">
        <is>
          <t>inertni gas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IFERROR(G6/SUM($G$3:$G$30),0)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Assembly</t>
        </is>
      </c>
      <c r="B7" s="13" t="inlineStr">
        <is>
          <t>Transformer lifting systems</t>
        </is>
      </c>
      <c r="C7" s="13" t="inlineStr">
        <is>
          <t>dizanje transformatora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IFERROR(G7/SUM($G$3:$G$30),0)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Assembly</t>
        </is>
      </c>
      <c r="B8" s="13" t="inlineStr">
        <is>
          <t>Overhead bridge cranes</t>
        </is>
      </c>
      <c r="C8" s="13" t="inlineStr">
        <is>
          <t>mostne dizalice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IFERROR(G8/SUM($G$3:$G$30),0)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Assembly</t>
        </is>
      </c>
      <c r="B9" s="13" t="inlineStr">
        <is>
          <t>Hydraulic lifting tables</t>
        </is>
      </c>
      <c r="C9" s="13" t="inlineStr">
        <is>
          <t>hidraulične platforme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IFERROR(G9/SUM($G$3:$G$30),0)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Assembly</t>
        </is>
      </c>
      <c r="B10" s="13" t="inlineStr">
        <is>
          <t>Transformer tilting machines</t>
        </is>
      </c>
      <c r="C10" s="13" t="inlineStr">
        <is>
          <t>rotacija transformatora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IFERROR(G10/SUM($G$3:$G$30),0)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Assembly</t>
        </is>
      </c>
      <c r="B11" s="13" t="inlineStr">
        <is>
          <t>Active part insertion systems</t>
        </is>
      </c>
      <c r="C11" s="13" t="inlineStr">
        <is>
          <t>ubacivanje aktivnog dijela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IFERROR(G11/SUM($G$3:$G$30),0)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Assembly</t>
        </is>
      </c>
      <c r="B12" s="13" t="inlineStr">
        <is>
          <t>Bushing installation stations</t>
        </is>
      </c>
      <c r="C12" s="13" t="inlineStr">
        <is>
          <t>instalacija provodnika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IFERROR(G12/SUM($G$3:$G$30),0)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Assembly</t>
        </is>
      </c>
      <c r="B13" s="13" t="inlineStr">
        <is>
          <t>Tap changer installation stations</t>
        </is>
      </c>
      <c r="C13" s="13" t="inlineStr">
        <is>
          <t>instalacija regulacionih prekidača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IFERROR(G13/SUM($G$3:$G$30),0)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Assembly</t>
        </is>
      </c>
      <c r="B14" s="13" t="inlineStr">
        <is>
          <t>Cooling system installation stations</t>
        </is>
      </c>
      <c r="C14" s="13" t="inlineStr">
        <is>
          <t>instalacija sistema hlađenja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IFERROR(G14/SUM($G$3:$G$30),0)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Assembly</t>
        </is>
      </c>
      <c r="B15" s="13" t="inlineStr">
        <is>
          <t>Radiator pressure testing systems</t>
        </is>
      </c>
      <c r="C15" s="13" t="inlineStr">
        <is>
          <t>test radijatora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IFERROR(G15/SUM($G$3:$G$30),0)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Assembly</t>
        </is>
      </c>
      <c r="B16" s="13" t="inlineStr">
        <is>
          <t>Transformer tank positioning systems</t>
        </is>
      </c>
      <c r="C16" s="13" t="inlineStr">
        <is>
          <t>pozicioniranje tankova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IFERROR(G16/SUM($G$3:$G$30),0)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Assembly</t>
        </is>
      </c>
      <c r="B17" s="13" t="inlineStr">
        <is>
          <t>Oil circulation systems</t>
        </is>
      </c>
      <c r="C17" s="13" t="inlineStr">
        <is>
          <t>cirkulacija ulja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IFERROR(G17/SUM($G$3:$G$30),0)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Assembly</t>
        </is>
      </c>
      <c r="B18" s="13" t="inlineStr">
        <is>
          <t>Vacuum oil filling system</t>
        </is>
      </c>
      <c r="C18" s="13" t="inlineStr">
        <is>
          <t>vakuumsko punjenje ulja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IFERROR(G18/SUM($G$3:$G$30),0)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Assembly</t>
        </is>
      </c>
      <c r="B19" s="13" t="inlineStr">
        <is>
          <t>Oil degassing system</t>
        </is>
      </c>
      <c r="C19" s="13" t="inlineStr">
        <is>
          <t>degazacija ulja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IFERROR(G19/SUM($G$3:$G$30),0)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Assembly</t>
        </is>
      </c>
      <c r="B20" s="13" t="inlineStr">
        <is>
          <t>Oil filtration system</t>
        </is>
      </c>
      <c r="C20" s="13" t="inlineStr">
        <is>
          <t>filtracija ulja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IFERROR(G20/SUM($G$3:$G$30),0)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Assembly</t>
        </is>
      </c>
      <c r="B21" s="13" t="inlineStr">
        <is>
          <t>Oil storage tanks</t>
        </is>
      </c>
      <c r="C21" s="13" t="inlineStr">
        <is>
          <t>rezervoari ulja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IFERROR(G21/SUM($G$3:$G$30),0)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Assembly</t>
        </is>
      </c>
      <c r="B22" s="13" t="inlineStr">
        <is>
          <t>Nitrogen storage tanks</t>
        </is>
      </c>
      <c r="C22" s="13" t="inlineStr">
        <is>
          <t>rezervoari azota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IFERROR(G22/SUM($G$3:$G$30),0)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Assembly</t>
        </is>
      </c>
      <c r="B23" s="13" t="inlineStr">
        <is>
          <t>Leak detection systems</t>
        </is>
      </c>
      <c r="C23" s="13" t="inlineStr">
        <is>
          <t>detekcija curenja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IFERROR(G23/SUM($G$3:$G$30),0)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Assembly</t>
        </is>
      </c>
      <c r="B24" s="13" t="inlineStr">
        <is>
          <t>Torque control tools</t>
        </is>
      </c>
      <c r="C24" s="13" t="inlineStr">
        <is>
          <t>kontrola momenta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IFERROR(G24/SUM($G$3:$G$30),0)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Assembly</t>
        </is>
      </c>
      <c r="B25" s="13" t="inlineStr">
        <is>
          <t>Hydraulic bolting systems</t>
        </is>
      </c>
      <c r="C25" s="13" t="inlineStr">
        <is>
          <t>hidraulično zatezanje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IFERROR(G25/SUM($G$3:$G$30),0)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Assembly</t>
        </is>
      </c>
      <c r="B26" s="13" t="inlineStr">
        <is>
          <t>Assembly automation PLC</t>
        </is>
      </c>
      <c r="C26" s="13" t="inlineStr">
        <is>
          <t>automatizacija montaže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IFERROR(G26/SUM($G$3:$G$30),0)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Assembly</t>
        </is>
      </c>
      <c r="B27" s="13" t="inlineStr">
        <is>
          <t>Transformer transport carts</t>
        </is>
      </c>
      <c r="C27" s="13" t="inlineStr">
        <is>
          <t>transport transformatora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IFERROR(G27/SUM($G$3:$G$30),0)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Assembly</t>
        </is>
      </c>
      <c r="B28" s="13" t="inlineStr">
        <is>
          <t>Rail transfer systems</t>
        </is>
      </c>
      <c r="C28" s="13" t="inlineStr">
        <is>
          <t>šinski transport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IFERROR(G28/SUM($G$3:$G$30),0)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Assembly</t>
        </is>
      </c>
      <c r="B29" s="13" t="inlineStr">
        <is>
          <t>Assembly safety systems</t>
        </is>
      </c>
      <c r="C29" s="13" t="inlineStr">
        <is>
          <t>sigurnosni sistemi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IFERROR(G29/SUM($G$3:$G$30),0)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Assembly</t>
        </is>
      </c>
      <c r="B30" s="13" t="inlineStr">
        <is>
          <t>Lighting systems for assembly</t>
        </is>
      </c>
      <c r="C30" s="13" t="inlineStr">
        <is>
          <t>industrijska rasvjeta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IFERROR(G30/SUM($G$3:$G$30),0)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D31" s="25" t="n"/>
      <c r="F31" s="7" t="n"/>
      <c r="G31" s="7" t="n"/>
      <c r="H31" s="8" t="n"/>
      <c r="L31" s="8" t="n"/>
      <c r="M31" s="7" t="n"/>
      <c r="N31" s="7" t="n"/>
    </row>
    <row r="32">
      <c r="A32" s="10">
        <f>== TOTAL CATEGORY ===</f>
        <v/>
      </c>
      <c r="D32" s="25" t="n"/>
      <c r="F32" s="7" t="n"/>
      <c r="G32" s="11">
        <f>SUM(G3:G30)</f>
        <v/>
      </c>
      <c r="H32" s="8" t="n"/>
      <c r="L32" s="8" t="n"/>
      <c r="M32" s="11">
        <f>SUM(M3:M30)</f>
        <v/>
      </c>
      <c r="N32" s="11">
        <f>SUM(N3:N30)</f>
        <v/>
      </c>
    </row>
    <row r="34">
      <c r="A34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FINAL ASSEMBLY SYSTEMS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TESTING HALL EQUIPMENT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Electrical testing</t>
        </is>
      </c>
      <c r="B3" s="13" t="inlineStr">
        <is>
          <t>High voltage test system</t>
        </is>
      </c>
      <c r="C3" s="13" t="inlineStr">
        <is>
          <t>HV test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IFERROR(G3/SUM($G$3:$G$35),0)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Electrical testing</t>
        </is>
      </c>
      <c r="B4" s="13" t="inlineStr">
        <is>
          <t>Impulse generator</t>
        </is>
      </c>
      <c r="C4" s="13" t="inlineStr">
        <is>
          <t>impulse test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IFERROR(G4/SUM($G$3:$G$35),0)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Electrical testing</t>
        </is>
      </c>
      <c r="B5" s="13" t="inlineStr">
        <is>
          <t>Partial discharge system</t>
        </is>
      </c>
      <c r="C5" s="13" t="inlineStr">
        <is>
          <t>PD test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IFERROR(G5/SUM($G$3:$G$35),0)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Electrical testing</t>
        </is>
      </c>
      <c r="B6" s="13" t="inlineStr">
        <is>
          <t>Load loss measurement</t>
        </is>
      </c>
      <c r="C6" s="13" t="inlineStr">
        <is>
          <t>gubici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IFERROR(G6/SUM($G$3:$G$35),0)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Electrical testing</t>
        </is>
      </c>
      <c r="B7" s="13" t="inlineStr">
        <is>
          <t>Control room systems</t>
        </is>
      </c>
      <c r="C7" s="13" t="inlineStr">
        <is>
          <t>kontrola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IFERROR(G7/SUM($G$3:$G$35),0)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Electrical testing</t>
        </is>
      </c>
      <c r="B8" s="13" t="inlineStr">
        <is>
          <t>Induced voltage test system</t>
        </is>
      </c>
      <c r="C8" s="13" t="inlineStr">
        <is>
          <t>inducirani napon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IFERROR(G8/SUM($G$3:$G$35),0)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Electrical testing</t>
        </is>
      </c>
      <c r="B9" s="13" t="inlineStr">
        <is>
          <t>Applied voltage test system</t>
        </is>
      </c>
      <c r="C9" s="13" t="inlineStr">
        <is>
          <t>primijenjeni napon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IFERROR(G9/SUM($G$3:$G$35),0)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Electrical testing</t>
        </is>
      </c>
      <c r="B10" s="13" t="inlineStr">
        <is>
          <t>Ratio test system</t>
        </is>
      </c>
      <c r="C10" s="13" t="inlineStr">
        <is>
          <t>omjer transformacije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IFERROR(G10/SUM($G$3:$G$35),0)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Electrical testing</t>
        </is>
      </c>
      <c r="B11" s="13" t="inlineStr">
        <is>
          <t>Winding resistance measurement</t>
        </is>
      </c>
      <c r="C11" s="13" t="inlineStr">
        <is>
          <t>otpor namotaja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IFERROR(G11/SUM($G$3:$G$35),0)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Electrical testing</t>
        </is>
      </c>
      <c r="B12" s="13" t="inlineStr">
        <is>
          <t>Magnetic balance test system</t>
        </is>
      </c>
      <c r="C12" s="13" t="inlineStr">
        <is>
          <t>magnetna ravnoteža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IFERROR(G12/SUM($G$3:$G$35),0)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Electrical testing</t>
        </is>
      </c>
      <c r="B13" s="13" t="inlineStr">
        <is>
          <t>No-load loss measurement</t>
        </is>
      </c>
      <c r="C13" s="13" t="inlineStr">
        <is>
          <t>gubici praznog hoda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IFERROR(G13/SUM($G$3:$G$35),0)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Electrical testing</t>
        </is>
      </c>
      <c r="B14" s="13" t="inlineStr">
        <is>
          <t>Short circuit impedance test</t>
        </is>
      </c>
      <c r="C14" s="13" t="inlineStr">
        <is>
          <t>impedansa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IFERROR(G14/SUM($G$3:$G$35),0)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Electrical testing</t>
        </is>
      </c>
      <c r="B15" s="13" t="inlineStr">
        <is>
          <t>Temperature rise test system</t>
        </is>
      </c>
      <c r="C15" s="13" t="inlineStr">
        <is>
          <t>temperaturni test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IFERROR(G15/SUM($G$3:$G$35),0)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Electrical testing</t>
        </is>
      </c>
      <c r="B16" s="13" t="inlineStr">
        <is>
          <t>Tan delta test system</t>
        </is>
      </c>
      <c r="C16" s="13" t="inlineStr">
        <is>
          <t>dielektrični gubici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IFERROR(G16/SUM($G$3:$G$35),0)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Electrical testing</t>
        </is>
      </c>
      <c r="B17" s="13" t="inlineStr">
        <is>
          <t>Capacitance measurement</t>
        </is>
      </c>
      <c r="C17" s="13" t="inlineStr">
        <is>
          <t>kapacitivnost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IFERROR(G17/SUM($G$3:$G$35),0)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Electrical testing</t>
        </is>
      </c>
      <c r="B18" s="13" t="inlineStr">
        <is>
          <t>Power factor test system</t>
        </is>
      </c>
      <c r="C18" s="13" t="inlineStr">
        <is>
          <t>faktor snage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IFERROR(G18/SUM($G$3:$G$35),0)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Electrical testing</t>
        </is>
      </c>
      <c r="B19" s="13" t="inlineStr">
        <is>
          <t>Transformer vector group test</t>
        </is>
      </c>
      <c r="C19" s="13" t="inlineStr">
        <is>
          <t>vektorska grupa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IFERROR(G19/SUM($G$3:$G$35),0)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Electrical testing</t>
        </is>
      </c>
      <c r="B20" s="13" t="inlineStr">
        <is>
          <t>Frequency response analysis</t>
        </is>
      </c>
      <c r="C20" s="13" t="inlineStr">
        <is>
          <t>FRA test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IFERROR(G20/SUM($G$3:$G$35),0)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Electrical testing</t>
        </is>
      </c>
      <c r="B21" s="13" t="inlineStr">
        <is>
          <t>Acoustic noise measurement</t>
        </is>
      </c>
      <c r="C21" s="13" t="inlineStr">
        <is>
          <t>mjerenje buke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IFERROR(G21/SUM($G$3:$G$35),0)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Electrical testing</t>
        </is>
      </c>
      <c r="B22" s="13" t="inlineStr">
        <is>
          <t>On-load tap changer test system</t>
        </is>
      </c>
      <c r="C22" s="13" t="inlineStr">
        <is>
          <t>test regulacije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IFERROR(G22/SUM($G$3:$G$35),0)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Electrical testing</t>
        </is>
      </c>
      <c r="B23" s="13" t="inlineStr">
        <is>
          <t>Transformer monitoring system</t>
        </is>
      </c>
      <c r="C23" s="13" t="inlineStr">
        <is>
          <t>monitoring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IFERROR(G23/SUM($G$3:$G$35),0)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Electrical testing</t>
        </is>
      </c>
      <c r="B24" s="13" t="inlineStr">
        <is>
          <t>Test bay safety systems</t>
        </is>
      </c>
      <c r="C24" s="13" t="inlineStr">
        <is>
          <t>sigurnost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IFERROR(G24/SUM($G$3:$G$35),0)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Electrical testing</t>
        </is>
      </c>
      <c r="B25" s="13" t="inlineStr">
        <is>
          <t>Grounding systems</t>
        </is>
      </c>
      <c r="C25" s="13" t="inlineStr">
        <is>
          <t>uzemljenje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IFERROR(G25/SUM($G$3:$G$35),0)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Electrical testing</t>
        </is>
      </c>
      <c r="B26" s="13" t="inlineStr">
        <is>
          <t>Shielding systems</t>
        </is>
      </c>
      <c r="C26" s="13" t="inlineStr">
        <is>
          <t>elektromagnetna zaštita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IFERROR(G26/SUM($G$3:$G$35),0)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Electrical testing</t>
        </is>
      </c>
      <c r="B27" s="13" t="inlineStr">
        <is>
          <t>High voltage bushings</t>
        </is>
      </c>
      <c r="C27" s="13" t="inlineStr">
        <is>
          <t>visokonaponski priključci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IFERROR(G27/SUM($G$3:$G$35),0)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Electrical testing</t>
        </is>
      </c>
      <c r="B28" s="13" t="inlineStr">
        <is>
          <t>HV cables</t>
        </is>
      </c>
      <c r="C28" s="13" t="inlineStr">
        <is>
          <t>visokonaponski kablovi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IFERROR(G28/SUM($G$3:$G$35),0)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Electrical testing</t>
        </is>
      </c>
      <c r="B29" s="13" t="inlineStr">
        <is>
          <t>Test transformers</t>
        </is>
      </c>
      <c r="C29" s="13" t="inlineStr">
        <is>
          <t>pomoćni transformatori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IFERROR(G29/SUM($G$3:$G$35),0)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Electrical testing</t>
        </is>
      </c>
      <c r="B30" s="13" t="inlineStr">
        <is>
          <t>Data acquisition systems</t>
        </is>
      </c>
      <c r="C30" s="13" t="inlineStr">
        <is>
          <t>prikupljanje podataka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IFERROR(G30/SUM($G$3:$G$35),0)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Electrical testing</t>
        </is>
      </c>
      <c r="B31" s="13" t="inlineStr">
        <is>
          <t>Test software</t>
        </is>
      </c>
      <c r="C31" s="13" t="inlineStr">
        <is>
          <t>softver za testiranje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IFERROR(G31/SUM($G$3:$G$35),0)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Electrical testing</t>
        </is>
      </c>
      <c r="B32" s="13" t="inlineStr">
        <is>
          <t>SCADA integration</t>
        </is>
      </c>
      <c r="C32" s="13" t="inlineStr">
        <is>
          <t>integracija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IFERROR(G32/SUM($G$3:$G$35),0)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Electrical testing</t>
        </is>
      </c>
      <c r="B33" s="13" t="inlineStr">
        <is>
          <t>Operator control consoles</t>
        </is>
      </c>
      <c r="C33" s="13" t="inlineStr">
        <is>
          <t>operaterske konzole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IFERROR(G33/SUM($G$3:$G$35),0)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Electrical testing</t>
        </is>
      </c>
      <c r="B34" s="13" t="inlineStr">
        <is>
          <t>Test report automation</t>
        </is>
      </c>
      <c r="C34" s="13" t="inlineStr">
        <is>
          <t>automatizacija izvještaja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IFERROR(G34/SUM($G$3:$G$35),0)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A35" s="13" t="inlineStr">
        <is>
          <t>Electrical testing</t>
        </is>
      </c>
      <c r="B35" s="13" t="inlineStr">
        <is>
          <t>Environmental monitoring</t>
        </is>
      </c>
      <c r="C35" s="13" t="inlineStr">
        <is>
          <t>monitoring okoline</t>
        </is>
      </c>
      <c r="D35" s="18" t="inlineStr"/>
      <c r="E35" s="19" t="inlineStr"/>
      <c r="F35" s="20" t="inlineStr"/>
      <c r="G35" s="21">
        <f>IFERROR(D35*F35,"")</f>
        <v/>
      </c>
      <c r="H35" s="22">
        <f>IFERROR(G35/SUM($G$3:$G$35),0)</f>
        <v/>
      </c>
      <c r="I35" s="19" t="inlineStr"/>
      <c r="J35" s="19" t="inlineStr"/>
      <c r="K35" s="19" t="inlineStr">
        <is>
          <t>Planned</t>
        </is>
      </c>
      <c r="L35" s="23" t="n">
        <v>0.1</v>
      </c>
      <c r="M35" s="21">
        <f>IFERROR(G35*L35,"")</f>
        <v/>
      </c>
      <c r="N35" s="21">
        <f>IFERROR(G35+M35,"")</f>
        <v/>
      </c>
      <c r="O35" s="24" t="inlineStr"/>
    </row>
    <row r="36">
      <c r="D36" s="25" t="n"/>
      <c r="F36" s="7" t="n"/>
      <c r="G36" s="7" t="n"/>
      <c r="H36" s="8" t="n"/>
      <c r="L36" s="8" t="n"/>
      <c r="M36" s="7" t="n"/>
      <c r="N36" s="7" t="n"/>
    </row>
    <row r="37">
      <c r="A37" s="10">
        <f>== TOTAL CATEGORY ===</f>
        <v/>
      </c>
      <c r="D37" s="25" t="n"/>
      <c r="F37" s="7" t="n"/>
      <c r="G37" s="11">
        <f>SUM(G3:G35)</f>
        <v/>
      </c>
      <c r="H37" s="8" t="n"/>
      <c r="L37" s="8" t="n"/>
      <c r="M37" s="11">
        <f>SUM(M3:M35)</f>
        <v/>
      </c>
      <c r="N37" s="11">
        <f>SUM(N3:N35)</f>
        <v/>
      </c>
    </row>
    <row r="39">
      <c r="A39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TESTING HALL EQUIPMENT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 xml:space="preserve">TITAN GRID CAPEX REGISTER | INTERNAL LOGISTICS &amp; MATERIAL 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Cranes</t>
        </is>
      </c>
      <c r="B3" s="13" t="inlineStr">
        <is>
          <t>Overhead cranes</t>
        </is>
      </c>
      <c r="C3" s="13" t="inlineStr">
        <is>
          <t>mostne dizalice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Cranes</t>
        </is>
      </c>
      <c r="B4" s="13" t="inlineStr">
        <is>
          <t>Jib cranes</t>
        </is>
      </c>
      <c r="C4" s="13" t="inlineStr">
        <is>
          <t>kranovi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Cranes</t>
        </is>
      </c>
      <c r="B5" s="13" t="inlineStr">
        <is>
          <t>Gantry cranes</t>
        </is>
      </c>
      <c r="C5" s="13" t="inlineStr">
        <is>
          <t>portalne dizalice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Cranes</t>
        </is>
      </c>
      <c r="B6" s="13" t="inlineStr">
        <is>
          <t>Crane hoists</t>
        </is>
      </c>
      <c r="C6" s="13" t="inlineStr">
        <is>
          <t>vitla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Cranes</t>
        </is>
      </c>
      <c r="B7" s="13" t="inlineStr">
        <is>
          <t>Crane control systems</t>
        </is>
      </c>
      <c r="C7" s="13" t="inlineStr">
        <is>
          <t>upravljanje dizalicama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Cranes</t>
        </is>
      </c>
      <c r="B8" s="13" t="inlineStr">
        <is>
          <t>Crane safety systems</t>
        </is>
      </c>
      <c r="C8" s="13" t="inlineStr">
        <is>
          <t>sigurnosni sistemi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Transport</t>
        </is>
      </c>
      <c r="B9" s="13" t="inlineStr">
        <is>
          <t>Forklifts</t>
        </is>
      </c>
      <c r="C9" s="13" t="inlineStr">
        <is>
          <t>viljuškari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Transport</t>
        </is>
      </c>
      <c r="B10" s="13" t="inlineStr">
        <is>
          <t>Heavy transport trolleys</t>
        </is>
      </c>
      <c r="C10" s="13" t="inlineStr">
        <is>
          <t>transport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Transport</t>
        </is>
      </c>
      <c r="B11" s="13" t="inlineStr">
        <is>
          <t>Electric pallet trucks</t>
        </is>
      </c>
      <c r="C11" s="13" t="inlineStr">
        <is>
          <t>električni paletari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Transport</t>
        </is>
      </c>
      <c r="B12" s="13" t="inlineStr">
        <is>
          <t>Industrial tractors</t>
        </is>
      </c>
      <c r="C12" s="13" t="inlineStr">
        <is>
          <t>industrijski tegljači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Transport</t>
        </is>
      </c>
      <c r="B13" s="13" t="inlineStr">
        <is>
          <t>Rail transport carts</t>
        </is>
      </c>
      <c r="C13" s="13" t="inlineStr">
        <is>
          <t>šinski transport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Transport</t>
        </is>
      </c>
      <c r="B14" s="13" t="inlineStr">
        <is>
          <t>Motorized transport platforms</t>
        </is>
      </c>
      <c r="C14" s="13" t="inlineStr">
        <is>
          <t>transportne platforme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Transport</t>
        </is>
      </c>
      <c r="B15" s="13" t="inlineStr">
        <is>
          <t>Hydraulic lifting platforms</t>
        </is>
      </c>
      <c r="C15" s="13" t="inlineStr">
        <is>
          <t>hidraulične platforme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Transport</t>
        </is>
      </c>
      <c r="B16" s="13" t="inlineStr">
        <is>
          <t>Coil transport systems</t>
        </is>
      </c>
      <c r="C16" s="13" t="inlineStr">
        <is>
          <t>transport zavojnica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Transport</t>
        </is>
      </c>
      <c r="B17" s="13" t="inlineStr">
        <is>
          <t>Core transport systems</t>
        </is>
      </c>
      <c r="C17" s="13" t="inlineStr">
        <is>
          <t>transport jezgra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Automation</t>
        </is>
      </c>
      <c r="B18" s="13" t="inlineStr">
        <is>
          <t>AGV vehicles</t>
        </is>
      </c>
      <c r="C18" s="13" t="inlineStr">
        <is>
          <t>automatizovana logistika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Automation</t>
        </is>
      </c>
      <c r="B19" s="13" t="inlineStr">
        <is>
          <t>AGV control systems</t>
        </is>
      </c>
      <c r="C19" s="13" t="inlineStr">
        <is>
          <t>upravljanje AGV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Automation</t>
        </is>
      </c>
      <c r="B20" s="13" t="inlineStr">
        <is>
          <t>Warehouse management system</t>
        </is>
      </c>
      <c r="C20" s="13" t="inlineStr">
        <is>
          <t>WMS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Automation</t>
        </is>
      </c>
      <c r="B21" s="13" t="inlineStr">
        <is>
          <t>Barcode tracking system</t>
        </is>
      </c>
      <c r="C21" s="13" t="inlineStr">
        <is>
          <t>praćenje materijala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Automation</t>
        </is>
      </c>
      <c r="B22" s="13" t="inlineStr">
        <is>
          <t>RFID tracking system</t>
        </is>
      </c>
      <c r="C22" s="13" t="inlineStr">
        <is>
          <t>identifikacija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Automation</t>
        </is>
      </c>
      <c r="B23" s="13" t="inlineStr">
        <is>
          <t>Automated storage systems</t>
        </is>
      </c>
      <c r="C23" s="13" t="inlineStr">
        <is>
          <t>automatsko skladište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Automation</t>
        </is>
      </c>
      <c r="B24" s="13" t="inlineStr">
        <is>
          <t>Conveyor systems</t>
        </is>
      </c>
      <c r="C24" s="13" t="inlineStr">
        <is>
          <t>transportne trake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Automation</t>
        </is>
      </c>
      <c r="B25" s="13" t="inlineStr">
        <is>
          <t>Material flow control software</t>
        </is>
      </c>
      <c r="C25" s="13" t="inlineStr">
        <is>
          <t>kontrola protoka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Automation</t>
        </is>
      </c>
      <c r="B26" s="13" t="inlineStr">
        <is>
          <t>Digital logistics monitoring</t>
        </is>
      </c>
      <c r="C26" s="13" t="inlineStr">
        <is>
          <t>digitalni monitoring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Automation</t>
        </is>
      </c>
      <c r="B27" s="13" t="inlineStr">
        <is>
          <t>Smart factory integration</t>
        </is>
      </c>
      <c r="C27" s="13" t="inlineStr">
        <is>
          <t>integracija industrija 4.0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D28" s="25" t="n"/>
      <c r="F28" s="7" t="n"/>
      <c r="G28" s="7" t="n"/>
      <c r="H28" s="8" t="n"/>
      <c r="L28" s="8" t="n"/>
      <c r="M28" s="7" t="n"/>
      <c r="N28" s="7" t="n"/>
    </row>
    <row r="29">
      <c r="A29" s="10">
        <f>== TOTAL CATEGORY ===</f>
        <v/>
      </c>
      <c r="D29" s="25" t="n"/>
      <c r="F29" s="7" t="n"/>
      <c r="G29" s="11">
        <f>SUM(G3:G27)</f>
        <v/>
      </c>
      <c r="H29" s="8" t="n"/>
      <c r="L29" s="8" t="n"/>
      <c r="M29" s="11">
        <f>SUM(M3:M27)</f>
        <v/>
      </c>
      <c r="N29" s="11">
        <f>SUM(N3:N27)</f>
        <v/>
      </c>
    </row>
    <row r="31">
      <c r="A3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INTERNAL LOGISTICS &amp; MATERIAL 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UTILITIES &amp; ENERGY INFRASTRUCTU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Power</t>
        </is>
      </c>
      <c r="B3" s="13" t="inlineStr">
        <is>
          <t>Substation</t>
        </is>
      </c>
      <c r="C3" s="13" t="inlineStr">
        <is>
          <t>trafostanica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IFERROR(G3/SUM($G$3:$G$42),0)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Power</t>
        </is>
      </c>
      <c r="B4" s="13" t="inlineStr">
        <is>
          <t>Power distribution</t>
        </is>
      </c>
      <c r="C4" s="13" t="inlineStr">
        <is>
          <t>razvod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IFERROR(G4/SUM($G$3:$G$42),0)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Power</t>
        </is>
      </c>
      <c r="B5" s="13" t="inlineStr">
        <is>
          <t>Medium voltage switchgear</t>
        </is>
      </c>
      <c r="C5" s="13" t="inlineStr">
        <is>
          <t>srednjenaponski razvod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IFERROR(G5/SUM($G$3:$G$42),0)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Power</t>
        </is>
      </c>
      <c r="B6" s="13" t="inlineStr">
        <is>
          <t>Low voltage switchgear</t>
        </is>
      </c>
      <c r="C6" s="13" t="inlineStr">
        <is>
          <t>niskonaponski razvod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IFERROR(G6/SUM($G$3:$G$42),0)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Power</t>
        </is>
      </c>
      <c r="B7" s="13" t="inlineStr">
        <is>
          <t>Backup generators</t>
        </is>
      </c>
      <c r="C7" s="13" t="inlineStr">
        <is>
          <t>rezervni generatori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IFERROR(G7/SUM($G$3:$G$42),0)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Power</t>
        </is>
      </c>
      <c r="B8" s="13" t="inlineStr">
        <is>
          <t>UPS systems</t>
        </is>
      </c>
      <c r="C8" s="13" t="inlineStr">
        <is>
          <t>besprekidno napajanje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IFERROR(G8/SUM($G$3:$G$42),0)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Power</t>
        </is>
      </c>
      <c r="B9" s="13" t="inlineStr">
        <is>
          <t>Power factor correction</t>
        </is>
      </c>
      <c r="C9" s="13" t="inlineStr">
        <is>
          <t>kompenzacija jalove energije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IFERROR(G9/SUM($G$3:$G$42),0)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Power</t>
        </is>
      </c>
      <c r="B10" s="13" t="inlineStr">
        <is>
          <t>Cable trays</t>
        </is>
      </c>
      <c r="C10" s="13" t="inlineStr">
        <is>
          <t>kablovske trase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IFERROR(G10/SUM($G$3:$G$42),0)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Power</t>
        </is>
      </c>
      <c r="B11" s="13" t="inlineStr">
        <is>
          <t>Industrial lighting systems</t>
        </is>
      </c>
      <c r="C11" s="13" t="inlineStr">
        <is>
          <t>industrijska rasvjeta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IFERROR(G11/SUM($G$3:$G$42),0)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Power</t>
        </is>
      </c>
      <c r="B12" s="13" t="inlineStr">
        <is>
          <t>Emergency lighting</t>
        </is>
      </c>
      <c r="C12" s="13" t="inlineStr">
        <is>
          <t>sigurnosna rasvjeta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IFERROR(G12/SUM($G$3:$G$42),0)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Air</t>
        </is>
      </c>
      <c r="B13" s="13" t="inlineStr">
        <is>
          <t>Compressors</t>
        </is>
      </c>
      <c r="C13" s="13" t="inlineStr">
        <is>
          <t>kompresori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IFERROR(G13/SUM($G$3:$G$42),0)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Air</t>
        </is>
      </c>
      <c r="B14" s="13" t="inlineStr">
        <is>
          <t>Air dryers</t>
        </is>
      </c>
      <c r="C14" s="13" t="inlineStr">
        <is>
          <t>sušači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IFERROR(G14/SUM($G$3:$G$42),0)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Air</t>
        </is>
      </c>
      <c r="B15" s="13" t="inlineStr">
        <is>
          <t>Air storage tanks</t>
        </is>
      </c>
      <c r="C15" s="13" t="inlineStr">
        <is>
          <t>rezervoari zraka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IFERROR(G15/SUM($G$3:$G$42),0)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Air</t>
        </is>
      </c>
      <c r="B16" s="13" t="inlineStr">
        <is>
          <t>Air distribution piping</t>
        </is>
      </c>
      <c r="C16" s="13" t="inlineStr">
        <is>
          <t>cjevovodi zraka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IFERROR(G16/SUM($G$3:$G$42),0)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Air</t>
        </is>
      </c>
      <c r="B17" s="13" t="inlineStr">
        <is>
          <t>Air filtration systems</t>
        </is>
      </c>
      <c r="C17" s="13" t="inlineStr">
        <is>
          <t>filtracija zraka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IFERROR(G17/SUM($G$3:$G$42),0)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Air</t>
        </is>
      </c>
      <c r="B18" s="13" t="inlineStr">
        <is>
          <t>Nitrogen generators</t>
        </is>
      </c>
      <c r="C18" s="13" t="inlineStr">
        <is>
          <t>generator azota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IFERROR(G18/SUM($G$3:$G$42),0)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Air</t>
        </is>
      </c>
      <c r="B19" s="13" t="inlineStr">
        <is>
          <t>Nitrogen storage tanks</t>
        </is>
      </c>
      <c r="C19" s="13" t="inlineStr">
        <is>
          <t>rezervoari azota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IFERROR(G19/SUM($G$3:$G$42),0)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Cooling</t>
        </is>
      </c>
      <c r="B20" s="13" t="inlineStr">
        <is>
          <t>Cooling towers</t>
        </is>
      </c>
      <c r="C20" s="13" t="inlineStr">
        <is>
          <t>hlađenje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IFERROR(G20/SUM($G$3:$G$42),0)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Cooling</t>
        </is>
      </c>
      <c r="B21" s="13" t="inlineStr">
        <is>
          <t>Industrial chillers</t>
        </is>
      </c>
      <c r="C21" s="13" t="inlineStr">
        <is>
          <t>industrijski hladnjaci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IFERROR(G21/SUM($G$3:$G$42),0)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Cooling</t>
        </is>
      </c>
      <c r="B22" s="13" t="inlineStr">
        <is>
          <t>Cooling water pumps</t>
        </is>
      </c>
      <c r="C22" s="13" t="inlineStr">
        <is>
          <t>pumpe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IFERROR(G22/SUM($G$3:$G$42),0)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Cooling</t>
        </is>
      </c>
      <c r="B23" s="13" t="inlineStr">
        <is>
          <t>Heat exchangers</t>
        </is>
      </c>
      <c r="C23" s="13" t="inlineStr">
        <is>
          <t>izmjenjivači toplote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IFERROR(G23/SUM($G$3:$G$42),0)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Cooling</t>
        </is>
      </c>
      <c r="B24" s="13" t="inlineStr">
        <is>
          <t>Cooling water piping</t>
        </is>
      </c>
      <c r="C24" s="13" t="inlineStr">
        <is>
          <t>cjevovodi hlađenja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IFERROR(G24/SUM($G$3:$G$42),0)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Cooling</t>
        </is>
      </c>
      <c r="B25" s="13" t="inlineStr">
        <is>
          <t>Process cooling systems</t>
        </is>
      </c>
      <c r="C25" s="13" t="inlineStr">
        <is>
          <t>procesno hlađenje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IFERROR(G25/SUM($G$3:$G$42),0)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Water</t>
        </is>
      </c>
      <c r="B26" s="13" t="inlineStr">
        <is>
          <t>Water treatment</t>
        </is>
      </c>
      <c r="C26" s="13" t="inlineStr">
        <is>
          <t>voda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IFERROR(G26/SUM($G$3:$G$42),0)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Water</t>
        </is>
      </c>
      <c r="B27" s="13" t="inlineStr">
        <is>
          <t>Industrial water storage tanks</t>
        </is>
      </c>
      <c r="C27" s="13" t="inlineStr">
        <is>
          <t>rezervoari vode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IFERROR(G27/SUM($G$3:$G$42),0)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Water</t>
        </is>
      </c>
      <c r="B28" s="13" t="inlineStr">
        <is>
          <t>Water pumps</t>
        </is>
      </c>
      <c r="C28" s="13" t="inlineStr">
        <is>
          <t>pumpe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IFERROR(G28/SUM($G$3:$G$42),0)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Water</t>
        </is>
      </c>
      <c r="B29" s="13" t="inlineStr">
        <is>
          <t>Demineralization systems</t>
        </is>
      </c>
      <c r="C29" s="13" t="inlineStr">
        <is>
          <t>demineralizacija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IFERROR(G29/SUM($G$3:$G$42),0)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Water</t>
        </is>
      </c>
      <c r="B30" s="13" t="inlineStr">
        <is>
          <t>Fire protection water systems</t>
        </is>
      </c>
      <c r="C30" s="13" t="inlineStr">
        <is>
          <t>voda za zaštitu od požara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IFERROR(G30/SUM($G$3:$G$42),0)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Water</t>
        </is>
      </c>
      <c r="B31" s="13" t="inlineStr">
        <is>
          <t>Fire sprinkler systems</t>
        </is>
      </c>
      <c r="C31" s="13" t="inlineStr">
        <is>
          <t>sprinkler sistemi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IFERROR(G31/SUM($G$3:$G$42),0)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Oil systems</t>
        </is>
      </c>
      <c r="B32" s="13" t="inlineStr">
        <is>
          <t>Oil filtration</t>
        </is>
      </c>
      <c r="C32" s="13" t="inlineStr">
        <is>
          <t>ulje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IFERROR(G32/SUM($G$3:$G$42),0)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Oil systems</t>
        </is>
      </c>
      <c r="B33" s="13" t="inlineStr">
        <is>
          <t>Oil storage tanks</t>
        </is>
      </c>
      <c r="C33" s="13" t="inlineStr">
        <is>
          <t>rezervoari ulja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IFERROR(G33/SUM($G$3:$G$42),0)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Oil systems</t>
        </is>
      </c>
      <c r="B34" s="13" t="inlineStr">
        <is>
          <t>Oil pumps</t>
        </is>
      </c>
      <c r="C34" s="13" t="inlineStr">
        <is>
          <t>pumpe za ulje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IFERROR(G34/SUM($G$3:$G$42),0)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A35" s="13" t="inlineStr">
        <is>
          <t>Oil systems</t>
        </is>
      </c>
      <c r="B35" s="13" t="inlineStr">
        <is>
          <t>Oil heating systems</t>
        </is>
      </c>
      <c r="C35" s="13" t="inlineStr">
        <is>
          <t>grijanje ulja</t>
        </is>
      </c>
      <c r="D35" s="18" t="inlineStr"/>
      <c r="E35" s="19" t="inlineStr"/>
      <c r="F35" s="20" t="inlineStr"/>
      <c r="G35" s="21">
        <f>IFERROR(D35*F35,"")</f>
        <v/>
      </c>
      <c r="H35" s="22">
        <f>IFERROR(G35/SUM($G$3:$G$42),0)</f>
        <v/>
      </c>
      <c r="I35" s="19" t="inlineStr"/>
      <c r="J35" s="19" t="inlineStr"/>
      <c r="K35" s="19" t="inlineStr">
        <is>
          <t>Planned</t>
        </is>
      </c>
      <c r="L35" s="23" t="n">
        <v>0.1</v>
      </c>
      <c r="M35" s="21">
        <f>IFERROR(G35*L35,"")</f>
        <v/>
      </c>
      <c r="N35" s="21">
        <f>IFERROR(G35+M35,"")</f>
        <v/>
      </c>
      <c r="O35" s="24" t="inlineStr"/>
    </row>
    <row r="36">
      <c r="A36" s="13" t="inlineStr">
        <is>
          <t>Oil systems</t>
        </is>
      </c>
      <c r="B36" s="13" t="inlineStr">
        <is>
          <t>Oil cooling systems</t>
        </is>
      </c>
      <c r="C36" s="13" t="inlineStr">
        <is>
          <t>hlađenje ulja</t>
        </is>
      </c>
      <c r="D36" s="18" t="inlineStr"/>
      <c r="E36" s="19" t="inlineStr"/>
      <c r="F36" s="20" t="inlineStr"/>
      <c r="G36" s="21">
        <f>IFERROR(D36*F36,"")</f>
        <v/>
      </c>
      <c r="H36" s="22">
        <f>IFERROR(G36/SUM($G$3:$G$42),0)</f>
        <v/>
      </c>
      <c r="I36" s="19" t="inlineStr"/>
      <c r="J36" s="19" t="inlineStr"/>
      <c r="K36" s="19" t="inlineStr">
        <is>
          <t>Planned</t>
        </is>
      </c>
      <c r="L36" s="23" t="n">
        <v>0.1</v>
      </c>
      <c r="M36" s="21">
        <f>IFERROR(G36*L36,"")</f>
        <v/>
      </c>
      <c r="N36" s="21">
        <f>IFERROR(G36+M36,"")</f>
        <v/>
      </c>
      <c r="O36" s="24" t="inlineStr"/>
    </row>
    <row r="37">
      <c r="A37" s="13" t="inlineStr">
        <is>
          <t>Oil systems</t>
        </is>
      </c>
      <c r="B37" s="13" t="inlineStr">
        <is>
          <t>Oil degassing systems</t>
        </is>
      </c>
      <c r="C37" s="13" t="inlineStr">
        <is>
          <t>degazacija ulja</t>
        </is>
      </c>
      <c r="D37" s="18" t="inlineStr"/>
      <c r="E37" s="19" t="inlineStr"/>
      <c r="F37" s="20" t="inlineStr"/>
      <c r="G37" s="21">
        <f>IFERROR(D37*F37,"")</f>
        <v/>
      </c>
      <c r="H37" s="22">
        <f>IFERROR(G37/SUM($G$3:$G$42),0)</f>
        <v/>
      </c>
      <c r="I37" s="19" t="inlineStr"/>
      <c r="J37" s="19" t="inlineStr"/>
      <c r="K37" s="19" t="inlineStr">
        <is>
          <t>Planned</t>
        </is>
      </c>
      <c r="L37" s="23" t="n">
        <v>0.1</v>
      </c>
      <c r="M37" s="21">
        <f>IFERROR(G37*L37,"")</f>
        <v/>
      </c>
      <c r="N37" s="21">
        <f>IFERROR(G37+M37,"")</f>
        <v/>
      </c>
      <c r="O37" s="24" t="inlineStr"/>
    </row>
    <row r="38">
      <c r="A38" s="13" t="inlineStr">
        <is>
          <t>Oil systems</t>
        </is>
      </c>
      <c r="B38" s="13" t="inlineStr">
        <is>
          <t>Oil piping network</t>
        </is>
      </c>
      <c r="C38" s="13" t="inlineStr">
        <is>
          <t>cjevovodi ulja</t>
        </is>
      </c>
      <c r="D38" s="18" t="inlineStr"/>
      <c r="E38" s="19" t="inlineStr"/>
      <c r="F38" s="20" t="inlineStr"/>
      <c r="G38" s="21">
        <f>IFERROR(D38*F38,"")</f>
        <v/>
      </c>
      <c r="H38" s="22">
        <f>IFERROR(G38/SUM($G$3:$G$42),0)</f>
        <v/>
      </c>
      <c r="I38" s="19" t="inlineStr"/>
      <c r="J38" s="19" t="inlineStr"/>
      <c r="K38" s="19" t="inlineStr">
        <is>
          <t>Planned</t>
        </is>
      </c>
      <c r="L38" s="23" t="n">
        <v>0.1</v>
      </c>
      <c r="M38" s="21">
        <f>IFERROR(G38*L38,"")</f>
        <v/>
      </c>
      <c r="N38" s="21">
        <f>IFERROR(G38+M38,"")</f>
        <v/>
      </c>
      <c r="O38" s="24" t="inlineStr"/>
    </row>
    <row r="39">
      <c r="A39" s="13" t="inlineStr">
        <is>
          <t>Oil systems</t>
        </is>
      </c>
      <c r="B39" s="13" t="inlineStr">
        <is>
          <t>Oil spill containment</t>
        </is>
      </c>
      <c r="C39" s="13" t="inlineStr">
        <is>
          <t>zaštita od curenja</t>
        </is>
      </c>
      <c r="D39" s="18" t="inlineStr"/>
      <c r="E39" s="19" t="inlineStr"/>
      <c r="F39" s="20" t="inlineStr"/>
      <c r="G39" s="21">
        <f>IFERROR(D39*F39,"")</f>
        <v/>
      </c>
      <c r="H39" s="22">
        <f>IFERROR(G39/SUM($G$3:$G$42),0)</f>
        <v/>
      </c>
      <c r="I39" s="19" t="inlineStr"/>
      <c r="J39" s="19" t="inlineStr"/>
      <c r="K39" s="19" t="inlineStr">
        <is>
          <t>Planned</t>
        </is>
      </c>
      <c r="L39" s="23" t="n">
        <v>0.1</v>
      </c>
      <c r="M39" s="21">
        <f>IFERROR(G39*L39,"")</f>
        <v/>
      </c>
      <c r="N39" s="21">
        <f>IFERROR(G39+M39,"")</f>
        <v/>
      </c>
      <c r="O39" s="24" t="inlineStr"/>
    </row>
    <row r="40">
      <c r="A40" s="13" t="inlineStr">
        <is>
          <t>Monitoring</t>
        </is>
      </c>
      <c r="B40" s="13" t="inlineStr">
        <is>
          <t>Energy monitoring system</t>
        </is>
      </c>
      <c r="C40" s="13" t="inlineStr">
        <is>
          <t>monitoring energije</t>
        </is>
      </c>
      <c r="D40" s="18" t="inlineStr"/>
      <c r="E40" s="19" t="inlineStr"/>
      <c r="F40" s="20" t="inlineStr"/>
      <c r="G40" s="21">
        <f>IFERROR(D40*F40,"")</f>
        <v/>
      </c>
      <c r="H40" s="22">
        <f>IFERROR(G40/SUM($G$3:$G$42),0)</f>
        <v/>
      </c>
      <c r="I40" s="19" t="inlineStr"/>
      <c r="J40" s="19" t="inlineStr"/>
      <c r="K40" s="19" t="inlineStr">
        <is>
          <t>Planned</t>
        </is>
      </c>
      <c r="L40" s="23" t="n">
        <v>0.1</v>
      </c>
      <c r="M40" s="21">
        <f>IFERROR(G40*L40,"")</f>
        <v/>
      </c>
      <c r="N40" s="21">
        <f>IFERROR(G40+M40,"")</f>
        <v/>
      </c>
      <c r="O40" s="24" t="inlineStr"/>
    </row>
    <row r="41">
      <c r="A41" s="13" t="inlineStr">
        <is>
          <t>Monitoring</t>
        </is>
      </c>
      <c r="B41" s="13" t="inlineStr">
        <is>
          <t>Utility SCADA system</t>
        </is>
      </c>
      <c r="C41" s="13" t="inlineStr">
        <is>
          <t>SCADA sistem</t>
        </is>
      </c>
      <c r="D41" s="18" t="inlineStr"/>
      <c r="E41" s="19" t="inlineStr"/>
      <c r="F41" s="20" t="inlineStr"/>
      <c r="G41" s="21">
        <f>IFERROR(D41*F41,"")</f>
        <v/>
      </c>
      <c r="H41" s="22">
        <f>IFERROR(G41/SUM($G$3:$G$42),0)</f>
        <v/>
      </c>
      <c r="I41" s="19" t="inlineStr"/>
      <c r="J41" s="19" t="inlineStr"/>
      <c r="K41" s="19" t="inlineStr">
        <is>
          <t>Planned</t>
        </is>
      </c>
      <c r="L41" s="23" t="n">
        <v>0.1</v>
      </c>
      <c r="M41" s="21">
        <f>IFERROR(G41*L41,"")</f>
        <v/>
      </c>
      <c r="N41" s="21">
        <f>IFERROR(G41+M41,"")</f>
        <v/>
      </c>
      <c r="O41" s="24" t="inlineStr"/>
    </row>
    <row r="42">
      <c r="A42" s="13" t="inlineStr">
        <is>
          <t>Monitoring</t>
        </is>
      </c>
      <c r="B42" s="13" t="inlineStr">
        <is>
          <t>Process monitoring sensors</t>
        </is>
      </c>
      <c r="C42" s="13" t="inlineStr">
        <is>
          <t>senzori</t>
        </is>
      </c>
      <c r="D42" s="18" t="inlineStr"/>
      <c r="E42" s="19" t="inlineStr"/>
      <c r="F42" s="20" t="inlineStr"/>
      <c r="G42" s="21">
        <f>IFERROR(D42*F42,"")</f>
        <v/>
      </c>
      <c r="H42" s="22">
        <f>IFERROR(G42/SUM($G$3:$G$42),0)</f>
        <v/>
      </c>
      <c r="I42" s="19" t="inlineStr"/>
      <c r="J42" s="19" t="inlineStr"/>
      <c r="K42" s="19" t="inlineStr">
        <is>
          <t>Planned</t>
        </is>
      </c>
      <c r="L42" s="23" t="n">
        <v>0.1</v>
      </c>
      <c r="M42" s="21">
        <f>IFERROR(G42*L42,"")</f>
        <v/>
      </c>
      <c r="N42" s="21">
        <f>IFERROR(G42+M42,"")</f>
        <v/>
      </c>
      <c r="O42" s="24" t="inlineStr"/>
    </row>
    <row r="43">
      <c r="D43" s="25" t="n"/>
      <c r="F43" s="7" t="n"/>
      <c r="G43" s="7" t="n"/>
      <c r="H43" s="8" t="n"/>
      <c r="L43" s="8" t="n"/>
      <c r="M43" s="7" t="n"/>
      <c r="N43" s="7" t="n"/>
    </row>
    <row r="44">
      <c r="A44" s="10">
        <f>== TOTAL CATEGORY ===</f>
        <v/>
      </c>
      <c r="D44" s="25" t="n"/>
      <c r="F44" s="7" t="n"/>
      <c r="G44" s="11">
        <f>SUM(G3:G42)</f>
        <v/>
      </c>
      <c r="H44" s="8" t="n"/>
      <c r="L44" s="8" t="n"/>
      <c r="M44" s="11">
        <f>SUM(M3:M42)</f>
        <v/>
      </c>
      <c r="N44" s="11">
        <f>SUM(N3:N42)</f>
        <v/>
      </c>
    </row>
    <row r="46">
      <c r="A46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UTILITIES &amp; ENERGY INFRASTRUCTU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RENEWABLES &amp; ENERGY MANAGEMENT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Renewables</t>
        </is>
      </c>
      <c r="B3" s="13" t="inlineStr">
        <is>
          <t>Solar PV system</t>
        </is>
      </c>
      <c r="C3" s="13" t="inlineStr">
        <is>
          <t>solarna elektrana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IFERROR(G3/SUM($G$3:$G$28),0)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Renewables</t>
        </is>
      </c>
      <c r="B4" s="13" t="inlineStr">
        <is>
          <t>Inverters</t>
        </is>
      </c>
      <c r="C4" s="13" t="inlineStr">
        <is>
          <t>inverteri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IFERROR(G4/SUM($G$3:$G$28),0)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Energy</t>
        </is>
      </c>
      <c r="B5" s="13" t="inlineStr">
        <is>
          <t>Battery storage</t>
        </is>
      </c>
      <c r="C5" s="13" t="inlineStr">
        <is>
          <t>baterije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IFERROR(G5/SUM($G$3:$G$28),0)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Energy</t>
        </is>
      </c>
      <c r="B6" s="13" t="inlineStr">
        <is>
          <t>Energy management system</t>
        </is>
      </c>
      <c r="C6" s="13" t="inlineStr">
        <is>
          <t>EMS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IFERROR(G6/SUM($G$3:$G$28),0)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Renewables</t>
        </is>
      </c>
      <c r="B7" s="13" t="inlineStr">
        <is>
          <t>PV mounting structures</t>
        </is>
      </c>
      <c r="C7" s="13" t="inlineStr">
        <is>
          <t>nosači panela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IFERROR(G7/SUM($G$3:$G$28),0)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Renewables</t>
        </is>
      </c>
      <c r="B8" s="13" t="inlineStr">
        <is>
          <t>Solar panels</t>
        </is>
      </c>
      <c r="C8" s="13" t="inlineStr">
        <is>
          <t>solarni moduli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IFERROR(G8/SUM($G$3:$G$28),0)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Renewables</t>
        </is>
      </c>
      <c r="B9" s="13" t="inlineStr">
        <is>
          <t>DC combiner boxes</t>
        </is>
      </c>
      <c r="C9" s="13" t="inlineStr">
        <is>
          <t>DC razvod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IFERROR(G9/SUM($G$3:$G$28),0)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Renewables</t>
        </is>
      </c>
      <c r="B10" s="13" t="inlineStr">
        <is>
          <t>AC distribution panels</t>
        </is>
      </c>
      <c r="C10" s="13" t="inlineStr">
        <is>
          <t>AC razvod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IFERROR(G10/SUM($G$3:$G$28),0)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Renewables</t>
        </is>
      </c>
      <c r="B11" s="13" t="inlineStr">
        <is>
          <t>PV monitoring systems</t>
        </is>
      </c>
      <c r="C11" s="13" t="inlineStr">
        <is>
          <t>monitoring sistema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IFERROR(G11/SUM($G$3:$G$28),0)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Renewables</t>
        </is>
      </c>
      <c r="B12" s="13" t="inlineStr">
        <is>
          <t>Weather monitoring station</t>
        </is>
      </c>
      <c r="C12" s="13" t="inlineStr">
        <is>
          <t>meteorološka stanica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IFERROR(G12/SUM($G$3:$G$28),0)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Renewables</t>
        </is>
      </c>
      <c r="B13" s="13" t="inlineStr">
        <is>
          <t>PV cabling systems</t>
        </is>
      </c>
      <c r="C13" s="13" t="inlineStr">
        <is>
          <t>solarni kablovi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IFERROR(G13/SUM($G$3:$G$28),0)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Renewables</t>
        </is>
      </c>
      <c r="B14" s="13" t="inlineStr">
        <is>
          <t>Grid connection equipment</t>
        </is>
      </c>
      <c r="C14" s="13" t="inlineStr">
        <is>
          <t>priključak na mrežu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IFERROR(G14/SUM($G$3:$G$28),0)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Energy</t>
        </is>
      </c>
      <c r="B15" s="13" t="inlineStr">
        <is>
          <t>Battery inverter systems</t>
        </is>
      </c>
      <c r="C15" s="13" t="inlineStr">
        <is>
          <t>inverter baterija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IFERROR(G15/SUM($G$3:$G$28),0)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Energy</t>
        </is>
      </c>
      <c r="B16" s="13" t="inlineStr">
        <is>
          <t>Battery management system</t>
        </is>
      </c>
      <c r="C16" s="13" t="inlineStr">
        <is>
          <t>BMS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IFERROR(G16/SUM($G$3:$G$28),0)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Energy</t>
        </is>
      </c>
      <c r="B17" s="13" t="inlineStr">
        <is>
          <t>Battery cooling systems</t>
        </is>
      </c>
      <c r="C17" s="13" t="inlineStr">
        <is>
          <t>hlađenje baterija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IFERROR(G17/SUM($G$3:$G$28),0)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Energy</t>
        </is>
      </c>
      <c r="B18" s="13" t="inlineStr">
        <is>
          <t>Battery safety systems</t>
        </is>
      </c>
      <c r="C18" s="13" t="inlineStr">
        <is>
          <t>sigurnosni sistemi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IFERROR(G18/SUM($G$3:$G$28),0)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Energy</t>
        </is>
      </c>
      <c r="B19" s="13" t="inlineStr">
        <is>
          <t>Energy storage containers</t>
        </is>
      </c>
      <c r="C19" s="13" t="inlineStr">
        <is>
          <t>kontejneri baterija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IFERROR(G19/SUM($G$3:$G$28),0)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Energy</t>
        </is>
      </c>
      <c r="B20" s="13" t="inlineStr">
        <is>
          <t>Energy storage transformers</t>
        </is>
      </c>
      <c r="C20" s="13" t="inlineStr">
        <is>
          <t>transformatori sistema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IFERROR(G20/SUM($G$3:$G$28),0)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Energy</t>
        </is>
      </c>
      <c r="B21" s="13" t="inlineStr">
        <is>
          <t>Peak shaving control system</t>
        </is>
      </c>
      <c r="C21" s="13" t="inlineStr">
        <is>
          <t>upravljanje vršnim opterećenjem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IFERROR(G21/SUM($G$3:$G$28),0)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Energy</t>
        </is>
      </c>
      <c r="B22" s="13" t="inlineStr">
        <is>
          <t>Demand response systems</t>
        </is>
      </c>
      <c r="C22" s="13" t="inlineStr">
        <is>
          <t>optimizacija potrošnje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IFERROR(G22/SUM($G$3:$G$28),0)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Energy</t>
        </is>
      </c>
      <c r="B23" s="13" t="inlineStr">
        <is>
          <t>Load balancing systems</t>
        </is>
      </c>
      <c r="C23" s="13" t="inlineStr">
        <is>
          <t>balansiranje opterećenja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IFERROR(G23/SUM($G$3:$G$28),0)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Energy</t>
        </is>
      </c>
      <c r="B24" s="13" t="inlineStr">
        <is>
          <t>Smart meters</t>
        </is>
      </c>
      <c r="C24" s="13" t="inlineStr">
        <is>
          <t>pametna brojila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IFERROR(G24/SUM($G$3:$G$28),0)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Energy</t>
        </is>
      </c>
      <c r="B25" s="13" t="inlineStr">
        <is>
          <t>Industrial energy monitoring</t>
        </is>
      </c>
      <c r="C25" s="13" t="inlineStr">
        <is>
          <t>monitoring energije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IFERROR(G25/SUM($G$3:$G$28),0)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Energy</t>
        </is>
      </c>
      <c r="B26" s="13" t="inlineStr">
        <is>
          <t>SCADA integration</t>
        </is>
      </c>
      <c r="C26" s="13" t="inlineStr">
        <is>
          <t>integracija sa SCADA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IFERROR(G26/SUM($G$3:$G$28),0)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Energy</t>
        </is>
      </c>
      <c r="B27" s="13" t="inlineStr">
        <is>
          <t>Carbon monitoring system</t>
        </is>
      </c>
      <c r="C27" s="13" t="inlineStr">
        <is>
          <t>praćenje emisija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IFERROR(G27/SUM($G$3:$G$28),0)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Energy</t>
        </is>
      </c>
      <c r="B28" s="13" t="inlineStr">
        <is>
          <t>ESG reporting software</t>
        </is>
      </c>
      <c r="C28" s="13" t="inlineStr">
        <is>
          <t>ESG izvještavanje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IFERROR(G28/SUM($G$3:$G$28),0)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D29" s="25" t="n"/>
      <c r="F29" s="7" t="n"/>
      <c r="G29" s="7" t="n"/>
      <c r="H29" s="8" t="n"/>
      <c r="L29" s="8" t="n"/>
      <c r="M29" s="7" t="n"/>
      <c r="N29" s="7" t="n"/>
    </row>
    <row r="30">
      <c r="A30" s="10">
        <f>== TOTAL CATEGORY ===</f>
        <v/>
      </c>
      <c r="D30" s="25" t="n"/>
      <c r="F30" s="7" t="n"/>
      <c r="G30" s="11">
        <f>SUM(G3:G28)</f>
        <v/>
      </c>
      <c r="H30" s="8" t="n"/>
      <c r="L30" s="8" t="n"/>
      <c r="M30" s="11">
        <f>SUM(M3:M28)</f>
        <v/>
      </c>
      <c r="N30" s="11">
        <f>SUM(N3:N28)</f>
        <v/>
      </c>
    </row>
    <row r="32">
      <c r="A32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RENEWABLES &amp; ENERGY MANAGEMENT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IT &amp; DIGITAL INFRASTRUCTURE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IT</t>
        </is>
      </c>
      <c r="B3" s="13" t="inlineStr">
        <is>
          <t>Servers</t>
        </is>
      </c>
      <c r="C3" s="13" t="inlineStr">
        <is>
          <t>serveri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IT</t>
        </is>
      </c>
      <c r="B4" s="13" t="inlineStr">
        <is>
          <t>Network infrastructure</t>
        </is>
      </c>
      <c r="C4" s="13" t="inlineStr">
        <is>
          <t>mreža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Software</t>
        </is>
      </c>
      <c r="B5" s="13" t="inlineStr">
        <is>
          <t>ERP system</t>
        </is>
      </c>
      <c r="C5" s="13" t="inlineStr">
        <is>
          <t>ERP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Software</t>
        </is>
      </c>
      <c r="B6" s="13" t="inlineStr">
        <is>
          <t>MES system</t>
        </is>
      </c>
      <c r="C6" s="13" t="inlineStr">
        <is>
          <t>proizvodnja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Software</t>
        </is>
      </c>
      <c r="B7" s="13" t="inlineStr">
        <is>
          <t>Engineering software</t>
        </is>
      </c>
      <c r="C7" s="13" t="inlineStr">
        <is>
          <t>CAD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IT</t>
        </is>
      </c>
      <c r="B8" s="13" t="inlineStr">
        <is>
          <t>Data center racks</t>
        </is>
      </c>
      <c r="C8" s="13" t="inlineStr">
        <is>
          <t>server ormari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IT</t>
        </is>
      </c>
      <c r="B9" s="13" t="inlineStr">
        <is>
          <t>Backup storage systems</t>
        </is>
      </c>
      <c r="C9" s="13" t="inlineStr">
        <is>
          <t>backup sistemi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IT</t>
        </is>
      </c>
      <c r="B10" s="13" t="inlineStr">
        <is>
          <t>Network switches</t>
        </is>
      </c>
      <c r="C10" s="13" t="inlineStr">
        <is>
          <t>mrežni switch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IT</t>
        </is>
      </c>
      <c r="B11" s="13" t="inlineStr">
        <is>
          <t>Industrial routers</t>
        </is>
      </c>
      <c r="C11" s="13" t="inlineStr">
        <is>
          <t>industrijski ruteri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IT</t>
        </is>
      </c>
      <c r="B12" s="13" t="inlineStr">
        <is>
          <t>Fiber optic network</t>
        </is>
      </c>
      <c r="C12" s="13" t="inlineStr">
        <is>
          <t>optička mreža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IT</t>
        </is>
      </c>
      <c r="B13" s="13" t="inlineStr">
        <is>
          <t>Wireless access points</t>
        </is>
      </c>
      <c r="C13" s="13" t="inlineStr">
        <is>
          <t>WiFi pristup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IT</t>
        </is>
      </c>
      <c r="B14" s="13" t="inlineStr">
        <is>
          <t>Firewall security systems</t>
        </is>
      </c>
      <c r="C14" s="13" t="inlineStr">
        <is>
          <t>sigurnosni firewall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IT</t>
        </is>
      </c>
      <c r="B15" s="13" t="inlineStr">
        <is>
          <t>Cybersecurity monitoring</t>
        </is>
      </c>
      <c r="C15" s="13" t="inlineStr">
        <is>
          <t>cyber sigurnost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IT</t>
        </is>
      </c>
      <c r="B16" s="13" t="inlineStr">
        <is>
          <t>Industrial IoT gateways</t>
        </is>
      </c>
      <c r="C16" s="13" t="inlineStr">
        <is>
          <t>IoT gateway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IT</t>
        </is>
      </c>
      <c r="B17" s="13" t="inlineStr">
        <is>
          <t>Edge computing devices</t>
        </is>
      </c>
      <c r="C17" s="13" t="inlineStr">
        <is>
          <t>edge serveri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Software</t>
        </is>
      </c>
      <c r="B18" s="13" t="inlineStr">
        <is>
          <t>Product lifecycle management</t>
        </is>
      </c>
      <c r="C18" s="13" t="inlineStr">
        <is>
          <t>PLM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Software</t>
        </is>
      </c>
      <c r="B19" s="13" t="inlineStr">
        <is>
          <t>Digital twin systems</t>
        </is>
      </c>
      <c r="C19" s="13" t="inlineStr">
        <is>
          <t>digital twin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Software</t>
        </is>
      </c>
      <c r="B20" s="13" t="inlineStr">
        <is>
          <t>SCADA software</t>
        </is>
      </c>
      <c r="C20" s="13" t="inlineStr">
        <is>
          <t>SCADA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Software</t>
        </is>
      </c>
      <c r="B21" s="13" t="inlineStr">
        <is>
          <t>Data analytics platform</t>
        </is>
      </c>
      <c r="C21" s="13" t="inlineStr">
        <is>
          <t>analiza podataka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Software</t>
        </is>
      </c>
      <c r="B22" s="13" t="inlineStr">
        <is>
          <t>Production scheduling software</t>
        </is>
      </c>
      <c r="C22" s="13" t="inlineStr">
        <is>
          <t>planiranje proizvodnje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Software</t>
        </is>
      </c>
      <c r="B23" s="13" t="inlineStr">
        <is>
          <t>Warehouse management system</t>
        </is>
      </c>
      <c r="C23" s="13" t="inlineStr">
        <is>
          <t>WMS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Software</t>
        </is>
      </c>
      <c r="B24" s="13" t="inlineStr">
        <is>
          <t>Quality management software</t>
        </is>
      </c>
      <c r="C24" s="13" t="inlineStr">
        <is>
          <t>QMS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Software</t>
        </is>
      </c>
      <c r="B25" s="13" t="inlineStr">
        <is>
          <t>Maintenance management system</t>
        </is>
      </c>
      <c r="C25" s="13" t="inlineStr">
        <is>
          <t>CMMS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Software</t>
        </is>
      </c>
      <c r="B26" s="13" t="inlineStr">
        <is>
          <t>Energy monitoring software</t>
        </is>
      </c>
      <c r="C26" s="13" t="inlineStr">
        <is>
          <t>monitoring energije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Software</t>
        </is>
      </c>
      <c r="B27" s="13" t="inlineStr">
        <is>
          <t>Document management system</t>
        </is>
      </c>
      <c r="C27" s="13" t="inlineStr">
        <is>
          <t>upravljanje dokumentima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Software</t>
        </is>
      </c>
      <c r="B28" s="13" t="inlineStr">
        <is>
          <t>Engineering simulation software</t>
        </is>
      </c>
      <c r="C28" s="13" t="inlineStr">
        <is>
          <t>simulacija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IFERROR(G28/SUM($G$3:$G$37),0)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Software</t>
        </is>
      </c>
      <c r="B29" s="13" t="inlineStr">
        <is>
          <t>Transformer design software</t>
        </is>
      </c>
      <c r="C29" s="13" t="inlineStr">
        <is>
          <t>projektovanje transformatora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IFERROR(G29/SUM($G$3:$G$37),0)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Software</t>
        </is>
      </c>
      <c r="B30" s="13" t="inlineStr">
        <is>
          <t>CAD workstations</t>
        </is>
      </c>
      <c r="C30" s="13" t="inlineStr">
        <is>
          <t>radne stanice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IFERROR(G30/SUM($G$3:$G$37),0)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Software</t>
        </is>
      </c>
      <c r="B31" s="13" t="inlineStr">
        <is>
          <t>Version control systems</t>
        </is>
      </c>
      <c r="C31" s="13" t="inlineStr">
        <is>
          <t>kontrola verzija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IFERROR(G31/SUM($G$3:$G$37),0)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IT</t>
        </is>
      </c>
      <c r="B32" s="13" t="inlineStr">
        <is>
          <t>UPS systems for IT</t>
        </is>
      </c>
      <c r="C32" s="13" t="inlineStr">
        <is>
          <t>napajanje IT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IFERROR(G32/SUM($G$3:$G$37),0)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IT</t>
        </is>
      </c>
      <c r="B33" s="13" t="inlineStr">
        <is>
          <t>Server cooling systems</t>
        </is>
      </c>
      <c r="C33" s="13" t="inlineStr">
        <is>
          <t>hlađenje servera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IFERROR(G33/SUM($G$3:$G$37),0)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IT</t>
        </is>
      </c>
      <c r="B34" s="13" t="inlineStr">
        <is>
          <t>Data backup cloud integration</t>
        </is>
      </c>
      <c r="C34" s="13" t="inlineStr">
        <is>
          <t>cloud backup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IFERROR(G34/SUM($G$3:$G$37),0)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A35" s="13" t="inlineStr">
        <is>
          <t>IT</t>
        </is>
      </c>
      <c r="B35" s="13" t="inlineStr">
        <is>
          <t>Industrial tablets</t>
        </is>
      </c>
      <c r="C35" s="13" t="inlineStr">
        <is>
          <t>industrijski tableti</t>
        </is>
      </c>
      <c r="D35" s="18" t="inlineStr"/>
      <c r="E35" s="19" t="inlineStr"/>
      <c r="F35" s="20" t="inlineStr"/>
      <c r="G35" s="21">
        <f>IFERROR(D35*F35,"")</f>
        <v/>
      </c>
      <c r="H35" s="22">
        <f>IFERROR(G35/SUM($G$3:$G$37),0)</f>
        <v/>
      </c>
      <c r="I35" s="19" t="inlineStr"/>
      <c r="J35" s="19" t="inlineStr"/>
      <c r="K35" s="19" t="inlineStr">
        <is>
          <t>Planned</t>
        </is>
      </c>
      <c r="L35" s="23" t="n">
        <v>0.1</v>
      </c>
      <c r="M35" s="21">
        <f>IFERROR(G35*L35,"")</f>
        <v/>
      </c>
      <c r="N35" s="21">
        <f>IFERROR(G35+M35,"")</f>
        <v/>
      </c>
      <c r="O35" s="24" t="inlineStr"/>
    </row>
    <row r="36">
      <c r="A36" s="13" t="inlineStr">
        <is>
          <t>IT</t>
        </is>
      </c>
      <c r="B36" s="13" t="inlineStr">
        <is>
          <t>Barcode scanners</t>
        </is>
      </c>
      <c r="C36" s="13" t="inlineStr">
        <is>
          <t>skeneri</t>
        </is>
      </c>
      <c r="D36" s="18" t="inlineStr"/>
      <c r="E36" s="19" t="inlineStr"/>
      <c r="F36" s="20" t="inlineStr"/>
      <c r="G36" s="21">
        <f>IFERROR(D36*F36,"")</f>
        <v/>
      </c>
      <c r="H36" s="22">
        <f>IFERROR(G36/SUM($G$3:$G$37),0)</f>
        <v/>
      </c>
      <c r="I36" s="19" t="inlineStr"/>
      <c r="J36" s="19" t="inlineStr"/>
      <c r="K36" s="19" t="inlineStr">
        <is>
          <t>Planned</t>
        </is>
      </c>
      <c r="L36" s="23" t="n">
        <v>0.1</v>
      </c>
      <c r="M36" s="21">
        <f>IFERROR(G36*L36,"")</f>
        <v/>
      </c>
      <c r="N36" s="21">
        <f>IFERROR(G36+M36,"")</f>
        <v/>
      </c>
      <c r="O36" s="24" t="inlineStr"/>
    </row>
    <row r="37">
      <c r="A37" s="13" t="inlineStr">
        <is>
          <t>IT</t>
        </is>
      </c>
      <c r="B37" s="13" t="inlineStr">
        <is>
          <t>RFID systems</t>
        </is>
      </c>
      <c r="C37" s="13" t="inlineStr">
        <is>
          <t>RFID</t>
        </is>
      </c>
      <c r="D37" s="18" t="inlineStr"/>
      <c r="E37" s="19" t="inlineStr"/>
      <c r="F37" s="20" t="inlineStr"/>
      <c r="G37" s="21">
        <f>IFERROR(D37*F37,"")</f>
        <v/>
      </c>
      <c r="H37" s="22">
        <f>IFERROR(G37/SUM($G$3:$G$37),0)</f>
        <v/>
      </c>
      <c r="I37" s="19" t="inlineStr"/>
      <c r="J37" s="19" t="inlineStr"/>
      <c r="K37" s="19" t="inlineStr">
        <is>
          <t>Planned</t>
        </is>
      </c>
      <c r="L37" s="23" t="n">
        <v>0.1</v>
      </c>
      <c r="M37" s="21">
        <f>IFERROR(G37*L37,"")</f>
        <v/>
      </c>
      <c r="N37" s="21">
        <f>IFERROR(G37+M37,"")</f>
        <v/>
      </c>
      <c r="O37" s="24" t="inlineStr"/>
    </row>
    <row r="38">
      <c r="D38" s="25" t="n"/>
      <c r="F38" s="7" t="n"/>
      <c r="G38" s="7" t="n"/>
      <c r="H38" s="8" t="n"/>
      <c r="L38" s="8" t="n"/>
      <c r="M38" s="7" t="n"/>
      <c r="N38" s="7" t="n"/>
    </row>
    <row r="39">
      <c r="A39" s="10">
        <f>== TOTAL CATEGORY ===</f>
        <v/>
      </c>
      <c r="D39" s="25" t="n"/>
      <c r="F39" s="7" t="n"/>
      <c r="G39" s="11">
        <f>SUM(G3:G37)</f>
        <v/>
      </c>
      <c r="H39" s="8" t="n"/>
      <c r="L39" s="8" t="n"/>
      <c r="M39" s="11">
        <f>SUM(M3:M37)</f>
        <v/>
      </c>
      <c r="N39" s="11">
        <f>SUM(N3:N37)</f>
        <v/>
      </c>
    </row>
    <row r="41">
      <c r="A4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IT &amp; DIGITAL INFRASTRUCTURE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QA LABORATORY &amp; MATERIAL TESTIN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Testing</t>
        </is>
      </c>
      <c r="B3" s="13" t="inlineStr">
        <is>
          <t>Oil analysis lab</t>
        </is>
      </c>
      <c r="C3" s="13" t="inlineStr">
        <is>
          <t>ulje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IFERROR(G3/SUM($G$3:$G$32),0)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Testing</t>
        </is>
      </c>
      <c r="B4" s="13" t="inlineStr">
        <is>
          <t>Insulation lab</t>
        </is>
      </c>
      <c r="C4" s="13" t="inlineStr">
        <is>
          <t>izolacija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IFERROR(G4/SUM($G$3:$G$32),0)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Testing</t>
        </is>
      </c>
      <c r="B5" s="13" t="inlineStr">
        <is>
          <t>Material testing</t>
        </is>
      </c>
      <c r="C5" s="13" t="inlineStr">
        <is>
          <t>materijali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IFERROR(G5/SUM($G$3:$G$32),0)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Testing</t>
        </is>
      </c>
      <c r="B6" s="13" t="inlineStr">
        <is>
          <t>CMM machine</t>
        </is>
      </c>
      <c r="C6" s="13" t="inlineStr">
        <is>
          <t>mjerenja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IFERROR(G6/SUM($G$3:$G$32),0)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Testing</t>
        </is>
      </c>
      <c r="B7" s="13" t="inlineStr">
        <is>
          <t>Oil dielectric strength tester</t>
        </is>
      </c>
      <c r="C7" s="13" t="inlineStr">
        <is>
          <t>test dielektrične čvrstoće ulja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IFERROR(G7/SUM($G$3:$G$32),0)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Testing</t>
        </is>
      </c>
      <c r="B8" s="13" t="inlineStr">
        <is>
          <t>Dissolved gas analysis system</t>
        </is>
      </c>
      <c r="C8" s="13" t="inlineStr">
        <is>
          <t>DGA analiza ulja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IFERROR(G8/SUM($G$3:$G$32),0)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Testing</t>
        </is>
      </c>
      <c r="B9" s="13" t="inlineStr">
        <is>
          <t>Moisture analysis system</t>
        </is>
      </c>
      <c r="C9" s="13" t="inlineStr">
        <is>
          <t>vlaga u ulju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IFERROR(G9/SUM($G$3:$G$32),0)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Testing</t>
        </is>
      </c>
      <c r="B10" s="13" t="inlineStr">
        <is>
          <t>Oil acidity testing</t>
        </is>
      </c>
      <c r="C10" s="13" t="inlineStr">
        <is>
          <t>kiselost ulja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IFERROR(G10/SUM($G$3:$G$32),0)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Testing</t>
        </is>
      </c>
      <c r="B11" s="13" t="inlineStr">
        <is>
          <t>Oil particle counter</t>
        </is>
      </c>
      <c r="C11" s="13" t="inlineStr">
        <is>
          <t>kontaminacija ulja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IFERROR(G11/SUM($G$3:$G$32),0)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Testing</t>
        </is>
      </c>
      <c r="B12" s="13" t="inlineStr">
        <is>
          <t>Oil viscosity tester</t>
        </is>
      </c>
      <c r="C12" s="13" t="inlineStr">
        <is>
          <t>viskoznost ulja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IFERROR(G12/SUM($G$3:$G$32),0)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Testing</t>
        </is>
      </c>
      <c r="B13" s="13" t="inlineStr">
        <is>
          <t>Insulation resistance tester</t>
        </is>
      </c>
      <c r="C13" s="13" t="inlineStr">
        <is>
          <t>otpor izolacije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IFERROR(G13/SUM($G$3:$G$32),0)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Testing</t>
        </is>
      </c>
      <c r="B14" s="13" t="inlineStr">
        <is>
          <t>Insulation aging ovens</t>
        </is>
      </c>
      <c r="C14" s="13" t="inlineStr">
        <is>
          <t>starenje izolacije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IFERROR(G14/SUM($G$3:$G$32),0)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Testing</t>
        </is>
      </c>
      <c r="B15" s="13" t="inlineStr">
        <is>
          <t>Dielectric breakdown tester</t>
        </is>
      </c>
      <c r="C15" s="13" t="inlineStr">
        <is>
          <t>proboj izolacije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IFERROR(G15/SUM($G$3:$G$32),0)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Testing</t>
        </is>
      </c>
      <c r="B16" s="13" t="inlineStr">
        <is>
          <t>Insulation thickness measurement</t>
        </is>
      </c>
      <c r="C16" s="13" t="inlineStr">
        <is>
          <t>mjerenje debljine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IFERROR(G16/SUM($G$3:$G$32),0)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Testing</t>
        </is>
      </c>
      <c r="B17" s="13" t="inlineStr">
        <is>
          <t>Paper insulation testing system</t>
        </is>
      </c>
      <c r="C17" s="13" t="inlineStr">
        <is>
          <t>test papira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IFERROR(G17/SUM($G$3:$G$32),0)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Testing</t>
        </is>
      </c>
      <c r="B18" s="13" t="inlineStr">
        <is>
          <t>Mechanical tensile testing machine</t>
        </is>
      </c>
      <c r="C18" s="13" t="inlineStr">
        <is>
          <t>mehanički test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IFERROR(G18/SUM($G$3:$G$32),0)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Testing</t>
        </is>
      </c>
      <c r="B19" s="13" t="inlineStr">
        <is>
          <t>Compression testing machine</t>
        </is>
      </c>
      <c r="C19" s="13" t="inlineStr">
        <is>
          <t>kompresija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IFERROR(G19/SUM($G$3:$G$32),0)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Testing</t>
        </is>
      </c>
      <c r="B20" s="13" t="inlineStr">
        <is>
          <t>Impact testing machine</t>
        </is>
      </c>
      <c r="C20" s="13" t="inlineStr">
        <is>
          <t>udarni test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IFERROR(G20/SUM($G$3:$G$32),0)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Testing</t>
        </is>
      </c>
      <c r="B21" s="13" t="inlineStr">
        <is>
          <t>Hardness testing machine</t>
        </is>
      </c>
      <c r="C21" s="13" t="inlineStr">
        <is>
          <t>tvrdoća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IFERROR(G21/SUM($G$3:$G$32),0)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Testing</t>
        </is>
      </c>
      <c r="B22" s="13" t="inlineStr">
        <is>
          <t>Metallographic microscope</t>
        </is>
      </c>
      <c r="C22" s="13" t="inlineStr">
        <is>
          <t>analiza metala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IFERROR(G22/SUM($G$3:$G$32),0)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Testing</t>
        </is>
      </c>
      <c r="B23" s="13" t="inlineStr">
        <is>
          <t>Optical microscopes</t>
        </is>
      </c>
      <c r="C23" s="13" t="inlineStr">
        <is>
          <t>mikroskop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IFERROR(G23/SUM($G$3:$G$32),0)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Testing</t>
        </is>
      </c>
      <c r="B24" s="13" t="inlineStr">
        <is>
          <t>Surface roughness tester</t>
        </is>
      </c>
      <c r="C24" s="13" t="inlineStr">
        <is>
          <t>hrapavost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IFERROR(G24/SUM($G$3:$G$32),0)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Testing</t>
        </is>
      </c>
      <c r="B25" s="13" t="inlineStr">
        <is>
          <t>Dimensional measuring systems</t>
        </is>
      </c>
      <c r="C25" s="13" t="inlineStr">
        <is>
          <t>mjerenje dimenzija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IFERROR(G25/SUM($G$3:$G$32),0)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Testing</t>
        </is>
      </c>
      <c r="B26" s="13" t="inlineStr">
        <is>
          <t>Laser measurement systems</t>
        </is>
      </c>
      <c r="C26" s="13" t="inlineStr">
        <is>
          <t>lasersko mjerenje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IFERROR(G26/SUM($G$3:$G$32),0)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Testing</t>
        </is>
      </c>
      <c r="B27" s="13" t="inlineStr">
        <is>
          <t>CMM coordinate measuring machine</t>
        </is>
      </c>
      <c r="C27" s="13" t="inlineStr">
        <is>
          <t>koordinatno mjerenje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IFERROR(G27/SUM($G$3:$G$32),0)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Testing</t>
        </is>
      </c>
      <c r="B28" s="13" t="inlineStr">
        <is>
          <t>Calibration equipment</t>
        </is>
      </c>
      <c r="C28" s="13" t="inlineStr">
        <is>
          <t>kalibracija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IFERROR(G28/SUM($G$3:$G$32),0)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Testing</t>
        </is>
      </c>
      <c r="B29" s="13" t="inlineStr">
        <is>
          <t>Laboratory data systems</t>
        </is>
      </c>
      <c r="C29" s="13" t="inlineStr">
        <is>
          <t>laboratorijski softver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IFERROR(G29/SUM($G$3:$G$32),0)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Testing</t>
        </is>
      </c>
      <c r="B30" s="13" t="inlineStr">
        <is>
          <t>Sample preparation equipment</t>
        </is>
      </c>
      <c r="C30" s="13" t="inlineStr">
        <is>
          <t>priprema uzoraka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IFERROR(G30/SUM($G$3:$G$32),0)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Testing</t>
        </is>
      </c>
      <c r="B31" s="13" t="inlineStr">
        <is>
          <t>Laboratory ventilation systems</t>
        </is>
      </c>
      <c r="C31" s="13" t="inlineStr">
        <is>
          <t>ventilacija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IFERROR(G31/SUM($G$3:$G$32),0)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Testing</t>
        </is>
      </c>
      <c r="B32" s="13" t="inlineStr">
        <is>
          <t>Laboratory safety systems</t>
        </is>
      </c>
      <c r="C32" s="13" t="inlineStr">
        <is>
          <t>sigurnost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IFERROR(G32/SUM($G$3:$G$32),0)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D33" s="25" t="n"/>
      <c r="F33" s="7" t="n"/>
      <c r="G33" s="7" t="n"/>
      <c r="H33" s="8" t="n"/>
      <c r="L33" s="8" t="n"/>
      <c r="M33" s="7" t="n"/>
      <c r="N33" s="7" t="n"/>
    </row>
    <row r="34">
      <c r="A34" s="10">
        <f>== TOTAL CATEGORY ===</f>
        <v/>
      </c>
      <c r="D34" s="25" t="n"/>
      <c r="F34" s="7" t="n"/>
      <c r="G34" s="11">
        <f>SUM(G3:G32)</f>
        <v/>
      </c>
      <c r="H34" s="8" t="n"/>
      <c r="L34" s="8" t="n"/>
      <c r="M34" s="11">
        <f>SUM(M3:M32)</f>
        <v/>
      </c>
      <c r="N34" s="11">
        <f>SUM(N3:N32)</f>
        <v/>
      </c>
    </row>
    <row r="36">
      <c r="A36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QA LABORATORY &amp; MATERIAL TESTIN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TRANSPORT &amp; FLEET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Transport</t>
        </is>
      </c>
      <c r="B3" s="13" t="inlineStr">
        <is>
          <t>Heavy trucks</t>
        </is>
      </c>
      <c r="C3" s="13" t="inlineStr">
        <is>
          <t>kamioni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Transport</t>
        </is>
      </c>
      <c r="B4" s="13" t="inlineStr">
        <is>
          <t>Vans</t>
        </is>
      </c>
      <c r="C4" s="13" t="inlineStr">
        <is>
          <t>kombiji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Transport</t>
        </is>
      </c>
      <c r="B5" s="13" t="inlineStr">
        <is>
          <t>Forklifts</t>
        </is>
      </c>
      <c r="C5" s="13" t="inlineStr">
        <is>
          <t>viljuškari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Transport</t>
        </is>
      </c>
      <c r="B6" s="13" t="inlineStr">
        <is>
          <t>Service vehicles</t>
        </is>
      </c>
      <c r="C6" s="13" t="inlineStr">
        <is>
          <t>službena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Transport</t>
        </is>
      </c>
      <c r="B7" s="13" t="inlineStr">
        <is>
          <t>Heavy-duty tractor units</t>
        </is>
      </c>
      <c r="C7" s="13" t="inlineStr">
        <is>
          <t>tegljači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Transport</t>
        </is>
      </c>
      <c r="B8" s="13" t="inlineStr">
        <is>
          <t>Low-bed trailers</t>
        </is>
      </c>
      <c r="C8" s="13" t="inlineStr">
        <is>
          <t>niskopodni prikolice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Transport</t>
        </is>
      </c>
      <c r="B9" s="13" t="inlineStr">
        <is>
          <t>Transformer transport trailers</t>
        </is>
      </c>
      <c r="C9" s="13" t="inlineStr">
        <is>
          <t>specijalne prikolice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Transport</t>
        </is>
      </c>
      <c r="B10" s="13" t="inlineStr">
        <is>
          <t>Container trucks</t>
        </is>
      </c>
      <c r="C10" s="13" t="inlineStr">
        <is>
          <t>kontejnerski kamioni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Transport</t>
        </is>
      </c>
      <c r="B11" s="13" t="inlineStr">
        <is>
          <t>Flatbed trucks</t>
        </is>
      </c>
      <c r="C11" s="13" t="inlineStr">
        <is>
          <t>kamioni platforme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Transport</t>
        </is>
      </c>
      <c r="B12" s="13" t="inlineStr">
        <is>
          <t>Box trucks</t>
        </is>
      </c>
      <c r="C12" s="13" t="inlineStr">
        <is>
          <t>zatvoreni kamioni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Transport</t>
        </is>
      </c>
      <c r="B13" s="13" t="inlineStr">
        <is>
          <t>Pickup trucks</t>
        </is>
      </c>
      <c r="C13" s="13" t="inlineStr">
        <is>
          <t>pickup vozila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Transport</t>
        </is>
      </c>
      <c r="B14" s="13" t="inlineStr">
        <is>
          <t>Electric forklifts</t>
        </is>
      </c>
      <c r="C14" s="13" t="inlineStr">
        <is>
          <t>električni viljuškari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Transport</t>
        </is>
      </c>
      <c r="B15" s="13" t="inlineStr">
        <is>
          <t>Diesel forklifts</t>
        </is>
      </c>
      <c r="C15" s="13" t="inlineStr">
        <is>
          <t>dizel viljuškari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Transport</t>
        </is>
      </c>
      <c r="B16" s="13" t="inlineStr">
        <is>
          <t>Reach trucks</t>
        </is>
      </c>
      <c r="C16" s="13" t="inlineStr">
        <is>
          <t>visoki viljuškari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Transport</t>
        </is>
      </c>
      <c r="B17" s="13" t="inlineStr">
        <is>
          <t>Pallet trucks</t>
        </is>
      </c>
      <c r="C17" s="13" t="inlineStr">
        <is>
          <t>paletari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Transport</t>
        </is>
      </c>
      <c r="B18" s="13" t="inlineStr">
        <is>
          <t>Automated forklifts</t>
        </is>
      </c>
      <c r="C18" s="13" t="inlineStr">
        <is>
          <t>automatizovani viljuškari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Transport</t>
        </is>
      </c>
      <c r="B19" s="13" t="inlineStr">
        <is>
          <t>Mobile cranes</t>
        </is>
      </c>
      <c r="C19" s="13" t="inlineStr">
        <is>
          <t>mobilne dizalice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Transport</t>
        </is>
      </c>
      <c r="B20" s="13" t="inlineStr">
        <is>
          <t>Transport dollies</t>
        </is>
      </c>
      <c r="C20" s="13" t="inlineStr">
        <is>
          <t>transportna kolica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Transport</t>
        </is>
      </c>
      <c r="B21" s="13" t="inlineStr">
        <is>
          <t>Workshop service vans</t>
        </is>
      </c>
      <c r="C21" s="13" t="inlineStr">
        <is>
          <t>servisna vozila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Transport</t>
        </is>
      </c>
      <c r="B22" s="13" t="inlineStr">
        <is>
          <t>Maintenance pickup trucks</t>
        </is>
      </c>
      <c r="C22" s="13" t="inlineStr">
        <is>
          <t>vozila za održavanje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Transport</t>
        </is>
      </c>
      <c r="B23" s="13" t="inlineStr">
        <is>
          <t>Electric utility vehicles</t>
        </is>
      </c>
      <c r="C23" s="13" t="inlineStr">
        <is>
          <t>električna vozila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Transport</t>
        </is>
      </c>
      <c r="B24" s="13" t="inlineStr">
        <is>
          <t>Battery charging stations</t>
        </is>
      </c>
      <c r="C24" s="13" t="inlineStr">
        <is>
          <t>punjači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Transport</t>
        </is>
      </c>
      <c r="B25" s="13" t="inlineStr">
        <is>
          <t>Fleet tracking systems</t>
        </is>
      </c>
      <c r="C25" s="13" t="inlineStr">
        <is>
          <t>GPS praćenje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Transport</t>
        </is>
      </c>
      <c r="B26" s="13" t="inlineStr">
        <is>
          <t>Vehicle maintenance equipment</t>
        </is>
      </c>
      <c r="C26" s="13" t="inlineStr">
        <is>
          <t>oprema održavanja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Transport</t>
        </is>
      </c>
      <c r="B27" s="13" t="inlineStr">
        <is>
          <t>Spare parts storage</t>
        </is>
      </c>
      <c r="C27" s="13" t="inlineStr">
        <is>
          <t>rezervni dijelovi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D28" s="25" t="n"/>
      <c r="F28" s="7" t="n"/>
      <c r="G28" s="7" t="n"/>
      <c r="H28" s="8" t="n"/>
      <c r="L28" s="8" t="n"/>
      <c r="M28" s="7" t="n"/>
      <c r="N28" s="7" t="n"/>
    </row>
    <row r="29">
      <c r="A29" s="10">
        <f>== TOTAL CATEGORY ===</f>
        <v/>
      </c>
      <c r="D29" s="25" t="n"/>
      <c r="F29" s="7" t="n"/>
      <c r="G29" s="11">
        <f>SUM(G3:G27)</f>
        <v/>
      </c>
      <c r="H29" s="8" t="n"/>
      <c r="L29" s="8" t="n"/>
      <c r="M29" s="11">
        <f>SUM(M3:M27)</f>
        <v/>
      </c>
      <c r="N29" s="11">
        <f>SUM(N3:N27)</f>
        <v/>
      </c>
    </row>
    <row r="31">
      <c r="A3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TRANSPORT &amp; FLEET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SECURITY &amp; SAFETY SYSTEMS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Security</t>
        </is>
      </c>
      <c r="B3" s="13" t="inlineStr">
        <is>
          <t>CCTV system</t>
        </is>
      </c>
      <c r="C3" s="13" t="inlineStr">
        <is>
          <t>kamere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IFERROR(G3/SUM($G$3:$G$32),0)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Security</t>
        </is>
      </c>
      <c r="B4" s="13" t="inlineStr">
        <is>
          <t>Access control</t>
        </is>
      </c>
      <c r="C4" s="13" t="inlineStr">
        <is>
          <t>kontrola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IFERROR(G4/SUM($G$3:$G$32),0)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Security</t>
        </is>
      </c>
      <c r="B5" s="13" t="inlineStr">
        <is>
          <t>Alarm systems</t>
        </is>
      </c>
      <c r="C5" s="13" t="inlineStr">
        <is>
          <t>alarm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IFERROR(G5/SUM($G$3:$G$32),0)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Security</t>
        </is>
      </c>
      <c r="B6" s="13" t="inlineStr">
        <is>
          <t>Fire detection</t>
        </is>
      </c>
      <c r="C6" s="13" t="inlineStr">
        <is>
          <t>detekcija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IFERROR(G6/SUM($G$3:$G$32),0)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Security</t>
        </is>
      </c>
      <c r="B7" s="13" t="inlineStr">
        <is>
          <t>Perimeter surveillance cameras</t>
        </is>
      </c>
      <c r="C7" s="13" t="inlineStr">
        <is>
          <t>perimetarske kamere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IFERROR(G7/SUM($G$3:$G$32),0)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Security</t>
        </is>
      </c>
      <c r="B8" s="13" t="inlineStr">
        <is>
          <t>PTZ cameras</t>
        </is>
      </c>
      <c r="C8" s="13" t="inlineStr">
        <is>
          <t>rotirajuće kamere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IFERROR(G8/SUM($G$3:$G$32),0)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Security</t>
        </is>
      </c>
      <c r="B9" s="13" t="inlineStr">
        <is>
          <t>Video recording servers</t>
        </is>
      </c>
      <c r="C9" s="13" t="inlineStr">
        <is>
          <t>snimanje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IFERROR(G9/SUM($G$3:$G$32),0)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Security</t>
        </is>
      </c>
      <c r="B10" s="13" t="inlineStr">
        <is>
          <t>Video management software</t>
        </is>
      </c>
      <c r="C10" s="13" t="inlineStr">
        <is>
          <t>upravljanje video sistemom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IFERROR(G10/SUM($G$3:$G$32),0)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Security</t>
        </is>
      </c>
      <c r="B11" s="13" t="inlineStr">
        <is>
          <t>Motion detection systems</t>
        </is>
      </c>
      <c r="C11" s="13" t="inlineStr">
        <is>
          <t>detekcija pokreta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IFERROR(G11/SUM($G$3:$G$32),0)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Security</t>
        </is>
      </c>
      <c r="B12" s="13" t="inlineStr">
        <is>
          <t>Thermal cameras</t>
        </is>
      </c>
      <c r="C12" s="13" t="inlineStr">
        <is>
          <t>termalne kamere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IFERROR(G12/SUM($G$3:$G$32),0)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Security</t>
        </is>
      </c>
      <c r="B13" s="13" t="inlineStr">
        <is>
          <t>License plate recognition</t>
        </is>
      </c>
      <c r="C13" s="13" t="inlineStr">
        <is>
          <t>prepoznavanje tablica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IFERROR(G13/SUM($G$3:$G$32),0)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Security</t>
        </is>
      </c>
      <c r="B14" s="13" t="inlineStr">
        <is>
          <t>Biometric access control</t>
        </is>
      </c>
      <c r="C14" s="13" t="inlineStr">
        <is>
          <t>biometrija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IFERROR(G14/SUM($G$3:$G$32),0)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Security</t>
        </is>
      </c>
      <c r="B15" s="13" t="inlineStr">
        <is>
          <t>RFID access cards</t>
        </is>
      </c>
      <c r="C15" s="13" t="inlineStr">
        <is>
          <t>kartice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IFERROR(G15/SUM($G$3:$G$32),0)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Security</t>
        </is>
      </c>
      <c r="B16" s="13" t="inlineStr">
        <is>
          <t>Turnstiles</t>
        </is>
      </c>
      <c r="C16" s="13" t="inlineStr">
        <is>
          <t>kontrolni prolazi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IFERROR(G16/SUM($G$3:$G$32),0)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Security</t>
        </is>
      </c>
      <c r="B17" s="13" t="inlineStr">
        <is>
          <t>Security gates automation</t>
        </is>
      </c>
      <c r="C17" s="13" t="inlineStr">
        <is>
          <t>automatizacija kapija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IFERROR(G17/SUM($G$3:$G$32),0)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Security</t>
        </is>
      </c>
      <c r="B18" s="13" t="inlineStr">
        <is>
          <t>Intrusion detection sensors</t>
        </is>
      </c>
      <c r="C18" s="13" t="inlineStr">
        <is>
          <t>senzori upada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IFERROR(G18/SUM($G$3:$G$32),0)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Security</t>
        </is>
      </c>
      <c r="B19" s="13" t="inlineStr">
        <is>
          <t>Glass break sensors</t>
        </is>
      </c>
      <c r="C19" s="13" t="inlineStr">
        <is>
          <t>detekcija lomljenja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IFERROR(G19/SUM($G$3:$G$32),0)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Security</t>
        </is>
      </c>
      <c r="B20" s="13" t="inlineStr">
        <is>
          <t>Emergency alarm systems</t>
        </is>
      </c>
      <c r="C20" s="13" t="inlineStr">
        <is>
          <t>hitni alarm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IFERROR(G20/SUM($G$3:$G$32),0)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Security</t>
        </is>
      </c>
      <c r="B21" s="13" t="inlineStr">
        <is>
          <t>Fire alarm panels</t>
        </is>
      </c>
      <c r="C21" s="13" t="inlineStr">
        <is>
          <t>centrala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IFERROR(G21/SUM($G$3:$G$32),0)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Security</t>
        </is>
      </c>
      <c r="B22" s="13" t="inlineStr">
        <is>
          <t>Smoke detectors</t>
        </is>
      </c>
      <c r="C22" s="13" t="inlineStr">
        <is>
          <t>detektori dima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IFERROR(G22/SUM($G$3:$G$32),0)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Security</t>
        </is>
      </c>
      <c r="B23" s="13" t="inlineStr">
        <is>
          <t>Heat detectors</t>
        </is>
      </c>
      <c r="C23" s="13" t="inlineStr">
        <is>
          <t>detektori temperature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IFERROR(G23/SUM($G$3:$G$32),0)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Security</t>
        </is>
      </c>
      <c r="B24" s="13" t="inlineStr">
        <is>
          <t>Flame detectors</t>
        </is>
      </c>
      <c r="C24" s="13" t="inlineStr">
        <is>
          <t>detektori plamena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IFERROR(G24/SUM($G$3:$G$32),0)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Security</t>
        </is>
      </c>
      <c r="B25" s="13" t="inlineStr">
        <is>
          <t>Fire sprinkler system</t>
        </is>
      </c>
      <c r="C25" s="13" t="inlineStr">
        <is>
          <t>sprinkler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IFERROR(G25/SUM($G$3:$G$32),0)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Security</t>
        </is>
      </c>
      <c r="B26" s="13" t="inlineStr">
        <is>
          <t>Fire suppression system</t>
        </is>
      </c>
      <c r="C26" s="13" t="inlineStr">
        <is>
          <t>gašenje požara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IFERROR(G26/SUM($G$3:$G$32),0)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Security</t>
        </is>
      </c>
      <c r="B27" s="13" t="inlineStr">
        <is>
          <t>Gas fire suppression</t>
        </is>
      </c>
      <c r="C27" s="13" t="inlineStr">
        <is>
          <t>gasno gašenje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IFERROR(G27/SUM($G$3:$G$32),0)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Security</t>
        </is>
      </c>
      <c r="B28" s="13" t="inlineStr">
        <is>
          <t>Fire hydrant network</t>
        </is>
      </c>
      <c r="C28" s="13" t="inlineStr">
        <is>
          <t>hidrantska mreža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IFERROR(G28/SUM($G$3:$G$32),0)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Security</t>
        </is>
      </c>
      <c r="B29" s="13" t="inlineStr">
        <is>
          <t>Emergency evacuation system</t>
        </is>
      </c>
      <c r="C29" s="13" t="inlineStr">
        <is>
          <t>evakuacija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IFERROR(G29/SUM($G$3:$G$32),0)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Security</t>
        </is>
      </c>
      <c r="B30" s="13" t="inlineStr">
        <is>
          <t>Public address system</t>
        </is>
      </c>
      <c r="C30" s="13" t="inlineStr">
        <is>
          <t>razglas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IFERROR(G30/SUM($G$3:$G$32),0)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Security</t>
        </is>
      </c>
      <c r="B31" s="13" t="inlineStr">
        <is>
          <t>Security control room</t>
        </is>
      </c>
      <c r="C31" s="13" t="inlineStr">
        <is>
          <t>kontrolna soba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IFERROR(G31/SUM($G$3:$G$32),0)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Security</t>
        </is>
      </c>
      <c r="B32" s="13" t="inlineStr">
        <is>
          <t>Integrated safety monitoring</t>
        </is>
      </c>
      <c r="C32" s="13" t="inlineStr">
        <is>
          <t>centralni monitoring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IFERROR(G32/SUM($G$3:$G$32),0)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D33" s="25" t="n"/>
      <c r="F33" s="7" t="n"/>
      <c r="G33" s="7" t="n"/>
      <c r="H33" s="8" t="n"/>
      <c r="L33" s="8" t="n"/>
      <c r="M33" s="7" t="n"/>
      <c r="N33" s="7" t="n"/>
    </row>
    <row r="34">
      <c r="A34" s="10">
        <f>== TOTAL CATEGORY ===</f>
        <v/>
      </c>
      <c r="D34" s="25" t="n"/>
      <c r="F34" s="7" t="n"/>
      <c r="G34" s="11">
        <f>SUM(G3:G32)</f>
        <v/>
      </c>
      <c r="H34" s="8" t="n"/>
      <c r="L34" s="8" t="n"/>
      <c r="M34" s="11">
        <f>SUM(M3:M32)</f>
        <v/>
      </c>
      <c r="N34" s="11">
        <f>SUM(N3:N32)</f>
        <v/>
      </c>
    </row>
    <row r="36">
      <c r="A36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SECURITY &amp; SAFETY SYSTEMS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ENGINEERING &amp; PERMITS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Engineering</t>
        </is>
      </c>
      <c r="B3" s="13" t="inlineStr">
        <is>
          <t>Feasibility studies</t>
        </is>
      </c>
      <c r="C3" s="13" t="inlineStr">
        <is>
          <t>studije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IFERROR(G3/SUM($G$3:$G$34),0)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Engineering</t>
        </is>
      </c>
      <c r="B4" s="13" t="inlineStr">
        <is>
          <t>Detailed engineering</t>
        </is>
      </c>
      <c r="C4" s="13" t="inlineStr">
        <is>
          <t>projekti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IFERROR(G4/SUM($G$3:$G$34),0)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Engineering</t>
        </is>
      </c>
      <c r="B5" s="13" t="inlineStr">
        <is>
          <t>Environmental permits</t>
        </is>
      </c>
      <c r="C5" s="13" t="inlineStr">
        <is>
          <t>dozvole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IFERROR(G5/SUM($G$3:$G$34),0)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Engineering</t>
        </is>
      </c>
      <c r="B6" s="13" t="inlineStr">
        <is>
          <t>Construction permits</t>
        </is>
      </c>
      <c r="C6" s="13" t="inlineStr">
        <is>
          <t>građevinska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IFERROR(G6/SUM($G$3:$G$34),0)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Engineering</t>
        </is>
      </c>
      <c r="B7" s="13" t="inlineStr">
        <is>
          <t>Concept design</t>
        </is>
      </c>
      <c r="C7" s="13" t="inlineStr">
        <is>
          <t>idejni projekat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IFERROR(G7/SUM($G$3:$G$34),0)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Engineering</t>
        </is>
      </c>
      <c r="B8" s="13" t="inlineStr">
        <is>
          <t>Basic engineering design</t>
        </is>
      </c>
      <c r="C8" s="13" t="inlineStr">
        <is>
          <t>osnovni projekat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IFERROR(G8/SUM($G$3:$G$34),0)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Engineering</t>
        </is>
      </c>
      <c r="B9" s="13" t="inlineStr">
        <is>
          <t>Front-end engineering design (FEED)</t>
        </is>
      </c>
      <c r="C9" s="13" t="inlineStr">
        <is>
          <t>FEED projekat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IFERROR(G9/SUM($G$3:$G$34),0)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Engineering</t>
        </is>
      </c>
      <c r="B10" s="13" t="inlineStr">
        <is>
          <t>Process engineering</t>
        </is>
      </c>
      <c r="C10" s="13" t="inlineStr">
        <is>
          <t>procesni dizajn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IFERROR(G10/SUM($G$3:$G$34),0)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Engineering</t>
        </is>
      </c>
      <c r="B11" s="13" t="inlineStr">
        <is>
          <t>Plant layout design</t>
        </is>
      </c>
      <c r="C11" s="13" t="inlineStr">
        <is>
          <t>layout fabrike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IFERROR(G11/SUM($G$3:$G$34),0)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Engineering</t>
        </is>
      </c>
      <c r="B12" s="13" t="inlineStr">
        <is>
          <t>Architectural design</t>
        </is>
      </c>
      <c r="C12" s="13" t="inlineStr">
        <is>
          <t>arhitektonski projekat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IFERROR(G12/SUM($G$3:$G$34),0)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Engineering</t>
        </is>
      </c>
      <c r="B13" s="13" t="inlineStr">
        <is>
          <t>Structural engineering</t>
        </is>
      </c>
      <c r="C13" s="13" t="inlineStr">
        <is>
          <t>konstrukcija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IFERROR(G13/SUM($G$3:$G$34),0)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Engineering</t>
        </is>
      </c>
      <c r="B14" s="13" t="inlineStr">
        <is>
          <t>Electrical engineering</t>
        </is>
      </c>
      <c r="C14" s="13" t="inlineStr">
        <is>
          <t>elektro projekat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IFERROR(G14/SUM($G$3:$G$34),0)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Engineering</t>
        </is>
      </c>
      <c r="B15" s="13" t="inlineStr">
        <is>
          <t>Mechanical engineering</t>
        </is>
      </c>
      <c r="C15" s="13" t="inlineStr">
        <is>
          <t>mašinski projekat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IFERROR(G15/SUM($G$3:$G$34),0)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Engineering</t>
        </is>
      </c>
      <c r="B16" s="13" t="inlineStr">
        <is>
          <t>HVAC engineering</t>
        </is>
      </c>
      <c r="C16" s="13" t="inlineStr">
        <is>
          <t>HVAC projekat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IFERROR(G16/SUM($G$3:$G$34),0)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Engineering</t>
        </is>
      </c>
      <c r="B17" s="13" t="inlineStr">
        <is>
          <t>Fire protection design</t>
        </is>
      </c>
      <c r="C17" s="13" t="inlineStr">
        <is>
          <t>protivpožarni projekat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IFERROR(G17/SUM($G$3:$G$34),0)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Engineering</t>
        </is>
      </c>
      <c r="B18" s="13" t="inlineStr">
        <is>
          <t>Utility systems design</t>
        </is>
      </c>
      <c r="C18" s="13" t="inlineStr">
        <is>
          <t>utilities projekat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IFERROR(G18/SUM($G$3:$G$34),0)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Engineering</t>
        </is>
      </c>
      <c r="B19" s="13" t="inlineStr">
        <is>
          <t>Environmental impact assessment</t>
        </is>
      </c>
      <c r="C19" s="13" t="inlineStr">
        <is>
          <t>studija uticaja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IFERROR(G19/SUM($G$3:$G$34),0)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Engineering</t>
        </is>
      </c>
      <c r="B20" s="13" t="inlineStr">
        <is>
          <t>Environmental monitoring plans</t>
        </is>
      </c>
      <c r="C20" s="13" t="inlineStr">
        <is>
          <t>monitoring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IFERROR(G20/SUM($G$3:$G$34),0)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Engineering</t>
        </is>
      </c>
      <c r="B21" s="13" t="inlineStr">
        <is>
          <t>Grid connection studies</t>
        </is>
      </c>
      <c r="C21" s="13" t="inlineStr">
        <is>
          <t>priključenje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IFERROR(G21/SUM($G$3:$G$34),0)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Engineering</t>
        </is>
      </c>
      <c r="B22" s="13" t="inlineStr">
        <is>
          <t>Energy efficiency studies</t>
        </is>
      </c>
      <c r="C22" s="13" t="inlineStr">
        <is>
          <t>energetska analiza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IFERROR(G22/SUM($G$3:$G$34),0)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Engineering</t>
        </is>
      </c>
      <c r="B23" s="13" t="inlineStr">
        <is>
          <t>HSE planning</t>
        </is>
      </c>
      <c r="C23" s="13" t="inlineStr">
        <is>
          <t>sigurnost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IFERROR(G23/SUM($G$3:$G$34),0)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Engineering</t>
        </is>
      </c>
      <c r="B24" s="13" t="inlineStr">
        <is>
          <t>Risk assessment studies</t>
        </is>
      </c>
      <c r="C24" s="13" t="inlineStr">
        <is>
          <t>analiza rizika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IFERROR(G24/SUM($G$3:$G$34),0)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Engineering</t>
        </is>
      </c>
      <c r="B25" s="13" t="inlineStr">
        <is>
          <t>Construction supervision</t>
        </is>
      </c>
      <c r="C25" s="13" t="inlineStr">
        <is>
          <t>nadzor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IFERROR(G25/SUM($G$3:$G$34),0)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Engineering</t>
        </is>
      </c>
      <c r="B26" s="13" t="inlineStr">
        <is>
          <t>Project management consulting</t>
        </is>
      </c>
      <c r="C26" s="13" t="inlineStr">
        <is>
          <t>upravljanje projektom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IFERROR(G26/SUM($G$3:$G$34),0)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Engineering</t>
        </is>
      </c>
      <c r="B27" s="13" t="inlineStr">
        <is>
          <t>Procurement engineering</t>
        </is>
      </c>
      <c r="C27" s="13" t="inlineStr">
        <is>
          <t>nabavka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IFERROR(G27/SUM($G$3:$G$34),0)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Engineering</t>
        </is>
      </c>
      <c r="B28" s="13" t="inlineStr">
        <is>
          <t>Commissioning engineering</t>
        </is>
      </c>
      <c r="C28" s="13" t="inlineStr">
        <is>
          <t>puštanje u rad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IFERROR(G28/SUM($G$3:$G$34),0)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Engineering</t>
        </is>
      </c>
      <c r="B29" s="13" t="inlineStr">
        <is>
          <t>Testing &amp; certification</t>
        </is>
      </c>
      <c r="C29" s="13" t="inlineStr">
        <is>
          <t>certifikacija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IFERROR(G29/SUM($G$3:$G$34),0)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A30" s="13" t="inlineStr">
        <is>
          <t>Engineering</t>
        </is>
      </c>
      <c r="B30" s="13" t="inlineStr">
        <is>
          <t>Technical documentation</t>
        </is>
      </c>
      <c r="C30" s="13" t="inlineStr">
        <is>
          <t>dokumentacija</t>
        </is>
      </c>
      <c r="D30" s="18" t="inlineStr"/>
      <c r="E30" s="19" t="inlineStr"/>
      <c r="F30" s="20" t="inlineStr"/>
      <c r="G30" s="21">
        <f>IFERROR(D30*F30,"")</f>
        <v/>
      </c>
      <c r="H30" s="22">
        <f>IFERROR(G30/SUM($G$3:$G$34),0)</f>
        <v/>
      </c>
      <c r="I30" s="19" t="inlineStr"/>
      <c r="J30" s="19" t="inlineStr"/>
      <c r="K30" s="19" t="inlineStr">
        <is>
          <t>Planned</t>
        </is>
      </c>
      <c r="L30" s="23" t="n">
        <v>0.1</v>
      </c>
      <c r="M30" s="21">
        <f>IFERROR(G30*L30,"")</f>
        <v/>
      </c>
      <c r="N30" s="21">
        <f>IFERROR(G30+M30,"")</f>
        <v/>
      </c>
      <c r="O30" s="24" t="inlineStr"/>
    </row>
    <row r="31">
      <c r="A31" s="13" t="inlineStr">
        <is>
          <t>Engineering</t>
        </is>
      </c>
      <c r="B31" s="13" t="inlineStr">
        <is>
          <t>Digital project models (BIM)</t>
        </is>
      </c>
      <c r="C31" s="13" t="inlineStr">
        <is>
          <t>BIM model</t>
        </is>
      </c>
      <c r="D31" s="18" t="inlineStr"/>
      <c r="E31" s="19" t="inlineStr"/>
      <c r="F31" s="20" t="inlineStr"/>
      <c r="G31" s="21">
        <f>IFERROR(D31*F31,"")</f>
        <v/>
      </c>
      <c r="H31" s="22">
        <f>IFERROR(G31/SUM($G$3:$G$34),0)</f>
        <v/>
      </c>
      <c r="I31" s="19" t="inlineStr"/>
      <c r="J31" s="19" t="inlineStr"/>
      <c r="K31" s="19" t="inlineStr">
        <is>
          <t>Planned</t>
        </is>
      </c>
      <c r="L31" s="23" t="n">
        <v>0.1</v>
      </c>
      <c r="M31" s="21">
        <f>IFERROR(G31*L31,"")</f>
        <v/>
      </c>
      <c r="N31" s="21">
        <f>IFERROR(G31+M31,"")</f>
        <v/>
      </c>
      <c r="O31" s="24" t="inlineStr"/>
    </row>
    <row r="32">
      <c r="A32" s="13" t="inlineStr">
        <is>
          <t>Engineering</t>
        </is>
      </c>
      <c r="B32" s="13" t="inlineStr">
        <is>
          <t>Legal &amp; regulatory consulting</t>
        </is>
      </c>
      <c r="C32" s="13" t="inlineStr">
        <is>
          <t>pravni troškovi</t>
        </is>
      </c>
      <c r="D32" s="18" t="inlineStr"/>
      <c r="E32" s="19" t="inlineStr"/>
      <c r="F32" s="20" t="inlineStr"/>
      <c r="G32" s="21">
        <f>IFERROR(D32*F32,"")</f>
        <v/>
      </c>
      <c r="H32" s="22">
        <f>IFERROR(G32/SUM($G$3:$G$34),0)</f>
        <v/>
      </c>
      <c r="I32" s="19" t="inlineStr"/>
      <c r="J32" s="19" t="inlineStr"/>
      <c r="K32" s="19" t="inlineStr">
        <is>
          <t>Planned</t>
        </is>
      </c>
      <c r="L32" s="23" t="n">
        <v>0.1</v>
      </c>
      <c r="M32" s="21">
        <f>IFERROR(G32*L32,"")</f>
        <v/>
      </c>
      <c r="N32" s="21">
        <f>IFERROR(G32+M32,"")</f>
        <v/>
      </c>
      <c r="O32" s="24" t="inlineStr"/>
    </row>
    <row r="33">
      <c r="A33" s="13" t="inlineStr">
        <is>
          <t>Engineering</t>
        </is>
      </c>
      <c r="B33" s="13" t="inlineStr">
        <is>
          <t>Land development permits</t>
        </is>
      </c>
      <c r="C33" s="13" t="inlineStr">
        <is>
          <t>urbanističke dozvole</t>
        </is>
      </c>
      <c r="D33" s="18" t="inlineStr"/>
      <c r="E33" s="19" t="inlineStr"/>
      <c r="F33" s="20" t="inlineStr"/>
      <c r="G33" s="21">
        <f>IFERROR(D33*F33,"")</f>
        <v/>
      </c>
      <c r="H33" s="22">
        <f>IFERROR(G33/SUM($G$3:$G$34),0)</f>
        <v/>
      </c>
      <c r="I33" s="19" t="inlineStr"/>
      <c r="J33" s="19" t="inlineStr"/>
      <c r="K33" s="19" t="inlineStr">
        <is>
          <t>Planned</t>
        </is>
      </c>
      <c r="L33" s="23" t="n">
        <v>0.1</v>
      </c>
      <c r="M33" s="21">
        <f>IFERROR(G33*L33,"")</f>
        <v/>
      </c>
      <c r="N33" s="21">
        <f>IFERROR(G33+M33,"")</f>
        <v/>
      </c>
      <c r="O33" s="24" t="inlineStr"/>
    </row>
    <row r="34">
      <c r="A34" s="13" t="inlineStr">
        <is>
          <t>Engineering</t>
        </is>
      </c>
      <c r="B34" s="13" t="inlineStr">
        <is>
          <t>Environmental compliance audits</t>
        </is>
      </c>
      <c r="C34" s="13" t="inlineStr">
        <is>
          <t>ekološki audit</t>
        </is>
      </c>
      <c r="D34" s="18" t="inlineStr"/>
      <c r="E34" s="19" t="inlineStr"/>
      <c r="F34" s="20" t="inlineStr"/>
      <c r="G34" s="21">
        <f>IFERROR(D34*F34,"")</f>
        <v/>
      </c>
      <c r="H34" s="22">
        <f>IFERROR(G34/SUM($G$3:$G$34),0)</f>
        <v/>
      </c>
      <c r="I34" s="19" t="inlineStr"/>
      <c r="J34" s="19" t="inlineStr"/>
      <c r="K34" s="19" t="inlineStr">
        <is>
          <t>Planned</t>
        </is>
      </c>
      <c r="L34" s="23" t="n">
        <v>0.1</v>
      </c>
      <c r="M34" s="21">
        <f>IFERROR(G34*L34,"")</f>
        <v/>
      </c>
      <c r="N34" s="21">
        <f>IFERROR(G34+M34,"")</f>
        <v/>
      </c>
      <c r="O34" s="24" t="inlineStr"/>
    </row>
    <row r="35">
      <c r="D35" s="25" t="n"/>
      <c r="F35" s="7" t="n"/>
      <c r="G35" s="7" t="n"/>
      <c r="H35" s="8" t="n"/>
      <c r="L35" s="8" t="n"/>
      <c r="M35" s="7" t="n"/>
      <c r="N35" s="7" t="n"/>
    </row>
    <row r="36">
      <c r="A36" s="10">
        <f>== TOTAL CATEGORY ===</f>
        <v/>
      </c>
      <c r="D36" s="25" t="n"/>
      <c r="F36" s="7" t="n"/>
      <c r="G36" s="11">
        <f>SUM(G3:G34)</f>
        <v/>
      </c>
      <c r="H36" s="8" t="n"/>
      <c r="L36" s="8" t="n"/>
      <c r="M36" s="11">
        <f>SUM(M3:M34)</f>
        <v/>
      </c>
      <c r="N36" s="11">
        <f>SUM(N3:N34)</f>
        <v/>
      </c>
    </row>
    <row r="38">
      <c r="A38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ENGINEERING &amp; PERMITS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PROJECT MANAGEMENT &amp; IMPLEMENTA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Project management</t>
        </is>
      </c>
      <c r="B3" s="13" t="inlineStr">
        <is>
          <t>EPCM services</t>
        </is>
      </c>
      <c r="C3" s="13" t="inlineStr">
        <is>
          <t>upravljanje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IFERROR(G3/SUM($G$3:$G$29),0)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Project management</t>
        </is>
      </c>
      <c r="B4" s="13" t="inlineStr">
        <is>
          <t>Owner engineer</t>
        </is>
      </c>
      <c r="C4" s="13" t="inlineStr">
        <is>
          <t>nadzor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IFERROR(G4/SUM($G$3:$G$29),0)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Project management</t>
        </is>
      </c>
      <c r="B5" s="13" t="inlineStr">
        <is>
          <t>Commissioning</t>
        </is>
      </c>
      <c r="C5" s="13" t="inlineStr">
        <is>
          <t>puštanje u rad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IFERROR(G5/SUM($G$3:$G$29),0)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Project management</t>
        </is>
      </c>
      <c r="B6" s="13" t="inlineStr">
        <is>
          <t>Project management office</t>
        </is>
      </c>
      <c r="C6" s="13" t="inlineStr">
        <is>
          <t>projektni ured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IFERROR(G6/SUM($G$3:$G$29),0)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Project management</t>
        </is>
      </c>
      <c r="B7" s="13" t="inlineStr">
        <is>
          <t>Construction management</t>
        </is>
      </c>
      <c r="C7" s="13" t="inlineStr">
        <is>
          <t>upravljanje gradnjom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IFERROR(G7/SUM($G$3:$G$29),0)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Project management</t>
        </is>
      </c>
      <c r="B8" s="13" t="inlineStr">
        <is>
          <t>Site supervision</t>
        </is>
      </c>
      <c r="C8" s="13" t="inlineStr">
        <is>
          <t>nadzor gradilišta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IFERROR(G8/SUM($G$3:$G$29),0)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Project management</t>
        </is>
      </c>
      <c r="B9" s="13" t="inlineStr">
        <is>
          <t>Cost control systems</t>
        </is>
      </c>
      <c r="C9" s="13" t="inlineStr">
        <is>
          <t>kontrola troškova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IFERROR(G9/SUM($G$3:$G$29),0)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Project management</t>
        </is>
      </c>
      <c r="B10" s="13" t="inlineStr">
        <is>
          <t>Schedule management</t>
        </is>
      </c>
      <c r="C10" s="13" t="inlineStr">
        <is>
          <t>upravljanje rokovima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IFERROR(G10/SUM($G$3:$G$29),0)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Project management</t>
        </is>
      </c>
      <c r="B11" s="13" t="inlineStr">
        <is>
          <t>Risk management systems</t>
        </is>
      </c>
      <c r="C11" s="13" t="inlineStr">
        <is>
          <t>upravljanje rizicima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IFERROR(G11/SUM($G$3:$G$29),0)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Project management</t>
        </is>
      </c>
      <c r="B12" s="13" t="inlineStr">
        <is>
          <t>Contract management</t>
        </is>
      </c>
      <c r="C12" s="13" t="inlineStr">
        <is>
          <t>upravljanje ugovorima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IFERROR(G12/SUM($G$3:$G$29),0)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Project management</t>
        </is>
      </c>
      <c r="B13" s="13" t="inlineStr">
        <is>
          <t>Procurement management</t>
        </is>
      </c>
      <c r="C13" s="13" t="inlineStr">
        <is>
          <t>upravljanje nabavkom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IFERROR(G13/SUM($G$3:$G$29),0)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Project management</t>
        </is>
      </c>
      <c r="B14" s="13" t="inlineStr">
        <is>
          <t>Logistics coordination</t>
        </is>
      </c>
      <c r="C14" s="13" t="inlineStr">
        <is>
          <t>koordinacija logistike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IFERROR(G14/SUM($G$3:$G$29),0)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Project management</t>
        </is>
      </c>
      <c r="B15" s="13" t="inlineStr">
        <is>
          <t>Project reporting systems</t>
        </is>
      </c>
      <c r="C15" s="13" t="inlineStr">
        <is>
          <t>izvještavanje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IFERROR(G15/SUM($G$3:$G$29),0)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Project management</t>
        </is>
      </c>
      <c r="B16" s="13" t="inlineStr">
        <is>
          <t>Quality assurance supervision</t>
        </is>
      </c>
      <c r="C16" s="13" t="inlineStr">
        <is>
          <t>kontrola kvaliteta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IFERROR(G16/SUM($G$3:$G$29),0)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Project management</t>
        </is>
      </c>
      <c r="B17" s="13" t="inlineStr">
        <is>
          <t>HSE supervision</t>
        </is>
      </c>
      <c r="C17" s="13" t="inlineStr">
        <is>
          <t>sigurnost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IFERROR(G17/SUM($G$3:$G$29),0)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Project management</t>
        </is>
      </c>
      <c r="B18" s="13" t="inlineStr">
        <is>
          <t>Construction inspections</t>
        </is>
      </c>
      <c r="C18" s="13" t="inlineStr">
        <is>
          <t>inspekcije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IFERROR(G18/SUM($G$3:$G$29),0)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Project management</t>
        </is>
      </c>
      <c r="B19" s="13" t="inlineStr">
        <is>
          <t>Vendor inspections</t>
        </is>
      </c>
      <c r="C19" s="13" t="inlineStr">
        <is>
          <t>kontrola dobavljača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IFERROR(G19/SUM($G$3:$G$29),0)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Project management</t>
        </is>
      </c>
      <c r="B20" s="13" t="inlineStr">
        <is>
          <t>Factory acceptance tests (FAT)</t>
        </is>
      </c>
      <c r="C20" s="13" t="inlineStr">
        <is>
          <t>fabrička testiranja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IFERROR(G20/SUM($G$3:$G$29),0)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Project management</t>
        </is>
      </c>
      <c r="B21" s="13" t="inlineStr">
        <is>
          <t>Site acceptance tests (SAT)</t>
        </is>
      </c>
      <c r="C21" s="13" t="inlineStr">
        <is>
          <t>testiranja na lokaciji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IFERROR(G21/SUM($G$3:$G$29),0)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Project management</t>
        </is>
      </c>
      <c r="B22" s="13" t="inlineStr">
        <is>
          <t>Commissioning engineering</t>
        </is>
      </c>
      <c r="C22" s="13" t="inlineStr">
        <is>
          <t>inženjering puštanja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IFERROR(G22/SUM($G$3:$G$29),0)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Project management</t>
        </is>
      </c>
      <c r="B23" s="13" t="inlineStr">
        <is>
          <t>Commissioning supervision</t>
        </is>
      </c>
      <c r="C23" s="13" t="inlineStr">
        <is>
          <t>nadzor puštanja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IFERROR(G23/SUM($G$3:$G$29),0)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Project management</t>
        </is>
      </c>
      <c r="B24" s="13" t="inlineStr">
        <is>
          <t>Startup assistance</t>
        </is>
      </c>
      <c r="C24" s="13" t="inlineStr">
        <is>
          <t>podrška startu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IFERROR(G24/SUM($G$3:$G$29),0)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Project management</t>
        </is>
      </c>
      <c r="B25" s="13" t="inlineStr">
        <is>
          <t>Training of operators</t>
        </is>
      </c>
      <c r="C25" s="13" t="inlineStr">
        <is>
          <t>obuka osoblja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IFERROR(G25/SUM($G$3:$G$29),0)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Project management</t>
        </is>
      </c>
      <c r="B26" s="13" t="inlineStr">
        <is>
          <t>Documentation management</t>
        </is>
      </c>
      <c r="C26" s="13" t="inlineStr">
        <is>
          <t>dokumentacija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IFERROR(G26/SUM($G$3:$G$29),0)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Project management</t>
        </is>
      </c>
      <c r="B27" s="13" t="inlineStr">
        <is>
          <t>Final project audits</t>
        </is>
      </c>
      <c r="C27" s="13" t="inlineStr">
        <is>
          <t>završni audit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IFERROR(G27/SUM($G$3:$G$29),0)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Project management</t>
        </is>
      </c>
      <c r="B28" s="13" t="inlineStr">
        <is>
          <t>Warranty management</t>
        </is>
      </c>
      <c r="C28" s="13" t="inlineStr">
        <is>
          <t>upravljanje garancijom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IFERROR(G28/SUM($G$3:$G$29),0)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Project management</t>
        </is>
      </c>
      <c r="B29" s="13" t="inlineStr">
        <is>
          <t>Handover documentation</t>
        </is>
      </c>
      <c r="C29" s="13" t="inlineStr">
        <is>
          <t>primopredaja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IFERROR(G29/SUM($G$3:$G$29),0)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D30" s="25" t="n"/>
      <c r="F30" s="7" t="n"/>
      <c r="G30" s="7" t="n"/>
      <c r="H30" s="8" t="n"/>
      <c r="L30" s="8" t="n"/>
      <c r="M30" s="7" t="n"/>
      <c r="N30" s="7" t="n"/>
    </row>
    <row r="31">
      <c r="A31" s="10">
        <f>== TOTAL CATEGORY ===</f>
        <v/>
      </c>
      <c r="D31" s="25" t="n"/>
      <c r="F31" s="7" t="n"/>
      <c r="G31" s="11">
        <f>SUM(G3:G29)</f>
        <v/>
      </c>
      <c r="H31" s="8" t="n"/>
      <c r="L31" s="8" t="n"/>
      <c r="M31" s="11">
        <f>SUM(M3:M29)</f>
        <v/>
      </c>
      <c r="N31" s="11">
        <f>SUM(N3:N29)</f>
        <v/>
      </c>
    </row>
    <row r="33">
      <c r="A33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PROJECT MANAGEMENT &amp; IMPLEMENTA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CONTINGENCY &amp; COST ESCALATION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Contingency</t>
        </is>
      </c>
      <c r="B3" s="13" t="inlineStr">
        <is>
          <t>Construction contingency</t>
        </is>
      </c>
      <c r="C3" s="13" t="inlineStr">
        <is>
          <t>građevina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IFERROR(G3/SUM($G$3:$G$29),0)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Contingency</t>
        </is>
      </c>
      <c r="B4" s="13" t="inlineStr">
        <is>
          <t>Equipment contingency</t>
        </is>
      </c>
      <c r="C4" s="13" t="inlineStr">
        <is>
          <t>oprema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IFERROR(G4/SUM($G$3:$G$29),0)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Contingency</t>
        </is>
      </c>
      <c r="B5" s="13" t="inlineStr">
        <is>
          <t>Price escalation</t>
        </is>
      </c>
      <c r="C5" s="13" t="inlineStr">
        <is>
          <t>inflacija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IFERROR(G5/SUM($G$3:$G$29),0)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Contingency</t>
        </is>
      </c>
      <c r="B6" s="13" t="inlineStr">
        <is>
          <t>Civil works contingency</t>
        </is>
      </c>
      <c r="C6" s="13" t="inlineStr">
        <is>
          <t>građevinski radovi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IFERROR(G6/SUM($G$3:$G$29),0)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Contingency</t>
        </is>
      </c>
      <c r="B7" s="13" t="inlineStr">
        <is>
          <t>Mechanical equipment contingency</t>
        </is>
      </c>
      <c r="C7" s="13" t="inlineStr">
        <is>
          <t>mašinska oprema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IFERROR(G7/SUM($G$3:$G$29),0)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Contingency</t>
        </is>
      </c>
      <c r="B8" s="13" t="inlineStr">
        <is>
          <t>Electrical equipment contingency</t>
        </is>
      </c>
      <c r="C8" s="13" t="inlineStr">
        <is>
          <t>elektro oprema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IFERROR(G8/SUM($G$3:$G$29),0)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Contingency</t>
        </is>
      </c>
      <c r="B9" s="13" t="inlineStr">
        <is>
          <t>Testing equipment contingency</t>
        </is>
      </c>
      <c r="C9" s="13" t="inlineStr">
        <is>
          <t>test oprema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IFERROR(G9/SUM($G$3:$G$29),0)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Contingency</t>
        </is>
      </c>
      <c r="B10" s="13" t="inlineStr">
        <is>
          <t>Utilities systems contingency</t>
        </is>
      </c>
      <c r="C10" s="13" t="inlineStr">
        <is>
          <t>utilities sistemi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IFERROR(G10/SUM($G$3:$G$29),0)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Contingency</t>
        </is>
      </c>
      <c r="B11" s="13" t="inlineStr">
        <is>
          <t>Engineering contingency</t>
        </is>
      </c>
      <c r="C11" s="13" t="inlineStr">
        <is>
          <t>projektovanje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IFERROR(G11/SUM($G$3:$G$29),0)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Contingency</t>
        </is>
      </c>
      <c r="B12" s="13" t="inlineStr">
        <is>
          <t>Procurement contingency</t>
        </is>
      </c>
      <c r="C12" s="13" t="inlineStr">
        <is>
          <t>nabavka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IFERROR(G12/SUM($G$3:$G$29),0)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Contingency</t>
        </is>
      </c>
      <c r="B13" s="13" t="inlineStr">
        <is>
          <t>Logistics contingency</t>
        </is>
      </c>
      <c r="C13" s="13" t="inlineStr">
        <is>
          <t>transport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IFERROR(G13/SUM($G$3:$G$29),0)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Contingency</t>
        </is>
      </c>
      <c r="B14" s="13" t="inlineStr">
        <is>
          <t>Installation contingency</t>
        </is>
      </c>
      <c r="C14" s="13" t="inlineStr">
        <is>
          <t>instalacija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IFERROR(G14/SUM($G$3:$G$29),0)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Contingency</t>
        </is>
      </c>
      <c r="B15" s="13" t="inlineStr">
        <is>
          <t>Commissioning contingency</t>
        </is>
      </c>
      <c r="C15" s="13" t="inlineStr">
        <is>
          <t>puštanje u rad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IFERROR(G15/SUM($G$3:$G$29),0)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Contingency</t>
        </is>
      </c>
      <c r="B16" s="13" t="inlineStr">
        <is>
          <t>Exchange rate contingency</t>
        </is>
      </c>
      <c r="C16" s="13" t="inlineStr">
        <is>
          <t>valutni rizik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IFERROR(G16/SUM($G$3:$G$29),0)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Contingency</t>
        </is>
      </c>
      <c r="B17" s="13" t="inlineStr">
        <is>
          <t>Supply chain risk allowance</t>
        </is>
      </c>
      <c r="C17" s="13" t="inlineStr">
        <is>
          <t>rizik nabavke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IFERROR(G17/SUM($G$3:$G$29),0)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Contingency</t>
        </is>
      </c>
      <c r="B18" s="13" t="inlineStr">
        <is>
          <t>Raw material escalation</t>
        </is>
      </c>
      <c r="C18" s="13" t="inlineStr">
        <is>
          <t>cijene materijala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IFERROR(G18/SUM($G$3:$G$29),0)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Contingency</t>
        </is>
      </c>
      <c r="B19" s="13" t="inlineStr">
        <is>
          <t>Steel price escalation</t>
        </is>
      </c>
      <c r="C19" s="13" t="inlineStr">
        <is>
          <t>cijena čelika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IFERROR(G19/SUM($G$3:$G$29),0)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Contingency</t>
        </is>
      </c>
      <c r="B20" s="13" t="inlineStr">
        <is>
          <t>Copper price escalation</t>
        </is>
      </c>
      <c r="C20" s="13" t="inlineStr">
        <is>
          <t>cijena bakra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IFERROR(G20/SUM($G$3:$G$29),0)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Contingency</t>
        </is>
      </c>
      <c r="B21" s="13" t="inlineStr">
        <is>
          <t>GOES steel escalation</t>
        </is>
      </c>
      <c r="C21" s="13" t="inlineStr">
        <is>
          <t>elektro čelik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IFERROR(G21/SUM($G$3:$G$29),0)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Contingency</t>
        </is>
      </c>
      <c r="B22" s="13" t="inlineStr">
        <is>
          <t>Energy price escalation</t>
        </is>
      </c>
      <c r="C22" s="13" t="inlineStr">
        <is>
          <t>cijena energije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IFERROR(G22/SUM($G$3:$G$29),0)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Contingency</t>
        </is>
      </c>
      <c r="B23" s="13" t="inlineStr">
        <is>
          <t>Labor cost escalation</t>
        </is>
      </c>
      <c r="C23" s="13" t="inlineStr">
        <is>
          <t>rast plata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IFERROR(G23/SUM($G$3:$G$29),0)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Contingency</t>
        </is>
      </c>
      <c r="B24" s="13" t="inlineStr">
        <is>
          <t>Construction delay reserve</t>
        </is>
      </c>
      <c r="C24" s="13" t="inlineStr">
        <is>
          <t>kašnjenje projekta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IFERROR(G24/SUM($G$3:$G$29),0)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Contingency</t>
        </is>
      </c>
      <c r="B25" s="13" t="inlineStr">
        <is>
          <t>Force majeure reserve</t>
        </is>
      </c>
      <c r="C25" s="13" t="inlineStr">
        <is>
          <t>viša sila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IFERROR(G25/SUM($G$3:$G$29),0)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Contingency</t>
        </is>
      </c>
      <c r="B26" s="13" t="inlineStr">
        <is>
          <t>Regulatory change reserve</t>
        </is>
      </c>
      <c r="C26" s="13" t="inlineStr">
        <is>
          <t>promjena regulative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IFERROR(G26/SUM($G$3:$G$29),0)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Contingency</t>
        </is>
      </c>
      <c r="B27" s="13" t="inlineStr">
        <is>
          <t>Inflation index reserve</t>
        </is>
      </c>
      <c r="C27" s="13" t="inlineStr">
        <is>
          <t>indeks inflacije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IFERROR(G27/SUM($G$3:$G$29),0)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A28" s="13" t="inlineStr">
        <is>
          <t>Contingency</t>
        </is>
      </c>
      <c r="B28" s="13" t="inlineStr">
        <is>
          <t>EPC contract contingency</t>
        </is>
      </c>
      <c r="C28" s="13" t="inlineStr">
        <is>
          <t>EPC rezervni fond</t>
        </is>
      </c>
      <c r="D28" s="18" t="inlineStr"/>
      <c r="E28" s="19" t="inlineStr"/>
      <c r="F28" s="20" t="inlineStr"/>
      <c r="G28" s="21">
        <f>IFERROR(D28*F28,"")</f>
        <v/>
      </c>
      <c r="H28" s="22">
        <f>IFERROR(G28/SUM($G$3:$G$29),0)</f>
        <v/>
      </c>
      <c r="I28" s="19" t="inlineStr"/>
      <c r="J28" s="19" t="inlineStr"/>
      <c r="K28" s="19" t="inlineStr">
        <is>
          <t>Planned</t>
        </is>
      </c>
      <c r="L28" s="23" t="n">
        <v>0.1</v>
      </c>
      <c r="M28" s="21">
        <f>IFERROR(G28*L28,"")</f>
        <v/>
      </c>
      <c r="N28" s="21">
        <f>IFERROR(G28+M28,"")</f>
        <v/>
      </c>
      <c r="O28" s="24" t="inlineStr"/>
    </row>
    <row r="29">
      <c r="A29" s="13" t="inlineStr">
        <is>
          <t>Contingency</t>
        </is>
      </c>
      <c r="B29" s="13" t="inlineStr">
        <is>
          <t>Risk mitigation reserve</t>
        </is>
      </c>
      <c r="C29" s="13" t="inlineStr">
        <is>
          <t>ublažavanje rizika</t>
        </is>
      </c>
      <c r="D29" s="18" t="inlineStr"/>
      <c r="E29" s="19" t="inlineStr"/>
      <c r="F29" s="20" t="inlineStr"/>
      <c r="G29" s="21">
        <f>IFERROR(D29*F29,"")</f>
        <v/>
      </c>
      <c r="H29" s="22">
        <f>IFERROR(G29/SUM($G$3:$G$29),0)</f>
        <v/>
      </c>
      <c r="I29" s="19" t="inlineStr"/>
      <c r="J29" s="19" t="inlineStr"/>
      <c r="K29" s="19" t="inlineStr">
        <is>
          <t>Planned</t>
        </is>
      </c>
      <c r="L29" s="23" t="n">
        <v>0.1</v>
      </c>
      <c r="M29" s="21">
        <f>IFERROR(G29*L29,"")</f>
        <v/>
      </c>
      <c r="N29" s="21">
        <f>IFERROR(G29+M29,"")</f>
        <v/>
      </c>
      <c r="O29" s="24" t="inlineStr"/>
    </row>
    <row r="30">
      <c r="D30" s="25" t="n"/>
      <c r="F30" s="7" t="n"/>
      <c r="G30" s="7" t="n"/>
      <c r="H30" s="8" t="n"/>
      <c r="L30" s="8" t="n"/>
      <c r="M30" s="7" t="n"/>
      <c r="N30" s="7" t="n"/>
    </row>
    <row r="31">
      <c r="A31" s="10">
        <f>== TOTAL CATEGORY ===</f>
        <v/>
      </c>
      <c r="D31" s="25" t="n"/>
      <c r="F31" s="7" t="n"/>
      <c r="G31" s="11">
        <f>SUM(G3:G29)</f>
        <v/>
      </c>
      <c r="H31" s="8" t="n"/>
      <c r="L31" s="8" t="n"/>
      <c r="M31" s="11">
        <f>SUM(M3:M29)</f>
        <v/>
      </c>
      <c r="N31" s="11">
        <f>SUM(N3:N29)</f>
        <v/>
      </c>
    </row>
    <row r="33">
      <c r="A33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CONTINGENCY &amp; COST ESCALATION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FINANCING COSTS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Financing</t>
        </is>
      </c>
      <c r="B3" s="13" t="inlineStr">
        <is>
          <t>Interest during construction</t>
        </is>
      </c>
      <c r="C3" s="13" t="inlineStr">
        <is>
          <t>kamate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IFERROR(G3/SUM($G$3:$G$26),0)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Financing</t>
        </is>
      </c>
      <c r="B4" s="13" t="inlineStr">
        <is>
          <t>Bank fees</t>
        </is>
      </c>
      <c r="C4" s="13" t="inlineStr">
        <is>
          <t>banke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IFERROR(G4/SUM($G$3:$G$26),0)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Financing</t>
        </is>
      </c>
      <c r="B5" s="13" t="inlineStr">
        <is>
          <t>Insurance</t>
        </is>
      </c>
      <c r="C5" s="13" t="inlineStr">
        <is>
          <t>osiguranje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IFERROR(G5/SUM($G$3:$G$26),0)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Financing</t>
        </is>
      </c>
      <c r="B6" s="13" t="inlineStr">
        <is>
          <t>Loan arrangement fees</t>
        </is>
      </c>
      <c r="C6" s="13" t="inlineStr">
        <is>
          <t>naknade za kredit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IFERROR(G6/SUM($G$3:$G$26),0)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Financing</t>
        </is>
      </c>
      <c r="B7" s="13" t="inlineStr">
        <is>
          <t>Commitment fees</t>
        </is>
      </c>
      <c r="C7" s="13" t="inlineStr">
        <is>
          <t>naknada za neiskorišten kredit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IFERROR(G7/SUM($G$3:$G$26),0)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Financing</t>
        </is>
      </c>
      <c r="B8" s="13" t="inlineStr">
        <is>
          <t>Guarantee fees</t>
        </is>
      </c>
      <c r="C8" s="13" t="inlineStr">
        <is>
          <t>garancije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IFERROR(G8/SUM($G$3:$G$26),0)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Financing</t>
        </is>
      </c>
      <c r="B9" s="13" t="inlineStr">
        <is>
          <t>Legal financing costs</t>
        </is>
      </c>
      <c r="C9" s="13" t="inlineStr">
        <is>
          <t>pravni troškovi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IFERROR(G9/SUM($G$3:$G$26),0)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Financing</t>
        </is>
      </c>
      <c r="B10" s="13" t="inlineStr">
        <is>
          <t>Financial advisory fees</t>
        </is>
      </c>
      <c r="C10" s="13" t="inlineStr">
        <is>
          <t>finansijski savjetnici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IFERROR(G10/SUM($G$3:$G$26),0)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Financing</t>
        </is>
      </c>
      <c r="B11" s="13" t="inlineStr">
        <is>
          <t>Hedging costs</t>
        </is>
      </c>
      <c r="C11" s="13" t="inlineStr">
        <is>
          <t>valutni hedging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IFERROR(G11/SUM($G$3:$G$26),0)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Financing</t>
        </is>
      </c>
      <c r="B12" s="13" t="inlineStr">
        <is>
          <t>Interest rate hedging</t>
        </is>
      </c>
      <c r="C12" s="13" t="inlineStr">
        <is>
          <t>zaštita kamate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IFERROR(G12/SUM($G$3:$G$26),0)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Financing</t>
        </is>
      </c>
      <c r="B13" s="13" t="inlineStr">
        <is>
          <t>Project finance advisory</t>
        </is>
      </c>
      <c r="C13" s="13" t="inlineStr">
        <is>
          <t>savjetnici projekta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IFERROR(G13/SUM($G$3:$G$26),0)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Financing</t>
        </is>
      </c>
      <c r="B14" s="13" t="inlineStr">
        <is>
          <t>Lender technical advisor</t>
        </is>
      </c>
      <c r="C14" s="13" t="inlineStr">
        <is>
          <t>tehnički savjetnik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IFERROR(G14/SUM($G$3:$G$26),0)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Financing</t>
        </is>
      </c>
      <c r="B15" s="13" t="inlineStr">
        <is>
          <t>Lender legal advisor</t>
        </is>
      </c>
      <c r="C15" s="13" t="inlineStr">
        <is>
          <t>pravni savjetnik banke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IFERROR(G15/SUM($G$3:$G$26),0)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Financing</t>
        </is>
      </c>
      <c r="B16" s="13" t="inlineStr">
        <is>
          <t>Due diligence costs</t>
        </is>
      </c>
      <c r="C16" s="13" t="inlineStr">
        <is>
          <t>dubinska analiza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IFERROR(G16/SUM($G$3:$G$26),0)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Financing</t>
        </is>
      </c>
      <c r="B17" s="13" t="inlineStr">
        <is>
          <t>Insurance during construction</t>
        </is>
      </c>
      <c r="C17" s="13" t="inlineStr">
        <is>
          <t>osiguranje gradnje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IFERROR(G17/SUM($G$3:$G$26),0)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Financing</t>
        </is>
      </c>
      <c r="B18" s="13" t="inlineStr">
        <is>
          <t>Construction risk insurance</t>
        </is>
      </c>
      <c r="C18" s="13" t="inlineStr">
        <is>
          <t>osiguranje rizika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IFERROR(G18/SUM($G$3:$G$26),0)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Financing</t>
        </is>
      </c>
      <c r="B19" s="13" t="inlineStr">
        <is>
          <t>Equipment insurance</t>
        </is>
      </c>
      <c r="C19" s="13" t="inlineStr">
        <is>
          <t>osiguranje opreme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IFERROR(G19/SUM($G$3:$G$26),0)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Financing</t>
        </is>
      </c>
      <c r="B20" s="13" t="inlineStr">
        <is>
          <t>Delay in start-up insurance</t>
        </is>
      </c>
      <c r="C20" s="13" t="inlineStr">
        <is>
          <t>osiguranje kašnjenja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IFERROR(G20/SUM($G$3:$G$26),0)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Financing</t>
        </is>
      </c>
      <c r="B21" s="13" t="inlineStr">
        <is>
          <t>Political risk insurance</t>
        </is>
      </c>
      <c r="C21" s="13" t="inlineStr">
        <is>
          <t>politički rizik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IFERROR(G21/SUM($G$3:$G$26),0)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Financing</t>
        </is>
      </c>
      <c r="B22" s="13" t="inlineStr">
        <is>
          <t>Export credit insurance</t>
        </is>
      </c>
      <c r="C22" s="13" t="inlineStr">
        <is>
          <t>izvozno osiguranje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IFERROR(G22/SUM($G$3:$G$26),0)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Financing</t>
        </is>
      </c>
      <c r="B23" s="13" t="inlineStr">
        <is>
          <t>Financial closing costs</t>
        </is>
      </c>
      <c r="C23" s="13" t="inlineStr">
        <is>
          <t>troškovi zatvaranja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IFERROR(G23/SUM($G$3:$G$26),0)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Financing</t>
        </is>
      </c>
      <c r="B24" s="13" t="inlineStr">
        <is>
          <t>Loan documentation costs</t>
        </is>
      </c>
      <c r="C24" s="13" t="inlineStr">
        <is>
          <t>dokumentacija kredita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IFERROR(G24/SUM($G$3:$G$26),0)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Financing</t>
        </is>
      </c>
      <c r="B25" s="13" t="inlineStr">
        <is>
          <t>Banking transaction fees</t>
        </is>
      </c>
      <c r="C25" s="13" t="inlineStr">
        <is>
          <t>bankarske transakcije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IFERROR(G25/SUM($G$3:$G$26),0)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Financing</t>
        </is>
      </c>
      <c r="B26" s="13" t="inlineStr">
        <is>
          <t>Currency conversion costs</t>
        </is>
      </c>
      <c r="C26" s="13" t="inlineStr">
        <is>
          <t>valutne konverzije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IFERROR(G26/SUM($G$3:$G$26),0)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D27" s="25" t="n"/>
      <c r="F27" s="7" t="n"/>
      <c r="G27" s="7" t="n"/>
      <c r="H27" s="8" t="n"/>
      <c r="L27" s="8" t="n"/>
      <c r="M27" s="7" t="n"/>
      <c r="N27" s="7" t="n"/>
    </row>
    <row r="28">
      <c r="A28" s="10">
        <f>== TOTAL CATEGORY ===</f>
        <v/>
      </c>
      <c r="D28" s="25" t="n"/>
      <c r="F28" s="7" t="n"/>
      <c r="G28" s="11">
        <f>SUM(G3:G26)</f>
        <v/>
      </c>
      <c r="H28" s="8" t="n"/>
      <c r="L28" s="8" t="n"/>
      <c r="M28" s="11">
        <f>SUM(M3:M26)</f>
        <v/>
      </c>
      <c r="N28" s="11">
        <f>SUM(N3:N26)</f>
        <v/>
      </c>
    </row>
    <row r="30">
      <c r="A30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FINANCING COSTS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START-UP INVENTORY &amp; SPARE PART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Start-up inventory</t>
        </is>
      </c>
      <c r="B3" s="13" t="inlineStr">
        <is>
          <t>Initial spare parts</t>
        </is>
      </c>
      <c r="C3" s="13" t="inlineStr">
        <is>
          <t>rezervni dijelovi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Start-up inventory</t>
        </is>
      </c>
      <c r="B4" s="13" t="inlineStr">
        <is>
          <t>Maintenance tools</t>
        </is>
      </c>
      <c r="C4" s="13" t="inlineStr">
        <is>
          <t>alati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Start-up inventory</t>
        </is>
      </c>
      <c r="B5" s="13" t="inlineStr">
        <is>
          <t>Oil inventory</t>
        </is>
      </c>
      <c r="C5" s="13" t="inlineStr">
        <is>
          <t>početno ulje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Start-up inventory</t>
        </is>
      </c>
      <c r="B6" s="13" t="inlineStr">
        <is>
          <t>Insulation materials</t>
        </is>
      </c>
      <c r="C6" s="13" t="inlineStr">
        <is>
          <t>početna izolacija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Start-up inventory</t>
        </is>
      </c>
      <c r="B7" s="13" t="inlineStr">
        <is>
          <t>Copper conductors</t>
        </is>
      </c>
      <c r="C7" s="13" t="inlineStr">
        <is>
          <t>bakarni provodnici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Start-up inventory</t>
        </is>
      </c>
      <c r="B8" s="13" t="inlineStr">
        <is>
          <t>GOES electrical steel</t>
        </is>
      </c>
      <c r="C8" s="13" t="inlineStr">
        <is>
          <t>elektro čelik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Start-up inventory</t>
        </is>
      </c>
      <c r="B9" s="13" t="inlineStr">
        <is>
          <t>Transformer bushings</t>
        </is>
      </c>
      <c r="C9" s="13" t="inlineStr">
        <is>
          <t>provodnici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Start-up inventory</t>
        </is>
      </c>
      <c r="B10" s="13" t="inlineStr">
        <is>
          <t>Tap changers</t>
        </is>
      </c>
      <c r="C10" s="13" t="inlineStr">
        <is>
          <t>regulacioni prekidači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Start-up inventory</t>
        </is>
      </c>
      <c r="B11" s="13" t="inlineStr">
        <is>
          <t>Cooling radiators</t>
        </is>
      </c>
      <c r="C11" s="13" t="inlineStr">
        <is>
          <t>radijatori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Start-up inventory</t>
        </is>
      </c>
      <c r="B12" s="13" t="inlineStr">
        <is>
          <t>Gaskets and seals</t>
        </is>
      </c>
      <c r="C12" s="13" t="inlineStr">
        <is>
          <t>brtve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Start-up inventory</t>
        </is>
      </c>
      <c r="B13" s="13" t="inlineStr">
        <is>
          <t>Fasteners and bolts</t>
        </is>
      </c>
      <c r="C13" s="13" t="inlineStr">
        <is>
          <t>vijci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Start-up inventory</t>
        </is>
      </c>
      <c r="B14" s="13" t="inlineStr">
        <is>
          <t>Cable inventory</t>
        </is>
      </c>
      <c r="C14" s="13" t="inlineStr">
        <is>
          <t>kablovi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Start-up inventory</t>
        </is>
      </c>
      <c r="B15" s="13" t="inlineStr">
        <is>
          <t>Sensors and instrumentation</t>
        </is>
      </c>
      <c r="C15" s="13" t="inlineStr">
        <is>
          <t>senzori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Start-up inventory</t>
        </is>
      </c>
      <c r="B16" s="13" t="inlineStr">
        <is>
          <t>Electrical components</t>
        </is>
      </c>
      <c r="C16" s="13" t="inlineStr">
        <is>
          <t>električne komponente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Start-up inventory</t>
        </is>
      </c>
      <c r="B17" s="13" t="inlineStr">
        <is>
          <t>Bearings and mechanical parts</t>
        </is>
      </c>
      <c r="C17" s="13" t="inlineStr">
        <is>
          <t>mehanički dijelovi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Start-up inventory</t>
        </is>
      </c>
      <c r="B18" s="13" t="inlineStr">
        <is>
          <t>Hydraulic components</t>
        </is>
      </c>
      <c r="C18" s="13" t="inlineStr">
        <is>
          <t>hidraulika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Start-up inventory</t>
        </is>
      </c>
      <c r="B19" s="13" t="inlineStr">
        <is>
          <t>Vacuum system spare parts</t>
        </is>
      </c>
      <c r="C19" s="13" t="inlineStr">
        <is>
          <t>vakuum oprema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Start-up inventory</t>
        </is>
      </c>
      <c r="B20" s="13" t="inlineStr">
        <is>
          <t>Oil pumps spare parts</t>
        </is>
      </c>
      <c r="C20" s="13" t="inlineStr">
        <is>
          <t>pumpe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Start-up inventory</t>
        </is>
      </c>
      <c r="B21" s="13" t="inlineStr">
        <is>
          <t>Filters and filtration systems</t>
        </is>
      </c>
      <c r="C21" s="13" t="inlineStr">
        <is>
          <t>filteri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Start-up inventory</t>
        </is>
      </c>
      <c r="B22" s="13" t="inlineStr">
        <is>
          <t>Cooling system spare parts</t>
        </is>
      </c>
      <c r="C22" s="13" t="inlineStr">
        <is>
          <t>hlađenje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Start-up inventory</t>
        </is>
      </c>
      <c r="B23" s="13" t="inlineStr">
        <is>
          <t>Testing equipment spare parts</t>
        </is>
      </c>
      <c r="C23" s="13" t="inlineStr">
        <is>
          <t>test oprema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Start-up inventory</t>
        </is>
      </c>
      <c r="B24" s="13" t="inlineStr">
        <is>
          <t>Crane spare parts</t>
        </is>
      </c>
      <c r="C24" s="13" t="inlineStr">
        <is>
          <t>rezervni dijelovi dizalica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Start-up inventory</t>
        </is>
      </c>
      <c r="B25" s="13" t="inlineStr">
        <is>
          <t>Forklift spare parts</t>
        </is>
      </c>
      <c r="C25" s="13" t="inlineStr">
        <is>
          <t>rezervni dijelovi viljuškara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Start-up inventory</t>
        </is>
      </c>
      <c r="B26" s="13" t="inlineStr">
        <is>
          <t>Safety equipment inventory</t>
        </is>
      </c>
      <c r="C26" s="13" t="inlineStr">
        <is>
          <t>zaštitna oprema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Start-up inventory</t>
        </is>
      </c>
      <c r="B27" s="13" t="inlineStr">
        <is>
          <t>Workshop tools inventory</t>
        </is>
      </c>
      <c r="C27" s="13" t="inlineStr">
        <is>
          <t>radionica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D28" s="25" t="n"/>
      <c r="F28" s="7" t="n"/>
      <c r="G28" s="7" t="n"/>
      <c r="H28" s="8" t="n"/>
      <c r="L28" s="8" t="n"/>
      <c r="M28" s="7" t="n"/>
      <c r="N28" s="7" t="n"/>
    </row>
    <row r="29">
      <c r="A29" s="10">
        <f>== TOTAL CATEGORY ===</f>
        <v/>
      </c>
      <c r="D29" s="25" t="n"/>
      <c r="F29" s="7" t="n"/>
      <c r="G29" s="11">
        <f>SUM(G3:G27)</f>
        <v/>
      </c>
      <c r="H29" s="8" t="n"/>
      <c r="L29" s="8" t="n"/>
      <c r="M29" s="11">
        <f>SUM(M3:M27)</f>
        <v/>
      </c>
      <c r="N29" s="11">
        <f>SUM(N3:N27)</f>
        <v/>
      </c>
    </row>
    <row r="31">
      <c r="A3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START-UP INVENTORY &amp; SPARE PART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TRAINING &amp; HUMAN CAPITAL DEVELO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Training</t>
        </is>
      </c>
      <c r="B3" s="13" t="inlineStr">
        <is>
          <t>Operator training</t>
        </is>
      </c>
      <c r="C3" s="13" t="inlineStr">
        <is>
          <t>obuka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Training</t>
        </is>
      </c>
      <c r="B4" s="13" t="inlineStr">
        <is>
          <t>Technical training</t>
        </is>
      </c>
      <c r="C4" s="13" t="inlineStr">
        <is>
          <t>tehnička obuka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Training</t>
        </is>
      </c>
      <c r="B5" s="13" t="inlineStr">
        <is>
          <t>Safety training</t>
        </is>
      </c>
      <c r="C5" s="13" t="inlineStr">
        <is>
          <t>HSE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Training</t>
        </is>
      </c>
      <c r="B6" s="13" t="inlineStr">
        <is>
          <t>Training simulators</t>
        </is>
      </c>
      <c r="C6" s="13" t="inlineStr">
        <is>
          <t>simulatori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Training</t>
        </is>
      </c>
      <c r="B7" s="13" t="inlineStr">
        <is>
          <t>Production process training</t>
        </is>
      </c>
      <c r="C7" s="13" t="inlineStr">
        <is>
          <t>obuka proizvodnje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Training</t>
        </is>
      </c>
      <c r="B8" s="13" t="inlineStr">
        <is>
          <t>Transformer design training</t>
        </is>
      </c>
      <c r="C8" s="13" t="inlineStr">
        <is>
          <t>dizajn transformatora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Training</t>
        </is>
      </c>
      <c r="B9" s="13" t="inlineStr">
        <is>
          <t>Winding process training</t>
        </is>
      </c>
      <c r="C9" s="13" t="inlineStr">
        <is>
          <t>namotavanje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Training</t>
        </is>
      </c>
      <c r="B10" s="13" t="inlineStr">
        <is>
          <t>Core assembly training</t>
        </is>
      </c>
      <c r="C10" s="13" t="inlineStr">
        <is>
          <t>slaganje jezgra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Training</t>
        </is>
      </c>
      <c r="B11" s="13" t="inlineStr">
        <is>
          <t>Drying process training</t>
        </is>
      </c>
      <c r="C11" s="13" t="inlineStr">
        <is>
          <t>VPD / VPI proces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Training</t>
        </is>
      </c>
      <c r="B12" s="13" t="inlineStr">
        <is>
          <t>Oil handling training</t>
        </is>
      </c>
      <c r="C12" s="13" t="inlineStr">
        <is>
          <t>rad sa uljem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Training</t>
        </is>
      </c>
      <c r="B13" s="13" t="inlineStr">
        <is>
          <t>Testing laboratory training</t>
        </is>
      </c>
      <c r="C13" s="13" t="inlineStr">
        <is>
          <t>testiranje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Training</t>
        </is>
      </c>
      <c r="B14" s="13" t="inlineStr">
        <is>
          <t>HV testing training</t>
        </is>
      </c>
      <c r="C14" s="13" t="inlineStr">
        <is>
          <t>visoki napon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Training</t>
        </is>
      </c>
      <c r="B15" s="13" t="inlineStr">
        <is>
          <t>Maintenance training</t>
        </is>
      </c>
      <c r="C15" s="13" t="inlineStr">
        <is>
          <t>održavanje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Training</t>
        </is>
      </c>
      <c r="B16" s="13" t="inlineStr">
        <is>
          <t>Electrical maintenance training</t>
        </is>
      </c>
      <c r="C16" s="13" t="inlineStr">
        <is>
          <t>elektro održavanje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Training</t>
        </is>
      </c>
      <c r="B17" s="13" t="inlineStr">
        <is>
          <t>Mechanical maintenance training</t>
        </is>
      </c>
      <c r="C17" s="13" t="inlineStr">
        <is>
          <t>mašinsko održavanje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Training</t>
        </is>
      </c>
      <c r="B18" s="13" t="inlineStr">
        <is>
          <t>Automation systems training</t>
        </is>
      </c>
      <c r="C18" s="13" t="inlineStr">
        <is>
          <t>PLC / SCADA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Training</t>
        </is>
      </c>
      <c r="B19" s="13" t="inlineStr">
        <is>
          <t>ERP system training</t>
        </is>
      </c>
      <c r="C19" s="13" t="inlineStr">
        <is>
          <t>ERP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Training</t>
        </is>
      </c>
      <c r="B20" s="13" t="inlineStr">
        <is>
          <t>MES system training</t>
        </is>
      </c>
      <c r="C20" s="13" t="inlineStr">
        <is>
          <t>MES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Training</t>
        </is>
      </c>
      <c r="B21" s="13" t="inlineStr">
        <is>
          <t>Quality control training</t>
        </is>
      </c>
      <c r="C21" s="13" t="inlineStr">
        <is>
          <t>QA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Training</t>
        </is>
      </c>
      <c r="B22" s="13" t="inlineStr">
        <is>
          <t>ISO certification training</t>
        </is>
      </c>
      <c r="C22" s="13" t="inlineStr">
        <is>
          <t>ISO standardi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Training</t>
        </is>
      </c>
      <c r="B23" s="13" t="inlineStr">
        <is>
          <t>Environmental compliance training</t>
        </is>
      </c>
      <c r="C23" s="13" t="inlineStr">
        <is>
          <t>ekologija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Training</t>
        </is>
      </c>
      <c r="B24" s="13" t="inlineStr">
        <is>
          <t>Emergency response training</t>
        </is>
      </c>
      <c r="C24" s="13" t="inlineStr">
        <is>
          <t>hitne situacije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Training</t>
        </is>
      </c>
      <c r="B25" s="13" t="inlineStr">
        <is>
          <t>Fire safety training</t>
        </is>
      </c>
      <c r="C25" s="13" t="inlineStr">
        <is>
          <t>zaštita od požara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Training</t>
        </is>
      </c>
      <c r="B26" s="13" t="inlineStr">
        <is>
          <t>Equipment supplier training</t>
        </is>
      </c>
      <c r="C26" s="13" t="inlineStr">
        <is>
          <t>obuka dobavljača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Training</t>
        </is>
      </c>
      <c r="B27" s="13" t="inlineStr">
        <is>
          <t>Commissioning support training</t>
        </is>
      </c>
      <c r="C27" s="13" t="inlineStr">
        <is>
          <t>puštanje u rad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D28" s="25" t="n"/>
      <c r="F28" s="7" t="n"/>
      <c r="G28" s="7" t="n"/>
      <c r="H28" s="8" t="n"/>
      <c r="L28" s="8" t="n"/>
      <c r="M28" s="7" t="n"/>
      <c r="N28" s="7" t="n"/>
    </row>
    <row r="29">
      <c r="A29" s="10">
        <f>== TOTAL CATEGORY ===</f>
        <v/>
      </c>
      <c r="D29" s="25" t="n"/>
      <c r="F29" s="7" t="n"/>
      <c r="G29" s="11">
        <f>SUM(G3:G27)</f>
        <v/>
      </c>
      <c r="H29" s="8" t="n"/>
      <c r="L29" s="8" t="n"/>
      <c r="M29" s="11">
        <f>SUM(M3:M27)</f>
        <v/>
      </c>
      <c r="N29" s="11">
        <f>SUM(N3:N27)</f>
        <v/>
      </c>
    </row>
    <row r="31">
      <c r="A3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TRAINING &amp; HUMAN CAPITAL DEVELO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6" t="inlineStr">
        <is>
          <t>TITAN GRID CAPEX REGISTER | WORKING CAPITAL (START-UP INVEN</t>
        </is>
      </c>
    </row>
    <row r="2">
      <c r="A2" s="17" t="inlineStr">
        <is>
          <t>Category</t>
        </is>
      </c>
      <c r="B2" s="17" t="inlineStr">
        <is>
          <t>CAPEX item</t>
        </is>
      </c>
      <c r="C2" s="17" t="inlineStr">
        <is>
          <t>Description</t>
        </is>
      </c>
      <c r="D2" s="17" t="inlineStr">
        <is>
          <t>Quantity</t>
        </is>
      </c>
      <c r="E2" s="17" t="inlineStr">
        <is>
          <t>Unit</t>
        </is>
      </c>
      <c r="F2" s="17" t="inlineStr">
        <is>
          <t>Unit Price (EUR)</t>
        </is>
      </c>
      <c r="G2" s="17" t="inlineStr">
        <is>
          <t>Total Cost (EUR)</t>
        </is>
      </c>
      <c r="H2" s="17" t="inlineStr">
        <is>
          <t>% of Category</t>
        </is>
      </c>
      <c r="I2" s="17" t="inlineStr">
        <is>
          <t>Vendor</t>
        </is>
      </c>
      <c r="J2" s="17" t="inlineStr">
        <is>
          <t>Timeline</t>
        </is>
      </c>
      <c r="K2" s="17" t="inlineStr">
        <is>
          <t>Status</t>
        </is>
      </c>
      <c r="L2" s="17" t="inlineStr">
        <is>
          <t>Contingency %</t>
        </is>
      </c>
      <c r="M2" s="17" t="inlineStr">
        <is>
          <t>Contingency Amount</t>
        </is>
      </c>
      <c r="N2" s="17" t="inlineStr">
        <is>
          <t>Gross Total (EUR)</t>
        </is>
      </c>
      <c r="O2" s="17" t="inlineStr">
        <is>
          <t>Risk Notes</t>
        </is>
      </c>
    </row>
    <row r="3">
      <c r="A3" s="13" t="inlineStr">
        <is>
          <t>Working capital</t>
        </is>
      </c>
      <c r="B3" s="13" t="inlineStr">
        <is>
          <t>Raw materials inventory</t>
        </is>
      </c>
      <c r="C3" s="13" t="inlineStr">
        <is>
          <t>bakar, GOES</t>
        </is>
      </c>
      <c r="D3" s="18" t="inlineStr"/>
      <c r="E3" s="19" t="inlineStr"/>
      <c r="F3" s="20" t="inlineStr"/>
      <c r="G3" s="21">
        <f>IFERROR(D3*F3,"")</f>
        <v/>
      </c>
      <c r="H3" s="22">
        <f>IFERROR(G3/SUM($G$3:$G$27),0)</f>
        <v/>
      </c>
      <c r="I3" s="19" t="inlineStr"/>
      <c r="J3" s="19" t="inlineStr"/>
      <c r="K3" s="19" t="inlineStr">
        <is>
          <t>Planned</t>
        </is>
      </c>
      <c r="L3" s="23" t="n">
        <v>0.1</v>
      </c>
      <c r="M3" s="21">
        <f>IFERROR(G3*L3,"")</f>
        <v/>
      </c>
      <c r="N3" s="21">
        <f>IFERROR(G3+M3,"")</f>
        <v/>
      </c>
      <c r="O3" s="24" t="inlineStr"/>
    </row>
    <row r="4">
      <c r="A4" s="13" t="inlineStr">
        <is>
          <t>Working capital</t>
        </is>
      </c>
      <c r="B4" s="13" t="inlineStr">
        <is>
          <t>WIP inventory</t>
        </is>
      </c>
      <c r="C4" s="13" t="inlineStr">
        <is>
          <t>proizvodnja</t>
        </is>
      </c>
      <c r="D4" s="18" t="inlineStr"/>
      <c r="E4" s="19" t="inlineStr"/>
      <c r="F4" s="20" t="inlineStr"/>
      <c r="G4" s="21">
        <f>IFERROR(D4*F4,"")</f>
        <v/>
      </c>
      <c r="H4" s="22">
        <f>IFERROR(G4/SUM($G$3:$G$27),0)</f>
        <v/>
      </c>
      <c r="I4" s="19" t="inlineStr"/>
      <c r="J4" s="19" t="inlineStr"/>
      <c r="K4" s="19" t="inlineStr">
        <is>
          <t>Planned</t>
        </is>
      </c>
      <c r="L4" s="23" t="n">
        <v>0.1</v>
      </c>
      <c r="M4" s="21">
        <f>IFERROR(G4*L4,"")</f>
        <v/>
      </c>
      <c r="N4" s="21">
        <f>IFERROR(G4+M4,"")</f>
        <v/>
      </c>
      <c r="O4" s="24" t="inlineStr"/>
    </row>
    <row r="5">
      <c r="A5" s="13" t="inlineStr">
        <is>
          <t>Working capital</t>
        </is>
      </c>
      <c r="B5" s="13" t="inlineStr">
        <is>
          <t>Finished goods buffer</t>
        </is>
      </c>
      <c r="C5" s="13" t="inlineStr">
        <is>
          <t>gotovi proizvodi</t>
        </is>
      </c>
      <c r="D5" s="18" t="inlineStr"/>
      <c r="E5" s="19" t="inlineStr"/>
      <c r="F5" s="20" t="inlineStr"/>
      <c r="G5" s="21">
        <f>IFERROR(D5*F5,"")</f>
        <v/>
      </c>
      <c r="H5" s="22">
        <f>IFERROR(G5/SUM($G$3:$G$27),0)</f>
        <v/>
      </c>
      <c r="I5" s="19" t="inlineStr"/>
      <c r="J5" s="19" t="inlineStr"/>
      <c r="K5" s="19" t="inlineStr">
        <is>
          <t>Planned</t>
        </is>
      </c>
      <c r="L5" s="23" t="n">
        <v>0.1</v>
      </c>
      <c r="M5" s="21">
        <f>IFERROR(G5*L5,"")</f>
        <v/>
      </c>
      <c r="N5" s="21">
        <f>IFERROR(G5+M5,"")</f>
        <v/>
      </c>
      <c r="O5" s="24" t="inlineStr"/>
    </row>
    <row r="6">
      <c r="A6" s="13" t="inlineStr">
        <is>
          <t>Working capital</t>
        </is>
      </c>
      <c r="B6" s="13" t="inlineStr">
        <is>
          <t>Copper conductors inventory</t>
        </is>
      </c>
      <c r="C6" s="13" t="inlineStr">
        <is>
          <t>bakarni provodnici</t>
        </is>
      </c>
      <c r="D6" s="18" t="inlineStr"/>
      <c r="E6" s="19" t="inlineStr"/>
      <c r="F6" s="20" t="inlineStr"/>
      <c r="G6" s="21">
        <f>IFERROR(D6*F6,"")</f>
        <v/>
      </c>
      <c r="H6" s="22">
        <f>IFERROR(G6/SUM($G$3:$G$27),0)</f>
        <v/>
      </c>
      <c r="I6" s="19" t="inlineStr"/>
      <c r="J6" s="19" t="inlineStr"/>
      <c r="K6" s="19" t="inlineStr">
        <is>
          <t>Planned</t>
        </is>
      </c>
      <c r="L6" s="23" t="n">
        <v>0.1</v>
      </c>
      <c r="M6" s="21">
        <f>IFERROR(G6*L6,"")</f>
        <v/>
      </c>
      <c r="N6" s="21">
        <f>IFERROR(G6+M6,"")</f>
        <v/>
      </c>
      <c r="O6" s="24" t="inlineStr"/>
    </row>
    <row r="7">
      <c r="A7" s="13" t="inlineStr">
        <is>
          <t>Working capital</t>
        </is>
      </c>
      <c r="B7" s="13" t="inlineStr">
        <is>
          <t>GOES electrical steel inventory</t>
        </is>
      </c>
      <c r="C7" s="13" t="inlineStr">
        <is>
          <t>elektro čelik</t>
        </is>
      </c>
      <c r="D7" s="18" t="inlineStr"/>
      <c r="E7" s="19" t="inlineStr"/>
      <c r="F7" s="20" t="inlineStr"/>
      <c r="G7" s="21">
        <f>IFERROR(D7*F7,"")</f>
        <v/>
      </c>
      <c r="H7" s="22">
        <f>IFERROR(G7/SUM($G$3:$G$27),0)</f>
        <v/>
      </c>
      <c r="I7" s="19" t="inlineStr"/>
      <c r="J7" s="19" t="inlineStr"/>
      <c r="K7" s="19" t="inlineStr">
        <is>
          <t>Planned</t>
        </is>
      </c>
      <c r="L7" s="23" t="n">
        <v>0.1</v>
      </c>
      <c r="M7" s="21">
        <f>IFERROR(G7*L7,"")</f>
        <v/>
      </c>
      <c r="N7" s="21">
        <f>IFERROR(G7+M7,"")</f>
        <v/>
      </c>
      <c r="O7" s="24" t="inlineStr"/>
    </row>
    <row r="8">
      <c r="A8" s="13" t="inlineStr">
        <is>
          <t>Working capital</t>
        </is>
      </c>
      <c r="B8" s="13" t="inlineStr">
        <is>
          <t>Insulation materials inventory</t>
        </is>
      </c>
      <c r="C8" s="13" t="inlineStr">
        <is>
          <t>izolacija</t>
        </is>
      </c>
      <c r="D8" s="18" t="inlineStr"/>
      <c r="E8" s="19" t="inlineStr"/>
      <c r="F8" s="20" t="inlineStr"/>
      <c r="G8" s="21">
        <f>IFERROR(D8*F8,"")</f>
        <v/>
      </c>
      <c r="H8" s="22">
        <f>IFERROR(G8/SUM($G$3:$G$27),0)</f>
        <v/>
      </c>
      <c r="I8" s="19" t="inlineStr"/>
      <c r="J8" s="19" t="inlineStr"/>
      <c r="K8" s="19" t="inlineStr">
        <is>
          <t>Planned</t>
        </is>
      </c>
      <c r="L8" s="23" t="n">
        <v>0.1</v>
      </c>
      <c r="M8" s="21">
        <f>IFERROR(G8*L8,"")</f>
        <v/>
      </c>
      <c r="N8" s="21">
        <f>IFERROR(G8+M8,"")</f>
        <v/>
      </c>
      <c r="O8" s="24" t="inlineStr"/>
    </row>
    <row r="9">
      <c r="A9" s="13" t="inlineStr">
        <is>
          <t>Working capital</t>
        </is>
      </c>
      <c r="B9" s="13" t="inlineStr">
        <is>
          <t>Transformer oil inventory</t>
        </is>
      </c>
      <c r="C9" s="13" t="inlineStr">
        <is>
          <t>izolaciono ulje</t>
        </is>
      </c>
      <c r="D9" s="18" t="inlineStr"/>
      <c r="E9" s="19" t="inlineStr"/>
      <c r="F9" s="20" t="inlineStr"/>
      <c r="G9" s="21">
        <f>IFERROR(D9*F9,"")</f>
        <v/>
      </c>
      <c r="H9" s="22">
        <f>IFERROR(G9/SUM($G$3:$G$27),0)</f>
        <v/>
      </c>
      <c r="I9" s="19" t="inlineStr"/>
      <c r="J9" s="19" t="inlineStr"/>
      <c r="K9" s="19" t="inlineStr">
        <is>
          <t>Planned</t>
        </is>
      </c>
      <c r="L9" s="23" t="n">
        <v>0.1</v>
      </c>
      <c r="M9" s="21">
        <f>IFERROR(G9*L9,"")</f>
        <v/>
      </c>
      <c r="N9" s="21">
        <f>IFERROR(G9+M9,"")</f>
        <v/>
      </c>
      <c r="O9" s="24" t="inlineStr"/>
    </row>
    <row r="10">
      <c r="A10" s="13" t="inlineStr">
        <is>
          <t>Working capital</t>
        </is>
      </c>
      <c r="B10" s="13" t="inlineStr">
        <is>
          <t>Radiator components inventory</t>
        </is>
      </c>
      <c r="C10" s="13" t="inlineStr">
        <is>
          <t>radijatori</t>
        </is>
      </c>
      <c r="D10" s="18" t="inlineStr"/>
      <c r="E10" s="19" t="inlineStr"/>
      <c r="F10" s="20" t="inlineStr"/>
      <c r="G10" s="21">
        <f>IFERROR(D10*F10,"")</f>
        <v/>
      </c>
      <c r="H10" s="22">
        <f>IFERROR(G10/SUM($G$3:$G$27),0)</f>
        <v/>
      </c>
      <c r="I10" s="19" t="inlineStr"/>
      <c r="J10" s="19" t="inlineStr"/>
      <c r="K10" s="19" t="inlineStr">
        <is>
          <t>Planned</t>
        </is>
      </c>
      <c r="L10" s="23" t="n">
        <v>0.1</v>
      </c>
      <c r="M10" s="21">
        <f>IFERROR(G10*L10,"")</f>
        <v/>
      </c>
      <c r="N10" s="21">
        <f>IFERROR(G10+M10,"")</f>
        <v/>
      </c>
      <c r="O10" s="24" t="inlineStr"/>
    </row>
    <row r="11">
      <c r="A11" s="13" t="inlineStr">
        <is>
          <t>Working capital</t>
        </is>
      </c>
      <c r="B11" s="13" t="inlineStr">
        <is>
          <t>Tap changer components</t>
        </is>
      </c>
      <c r="C11" s="13" t="inlineStr">
        <is>
          <t>regulacioni prekidači</t>
        </is>
      </c>
      <c r="D11" s="18" t="inlineStr"/>
      <c r="E11" s="19" t="inlineStr"/>
      <c r="F11" s="20" t="inlineStr"/>
      <c r="G11" s="21">
        <f>IFERROR(D11*F11,"")</f>
        <v/>
      </c>
      <c r="H11" s="22">
        <f>IFERROR(G11/SUM($G$3:$G$27),0)</f>
        <v/>
      </c>
      <c r="I11" s="19" t="inlineStr"/>
      <c r="J11" s="19" t="inlineStr"/>
      <c r="K11" s="19" t="inlineStr">
        <is>
          <t>Planned</t>
        </is>
      </c>
      <c r="L11" s="23" t="n">
        <v>0.1</v>
      </c>
      <c r="M11" s="21">
        <f>IFERROR(G11*L11,"")</f>
        <v/>
      </c>
      <c r="N11" s="21">
        <f>IFERROR(G11+M11,"")</f>
        <v/>
      </c>
      <c r="O11" s="24" t="inlineStr"/>
    </row>
    <row r="12">
      <c r="A12" s="13" t="inlineStr">
        <is>
          <t>Working capital</t>
        </is>
      </c>
      <c r="B12" s="13" t="inlineStr">
        <is>
          <t>Bushing inventory</t>
        </is>
      </c>
      <c r="C12" s="13" t="inlineStr">
        <is>
          <t>provodnici</t>
        </is>
      </c>
      <c r="D12" s="18" t="inlineStr"/>
      <c r="E12" s="19" t="inlineStr"/>
      <c r="F12" s="20" t="inlineStr"/>
      <c r="G12" s="21">
        <f>IFERROR(D12*F12,"")</f>
        <v/>
      </c>
      <c r="H12" s="22">
        <f>IFERROR(G12/SUM($G$3:$G$27),0)</f>
        <v/>
      </c>
      <c r="I12" s="19" t="inlineStr"/>
      <c r="J12" s="19" t="inlineStr"/>
      <c r="K12" s="19" t="inlineStr">
        <is>
          <t>Planned</t>
        </is>
      </c>
      <c r="L12" s="23" t="n">
        <v>0.1</v>
      </c>
      <c r="M12" s="21">
        <f>IFERROR(G12*L12,"")</f>
        <v/>
      </c>
      <c r="N12" s="21">
        <f>IFERROR(G12+M12,"")</f>
        <v/>
      </c>
      <c r="O12" s="24" t="inlineStr"/>
    </row>
    <row r="13">
      <c r="A13" s="13" t="inlineStr">
        <is>
          <t>Working capital</t>
        </is>
      </c>
      <c r="B13" s="13" t="inlineStr">
        <is>
          <t>Structural steel inventory</t>
        </is>
      </c>
      <c r="C13" s="13" t="inlineStr">
        <is>
          <t>čelične komponente</t>
        </is>
      </c>
      <c r="D13" s="18" t="inlineStr"/>
      <c r="E13" s="19" t="inlineStr"/>
      <c r="F13" s="20" t="inlineStr"/>
      <c r="G13" s="21">
        <f>IFERROR(D13*F13,"")</f>
        <v/>
      </c>
      <c r="H13" s="22">
        <f>IFERROR(G13/SUM($G$3:$G$27),0)</f>
        <v/>
      </c>
      <c r="I13" s="19" t="inlineStr"/>
      <c r="J13" s="19" t="inlineStr"/>
      <c r="K13" s="19" t="inlineStr">
        <is>
          <t>Planned</t>
        </is>
      </c>
      <c r="L13" s="23" t="n">
        <v>0.1</v>
      </c>
      <c r="M13" s="21">
        <f>IFERROR(G13*L13,"")</f>
        <v/>
      </c>
      <c r="N13" s="21">
        <f>IFERROR(G13+M13,"")</f>
        <v/>
      </c>
      <c r="O13" s="24" t="inlineStr"/>
    </row>
    <row r="14">
      <c r="A14" s="13" t="inlineStr">
        <is>
          <t>Working capital</t>
        </is>
      </c>
      <c r="B14" s="13" t="inlineStr">
        <is>
          <t>Fasteners and small components</t>
        </is>
      </c>
      <c r="C14" s="13" t="inlineStr">
        <is>
          <t>vijci i sitni dijelovi</t>
        </is>
      </c>
      <c r="D14" s="18" t="inlineStr"/>
      <c r="E14" s="19" t="inlineStr"/>
      <c r="F14" s="20" t="inlineStr"/>
      <c r="G14" s="21">
        <f>IFERROR(D14*F14,"")</f>
        <v/>
      </c>
      <c r="H14" s="22">
        <f>IFERROR(G14/SUM($G$3:$G$27),0)</f>
        <v/>
      </c>
      <c r="I14" s="19" t="inlineStr"/>
      <c r="J14" s="19" t="inlineStr"/>
      <c r="K14" s="19" t="inlineStr">
        <is>
          <t>Planned</t>
        </is>
      </c>
      <c r="L14" s="23" t="n">
        <v>0.1</v>
      </c>
      <c r="M14" s="21">
        <f>IFERROR(G14*L14,"")</f>
        <v/>
      </c>
      <c r="N14" s="21">
        <f>IFERROR(G14+M14,"")</f>
        <v/>
      </c>
      <c r="O14" s="24" t="inlineStr"/>
    </row>
    <row r="15">
      <c r="A15" s="13" t="inlineStr">
        <is>
          <t>Working capital</t>
        </is>
      </c>
      <c r="B15" s="13" t="inlineStr">
        <is>
          <t>Packaging materials</t>
        </is>
      </c>
      <c r="C15" s="13" t="inlineStr">
        <is>
          <t>ambalaža</t>
        </is>
      </c>
      <c r="D15" s="18" t="inlineStr"/>
      <c r="E15" s="19" t="inlineStr"/>
      <c r="F15" s="20" t="inlineStr"/>
      <c r="G15" s="21">
        <f>IFERROR(D15*F15,"")</f>
        <v/>
      </c>
      <c r="H15" s="22">
        <f>IFERROR(G15/SUM($G$3:$G$27),0)</f>
        <v/>
      </c>
      <c r="I15" s="19" t="inlineStr"/>
      <c r="J15" s="19" t="inlineStr"/>
      <c r="K15" s="19" t="inlineStr">
        <is>
          <t>Planned</t>
        </is>
      </c>
      <c r="L15" s="23" t="n">
        <v>0.1</v>
      </c>
      <c r="M15" s="21">
        <f>IFERROR(G15*L15,"")</f>
        <v/>
      </c>
      <c r="N15" s="21">
        <f>IFERROR(G15+M15,"")</f>
        <v/>
      </c>
      <c r="O15" s="24" t="inlineStr"/>
    </row>
    <row r="16">
      <c r="A16" s="13" t="inlineStr">
        <is>
          <t>Working capital</t>
        </is>
      </c>
      <c r="B16" s="13" t="inlineStr">
        <is>
          <t>Spare electrical components</t>
        </is>
      </c>
      <c r="C16" s="13" t="inlineStr">
        <is>
          <t>električne komponente</t>
        </is>
      </c>
      <c r="D16" s="18" t="inlineStr"/>
      <c r="E16" s="19" t="inlineStr"/>
      <c r="F16" s="20" t="inlineStr"/>
      <c r="G16" s="21">
        <f>IFERROR(D16*F16,"")</f>
        <v/>
      </c>
      <c r="H16" s="22">
        <f>IFERROR(G16/SUM($G$3:$G$27),0)</f>
        <v/>
      </c>
      <c r="I16" s="19" t="inlineStr"/>
      <c r="J16" s="19" t="inlineStr"/>
      <c r="K16" s="19" t="inlineStr">
        <is>
          <t>Planned</t>
        </is>
      </c>
      <c r="L16" s="23" t="n">
        <v>0.1</v>
      </c>
      <c r="M16" s="21">
        <f>IFERROR(G16*L16,"")</f>
        <v/>
      </c>
      <c r="N16" s="21">
        <f>IFERROR(G16+M16,"")</f>
        <v/>
      </c>
      <c r="O16" s="24" t="inlineStr"/>
    </row>
    <row r="17">
      <c r="A17" s="13" t="inlineStr">
        <is>
          <t>Working capital</t>
        </is>
      </c>
      <c r="B17" s="13" t="inlineStr">
        <is>
          <t>Auxiliary materials</t>
        </is>
      </c>
      <c r="C17" s="13" t="inlineStr">
        <is>
          <t>pomoćni materijali</t>
        </is>
      </c>
      <c r="D17" s="18" t="inlineStr"/>
      <c r="E17" s="19" t="inlineStr"/>
      <c r="F17" s="20" t="inlineStr"/>
      <c r="G17" s="21">
        <f>IFERROR(D17*F17,"")</f>
        <v/>
      </c>
      <c r="H17" s="22">
        <f>IFERROR(G17/SUM($G$3:$G$27),0)</f>
        <v/>
      </c>
      <c r="I17" s="19" t="inlineStr"/>
      <c r="J17" s="19" t="inlineStr"/>
      <c r="K17" s="19" t="inlineStr">
        <is>
          <t>Planned</t>
        </is>
      </c>
      <c r="L17" s="23" t="n">
        <v>0.1</v>
      </c>
      <c r="M17" s="21">
        <f>IFERROR(G17*L17,"")</f>
        <v/>
      </c>
      <c r="N17" s="21">
        <f>IFERROR(G17+M17,"")</f>
        <v/>
      </c>
      <c r="O17" s="24" t="inlineStr"/>
    </row>
    <row r="18">
      <c r="A18" s="13" t="inlineStr">
        <is>
          <t>Working capital</t>
        </is>
      </c>
      <c r="B18" s="13" t="inlineStr">
        <is>
          <t>WIP coils inventory</t>
        </is>
      </c>
      <c r="C18" s="13" t="inlineStr">
        <is>
          <t>zavojnice u proizvodnji</t>
        </is>
      </c>
      <c r="D18" s="18" t="inlineStr"/>
      <c r="E18" s="19" t="inlineStr"/>
      <c r="F18" s="20" t="inlineStr"/>
      <c r="G18" s="21">
        <f>IFERROR(D18*F18,"")</f>
        <v/>
      </c>
      <c r="H18" s="22">
        <f>IFERROR(G18/SUM($G$3:$G$27),0)</f>
        <v/>
      </c>
      <c r="I18" s="19" t="inlineStr"/>
      <c r="J18" s="19" t="inlineStr"/>
      <c r="K18" s="19" t="inlineStr">
        <is>
          <t>Planned</t>
        </is>
      </c>
      <c r="L18" s="23" t="n">
        <v>0.1</v>
      </c>
      <c r="M18" s="21">
        <f>IFERROR(G18*L18,"")</f>
        <v/>
      </c>
      <c r="N18" s="21">
        <f>IFERROR(G18+M18,"")</f>
        <v/>
      </c>
      <c r="O18" s="24" t="inlineStr"/>
    </row>
    <row r="19">
      <c r="A19" s="13" t="inlineStr">
        <is>
          <t>Working capital</t>
        </is>
      </c>
      <c r="B19" s="13" t="inlineStr">
        <is>
          <t>WIP core assemblies</t>
        </is>
      </c>
      <c r="C19" s="13" t="inlineStr">
        <is>
          <t>jezgra u proizvodnji</t>
        </is>
      </c>
      <c r="D19" s="18" t="inlineStr"/>
      <c r="E19" s="19" t="inlineStr"/>
      <c r="F19" s="20" t="inlineStr"/>
      <c r="G19" s="21">
        <f>IFERROR(D19*F19,"")</f>
        <v/>
      </c>
      <c r="H19" s="22">
        <f>IFERROR(G19/SUM($G$3:$G$27),0)</f>
        <v/>
      </c>
      <c r="I19" s="19" t="inlineStr"/>
      <c r="J19" s="19" t="inlineStr"/>
      <c r="K19" s="19" t="inlineStr">
        <is>
          <t>Planned</t>
        </is>
      </c>
      <c r="L19" s="23" t="n">
        <v>0.1</v>
      </c>
      <c r="M19" s="21">
        <f>IFERROR(G19*L19,"")</f>
        <v/>
      </c>
      <c r="N19" s="21">
        <f>IFERROR(G19+M19,"")</f>
        <v/>
      </c>
      <c r="O19" s="24" t="inlineStr"/>
    </row>
    <row r="20">
      <c r="A20" s="13" t="inlineStr">
        <is>
          <t>Working capital</t>
        </is>
      </c>
      <c r="B20" s="13" t="inlineStr">
        <is>
          <t>WIP active parts</t>
        </is>
      </c>
      <c r="C20" s="13" t="inlineStr">
        <is>
          <t>aktivni dio transformatora</t>
        </is>
      </c>
      <c r="D20" s="18" t="inlineStr"/>
      <c r="E20" s="19" t="inlineStr"/>
      <c r="F20" s="20" t="inlineStr"/>
      <c r="G20" s="21">
        <f>IFERROR(D20*F20,"")</f>
        <v/>
      </c>
      <c r="H20" s="22">
        <f>IFERROR(G20/SUM($G$3:$G$27),0)</f>
        <v/>
      </c>
      <c r="I20" s="19" t="inlineStr"/>
      <c r="J20" s="19" t="inlineStr"/>
      <c r="K20" s="19" t="inlineStr">
        <is>
          <t>Planned</t>
        </is>
      </c>
      <c r="L20" s="23" t="n">
        <v>0.1</v>
      </c>
      <c r="M20" s="21">
        <f>IFERROR(G20*L20,"")</f>
        <v/>
      </c>
      <c r="N20" s="21">
        <f>IFERROR(G20+M20,"")</f>
        <v/>
      </c>
      <c r="O20" s="24" t="inlineStr"/>
    </row>
    <row r="21">
      <c r="A21" s="13" t="inlineStr">
        <is>
          <t>Working capital</t>
        </is>
      </c>
      <c r="B21" s="13" t="inlineStr">
        <is>
          <t>Finished transformer inventory</t>
        </is>
      </c>
      <c r="C21" s="13" t="inlineStr">
        <is>
          <t>gotovi transformatori</t>
        </is>
      </c>
      <c r="D21" s="18" t="inlineStr"/>
      <c r="E21" s="19" t="inlineStr"/>
      <c r="F21" s="20" t="inlineStr"/>
      <c r="G21" s="21">
        <f>IFERROR(D21*F21,"")</f>
        <v/>
      </c>
      <c r="H21" s="22">
        <f>IFERROR(G21/SUM($G$3:$G$27),0)</f>
        <v/>
      </c>
      <c r="I21" s="19" t="inlineStr"/>
      <c r="J21" s="19" t="inlineStr"/>
      <c r="K21" s="19" t="inlineStr">
        <is>
          <t>Planned</t>
        </is>
      </c>
      <c r="L21" s="23" t="n">
        <v>0.1</v>
      </c>
      <c r="M21" s="21">
        <f>IFERROR(G21*L21,"")</f>
        <v/>
      </c>
      <c r="N21" s="21">
        <f>IFERROR(G21+M21,"")</f>
        <v/>
      </c>
      <c r="O21" s="24" t="inlineStr"/>
    </row>
    <row r="22">
      <c r="A22" s="13" t="inlineStr">
        <is>
          <t>Working capital</t>
        </is>
      </c>
      <c r="B22" s="13" t="inlineStr">
        <is>
          <t>Export buffer inventory</t>
        </is>
      </c>
      <c r="C22" s="13" t="inlineStr">
        <is>
          <t>buffer za izvoz</t>
        </is>
      </c>
      <c r="D22" s="18" t="inlineStr"/>
      <c r="E22" s="19" t="inlineStr"/>
      <c r="F22" s="20" t="inlineStr"/>
      <c r="G22" s="21">
        <f>IFERROR(D22*F22,"")</f>
        <v/>
      </c>
      <c r="H22" s="22">
        <f>IFERROR(G22/SUM($G$3:$G$27),0)</f>
        <v/>
      </c>
      <c r="I22" s="19" t="inlineStr"/>
      <c r="J22" s="19" t="inlineStr"/>
      <c r="K22" s="19" t="inlineStr">
        <is>
          <t>Planned</t>
        </is>
      </c>
      <c r="L22" s="23" t="n">
        <v>0.1</v>
      </c>
      <c r="M22" s="21">
        <f>IFERROR(G22*L22,"")</f>
        <v/>
      </c>
      <c r="N22" s="21">
        <f>IFERROR(G22+M22,"")</f>
        <v/>
      </c>
      <c r="O22" s="24" t="inlineStr"/>
    </row>
    <row r="23">
      <c r="A23" s="13" t="inlineStr">
        <is>
          <t>Working capital</t>
        </is>
      </c>
      <c r="B23" s="13" t="inlineStr">
        <is>
          <t>Logistics buffer stock</t>
        </is>
      </c>
      <c r="C23" s="13" t="inlineStr">
        <is>
          <t>logistički buffer</t>
        </is>
      </c>
      <c r="D23" s="18" t="inlineStr"/>
      <c r="E23" s="19" t="inlineStr"/>
      <c r="F23" s="20" t="inlineStr"/>
      <c r="G23" s="21">
        <f>IFERROR(D23*F23,"")</f>
        <v/>
      </c>
      <c r="H23" s="22">
        <f>IFERROR(G23/SUM($G$3:$G$27),0)</f>
        <v/>
      </c>
      <c r="I23" s="19" t="inlineStr"/>
      <c r="J23" s="19" t="inlineStr"/>
      <c r="K23" s="19" t="inlineStr">
        <is>
          <t>Planned</t>
        </is>
      </c>
      <c r="L23" s="23" t="n">
        <v>0.1</v>
      </c>
      <c r="M23" s="21">
        <f>IFERROR(G23*L23,"")</f>
        <v/>
      </c>
      <c r="N23" s="21">
        <f>IFERROR(G23+M23,"")</f>
        <v/>
      </c>
      <c r="O23" s="24" t="inlineStr"/>
    </row>
    <row r="24">
      <c r="A24" s="13" t="inlineStr">
        <is>
          <t>Working capital</t>
        </is>
      </c>
      <c r="B24" s="13" t="inlineStr">
        <is>
          <t>Safety stock inventory</t>
        </is>
      </c>
      <c r="C24" s="13" t="inlineStr">
        <is>
          <t>sigurnosne zalihe</t>
        </is>
      </c>
      <c r="D24" s="18" t="inlineStr"/>
      <c r="E24" s="19" t="inlineStr"/>
      <c r="F24" s="20" t="inlineStr"/>
      <c r="G24" s="21">
        <f>IFERROR(D24*F24,"")</f>
        <v/>
      </c>
      <c r="H24" s="22">
        <f>IFERROR(G24/SUM($G$3:$G$27),0)</f>
        <v/>
      </c>
      <c r="I24" s="19" t="inlineStr"/>
      <c r="J24" s="19" t="inlineStr"/>
      <c r="K24" s="19" t="inlineStr">
        <is>
          <t>Planned</t>
        </is>
      </c>
      <c r="L24" s="23" t="n">
        <v>0.1</v>
      </c>
      <c r="M24" s="21">
        <f>IFERROR(G24*L24,"")</f>
        <v/>
      </c>
      <c r="N24" s="21">
        <f>IFERROR(G24+M24,"")</f>
        <v/>
      </c>
      <c r="O24" s="24" t="inlineStr"/>
    </row>
    <row r="25">
      <c r="A25" s="13" t="inlineStr">
        <is>
          <t>Working capital</t>
        </is>
      </c>
      <c r="B25" s="13" t="inlineStr">
        <is>
          <t>Maintenance consumables</t>
        </is>
      </c>
      <c r="C25" s="13" t="inlineStr">
        <is>
          <t>potrošni materijal</t>
        </is>
      </c>
      <c r="D25" s="18" t="inlineStr"/>
      <c r="E25" s="19" t="inlineStr"/>
      <c r="F25" s="20" t="inlineStr"/>
      <c r="G25" s="21">
        <f>IFERROR(D25*F25,"")</f>
        <v/>
      </c>
      <c r="H25" s="22">
        <f>IFERROR(G25/SUM($G$3:$G$27),0)</f>
        <v/>
      </c>
      <c r="I25" s="19" t="inlineStr"/>
      <c r="J25" s="19" t="inlineStr"/>
      <c r="K25" s="19" t="inlineStr">
        <is>
          <t>Planned</t>
        </is>
      </c>
      <c r="L25" s="23" t="n">
        <v>0.1</v>
      </c>
      <c r="M25" s="21">
        <f>IFERROR(G25*L25,"")</f>
        <v/>
      </c>
      <c r="N25" s="21">
        <f>IFERROR(G25+M25,"")</f>
        <v/>
      </c>
      <c r="O25" s="24" t="inlineStr"/>
    </row>
    <row r="26">
      <c r="A26" s="13" t="inlineStr">
        <is>
          <t>Working capital</t>
        </is>
      </c>
      <c r="B26" s="13" t="inlineStr">
        <is>
          <t>Initial operating supplies</t>
        </is>
      </c>
      <c r="C26" s="13" t="inlineStr">
        <is>
          <t>početne zalihe</t>
        </is>
      </c>
      <c r="D26" s="18" t="inlineStr"/>
      <c r="E26" s="19" t="inlineStr"/>
      <c r="F26" s="20" t="inlineStr"/>
      <c r="G26" s="21">
        <f>IFERROR(D26*F26,"")</f>
        <v/>
      </c>
      <c r="H26" s="22">
        <f>IFERROR(G26/SUM($G$3:$G$27),0)</f>
        <v/>
      </c>
      <c r="I26" s="19" t="inlineStr"/>
      <c r="J26" s="19" t="inlineStr"/>
      <c r="K26" s="19" t="inlineStr">
        <is>
          <t>Planned</t>
        </is>
      </c>
      <c r="L26" s="23" t="n">
        <v>0.1</v>
      </c>
      <c r="M26" s="21">
        <f>IFERROR(G26*L26,"")</f>
        <v/>
      </c>
      <c r="N26" s="21">
        <f>IFERROR(G26+M26,"")</f>
        <v/>
      </c>
      <c r="O26" s="24" t="inlineStr"/>
    </row>
    <row r="27">
      <c r="A27" s="13" t="inlineStr">
        <is>
          <t>Working capital</t>
        </is>
      </c>
      <c r="B27" s="13" t="inlineStr">
        <is>
          <t>Production ramp-up inventory</t>
        </is>
      </c>
      <c r="C27" s="13" t="inlineStr">
        <is>
          <t>zalihe za ramp-up</t>
        </is>
      </c>
      <c r="D27" s="18" t="inlineStr"/>
      <c r="E27" s="19" t="inlineStr"/>
      <c r="F27" s="20" t="inlineStr"/>
      <c r="G27" s="21">
        <f>IFERROR(D27*F27,"")</f>
        <v/>
      </c>
      <c r="H27" s="22">
        <f>IFERROR(G27/SUM($G$3:$G$27),0)</f>
        <v/>
      </c>
      <c r="I27" s="19" t="inlineStr"/>
      <c r="J27" s="19" t="inlineStr"/>
      <c r="K27" s="19" t="inlineStr">
        <is>
          <t>Planned</t>
        </is>
      </c>
      <c r="L27" s="23" t="n">
        <v>0.1</v>
      </c>
      <c r="M27" s="21">
        <f>IFERROR(G27*L27,"")</f>
        <v/>
      </c>
      <c r="N27" s="21">
        <f>IFERROR(G27+M27,"")</f>
        <v/>
      </c>
      <c r="O27" s="24" t="inlineStr"/>
    </row>
    <row r="28">
      <c r="D28" s="25" t="n"/>
      <c r="F28" s="7" t="n"/>
      <c r="G28" s="7" t="n"/>
      <c r="H28" s="8" t="n"/>
      <c r="L28" s="8" t="n"/>
      <c r="M28" s="7" t="n"/>
      <c r="N28" s="7" t="n"/>
    </row>
    <row r="29">
      <c r="A29" s="10">
        <f>== TOTAL CATEGORY ===</f>
        <v/>
      </c>
      <c r="D29" s="25" t="n"/>
      <c r="F29" s="7" t="n"/>
      <c r="G29" s="11">
        <f>SUM(G3:G27)</f>
        <v/>
      </c>
      <c r="H29" s="8" t="n"/>
      <c r="L29" s="8" t="n"/>
      <c r="M29" s="11">
        <f>SUM(M3:M27)</f>
        <v/>
      </c>
      <c r="N29" s="11">
        <f>SUM(N3:N27)</f>
        <v/>
      </c>
    </row>
    <row r="31">
      <c r="A31" s="2" t="inlineStr">
        <is>
          <t>Input logic: blue font/yellow fill = editable input | black = formula | green references in Summary | gray = locked assumptions.</t>
        </is>
      </c>
    </row>
  </sheetData>
  <mergeCells count="1">
    <mergeCell ref="A1:O1"/>
  </mergeCells>
  <dataValidations count="3">
    <dataValidation sqref="E3:E25 E3:E28 E3:E32 E3:E35 E3:E42" showDropDown="0" showInputMessage="0" showErrorMessage="0" allowBlank="1" type="list">
      <formula1>=LISTS!$A$1:$A$12</formula1>
    </dataValidation>
    <dataValidation sqref="K3:K25 K3:K28 K3:K32 K3:K35 K3:K42" showDropDown="0" showInputMessage="0" showErrorMessage="0" allowBlank="1" type="list">
      <formula1>=LISTS!$B$1:$B$8</formula1>
    </dataValidation>
    <dataValidation sqref="J3:J25 J3:J28 J3:J32 J3:J35 J3:J42" showDropDown="0" showInputMessage="0" showErrorMessage="0" allowBlank="1" type="list">
      <formula1>=LISTS!$C$1:$C$12</formula1>
    </dataValidation>
  </dataValidations>
  <pageMargins left="0.3" right="0.3" top="0.5" bottom="0.5" header="0.2" footer="0.2"/>
  <pageSetup orientation="landscape" fitToHeight="0" fitToWidth="1"/>
  <headerFooter>
    <oddHeader>&amp;C&amp;"Arial,Bold"&amp;12 WORKING CAPITAL (START-UP INVEN</oddHeader>
    <oddFooter>&amp;L&amp;8Confidential&amp;C&amp;8Titan Grid v4.5&amp;R&amp;8Page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m²</t>
        </is>
      </c>
      <c r="B1" t="inlineStr">
        <is>
          <t>Planned</t>
        </is>
      </c>
      <c r="C1" t="inlineStr">
        <is>
          <t>2026-Q1</t>
        </is>
      </c>
    </row>
    <row r="2">
      <c r="A2" t="inlineStr">
        <is>
          <t>m³</t>
        </is>
      </c>
      <c r="B2" t="inlineStr">
        <is>
          <t>Quoted</t>
        </is>
      </c>
      <c r="C2" t="inlineStr">
        <is>
          <t>2026-Q2</t>
        </is>
      </c>
    </row>
    <row r="3">
      <c r="A3" t="inlineStr">
        <is>
          <t>pcs</t>
        </is>
      </c>
      <c r="B3" t="inlineStr">
        <is>
          <t>Tendered</t>
        </is>
      </c>
      <c r="C3" t="inlineStr">
        <is>
          <t>2026-Q3</t>
        </is>
      </c>
    </row>
    <row r="4">
      <c r="A4" t="inlineStr">
        <is>
          <t>set</t>
        </is>
      </c>
      <c r="B4" t="inlineStr">
        <is>
          <t>Awarded</t>
        </is>
      </c>
      <c r="C4" t="inlineStr">
        <is>
          <t>2026-Q4</t>
        </is>
      </c>
    </row>
    <row r="5">
      <c r="A5" t="inlineStr">
        <is>
          <t>lot</t>
        </is>
      </c>
      <c r="B5" t="inlineStr">
        <is>
          <t>Ordered</t>
        </is>
      </c>
      <c r="C5" t="inlineStr">
        <is>
          <t>2027-Q1</t>
        </is>
      </c>
    </row>
    <row r="6">
      <c r="A6" t="inlineStr">
        <is>
          <t>kg</t>
        </is>
      </c>
      <c r="B6" t="inlineStr">
        <is>
          <t>Delivered</t>
        </is>
      </c>
      <c r="C6" t="inlineStr">
        <is>
          <t>2027-Q2</t>
        </is>
      </c>
    </row>
    <row r="7">
      <c r="A7" t="inlineStr">
        <is>
          <t>ton</t>
        </is>
      </c>
      <c r="B7" t="inlineStr">
        <is>
          <t>Installed</t>
        </is>
      </c>
      <c r="C7" t="inlineStr">
        <is>
          <t>2027-Q3</t>
        </is>
      </c>
    </row>
    <row r="8">
      <c r="A8" t="inlineStr">
        <is>
          <t>hour</t>
        </is>
      </c>
      <c r="B8" t="inlineStr">
        <is>
          <t>Closed</t>
        </is>
      </c>
      <c r="C8" t="inlineStr">
        <is>
          <t>2027-Q4</t>
        </is>
      </c>
    </row>
    <row r="9">
      <c r="A9" t="inlineStr">
        <is>
          <t>day</t>
        </is>
      </c>
      <c r="C9" t="inlineStr">
        <is>
          <t>2028-Q1</t>
        </is>
      </c>
    </row>
    <row r="10">
      <c r="A10" t="inlineStr">
        <is>
          <t>month</t>
        </is>
      </c>
      <c r="C10" t="inlineStr">
        <is>
          <t>2028-Q2</t>
        </is>
      </c>
    </row>
    <row r="11">
      <c r="A11" t="inlineStr">
        <is>
          <t>service</t>
        </is>
      </c>
      <c r="C11" t="inlineStr">
        <is>
          <t>2028-Q3</t>
        </is>
      </c>
    </row>
    <row r="12">
      <c r="A12" t="inlineStr">
        <is>
          <t>lump sum</t>
        </is>
      </c>
      <c r="C12" t="inlineStr">
        <is>
          <t>2028-Q4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24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 / Note</t>
        </is>
      </c>
    </row>
    <row r="2">
      <c r="A2" t="inlineStr">
        <is>
          <t>Direct CAPEX</t>
        </is>
      </c>
      <c r="B2" s="26" t="n">
        <v>24715200</v>
      </c>
      <c r="C2" t="inlineStr">
        <is>
          <t>EUR</t>
        </is>
      </c>
      <c r="D2" t="inlineStr">
        <is>
          <t>Locked Titan Grid v4.5</t>
        </is>
      </c>
    </row>
    <row r="3">
      <c r="A3" t="inlineStr">
        <is>
          <t>Contingency</t>
        </is>
      </c>
      <c r="B3" s="26" t="n">
        <v>2471520</v>
      </c>
      <c r="C3" t="inlineStr">
        <is>
          <t>EUR</t>
        </is>
      </c>
      <c r="D3" t="inlineStr">
        <is>
          <t>10% of Direct CAPEX</t>
        </is>
      </c>
    </row>
    <row r="4">
      <c r="A4" t="inlineStr">
        <is>
          <t>TPC</t>
        </is>
      </c>
      <c r="B4" s="26" t="n">
        <v>27796156</v>
      </c>
      <c r="C4" t="inlineStr">
        <is>
          <t>EUR</t>
        </is>
      </c>
      <c r="D4" t="inlineStr">
        <is>
          <t>Locked Titan Grid v4.5</t>
        </is>
      </c>
    </row>
    <row r="5">
      <c r="A5" t="inlineStr">
        <is>
          <t>IDC</t>
        </is>
      </c>
      <c r="B5" s="26" t="n">
        <v>1031579</v>
      </c>
      <c r="C5" t="inlineStr">
        <is>
          <t>EUR</t>
        </is>
      </c>
      <c r="D5" t="inlineStr">
        <is>
          <t>Locked Titan Grid v4.5</t>
        </is>
      </c>
    </row>
    <row r="6">
      <c r="A6" t="inlineStr">
        <is>
          <t>Debt %</t>
        </is>
      </c>
      <c r="B6" s="27" t="n">
        <v>0.6</v>
      </c>
      <c r="C6" t="inlineStr">
        <is>
          <t>%</t>
        </is>
      </c>
      <c r="D6" t="inlineStr">
        <is>
          <t>Locked gearing</t>
        </is>
      </c>
    </row>
    <row r="7">
      <c r="A7" t="inlineStr">
        <is>
          <t>Equity %</t>
        </is>
      </c>
      <c r="B7" s="27" t="n">
        <v>0.4</v>
      </c>
      <c r="C7" t="inlineStr">
        <is>
          <t>%</t>
        </is>
      </c>
      <c r="D7" t="inlineStr">
        <is>
          <t>Locked gearing</t>
        </is>
      </c>
    </row>
    <row r="8">
      <c r="A8" t="inlineStr">
        <is>
          <t>Min DSCR</t>
        </is>
      </c>
      <c r="B8" s="28" t="n">
        <v>1.68</v>
      </c>
      <c r="C8" t="inlineStr">
        <is>
          <t>x</t>
        </is>
      </c>
      <c r="D8" t="inlineStr">
        <is>
          <t>Locked Year 2</t>
        </is>
      </c>
    </row>
    <row r="9">
      <c r="A9" t="inlineStr">
        <is>
          <t>Avg DSCR</t>
        </is>
      </c>
      <c r="B9" s="28" t="n">
        <v>3.07</v>
      </c>
      <c r="C9" t="inlineStr">
        <is>
          <t>x</t>
        </is>
      </c>
      <c r="D9" t="inlineStr">
        <is>
          <t>Locked life-of-loan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2026-03-25T03:53:25Z</dcterms:created>
  <dcterms:modified xmlns:dcterms="http://purl.org/dc/terms/" xmlns:xsi="http://www.w3.org/2001/XMLSchema-instance" xsi:type="dcterms:W3CDTF">2026-03-25T03:53:26Z</dcterms:modified>
</cp:coreProperties>
</file>