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Summary" sheetId="1" state="visible" r:id="rId1"/>
    <sheet xmlns:r="http://schemas.openxmlformats.org/officeDocument/2006/relationships" name="Revenue_Model" sheetId="2" state="visible" r:id="rId2"/>
    <sheet xmlns:r="http://schemas.openxmlformats.org/officeDocument/2006/relationships" name="EBITDA_Model" sheetId="3" state="visible" r:id="rId3"/>
    <sheet xmlns:r="http://schemas.openxmlformats.org/officeDocument/2006/relationships" name="Debt_Model" sheetId="4" state="visible" r:id="rId4"/>
    <sheet xmlns:r="http://schemas.openxmlformats.org/officeDocument/2006/relationships" name="Bank_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49" customWidth="1" min="2" max="2"/>
    <col width="27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Project Name</t>
        </is>
      </c>
      <c r="B2" t="inlineStr">
        <is>
          <t>ARS Metal Industries – Transformer Tank Factory</t>
        </is>
      </c>
      <c r="C2" t="inlineStr"/>
    </row>
    <row r="3">
      <c r="A3" t="inlineStr">
        <is>
          <t>Location</t>
        </is>
      </c>
      <c r="B3" t="inlineStr">
        <is>
          <t>Tuzi, Montenegro</t>
        </is>
      </c>
      <c r="C3" t="inlineStr"/>
    </row>
    <row r="4">
      <c r="A4" t="inlineStr">
        <is>
          <t>Total CAPEX (€)</t>
        </is>
      </c>
      <c r="B4" t="n">
        <v>12000000</v>
      </c>
      <c r="C4" t="inlineStr">
        <is>
          <t>Base scenario</t>
        </is>
      </c>
    </row>
    <row r="5">
      <c r="A5" t="inlineStr">
        <is>
          <t>CAPEX High Scenario (€)</t>
        </is>
      </c>
      <c r="B5" t="n">
        <v>15000000</v>
      </c>
      <c r="C5" t="inlineStr"/>
    </row>
    <row r="6">
      <c r="A6" t="inlineStr">
        <is>
          <t>Expected EU Grants (€)</t>
        </is>
      </c>
      <c r="B6" t="n">
        <v>4000000</v>
      </c>
      <c r="C6" t="inlineStr">
        <is>
          <t>Weighted expectation</t>
        </is>
      </c>
    </row>
    <row r="7">
      <c r="A7" t="inlineStr">
        <is>
          <t>Bank Debt (€)</t>
        </is>
      </c>
      <c r="B7" t="n">
        <v>5400000</v>
      </c>
      <c r="C7" t="inlineStr">
        <is>
          <t>Indicative 45% debt share</t>
        </is>
      </c>
    </row>
    <row r="8">
      <c r="A8" t="inlineStr">
        <is>
          <t>Equity (€)</t>
        </is>
      </c>
      <c r="B8" t="n">
        <v>2600000</v>
      </c>
      <c r="C8" t="inlineStr">
        <is>
          <t>Sponsor equity</t>
        </is>
      </c>
    </row>
    <row r="9">
      <c r="A9" t="inlineStr">
        <is>
          <t>Loan Tenor (years)</t>
        </is>
      </c>
      <c r="B9" t="n">
        <v>10</v>
      </c>
      <c r="C9" t="inlineStr"/>
    </row>
    <row r="10">
      <c r="A10" t="inlineStr">
        <is>
          <t>Interest Rate (%)</t>
        </is>
      </c>
      <c r="B10" t="n">
        <v>5.5</v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9" customWidth="1" min="3" max="3"/>
    <col width="13" customWidth="1" min="4" max="4"/>
  </cols>
  <sheetData>
    <row r="1">
      <c r="A1" s="1" t="inlineStr">
        <is>
          <t>Year</t>
        </is>
      </c>
      <c r="B1" s="1" t="inlineStr">
        <is>
          <t>Production (units)</t>
        </is>
      </c>
      <c r="C1" s="1" t="inlineStr">
        <is>
          <t>Average Price (€)</t>
        </is>
      </c>
      <c r="D1" s="1" t="inlineStr">
        <is>
          <t>Revenue (€)</t>
        </is>
      </c>
    </row>
    <row r="2">
      <c r="A2" t="n">
        <v>2027</v>
      </c>
      <c r="B2" t="n">
        <v>600</v>
      </c>
      <c r="C2" t="n">
        <v>9000</v>
      </c>
      <c r="D2">
        <f>B2*C2</f>
        <v/>
      </c>
    </row>
    <row r="3">
      <c r="A3" t="n">
        <v>2028</v>
      </c>
      <c r="B3" t="n">
        <v>1000</v>
      </c>
      <c r="C3" t="n">
        <v>9000</v>
      </c>
      <c r="D3">
        <f>B3*C3</f>
        <v/>
      </c>
    </row>
    <row r="4">
      <c r="A4" t="n">
        <v>2029</v>
      </c>
      <c r="B4" t="n">
        <v>1400</v>
      </c>
      <c r="C4" t="n">
        <v>9000</v>
      </c>
      <c r="D4">
        <f>B4*C4</f>
        <v/>
      </c>
    </row>
    <row r="5">
      <c r="A5" t="n">
        <v>2030</v>
      </c>
      <c r="B5" t="n">
        <v>1600</v>
      </c>
      <c r="C5" t="n">
        <v>9000</v>
      </c>
      <c r="D5">
        <f>B5*C5</f>
        <v/>
      </c>
    </row>
    <row r="6">
      <c r="A6" t="n">
        <v>2031</v>
      </c>
      <c r="B6" t="n">
        <v>1800</v>
      </c>
      <c r="C6" t="n">
        <v>9000</v>
      </c>
      <c r="D6">
        <f>B6*C6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7" customWidth="1" min="3" max="3"/>
    <col width="12" customWidth="1" min="4" max="4"/>
  </cols>
  <sheetData>
    <row r="1">
      <c r="A1" s="1" t="inlineStr">
        <is>
          <t>Year</t>
        </is>
      </c>
      <c r="B1" s="1" t="inlineStr">
        <is>
          <t>Revenue (€)</t>
        </is>
      </c>
      <c r="C1" s="1" t="inlineStr">
        <is>
          <t>EBITDA Margin %</t>
        </is>
      </c>
      <c r="D1" s="1" t="inlineStr">
        <is>
          <t>EBITDA (€)</t>
        </is>
      </c>
    </row>
    <row r="2">
      <c r="A2" t="n">
        <v>2027</v>
      </c>
      <c r="B2">
        <f>Revenue_Model!D2</f>
        <v/>
      </c>
      <c r="C2" t="n">
        <v>22</v>
      </c>
      <c r="D2">
        <f>B2*C2/100</f>
        <v/>
      </c>
    </row>
    <row r="3">
      <c r="A3" t="n">
        <v>2028</v>
      </c>
      <c r="B3">
        <f>Revenue_Model!D3</f>
        <v/>
      </c>
      <c r="C3" t="n">
        <v>22</v>
      </c>
      <c r="D3">
        <f>B3*C3/100</f>
        <v/>
      </c>
    </row>
    <row r="4">
      <c r="A4" t="n">
        <v>2029</v>
      </c>
      <c r="B4">
        <f>Revenue_Model!D4</f>
        <v/>
      </c>
      <c r="C4" t="n">
        <v>22</v>
      </c>
      <c r="D4">
        <f>B4*C4/100</f>
        <v/>
      </c>
    </row>
    <row r="5">
      <c r="A5" t="n">
        <v>2030</v>
      </c>
      <c r="B5">
        <f>Revenue_Model!D5</f>
        <v/>
      </c>
      <c r="C5" t="n">
        <v>22</v>
      </c>
      <c r="D5">
        <f>B5*C5/100</f>
        <v/>
      </c>
    </row>
    <row r="6">
      <c r="A6" t="n">
        <v>2031</v>
      </c>
      <c r="B6">
        <f>Revenue_Model!D6</f>
        <v/>
      </c>
      <c r="C6" t="n">
        <v>22</v>
      </c>
      <c r="D6">
        <f>B6*C6/100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8" customWidth="1" min="4" max="4"/>
  </cols>
  <sheetData>
    <row r="1">
      <c r="A1" s="1" t="inlineStr">
        <is>
          <t>Year</t>
        </is>
      </c>
      <c r="B1" s="1" t="inlineStr">
        <is>
          <t>EBITDA (€)</t>
        </is>
      </c>
      <c r="C1" s="1" t="inlineStr">
        <is>
          <t>Debt Service (€)</t>
        </is>
      </c>
      <c r="D1" s="1" t="inlineStr">
        <is>
          <t>DSCR</t>
        </is>
      </c>
    </row>
    <row r="2">
      <c r="A2" t="n">
        <v>2027</v>
      </c>
      <c r="B2">
        <f>EBITDA_Model!D2</f>
        <v/>
      </c>
      <c r="C2" t="n">
        <v>800000</v>
      </c>
      <c r="D2">
        <f>B2/C2</f>
        <v/>
      </c>
    </row>
    <row r="3">
      <c r="A3" t="n">
        <v>2028</v>
      </c>
      <c r="B3">
        <f>EBITDA_Model!D3</f>
        <v/>
      </c>
      <c r="C3" t="n">
        <v>800000</v>
      </c>
      <c r="D3">
        <f>B3/C3</f>
        <v/>
      </c>
    </row>
    <row r="4">
      <c r="A4" t="n">
        <v>2029</v>
      </c>
      <c r="B4">
        <f>EBITDA_Model!D4</f>
        <v/>
      </c>
      <c r="C4" t="n">
        <v>800000</v>
      </c>
      <c r="D4">
        <f>B4/C4</f>
        <v/>
      </c>
    </row>
    <row r="5">
      <c r="A5" t="n">
        <v>2030</v>
      </c>
      <c r="B5">
        <f>EBITDA_Model!D5</f>
        <v/>
      </c>
      <c r="C5" t="n">
        <v>800000</v>
      </c>
      <c r="D5">
        <f>B5/C5</f>
        <v/>
      </c>
    </row>
    <row r="6">
      <c r="A6" t="n">
        <v>2031</v>
      </c>
      <c r="B6">
        <f>EBITDA_Model!D6</f>
        <v/>
      </c>
      <c r="C6" t="n">
        <v>800000</v>
      </c>
      <c r="D6">
        <f>B6/C6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2" customWidth="1" min="1" max="1"/>
    <col width="28" customWidth="1" min="2" max="2"/>
  </cols>
  <sheetData>
    <row r="1">
      <c r="A1" s="2" t="inlineStr">
        <is>
          <t>EBRD / Bank Credit Memo Dashboard</t>
        </is>
      </c>
    </row>
    <row r="2"/>
    <row r="3">
      <c r="A3" t="inlineStr">
        <is>
          <t>Average DSCR</t>
        </is>
      </c>
      <c r="B3">
        <f>AVERAGE(Debt_Model!D2:D6)</f>
        <v/>
      </c>
    </row>
    <row r="4">
      <c r="A4" t="inlineStr">
        <is>
          <t>Minimum DSCR</t>
        </is>
      </c>
      <c r="B4">
        <f>MIN(Debt_Model!D2:D6)</f>
        <v/>
      </c>
    </row>
    <row r="5"/>
    <row r="6">
      <c r="A6" t="inlineStr">
        <is>
          <t>Interpretation</t>
        </is>
      </c>
    </row>
    <row r="7">
      <c r="A7" t="inlineStr">
        <is>
          <t>DSCR above 1.30 is typically acceptable for project finance.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2026-03-08T04:16:13Z</dcterms:created>
  <dcterms:modified xmlns:dcterms="http://purl.org/dc/terms/" xmlns:xsi="http://www.w3.org/2001/XMLSchema-instance" xsi:type="dcterms:W3CDTF">2026-03-08T04:16:13Z</dcterms:modified>
</cp:coreProperties>
</file>