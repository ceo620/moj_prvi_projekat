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drawings/drawing1.xml" ContentType="application/vnd.openxmlformats-officedocument.drawing+xml"/>
  <Override PartName="/xl/comments/comment2.xml" ContentType="application/vnd.openxmlformats-officedocument.spreadsheetml.comments+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600" firstSheet="0" activeTab="0" autoFilterDateGrouping="1"/>
  </bookViews>
  <sheets>
    <sheet xmlns:r="http://schemas.openxmlformats.org/officeDocument/2006/relationships" name="Executive Summary" sheetId="1" state="visible" r:id="rId1"/>
    <sheet xmlns:r="http://schemas.openxmlformats.org/officeDocument/2006/relationships" name="Assumptions" sheetId="2" state="visible" r:id="rId2"/>
    <sheet xmlns:r="http://schemas.openxmlformats.org/officeDocument/2006/relationships" name="CCC Calculation" sheetId="3" state="visible" r:id="rId3"/>
    <sheet xmlns:r="http://schemas.openxmlformats.org/officeDocument/2006/relationships" name="Dashboard" sheetId="4" state="visible" r:id="rId4"/>
    <sheet xmlns:r="http://schemas.openxmlformats.org/officeDocument/2006/relationships" name="Sensitivity" sheetId="5" state="visible" r:id="rId5"/>
  </sheets>
  <definedNames/>
  <calcPr calcId="124519" fullCalcOnLoad="1" refMode="A1" iterate="0" iterateCount="100" iterateDelta="0.0001"/>
</workbook>
</file>

<file path=xl/styles.xml><?xml version="1.0" encoding="utf-8"?>
<styleSheet xmlns="http://schemas.openxmlformats.org/spreadsheetml/2006/main">
  <numFmts count="2">
    <numFmt numFmtId="164" formatCode="0.0"/>
    <numFmt numFmtId="165" formatCode="0.0%"/>
  </numFmts>
  <fonts count="19">
    <font>
      <name val="Calibri"/>
      <charset val="1"/>
      <family val="2"/>
      <color theme="1"/>
      <sz val="11"/>
    </font>
    <font>
      <name val="Arial"/>
      <family val="0"/>
      <sz val="10"/>
    </font>
    <font>
      <name val="Arial"/>
      <family val="0"/>
      <sz val="10"/>
    </font>
    <font>
      <name val="Arial"/>
      <family val="0"/>
      <sz val="10"/>
    </font>
    <font>
      <name val="Cambria"/>
      <charset val="1"/>
      <family val="0"/>
      <b val="1"/>
      <sz val="14"/>
    </font>
    <font>
      <name val="Cambria"/>
      <charset val="1"/>
      <family val="0"/>
      <b val="1"/>
      <sz val="11"/>
    </font>
    <font>
      <name val="Cambria"/>
      <charset val="1"/>
      <family val="0"/>
      <b val="1"/>
      <color rgb="FFFFFFFF"/>
      <sz val="11"/>
    </font>
    <font>
      <name val="Arial"/>
      <family val="2"/>
      <sz val="10"/>
    </font>
    <font>
      <name val="Calibri"/>
      <family val="2"/>
      <b val="1"/>
      <color rgb="FF000000"/>
      <sz val="18"/>
    </font>
    <font>
      <name val="Calibri"/>
      <family val="2"/>
      <color rgb="FF000000"/>
      <sz val="10"/>
    </font>
    <font>
      <name val="Calibri"/>
      <family val="2"/>
      <b val="1"/>
      <color rgb="FF000000"/>
      <sz val="10"/>
    </font>
    <font>
      <name val="Calibri"/>
      <b val="1"/>
      <color rgb="001F1F1F"/>
      <sz val="14"/>
    </font>
    <font>
      <b val="1"/>
      <color rgb="00FFFFFF"/>
      <sz val="12"/>
    </font>
    <font>
      <b val="1"/>
      <color rgb="00FFFFFF"/>
      <sz val="11"/>
    </font>
    <font>
      <b val="1"/>
    </font>
    <font>
      <name val="Calibri"/>
      <color rgb="000000FF"/>
      <sz val="11"/>
    </font>
    <font>
      <name val="Calibri"/>
      <color rgb="00000000"/>
      <sz val="11"/>
    </font>
    <font>
      <b val="1"/>
      <sz val="16"/>
    </font>
    <font>
      <sz val="11"/>
    </font>
  </fonts>
  <fills count="8">
    <fill>
      <patternFill/>
    </fill>
    <fill>
      <patternFill patternType="gray125"/>
    </fill>
    <fill>
      <patternFill patternType="solid">
        <fgColor rgb="FF1F4E79"/>
        <bgColor rgb="FF003366"/>
      </patternFill>
    </fill>
    <fill>
      <patternFill patternType="solid">
        <fgColor rgb="001F4E79"/>
      </patternFill>
    </fill>
    <fill>
      <patternFill patternType="solid">
        <fgColor rgb="00FFF2CC"/>
      </patternFill>
    </fill>
    <fill>
      <patternFill patternType="solid">
        <fgColor rgb="00F3F6F9"/>
      </patternFill>
    </fill>
    <fill>
      <patternFill patternType="solid">
        <fgColor rgb="00DDEBF7"/>
      </patternFill>
    </fill>
    <fill>
      <patternFill patternType="solid">
        <fgColor rgb="00D9EAF7"/>
      </patternFill>
    </fill>
  </fills>
  <borders count="12">
    <border>
      <left/>
      <right/>
      <top/>
      <bottom/>
      <diagonal/>
    </border>
    <border>
      <left style="thin">
        <color rgb="FF9E9E9E"/>
      </left>
      <right style="thin">
        <color rgb="FF9E9E9E"/>
      </right>
      <top style="thin">
        <color rgb="FF9E9E9E"/>
      </top>
      <bottom style="thin">
        <color rgb="FF9E9E9E"/>
      </bottom>
      <diagonal/>
    </border>
    <border>
      <left/>
      <right/>
      <top style="thin">
        <color rgb="FF9E9E9E"/>
      </top>
      <bottom/>
      <diagonal/>
    </border>
    <border>
      <left/>
      <right style="thin">
        <color rgb="FF9E9E9E"/>
      </right>
      <top style="thin">
        <color rgb="FF9E9E9E"/>
      </top>
      <bottom/>
      <diagonal/>
    </border>
    <border>
      <left/>
      <right/>
      <top style="thin">
        <color rgb="FF9E9E9E"/>
      </top>
      <bottom style="thin">
        <color rgb="FF9E9E9E"/>
      </bottom>
      <diagonal/>
    </border>
    <border>
      <left/>
      <right style="thin">
        <color rgb="FF9E9E9E"/>
      </right>
      <top style="thin">
        <color rgb="FF9E9E9E"/>
      </top>
      <bottom style="thin">
        <color rgb="FF9E9E9E"/>
      </bottom>
      <diagonal/>
    </border>
    <border>
      <left style="thin">
        <color rgb="00BFBFBF"/>
      </left>
      <right style="thin">
        <color rgb="00BFBFBF"/>
      </right>
      <top style="thin">
        <color rgb="00BFBFBF"/>
      </top>
      <bottom style="thin">
        <color rgb="00BFBFBF"/>
      </bottom>
    </border>
    <border>
      <top style="medium">
        <color rgb="001F4E79"/>
      </top>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66">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0"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6" fillId="2" borderId="0" applyAlignment="1" pivotButton="0" quotePrefix="0" xfId="0">
      <alignment horizontal="center" vertical="center" wrapText="1"/>
    </xf>
    <xf numFmtId="0" fontId="6"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0" fillId="0" borderId="1" applyAlignment="1" pivotButton="0" quotePrefix="0" xfId="0">
      <alignment horizontal="right"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xf numFmtId="3" fontId="0" fillId="0" borderId="1" applyAlignment="1" pivotButton="0" quotePrefix="0" xfId="0">
      <alignment horizontal="right" vertical="center" wrapText="1"/>
    </xf>
    <xf numFmtId="9" fontId="0" fillId="0" borderId="1" applyAlignment="1" pivotButton="0" quotePrefix="0" xfId="0">
      <alignment horizontal="right" vertical="center" wrapText="1"/>
    </xf>
    <xf numFmtId="1" fontId="0" fillId="0" borderId="1" applyAlignment="1" pivotButton="0" quotePrefix="0" xfId="0">
      <alignment horizontal="right" vertical="center" wrapText="1"/>
    </xf>
    <xf numFmtId="1" fontId="0" fillId="0" borderId="1" applyAlignment="1" pivotButton="0" quotePrefix="0" xfId="0">
      <alignment horizontal="center" vertical="center" wrapText="1"/>
    </xf>
    <xf numFmtId="164" fontId="0" fillId="0" borderId="1" applyAlignment="1" pivotButton="0" quotePrefix="0" xfId="0">
      <alignment horizontal="center" vertical="center" wrapText="1"/>
    </xf>
    <xf numFmtId="0" fontId="5" fillId="0" borderId="1" applyAlignment="1" pivotButton="0" quotePrefix="0" xfId="0">
      <alignment horizontal="left" vertical="center" wrapText="1"/>
    </xf>
    <xf numFmtId="9" fontId="0" fillId="0" borderId="1" applyAlignment="1" pivotButton="0" quotePrefix="0" xfId="0">
      <alignment horizontal="center" vertical="center" wrapText="1"/>
    </xf>
    <xf numFmtId="0" fontId="5" fillId="0" borderId="1" applyAlignment="1" pivotButton="0" quotePrefix="0" xfId="0">
      <alignment horizontal="center" vertical="center" wrapText="1"/>
    </xf>
    <xf numFmtId="0" fontId="0" fillId="0" borderId="0" applyAlignment="1" pivotButton="0" quotePrefix="0" xfId="0">
      <alignment horizontal="general" vertical="bottom"/>
    </xf>
    <xf numFmtId="0" fontId="0" fillId="0" borderId="0" pivotButton="0" quotePrefix="0" xfId="0"/>
    <xf numFmtId="0" fontId="11" fillId="0" borderId="0" applyAlignment="1" pivotButton="0" quotePrefix="0" xfId="0">
      <alignment horizontal="left" vertical="center" wrapText="1"/>
    </xf>
    <xf numFmtId="0" fontId="5" fillId="0" borderId="0" applyAlignment="1" pivotButton="0" quotePrefix="0" xfId="0">
      <alignment horizontal="general" vertical="bottom"/>
    </xf>
    <xf numFmtId="0" fontId="0"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12" fillId="3" borderId="6" applyAlignment="1" pivotButton="0" quotePrefix="0" xfId="0">
      <alignment horizontal="center" vertical="center" wrapText="1"/>
    </xf>
    <xf numFmtId="0" fontId="13" fillId="3" borderId="6" applyAlignment="1" pivotButton="0" quotePrefix="0" xfId="0">
      <alignment horizontal="center" vertical="center" wrapText="1"/>
    </xf>
    <xf numFmtId="0" fontId="0" fillId="0" borderId="4" pivotButton="0" quotePrefix="0" xfId="0"/>
    <xf numFmtId="0" fontId="0" fillId="0" borderId="5" pivotButton="0" quotePrefix="0" xfId="0"/>
    <xf numFmtId="0" fontId="14" fillId="0" borderId="6" applyAlignment="1" pivotButton="0" quotePrefix="0" xfId="0">
      <alignment horizontal="left" vertical="center" wrapText="1"/>
    </xf>
    <xf numFmtId="0" fontId="15" fillId="4" borderId="6" applyAlignment="1" pivotButton="0" quotePrefix="0" xfId="0">
      <alignment horizontal="right" vertical="center"/>
    </xf>
    <xf numFmtId="0" fontId="0" fillId="0" borderId="6" applyAlignment="1" pivotButton="0" quotePrefix="0" xfId="0">
      <alignment horizontal="center" vertical="center" wrapText="1"/>
    </xf>
    <xf numFmtId="0" fontId="0" fillId="0" borderId="6" applyAlignment="1" pivotButton="0" quotePrefix="0" xfId="0">
      <alignment horizontal="left" vertical="center" wrapText="1"/>
    </xf>
    <xf numFmtId="0" fontId="0" fillId="0" borderId="6" pivotButton="0" quotePrefix="0" xfId="0"/>
    <xf numFmtId="38" fontId="15" fillId="4" borderId="6" applyAlignment="1" pivotButton="0" quotePrefix="0" xfId="0">
      <alignment horizontal="right" vertical="center"/>
    </xf>
    <xf numFmtId="165" fontId="15" fillId="4" borderId="6" applyAlignment="1" pivotButton="0" quotePrefix="0" xfId="0">
      <alignment horizontal="right" vertical="center"/>
    </xf>
    <xf numFmtId="1" fontId="15" fillId="4" borderId="6" applyAlignment="1" pivotButton="0" quotePrefix="0" xfId="0">
      <alignment horizontal="right" vertical="center"/>
    </xf>
    <xf numFmtId="165" fontId="15" fillId="4" borderId="6" applyAlignment="1" pivotButton="0" quotePrefix="0" xfId="0">
      <alignment horizontal="right" vertical="center" wrapText="1"/>
    </xf>
    <xf numFmtId="1" fontId="15" fillId="4" borderId="6" applyAlignment="1" pivotButton="0" quotePrefix="0" xfId="0">
      <alignment horizontal="right" vertical="center" wrapText="1"/>
    </xf>
    <xf numFmtId="0" fontId="14" fillId="0" borderId="6" applyAlignment="1" pivotButton="0" quotePrefix="0" xfId="0">
      <alignment horizontal="general" vertical="bottom"/>
    </xf>
    <xf numFmtId="0" fontId="0" fillId="5" borderId="6" applyAlignment="1" pivotButton="0" quotePrefix="0" xfId="0">
      <alignment horizontal="center" vertical="center" wrapText="1"/>
    </xf>
    <xf numFmtId="1" fontId="15" fillId="4" borderId="6" applyAlignment="1" pivotButton="0" quotePrefix="0" xfId="0">
      <alignment horizontal="center" vertical="center" wrapText="1"/>
    </xf>
    <xf numFmtId="0" fontId="0" fillId="5" borderId="6" applyAlignment="1" pivotButton="0" quotePrefix="0" xfId="0">
      <alignment horizontal="left" vertical="center" wrapText="1"/>
    </xf>
    <xf numFmtId="0" fontId="14" fillId="0" borderId="6" applyAlignment="1" pivotButton="0" quotePrefix="0" xfId="0">
      <alignment horizontal="center" vertical="center" wrapText="1"/>
    </xf>
    <xf numFmtId="38" fontId="16" fillId="0" borderId="6" applyAlignment="1" pivotButton="0" quotePrefix="0" xfId="0">
      <alignment horizontal="right" vertical="center" wrapText="1"/>
    </xf>
    <xf numFmtId="164" fontId="0" fillId="0" borderId="6" applyAlignment="1" pivotButton="0" quotePrefix="0" xfId="0">
      <alignment horizontal="center" vertical="center" wrapText="1"/>
    </xf>
    <xf numFmtId="164" fontId="0" fillId="6" borderId="6" applyAlignment="1" pivotButton="0" quotePrefix="0" xfId="0">
      <alignment horizontal="center" vertical="center" wrapText="1"/>
    </xf>
    <xf numFmtId="0" fontId="14" fillId="0" borderId="7" applyAlignment="1" pivotButton="0" quotePrefix="0" xfId="0">
      <alignment horizontal="center" vertical="center" wrapText="1"/>
    </xf>
    <xf numFmtId="38" fontId="16" fillId="0" borderId="7" applyAlignment="1" pivotButton="0" quotePrefix="0" xfId="0">
      <alignment horizontal="right" vertical="center" wrapText="1"/>
    </xf>
    <xf numFmtId="164" fontId="0" fillId="0" borderId="7" applyAlignment="1" pivotButton="0" quotePrefix="0" xfId="0">
      <alignment horizontal="center" vertical="center" wrapText="1"/>
    </xf>
    <xf numFmtId="164" fontId="0" fillId="6" borderId="7" applyAlignment="1" pivotButton="0" quotePrefix="0" xfId="0">
      <alignment horizontal="center" vertical="center" wrapText="1"/>
    </xf>
    <xf numFmtId="0" fontId="0" fillId="5" borderId="7" applyAlignment="1" pivotButton="0" quotePrefix="0" xfId="0">
      <alignment horizontal="left" vertical="center" wrapText="1"/>
    </xf>
    <xf numFmtId="164" fontId="0" fillId="6" borderId="6" applyAlignment="1" pivotButton="0" quotePrefix="0" xfId="0">
      <alignment horizontal="center" vertical="center" wrapText="1"/>
    </xf>
    <xf numFmtId="165" fontId="0" fillId="6" borderId="6" applyAlignment="1" pivotButton="0" quotePrefix="0" xfId="0">
      <alignment horizontal="center" vertical="center" wrapText="1"/>
    </xf>
    <xf numFmtId="0" fontId="14" fillId="7" borderId="6" applyAlignment="1" pivotButton="0" quotePrefix="0" xfId="0">
      <alignment horizontal="center" vertical="center" wrapText="1"/>
    </xf>
    <xf numFmtId="0" fontId="5" fillId="0" borderId="6" applyAlignment="1" pivotButton="0" quotePrefix="0" xfId="0">
      <alignment horizontal="center" vertical="center" wrapText="1"/>
    </xf>
    <xf numFmtId="0" fontId="17" fillId="0" borderId="0" pivotButton="0" quotePrefix="0" xfId="0"/>
    <xf numFmtId="0" fontId="12" fillId="3" borderId="0" applyAlignment="1" pivotButton="0" quotePrefix="0" xfId="0">
      <alignment horizontal="center" vertical="center" wrapText="1"/>
    </xf>
    <xf numFmtId="0" fontId="18" fillId="5" borderId="6" applyAlignment="1" pivotButton="0" quotePrefix="0" xfId="0">
      <alignment horizontal="left" vertical="top" wrapText="1"/>
    </xf>
    <xf numFmtId="0" fontId="0" fillId="5" borderId="6" pivotButton="0" quotePrefix="0" xfId="0"/>
    <xf numFmtId="0" fontId="14" fillId="0" borderId="6" applyAlignment="1" pivotButton="0" quotePrefix="0" xfId="0">
      <alignment horizontal="left" vertical="top" wrapText="1"/>
    </xf>
    <xf numFmtId="0" fontId="0" fillId="6" borderId="6" applyAlignment="1" pivotButton="0" quotePrefix="0" xfId="0">
      <alignment horizontal="center" vertical="center" wrapText="1"/>
    </xf>
    <xf numFmtId="0" fontId="0" fillId="0" borderId="6" applyAlignment="1" pivotButton="0" quotePrefix="0" xfId="0">
      <alignment horizontal="left" vertical="top" wrapText="1"/>
    </xf>
    <xf numFmtId="0" fontId="18" fillId="0" borderId="6" applyAlignment="1" pivotButton="0" quotePrefix="0" xfId="0">
      <alignment horizontal="left" vertical="top" wrapText="1"/>
    </xf>
    <xf numFmtId="0" fontId="0" fillId="0" borderId="10" pivotButton="0" quotePrefix="0" xfId="0"/>
    <xf numFmtId="0" fontId="0" fillId="0" borderId="11" pivotButton="0" quotePrefix="0" xfId="0"/>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5">
    <dxf>
      <fill>
        <patternFill>
          <bgColor rgb="FFC6EFCE"/>
        </patternFill>
      </fill>
    </dxf>
    <dxf>
      <fill>
        <patternFill>
          <bgColor rgb="FFFFC7CE"/>
        </patternFill>
      </fill>
    </dxf>
    <dxf>
      <fill>
        <patternFill patternType="solid">
          <fgColor rgb="00C6EFCE"/>
        </patternFill>
      </fill>
    </dxf>
    <dxf>
      <fill>
        <patternFill patternType="solid">
          <fgColor rgb="00FFEB9C"/>
        </patternFill>
      </fill>
    </dxf>
    <dxf>
      <fill>
        <patternFill patternType="solid">
          <fgColor rgb="00FFC7CE"/>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78787"/>
      <rgbColor rgb="FF9999FF"/>
      <rgbColor rgb="FFC0504D"/>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7CE"/>
      <rgbColor rgb="FF4F81BD"/>
      <rgbColor rgb="FF33CCCC"/>
      <rgbColor rgb="FF9BBB59"/>
      <rgbColor rgb="FFFFCC00"/>
      <rgbColor rgb="FFFF9900"/>
      <rgbColor rgb="FFFF6600"/>
      <rgbColor rgb="FF4A7EBB"/>
      <rgbColor rgb="FF9E9E9E"/>
      <rgbColor rgb="FF003366"/>
      <rgbColor rgb="FF339966"/>
      <rgbColor rgb="FF003300"/>
      <rgbColor rgb="FF333300"/>
      <rgbColor rgb="FF993300"/>
      <rgbColor rgb="FF993366"/>
      <rgbColor rgb="FF1F4E7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harts/chart1.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300" b="0" strike="noStrike">
                <a:uFillTx/>
                <a:latin typeface="Arial"/>
              </a:defRPr>
            </a:pPr>
            <a:r>
              <a:rPr sz="1800" b="1" strike="noStrike">
                <a:solidFill>
                  <a:srgbClr val="000000"/>
                </a:solidFill>
                <a:uFillTx/>
                <a:latin typeface="Calibri"/>
              </a:rPr>
              <a:t>CCC Trend (Days)</a:t>
            </a:r>
          </a:p>
        </rich>
      </tx>
      <overlay val="0"/>
      <spPr>
        <a:noFill xmlns:a="http://schemas.openxmlformats.org/drawingml/2006/main"/>
        <a:ln xmlns:a="http://schemas.openxmlformats.org/drawingml/2006/main" w="0">
          <a:noFill/>
          <a:prstDash val="solid"/>
        </a:ln>
      </spPr>
    </title>
    <plotArea>
      <lineChart>
        <grouping val="standard"/>
        <varyColors val="0"/>
        <ser>
          <idx val="0"/>
          <order val="0"/>
          <tx>
            <strRef>
              <f>'CCC Calculation'!J3</f>
              <strCache>
                <ptCount val="1"/>
                <pt idx="0">
                  <v>CCC (days)</v>
                </pt>
              </strCache>
            </strRef>
          </tx>
          <spPr>
            <a:solidFill xmlns:a="http://schemas.openxmlformats.org/drawingml/2006/main">
              <a:srgbClr val="4a7ebb"/>
            </a:solidFill>
            <a:ln xmlns:a="http://schemas.openxmlformats.org/drawingml/2006/main" w="28440">
              <a:solidFill>
                <a:srgbClr val="4a7ebb"/>
              </a:solidFill>
              <a:prstDash val="solid"/>
              <a:round/>
            </a:ln>
          </spPr>
          <marker>
            <symbol val="none"/>
            <spPr>
              <a:ln xmlns:a="http://schemas.openxmlformats.org/drawingml/2006/main">
                <a:prstDash val="solid"/>
              </a:ln>
            </spPr>
          </marker>
          <dLbls>
            <txPr>
              <a:bodyPr xmlns:a="http://schemas.openxmlformats.org/drawingml/2006/main" wrap="square"/>
              <a:lstStyle xmlns:a="http://schemas.openxmlformats.org/drawingml/2006/main"/>
              <a:p xmlns:a="http://schemas.openxmlformats.org/drawingml/2006/main">
                <a:pPr>
                  <a:defRPr sz="1000" b="0" strike="noStrike">
                    <a:solidFill>
                      <a:srgbClr val="000000"/>
                    </a:solidFill>
                    <a:uFillTx/>
                    <a:latin typeface="Calibri"/>
                  </a:defRPr>
                </a:pPr>
                <a:r>
                  <a:t>None</a:t>
                </a:r>
              </a:p>
            </txPr>
            <dLblPos val="r"/>
            <showLegendKey val="1"/>
            <showVal val="0"/>
            <showCatName val="1"/>
            <showSerName val="1"/>
            <showPercent val="0"/>
            <showLeaderLines val="1"/>
          </dLbls>
          <cat>
            <strRef>
              <f>'CCC Calculation'!$A$4:$A$8</f>
              <strCache>
                <ptCount val="5"/>
                <pt idx="0">
                  <v>2026</v>
                </pt>
                <pt idx="1">
                  <v>2027</v>
                </pt>
                <pt idx="2">
                  <v>2028</v>
                </pt>
                <pt idx="3">
                  <v>2029</v>
                </pt>
                <pt idx="4">
                  <v>2030</v>
                </pt>
              </strCache>
            </strRef>
          </cat>
          <val>
            <numRef>
              <f>'CCC Calculation'!$J$4:$J$8</f>
              <numCache>
                <formatCode>0.0</formatCode>
                <ptCount val="5"/>
                <pt idx="0">
                  <v>75</v>
                </pt>
                <pt idx="1">
                  <v>63</v>
                </pt>
                <pt idx="2">
                  <v>52</v>
                </pt>
                <pt idx="3">
                  <v>40</v>
                </pt>
                <pt idx="4">
                  <v>30</v>
                </pt>
              </numCache>
            </numRef>
          </val>
          <smooth val="1"/>
        </ser>
        <hiLowLines>
          <spPr>
            <a:ln xmlns:a="http://schemas.openxmlformats.org/drawingml/2006/main" w="0">
              <a:noFill/>
              <a:prstDash val="solid"/>
            </a:ln>
          </spPr>
        </hiLowLines>
        <marker val="0"/>
        <axId val="11799566"/>
        <axId val="18452903"/>
      </lineChart>
      <catAx>
        <axId val="11799566"/>
        <scaling>
          <orientation val="minMax"/>
        </scaling>
        <delete val="0"/>
        <axPos val="b"/>
        <title>
          <tx>
            <rich>
              <a:bodyPr xmlns:a="http://schemas.openxmlformats.org/drawingml/2006/main" rot="0"/>
              <a:lstStyle xmlns:a="http://schemas.openxmlformats.org/drawingml/2006/main"/>
              <a:p xmlns:a="http://schemas.openxmlformats.org/drawingml/2006/main">
                <a:pPr>
                  <a:defRPr sz="1300" b="0" strike="noStrike">
                    <a:uFillTx/>
                    <a:latin typeface="Arial"/>
                  </a:defRPr>
                </a:pPr>
                <a:r>
                  <a:rPr sz="1000" b="1" strike="noStrike">
                    <a:solidFill>
                      <a:srgbClr val="000000"/>
                    </a:solidFill>
                    <a:uFillTx/>
                    <a:latin typeface="Calibri"/>
                  </a:rPr>
                  <a:t>Year</a:t>
                </a:r>
              </a:p>
            </rich>
          </tx>
          <overlay val="0"/>
          <spPr>
            <a:noFill xmlns:a="http://schemas.openxmlformats.org/drawingml/2006/main"/>
            <a:ln xmlns:a="http://schemas.openxmlformats.org/drawingml/2006/main" w="0">
              <a:noFill/>
              <a:prstDash val="solid"/>
            </a:ln>
          </spPr>
        </title>
        <numFmt formatCode="General"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None</a:t>
            </a:r>
          </a:p>
        </txPr>
        <crossAx val="18452903"/>
        <crosses val="autoZero"/>
        <auto val="1"/>
        <lblAlgn val="ctr"/>
        <lblOffset val="100"/>
        <noMultiLvlLbl val="0"/>
      </catAx>
      <valAx>
        <axId val="18452903"/>
        <scaling>
          <orientation val="minMax"/>
        </scaling>
        <delete val="0"/>
        <axPos val="l"/>
        <majorGridlines>
          <spPr>
            <a:ln xmlns:a="http://schemas.openxmlformats.org/drawingml/2006/main" w="9360">
              <a:solidFill>
                <a:srgbClr val="878787"/>
              </a:solidFill>
              <a:prstDash val="solid"/>
              <a:round/>
            </a:ln>
          </spPr>
        </majorGridlines>
        <title>
          <tx>
            <rich>
              <a:bodyPr xmlns:a="http://schemas.openxmlformats.org/drawingml/2006/main" rot="-5400000"/>
              <a:lstStyle xmlns:a="http://schemas.openxmlformats.org/drawingml/2006/main"/>
              <a:p xmlns:a="http://schemas.openxmlformats.org/drawingml/2006/main">
                <a:pPr>
                  <a:defRPr sz="1300" b="0" strike="noStrike">
                    <a:uFillTx/>
                    <a:latin typeface="Arial"/>
                  </a:defRPr>
                </a:pPr>
                <a:r>
                  <a:rPr sz="1000" b="1" strike="noStrike">
                    <a:solidFill>
                      <a:srgbClr val="000000"/>
                    </a:solidFill>
                    <a:uFillTx/>
                    <a:latin typeface="Calibri"/>
                  </a:rPr>
                  <a:t>Days</a:t>
                </a:r>
              </a:p>
            </rich>
          </tx>
          <overlay val="0"/>
          <spPr>
            <a:noFill xmlns:a="http://schemas.openxmlformats.org/drawingml/2006/main"/>
            <a:ln xmlns:a="http://schemas.openxmlformats.org/drawingml/2006/main" w="0">
              <a:noFill/>
              <a:prstDash val="solid"/>
            </a:ln>
          </spPr>
        </title>
        <numFmt formatCode="0.0"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None</a:t>
            </a:r>
          </a:p>
        </txPr>
        <crossAx val="11799566"/>
        <crosses val="autoZero"/>
        <crossBetween val="between"/>
      </valAx>
    </plotArea>
    <legend>
      <legendPos val="r"/>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None</a:t>
          </a:r>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2.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300" b="0" strike="noStrike">
                <a:uFillTx/>
                <a:latin typeface="Arial"/>
              </a:defRPr>
            </a:pPr>
            <a:r>
              <a:rPr sz="1800" b="1" strike="noStrike">
                <a:solidFill>
                  <a:srgbClr val="000000"/>
                </a:solidFill>
                <a:uFillTx/>
                <a:latin typeface="Calibri"/>
              </a:rPr>
              <a:t>DIO / DSO / DPO (Days)</a:t>
            </a:r>
          </a:p>
        </rich>
      </tx>
      <overlay val="0"/>
      <spPr>
        <a:noFill xmlns:a="http://schemas.openxmlformats.org/drawingml/2006/main"/>
        <a:ln xmlns:a="http://schemas.openxmlformats.org/drawingml/2006/main" w="0">
          <a:noFill/>
          <a:prstDash val="solid"/>
        </a:ln>
      </spPr>
    </title>
    <plotArea>
      <barChart>
        <barDir val="col"/>
        <grouping val="clustered"/>
        <varyColors val="0"/>
        <ser>
          <idx val="0"/>
          <order val="0"/>
          <tx>
            <strRef>
              <f>'CCC Calculation'!G3</f>
              <strCache>
                <ptCount val="1"/>
                <pt idx="0">
                  <v>DIO (days)</v>
                </pt>
              </strCache>
            </strRef>
          </tx>
          <spPr>
            <a:solidFill xmlns:a="http://schemas.openxmlformats.org/drawingml/2006/main">
              <a:srgbClr val="4f81bd"/>
            </a:solidFill>
            <a:ln xmlns:a="http://schemas.openxmlformats.org/drawingml/2006/main" w="0">
              <a:noFill/>
              <a:prstDash val="solid"/>
            </a:ln>
          </spPr>
          <invertIfNegative val="0"/>
          <dLbls>
            <txPr>
              <a:bodyPr xmlns:a="http://schemas.openxmlformats.org/drawingml/2006/main" wrap="square"/>
              <a:lstStyle xmlns:a="http://schemas.openxmlformats.org/drawingml/2006/main"/>
              <a:p xmlns:a="http://schemas.openxmlformats.org/drawingml/2006/main">
                <a:pPr>
                  <a:defRPr sz="1000" b="0" strike="noStrike">
                    <a:solidFill>
                      <a:srgbClr val="000000"/>
                    </a:solidFill>
                    <a:uFillTx/>
                    <a:latin typeface="Calibri"/>
                  </a:defRPr>
                </a:pPr>
                <a:r>
                  <a:t>None</a:t>
                </a:r>
              </a:p>
            </txPr>
            <dLblPos val="outEnd"/>
            <showLegendKey val="1"/>
            <showVal val="0"/>
            <showCatName val="1"/>
            <showSerName val="1"/>
            <showPercent val="0"/>
            <showLeaderLines val="1"/>
          </dLbls>
          <cat>
            <strRef>
              <f>'CCC Calculation'!$A$4:$A$8</f>
              <strCache>
                <ptCount val="5"/>
                <pt idx="0">
                  <v>2026</v>
                </pt>
                <pt idx="1">
                  <v>2027</v>
                </pt>
                <pt idx="2">
                  <v>2028</v>
                </pt>
                <pt idx="3">
                  <v>2029</v>
                </pt>
                <pt idx="4">
                  <v>2030</v>
                </pt>
              </strCache>
            </strRef>
          </cat>
          <val>
            <numRef>
              <f>'CCC Calculation'!$G$4:$G$8</f>
              <numCache>
                <formatCode>0.0</formatCode>
                <ptCount val="5"/>
                <pt idx="0">
                  <v>45</v>
                </pt>
                <pt idx="1">
                  <v>41</v>
                </pt>
                <pt idx="2">
                  <v>38</v>
                </pt>
                <pt idx="3">
                  <v>34</v>
                </pt>
                <pt idx="4">
                  <v>30</v>
                </pt>
              </numCache>
            </numRef>
          </val>
        </ser>
        <ser>
          <idx val="1"/>
          <order val="1"/>
          <tx>
            <strRef>
              <f>'CCC Calculation'!H3</f>
              <strCache>
                <ptCount val="1"/>
                <pt idx="0">
                  <v>DSO (days)</v>
                </pt>
              </strCache>
            </strRef>
          </tx>
          <spPr>
            <a:solidFill xmlns:a="http://schemas.openxmlformats.org/drawingml/2006/main">
              <a:srgbClr val="c0504d"/>
            </a:solidFill>
            <a:ln xmlns:a="http://schemas.openxmlformats.org/drawingml/2006/main" w="0">
              <a:noFill/>
              <a:prstDash val="solid"/>
            </a:ln>
          </spPr>
          <invertIfNegative val="0"/>
          <dLbls>
            <txPr>
              <a:bodyPr xmlns:a="http://schemas.openxmlformats.org/drawingml/2006/main" wrap="square"/>
              <a:lstStyle xmlns:a="http://schemas.openxmlformats.org/drawingml/2006/main"/>
              <a:p xmlns:a="http://schemas.openxmlformats.org/drawingml/2006/main">
                <a:pPr>
                  <a:defRPr sz="1000" b="0" strike="noStrike">
                    <a:solidFill>
                      <a:srgbClr val="000000"/>
                    </a:solidFill>
                    <a:uFillTx/>
                    <a:latin typeface="Calibri"/>
                  </a:defRPr>
                </a:pPr>
                <a:r>
                  <a:t>None</a:t>
                </a:r>
              </a:p>
            </txPr>
            <dLblPos val="outEnd"/>
            <showLegendKey val="1"/>
            <showVal val="0"/>
            <showCatName val="1"/>
            <showSerName val="1"/>
            <showPercent val="0"/>
            <showLeaderLines val="1"/>
          </dLbls>
          <cat>
            <strRef>
              <f>'CCC Calculation'!$A$4:$A$8</f>
              <strCache>
                <ptCount val="5"/>
                <pt idx="0">
                  <v>2026</v>
                </pt>
                <pt idx="1">
                  <v>2027</v>
                </pt>
                <pt idx="2">
                  <v>2028</v>
                </pt>
                <pt idx="3">
                  <v>2029</v>
                </pt>
                <pt idx="4">
                  <v>2030</v>
                </pt>
              </strCache>
            </strRef>
          </cat>
          <val>
            <numRef>
              <f>'CCC Calculation'!$H$4:$H$8</f>
              <numCache>
                <formatCode>0.0</formatCode>
                <ptCount val="5"/>
                <pt idx="0">
                  <v>60</v>
                </pt>
                <pt idx="1">
                  <v>56</v>
                </pt>
                <pt idx="2">
                  <v>52</v>
                </pt>
                <pt idx="3">
                  <v>48</v>
                </pt>
                <pt idx="4">
                  <v>45</v>
                </pt>
              </numCache>
            </numRef>
          </val>
        </ser>
        <ser>
          <idx val="2"/>
          <order val="2"/>
          <tx>
            <strRef>
              <f>'CCC Calculation'!I3</f>
              <strCache>
                <ptCount val="1"/>
                <pt idx="0">
                  <v>DPO (days)</v>
                </pt>
              </strCache>
            </strRef>
          </tx>
          <spPr>
            <a:solidFill xmlns:a="http://schemas.openxmlformats.org/drawingml/2006/main">
              <a:srgbClr val="9bbb59"/>
            </a:solidFill>
            <a:ln xmlns:a="http://schemas.openxmlformats.org/drawingml/2006/main" w="0">
              <a:noFill/>
              <a:prstDash val="solid"/>
            </a:ln>
          </spPr>
          <invertIfNegative val="0"/>
          <dLbls>
            <txPr>
              <a:bodyPr xmlns:a="http://schemas.openxmlformats.org/drawingml/2006/main" wrap="square"/>
              <a:lstStyle xmlns:a="http://schemas.openxmlformats.org/drawingml/2006/main"/>
              <a:p xmlns:a="http://schemas.openxmlformats.org/drawingml/2006/main">
                <a:pPr>
                  <a:defRPr sz="1000" b="0" strike="noStrike">
                    <a:solidFill>
                      <a:srgbClr val="000000"/>
                    </a:solidFill>
                    <a:uFillTx/>
                    <a:latin typeface="Calibri"/>
                  </a:defRPr>
                </a:pPr>
                <a:r>
                  <a:t>None</a:t>
                </a:r>
              </a:p>
            </txPr>
            <dLblPos val="outEnd"/>
            <showLegendKey val="1"/>
            <showVal val="0"/>
            <showCatName val="1"/>
            <showSerName val="1"/>
            <showPercent val="0"/>
            <showLeaderLines val="1"/>
          </dLbls>
          <cat>
            <strRef>
              <f>'CCC Calculation'!$A$4:$A$8</f>
              <strCache>
                <ptCount val="5"/>
                <pt idx="0">
                  <v>2026</v>
                </pt>
                <pt idx="1">
                  <v>2027</v>
                </pt>
                <pt idx="2">
                  <v>2028</v>
                </pt>
                <pt idx="3">
                  <v>2029</v>
                </pt>
                <pt idx="4">
                  <v>2030</v>
                </pt>
              </strCache>
            </strRef>
          </cat>
          <val>
            <numRef>
              <f>'CCC Calculation'!$I$4:$I$8</f>
              <numCache>
                <formatCode>0.0</formatCode>
                <ptCount val="5"/>
                <pt idx="0">
                  <v>30</v>
                </pt>
                <pt idx="1">
                  <v>34</v>
                </pt>
                <pt idx="2">
                  <v>38</v>
                </pt>
                <pt idx="3">
                  <v>42</v>
                </pt>
                <pt idx="4">
                  <v>45</v>
                </pt>
              </numCache>
            </numRef>
          </val>
        </ser>
        <gapWidth val="150"/>
        <overlap val="0"/>
        <axId val="33639199"/>
        <axId val="19984613"/>
      </barChart>
      <catAx>
        <axId val="33639199"/>
        <scaling>
          <orientation val="minMax"/>
        </scaling>
        <delete val="0"/>
        <axPos val="b"/>
        <title>
          <tx>
            <rich>
              <a:bodyPr xmlns:a="http://schemas.openxmlformats.org/drawingml/2006/main" rot="0"/>
              <a:lstStyle xmlns:a="http://schemas.openxmlformats.org/drawingml/2006/main"/>
              <a:p xmlns:a="http://schemas.openxmlformats.org/drawingml/2006/main">
                <a:pPr>
                  <a:defRPr sz="1300" b="0" strike="noStrike">
                    <a:uFillTx/>
                    <a:latin typeface="Arial"/>
                  </a:defRPr>
                </a:pPr>
                <a:r>
                  <a:rPr sz="1000" b="1" strike="noStrike">
                    <a:solidFill>
                      <a:srgbClr val="000000"/>
                    </a:solidFill>
                    <a:uFillTx/>
                    <a:latin typeface="Calibri"/>
                  </a:rPr>
                  <a:t>Year</a:t>
                </a:r>
              </a:p>
            </rich>
          </tx>
          <overlay val="0"/>
          <spPr>
            <a:noFill xmlns:a="http://schemas.openxmlformats.org/drawingml/2006/main"/>
            <a:ln xmlns:a="http://schemas.openxmlformats.org/drawingml/2006/main" w="0">
              <a:noFill/>
              <a:prstDash val="solid"/>
            </a:ln>
          </spPr>
        </title>
        <numFmt formatCode="General"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None</a:t>
            </a:r>
          </a:p>
        </txPr>
        <crossAx val="19984613"/>
        <crosses val="autoZero"/>
        <auto val="1"/>
        <lblAlgn val="ctr"/>
        <lblOffset val="100"/>
        <noMultiLvlLbl val="0"/>
      </catAx>
      <valAx>
        <axId val="19984613"/>
        <scaling>
          <orientation val="minMax"/>
        </scaling>
        <delete val="0"/>
        <axPos val="l"/>
        <majorGridlines>
          <spPr>
            <a:ln xmlns:a="http://schemas.openxmlformats.org/drawingml/2006/main" w="9360">
              <a:solidFill>
                <a:srgbClr val="878787"/>
              </a:solidFill>
              <a:prstDash val="solid"/>
              <a:round/>
            </a:ln>
          </spPr>
        </majorGridlines>
        <title>
          <tx>
            <rich>
              <a:bodyPr xmlns:a="http://schemas.openxmlformats.org/drawingml/2006/main" rot="-5400000"/>
              <a:lstStyle xmlns:a="http://schemas.openxmlformats.org/drawingml/2006/main"/>
              <a:p xmlns:a="http://schemas.openxmlformats.org/drawingml/2006/main">
                <a:pPr>
                  <a:defRPr sz="1300" b="0" strike="noStrike">
                    <a:uFillTx/>
                    <a:latin typeface="Arial"/>
                  </a:defRPr>
                </a:pPr>
                <a:r>
                  <a:rPr sz="1000" b="1" strike="noStrike">
                    <a:solidFill>
                      <a:srgbClr val="000000"/>
                    </a:solidFill>
                    <a:uFillTx/>
                    <a:latin typeface="Calibri"/>
                  </a:rPr>
                  <a:t>Days</a:t>
                </a:r>
              </a:p>
            </rich>
          </tx>
          <overlay val="0"/>
          <spPr>
            <a:noFill xmlns:a="http://schemas.openxmlformats.org/drawingml/2006/main"/>
            <a:ln xmlns:a="http://schemas.openxmlformats.org/drawingml/2006/main" w="0">
              <a:noFill/>
              <a:prstDash val="solid"/>
            </a:ln>
          </spPr>
        </title>
        <numFmt formatCode="0.0"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None</a:t>
            </a:r>
          </a:p>
        </txPr>
        <crossAx val="33639199"/>
        <crosses val="autoZero"/>
        <crossBetween val="between"/>
      </valAx>
    </plotArea>
    <legend>
      <legendPos val="r"/>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None</a:t>
          </a:r>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3.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300" b="0" strike="noStrike">
                <a:uFillTx/>
                <a:latin typeface="Arial"/>
              </a:defRPr>
            </a:pPr>
            <a:r>
              <a:rPr sz="1800" b="1" strike="noStrike">
                <a:solidFill>
                  <a:srgbClr val="000000"/>
                </a:solidFill>
                <a:uFillTx/>
                <a:latin typeface="Calibri"/>
              </a:rPr>
              <a:t>CCC (Days)</a:t>
            </a:r>
          </a:p>
        </rich>
      </tx>
      <overlay val="0"/>
      <spPr>
        <a:noFill xmlns:a="http://schemas.openxmlformats.org/drawingml/2006/main"/>
        <a:ln xmlns:a="http://schemas.openxmlformats.org/drawingml/2006/main" w="0">
          <a:noFill/>
          <a:prstDash val="solid"/>
        </a:ln>
      </spPr>
    </title>
    <plotArea>
      <lineChart>
        <grouping val="standard"/>
        <varyColors val="0"/>
        <ser>
          <idx val="0"/>
          <order val="0"/>
          <tx>
            <strRef>
              <f>'CCC Calculation'!J3</f>
              <strCache>
                <ptCount val="1"/>
                <pt idx="0">
                  <v>CCC (days)</v>
                </pt>
              </strCache>
            </strRef>
          </tx>
          <spPr>
            <a:solidFill xmlns:a="http://schemas.openxmlformats.org/drawingml/2006/main">
              <a:srgbClr val="4a7ebb"/>
            </a:solidFill>
            <a:ln xmlns:a="http://schemas.openxmlformats.org/drawingml/2006/main" w="28440">
              <a:solidFill>
                <a:srgbClr val="4a7ebb"/>
              </a:solidFill>
              <a:prstDash val="solid"/>
              <a:round/>
            </a:ln>
          </spPr>
          <marker>
            <symbol val="none"/>
            <spPr>
              <a:ln xmlns:a="http://schemas.openxmlformats.org/drawingml/2006/main">
                <a:prstDash val="solid"/>
              </a:ln>
            </spPr>
          </marker>
          <dLbls>
            <txPr>
              <a:bodyPr xmlns:a="http://schemas.openxmlformats.org/drawingml/2006/main"/>
              <a:lstStyle xmlns:a="http://schemas.openxmlformats.org/drawingml/2006/main"/>
              <a:p xmlns:a="http://schemas.openxmlformats.org/drawingml/2006/main">
                <a:pPr>
                  <a:defRPr sz="1000" b="0" strike="noStrike">
                    <a:uFillTx/>
                    <a:latin typeface="Arial"/>
                  </a:defRPr>
                </a:pPr>
                <a:r>
                  <a:t>None</a:t>
                </a:r>
              </a:p>
            </txPr>
            <showLegendKey val="0"/>
            <showVal val="0"/>
            <showCatName val="0"/>
            <showSerName val="0"/>
            <showPercent val="0"/>
            <showLeaderLines val="1"/>
          </dLbls>
          <cat>
            <strRef>
              <f>'CCC Calculation'!$A$4:$A$8</f>
              <strCache>
                <ptCount val="5"/>
                <pt idx="0">
                  <v>2026</v>
                </pt>
                <pt idx="1">
                  <v>2027</v>
                </pt>
                <pt idx="2">
                  <v>2028</v>
                </pt>
                <pt idx="3">
                  <v>2029</v>
                </pt>
                <pt idx="4">
                  <v>2030</v>
                </pt>
              </strCache>
            </strRef>
          </cat>
          <val>
            <numRef>
              <f>'CCC Calculation'!$J$4:$J$8</f>
              <numCache>
                <formatCode>0.0</formatCode>
                <ptCount val="5"/>
                <pt idx="0">
                  <v>75</v>
                </pt>
                <pt idx="1">
                  <v>63</v>
                </pt>
                <pt idx="2">
                  <v>52</v>
                </pt>
                <pt idx="3">
                  <v>40</v>
                </pt>
                <pt idx="4">
                  <v>30</v>
                </pt>
              </numCache>
            </numRef>
          </val>
          <smooth val="1"/>
        </ser>
        <hiLowLines>
          <spPr>
            <a:ln xmlns:a="http://schemas.openxmlformats.org/drawingml/2006/main" w="0">
              <a:noFill/>
              <a:prstDash val="solid"/>
            </a:ln>
          </spPr>
        </hiLowLines>
        <marker val="0"/>
        <axId val="53825103"/>
        <axId val="92689025"/>
      </lineChart>
      <catAx>
        <axId val="53825103"/>
        <scaling>
          <orientation val="minMax"/>
        </scaling>
        <delete val="0"/>
        <axPos val="b"/>
        <numFmt formatCode="General"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None</a:t>
            </a:r>
          </a:p>
        </txPr>
        <crossAx val="92689025"/>
        <crosses val="autoZero"/>
        <auto val="1"/>
        <lblAlgn val="ctr"/>
        <lblOffset val="100"/>
        <noMultiLvlLbl val="0"/>
      </catAx>
      <valAx>
        <axId val="92689025"/>
        <scaling>
          <orientation val="minMax"/>
        </scaling>
        <delete val="0"/>
        <axPos val="l"/>
        <majorGridlines>
          <spPr>
            <a:ln xmlns:a="http://schemas.openxmlformats.org/drawingml/2006/main" w="9360">
              <a:solidFill>
                <a:srgbClr val="878787"/>
              </a:solidFill>
              <a:prstDash val="solid"/>
              <a:round/>
            </a:ln>
          </spPr>
        </majorGridlines>
        <numFmt formatCode="0.0"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None</a:t>
            </a:r>
          </a:p>
        </txPr>
        <crossAx val="53825103"/>
        <crosses val="autoZero"/>
        <crossBetween val="between"/>
      </valAx>
    </plotArea>
    <legend>
      <legendPos val="r"/>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None</a:t>
          </a:r>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4.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300" b="0" strike="noStrike">
                <a:uFillTx/>
                <a:latin typeface="Arial"/>
              </a:defRPr>
            </a:pPr>
            <a:r>
              <a:rPr sz="1800" b="1" strike="noStrike">
                <a:solidFill>
                  <a:srgbClr val="000000"/>
                </a:solidFill>
                <a:uFillTx/>
                <a:latin typeface="Calibri"/>
              </a:rPr>
              <a:t>DIO/DSO/DPO</a:t>
            </a:r>
          </a:p>
        </rich>
      </tx>
      <overlay val="0"/>
      <spPr>
        <a:noFill xmlns:a="http://schemas.openxmlformats.org/drawingml/2006/main"/>
        <a:ln xmlns:a="http://schemas.openxmlformats.org/drawingml/2006/main" w="0">
          <a:noFill/>
          <a:prstDash val="solid"/>
        </a:ln>
      </spPr>
    </title>
    <plotArea>
      <barChart>
        <barDir val="col"/>
        <grouping val="clustered"/>
        <varyColors val="0"/>
        <ser>
          <idx val="0"/>
          <order val="0"/>
          <tx>
            <strRef>
              <f>'CCC Calculation'!G3</f>
              <strCache>
                <ptCount val="1"/>
                <pt idx="0">
                  <v>DIO (days)</v>
                </pt>
              </strCache>
            </strRef>
          </tx>
          <spPr>
            <a:solidFill xmlns:a="http://schemas.openxmlformats.org/drawingml/2006/main">
              <a:srgbClr val="4f81bd"/>
            </a:solidFill>
            <a:ln xmlns:a="http://schemas.openxmlformats.org/drawingml/2006/main" w="0">
              <a:noFill/>
              <a:prstDash val="solid"/>
            </a:ln>
          </spPr>
          <invertIfNegative val="0"/>
          <dLbls>
            <txPr>
              <a:bodyPr xmlns:a="http://schemas.openxmlformats.org/drawingml/2006/main"/>
              <a:lstStyle xmlns:a="http://schemas.openxmlformats.org/drawingml/2006/main"/>
              <a:p xmlns:a="http://schemas.openxmlformats.org/drawingml/2006/main">
                <a:pPr>
                  <a:defRPr sz="1000" b="0" strike="noStrike">
                    <a:uFillTx/>
                    <a:latin typeface="Arial"/>
                  </a:defRPr>
                </a:pPr>
                <a:r>
                  <a:t>None</a:t>
                </a:r>
              </a:p>
            </txPr>
            <showLegendKey val="0"/>
            <showVal val="0"/>
            <showCatName val="0"/>
            <showSerName val="0"/>
            <showPercent val="0"/>
            <showLeaderLines val="1"/>
          </dLbls>
          <cat>
            <strRef>
              <f>'CCC Calculation'!$A$4:$A$8</f>
              <strCache>
                <ptCount val="5"/>
                <pt idx="0">
                  <v>2026</v>
                </pt>
                <pt idx="1">
                  <v>2027</v>
                </pt>
                <pt idx="2">
                  <v>2028</v>
                </pt>
                <pt idx="3">
                  <v>2029</v>
                </pt>
                <pt idx="4">
                  <v>2030</v>
                </pt>
              </strCache>
            </strRef>
          </cat>
          <val>
            <numRef>
              <f>'CCC Calculation'!$G$4:$G$8</f>
              <numCache>
                <formatCode>0.0</formatCode>
                <ptCount val="5"/>
                <pt idx="0">
                  <v>45</v>
                </pt>
                <pt idx="1">
                  <v>41</v>
                </pt>
                <pt idx="2">
                  <v>38</v>
                </pt>
                <pt idx="3">
                  <v>34</v>
                </pt>
                <pt idx="4">
                  <v>30</v>
                </pt>
              </numCache>
            </numRef>
          </val>
        </ser>
        <ser>
          <idx val="1"/>
          <order val="1"/>
          <tx>
            <strRef>
              <f>'CCC Calculation'!H3</f>
              <strCache>
                <ptCount val="1"/>
                <pt idx="0">
                  <v>DSO (days)</v>
                </pt>
              </strCache>
            </strRef>
          </tx>
          <spPr>
            <a:solidFill xmlns:a="http://schemas.openxmlformats.org/drawingml/2006/main">
              <a:srgbClr val="c0504d"/>
            </a:solidFill>
            <a:ln xmlns:a="http://schemas.openxmlformats.org/drawingml/2006/main" w="0">
              <a:noFill/>
              <a:prstDash val="solid"/>
            </a:ln>
          </spPr>
          <invertIfNegative val="0"/>
          <dLbls>
            <txPr>
              <a:bodyPr xmlns:a="http://schemas.openxmlformats.org/drawingml/2006/main"/>
              <a:lstStyle xmlns:a="http://schemas.openxmlformats.org/drawingml/2006/main"/>
              <a:p xmlns:a="http://schemas.openxmlformats.org/drawingml/2006/main">
                <a:pPr>
                  <a:defRPr sz="1000" b="0" strike="noStrike">
                    <a:uFillTx/>
                    <a:latin typeface="Arial"/>
                  </a:defRPr>
                </a:pPr>
                <a:r>
                  <a:t>None</a:t>
                </a:r>
              </a:p>
            </txPr>
            <showLegendKey val="0"/>
            <showVal val="0"/>
            <showCatName val="0"/>
            <showSerName val="0"/>
            <showPercent val="0"/>
            <showLeaderLines val="1"/>
          </dLbls>
          <cat>
            <strRef>
              <f>'CCC Calculation'!$A$4:$A$8</f>
              <strCache>
                <ptCount val="5"/>
                <pt idx="0">
                  <v>2026</v>
                </pt>
                <pt idx="1">
                  <v>2027</v>
                </pt>
                <pt idx="2">
                  <v>2028</v>
                </pt>
                <pt idx="3">
                  <v>2029</v>
                </pt>
                <pt idx="4">
                  <v>2030</v>
                </pt>
              </strCache>
            </strRef>
          </cat>
          <val>
            <numRef>
              <f>'CCC Calculation'!$H$4:$H$8</f>
              <numCache>
                <formatCode>0.0</formatCode>
                <ptCount val="5"/>
                <pt idx="0">
                  <v>60</v>
                </pt>
                <pt idx="1">
                  <v>56</v>
                </pt>
                <pt idx="2">
                  <v>52</v>
                </pt>
                <pt idx="3">
                  <v>48</v>
                </pt>
                <pt idx="4">
                  <v>45</v>
                </pt>
              </numCache>
            </numRef>
          </val>
        </ser>
        <ser>
          <idx val="2"/>
          <order val="2"/>
          <tx>
            <strRef>
              <f>'CCC Calculation'!I3</f>
              <strCache>
                <ptCount val="1"/>
                <pt idx="0">
                  <v>DPO (days)</v>
                </pt>
              </strCache>
            </strRef>
          </tx>
          <spPr>
            <a:solidFill xmlns:a="http://schemas.openxmlformats.org/drawingml/2006/main">
              <a:srgbClr val="9bbb59"/>
            </a:solidFill>
            <a:ln xmlns:a="http://schemas.openxmlformats.org/drawingml/2006/main" w="0">
              <a:noFill/>
              <a:prstDash val="solid"/>
            </a:ln>
          </spPr>
          <invertIfNegative val="0"/>
          <dLbls>
            <txPr>
              <a:bodyPr xmlns:a="http://schemas.openxmlformats.org/drawingml/2006/main"/>
              <a:lstStyle xmlns:a="http://schemas.openxmlformats.org/drawingml/2006/main"/>
              <a:p xmlns:a="http://schemas.openxmlformats.org/drawingml/2006/main">
                <a:pPr>
                  <a:defRPr sz="1000" b="0" strike="noStrike">
                    <a:uFillTx/>
                    <a:latin typeface="Arial"/>
                  </a:defRPr>
                </a:pPr>
                <a:r>
                  <a:t>None</a:t>
                </a:r>
              </a:p>
            </txPr>
            <showLegendKey val="0"/>
            <showVal val="0"/>
            <showCatName val="0"/>
            <showSerName val="0"/>
            <showPercent val="0"/>
            <showLeaderLines val="1"/>
          </dLbls>
          <cat>
            <strRef>
              <f>'CCC Calculation'!$A$4:$A$8</f>
              <strCache>
                <ptCount val="5"/>
                <pt idx="0">
                  <v>2026</v>
                </pt>
                <pt idx="1">
                  <v>2027</v>
                </pt>
                <pt idx="2">
                  <v>2028</v>
                </pt>
                <pt idx="3">
                  <v>2029</v>
                </pt>
                <pt idx="4">
                  <v>2030</v>
                </pt>
              </strCache>
            </strRef>
          </cat>
          <val>
            <numRef>
              <f>'CCC Calculation'!$I$4:$I$8</f>
              <numCache>
                <formatCode>0.0</formatCode>
                <ptCount val="5"/>
                <pt idx="0">
                  <v>30</v>
                </pt>
                <pt idx="1">
                  <v>34</v>
                </pt>
                <pt idx="2">
                  <v>38</v>
                </pt>
                <pt idx="3">
                  <v>42</v>
                </pt>
                <pt idx="4">
                  <v>45</v>
                </pt>
              </numCache>
            </numRef>
          </val>
        </ser>
        <gapWidth val="150"/>
        <overlap val="0"/>
        <axId val="98376941"/>
        <axId val="18273108"/>
      </barChart>
      <catAx>
        <axId val="98376941"/>
        <scaling>
          <orientation val="minMax"/>
        </scaling>
        <delete val="0"/>
        <axPos val="b"/>
        <numFmt formatCode="General"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None</a:t>
            </a:r>
          </a:p>
        </txPr>
        <crossAx val="18273108"/>
        <crosses val="autoZero"/>
        <auto val="1"/>
        <lblAlgn val="ctr"/>
        <lblOffset val="100"/>
        <noMultiLvlLbl val="0"/>
      </catAx>
      <valAx>
        <axId val="18273108"/>
        <scaling>
          <orientation val="minMax"/>
        </scaling>
        <delete val="0"/>
        <axPos val="l"/>
        <majorGridlines>
          <spPr>
            <a:ln xmlns:a="http://schemas.openxmlformats.org/drawingml/2006/main" w="9360">
              <a:solidFill>
                <a:srgbClr val="878787"/>
              </a:solidFill>
              <a:prstDash val="solid"/>
              <a:round/>
            </a:ln>
          </spPr>
        </majorGridlines>
        <numFmt formatCode="0.0"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None</a:t>
            </a:r>
          </a:p>
        </txPr>
        <crossAx val="98376941"/>
        <crosses val="autoZero"/>
        <crossBetween val="between"/>
      </valAx>
    </plotArea>
    <legend>
      <legendPos val="r"/>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None</a:t>
          </a:r>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omments/comment1.xml><?xml version="1.0" encoding="utf-8"?>
<comments xmlns="http://schemas.openxmlformats.org/spreadsheetml/2006/main">
  <authors>
    <author>Model</author>
  </authors>
  <commentList>
    <comment ref="B11" authorId="0" shapeId="0">
      <text>
        <t>Scenario-linked COGS percentage.</t>
      </text>
    </comment>
    <comment ref="B12" authorId="0" shapeId="0">
      <text>
        <t>Scenario-linked revenue growth.</t>
      </text>
    </comment>
    <comment ref="B23" authorId="0" shapeId="0">
      <text>
        <t>1=Base, 2=Optimistic, 3=Pessimistic</t>
      </text>
    </comment>
  </commentList>
</comments>
</file>

<file path=xl/comments/comment2.xml><?xml version="1.0" encoding="utf-8"?>
<comments xmlns="http://schemas.openxmlformats.org/spreadsheetml/2006/main">
  <authors>
    <author>Model</author>
  </authors>
  <commentList>
    <comment ref="G4" authorId="0" shapeId="0">
      <text>
        <t>DIO = (Avg Inventory / COGS) × DaysInYear</t>
      </text>
    </comment>
    <comment ref="H4" authorId="0" shapeId="0">
      <text>
        <t>DSO = (Avg AR / Revenue) × DaysInYear</t>
      </text>
    </comment>
    <comment ref="I4" authorId="0" shapeId="0">
      <text>
        <t>DPO = (Avg AP / COGS) × DaysInYear</t>
      </text>
    </comment>
    <comment ref="J4" authorId="0" shapeId="0">
      <text>
        <t>CCC = DIO + DSO − DPO</t>
      </text>
    </comment>
    <comment ref="G5" authorId="0" shapeId="0">
      <text>
        <t>DIO = (Avg Inventory / COGS) × DaysInYear</t>
      </text>
    </comment>
    <comment ref="H5" authorId="0" shapeId="0">
      <text>
        <t>DSO = (Avg AR / Revenue) × DaysInYear</t>
      </text>
    </comment>
    <comment ref="I5" authorId="0" shapeId="0">
      <text>
        <t>DPO = (Avg AP / COGS) × DaysInYear</t>
      </text>
    </comment>
    <comment ref="J5" authorId="0" shapeId="0">
      <text>
        <t>CCC = DIO + DSO − DPO</t>
      </text>
    </comment>
    <comment ref="G6" authorId="0" shapeId="0">
      <text>
        <t>DIO = (Avg Inventory / COGS) × DaysInYear</t>
      </text>
    </comment>
    <comment ref="H6" authorId="0" shapeId="0">
      <text>
        <t>DSO = (Avg AR / Revenue) × DaysInYear</t>
      </text>
    </comment>
    <comment ref="I6" authorId="0" shapeId="0">
      <text>
        <t>DPO = (Avg AP / COGS) × DaysInYear</t>
      </text>
    </comment>
    <comment ref="J6" authorId="0" shapeId="0">
      <text>
        <t>CCC = DIO + DSO − DPO</t>
      </text>
    </comment>
    <comment ref="G7" authorId="0" shapeId="0">
      <text>
        <t>DIO = (Avg Inventory / COGS) × DaysInYear</t>
      </text>
    </comment>
    <comment ref="H7" authorId="0" shapeId="0">
      <text>
        <t>DSO = (Avg AR / Revenue) × DaysInYear</t>
      </text>
    </comment>
    <comment ref="I7" authorId="0" shapeId="0">
      <text>
        <t>DPO = (Avg AP / COGS) × DaysInYear</t>
      </text>
    </comment>
    <comment ref="J7" authorId="0" shapeId="0">
      <text>
        <t>CCC = DIO + DSO − DPO</t>
      </text>
    </comment>
    <comment ref="G8" authorId="0" shapeId="0">
      <text>
        <t>DIO = (Avg Inventory / COGS) × DaysInYear</t>
      </text>
    </comment>
    <comment ref="H8" authorId="0" shapeId="0">
      <text>
        <t>DSO = (Avg AR / Revenue) × DaysInYear</t>
      </text>
    </comment>
    <comment ref="I8" authorId="0" shapeId="0">
      <text>
        <t>DPO = (Avg AP / COGS) × DaysInYear</t>
      </text>
    </comment>
    <comment ref="J8" authorId="0" shapeId="0">
      <text>
        <t>CCC = DIO + DSO − DPO</t>
      </text>
    </comment>
  </commentList>
</comments>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_rels/drawing2.xml.rels><Relationships xmlns="http://schemas.openxmlformats.org/package/2006/relationships"><Relationship Type="http://schemas.openxmlformats.org/officeDocument/2006/relationships/chart" Target="/xl/charts/chart3.xml" Id="rId1"/><Relationship Type="http://schemas.openxmlformats.org/officeDocument/2006/relationships/chart" Target="/xl/charts/chart4.xml" Id="rId2"/></Relationships>
</file>

<file path=xl/drawings/drawing1.xml><?xml version="1.0" encoding="utf-8"?>
<wsDr xmlns="http://schemas.openxmlformats.org/drawingml/2006/spreadsheetDrawing">
  <twoCellAnchor editAs="oneCell">
    <from>
      <col>12</col>
      <colOff>0</colOff>
      <row>1</row>
      <rowOff>160560</rowOff>
    </from>
    <to>
      <col>23</col>
      <colOff>84600</colOff>
      <row>10</row>
      <rowOff>128520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12</col>
      <colOff>0</colOff>
      <row>11</row>
      <rowOff>96120</rowOff>
    </from>
    <to>
      <col>23</col>
      <colOff>84600</colOff>
      <row>25</row>
      <rowOff>128520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wsDr>
</file>

<file path=xl/drawings/drawing2.xml><?xml version="1.0" encoding="utf-8"?>
<wsDr xmlns="http://schemas.openxmlformats.org/drawingml/2006/spreadsheetDrawing">
  <twoCellAnchor editAs="oneCell">
    <from>
      <col>4</col>
      <colOff>0</colOff>
      <row>2</row>
      <rowOff>160920</rowOff>
    </from>
    <to>
      <col>8</col>
      <colOff>324720</colOff>
      <row>17</row>
      <rowOff>2880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4</col>
      <colOff>0</colOff>
      <row>16</row>
      <rowOff>160560</rowOff>
    </from>
    <to>
      <col>8</col>
      <colOff>324720</colOff>
      <row>31</row>
      <rowOff>2880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drawing" Target="/xl/drawings/drawing1.xml" Id="rId1"/><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cols>
    <col width="36" customWidth="1" style="20" min="1" max="1"/>
    <col width="18" customWidth="1" style="20" min="2" max="2"/>
    <col width="48" customWidth="1" style="20" min="3" max="3"/>
    <col width="4" customWidth="1" style="20" min="4" max="4"/>
    <col width="16" customWidth="1" style="20" min="5" max="5"/>
    <col width="16" customWidth="1" style="20" min="6" max="6"/>
    <col width="16" customWidth="1" style="20" min="7" max="7"/>
    <col width="16" customWidth="1" style="20" min="8" max="8"/>
  </cols>
  <sheetData>
    <row r="1">
      <c r="A1" s="56" t="inlineStr">
        <is>
          <t>ARS Metal Industries — Cash Conversion Cycle (CCC) Executive Summary</t>
        </is>
      </c>
    </row>
    <row r="3">
      <c r="A3" s="57" t="inlineStr">
        <is>
          <t>Concept: Cash Conversion Cycle</t>
        </is>
      </c>
    </row>
    <row r="4">
      <c r="A4" s="58" t="inlineStr">
        <is>
          <t>Cash Conversion Cycle (CCC) measures how many days cash is tied in operations before it returns as revenue. It combines inventory holding (DIO), receivables collection (DSO), and supplier payment timing (DPO).
Formula: CCC = DIO + DSO − DPO</t>
        </is>
      </c>
      <c r="B4" s="59" t="n"/>
      <c r="C4" s="59" t="n"/>
      <c r="D4" s="59" t="n"/>
      <c r="E4" s="59" t="n"/>
      <c r="F4" s="59" t="n"/>
      <c r="G4" s="59" t="n"/>
      <c r="H4" s="59" t="n"/>
    </row>
    <row r="5">
      <c r="A5" s="59" t="n"/>
      <c r="B5" s="59" t="n"/>
      <c r="C5" s="59" t="n"/>
      <c r="D5" s="59" t="n"/>
      <c r="E5" s="59" t="n"/>
      <c r="F5" s="59" t="n"/>
      <c r="G5" s="59" t="n"/>
      <c r="H5" s="59" t="n"/>
    </row>
    <row r="6">
      <c r="A6" s="59" t="n"/>
      <c r="B6" s="59" t="n"/>
      <c r="C6" s="59" t="n"/>
      <c r="D6" s="59" t="n"/>
      <c r="E6" s="59" t="n"/>
      <c r="F6" s="59" t="n"/>
      <c r="G6" s="59" t="n"/>
      <c r="H6" s="59" t="n"/>
    </row>
    <row r="8">
      <c r="A8" s="57" t="inlineStr">
        <is>
          <t>Key CCC Indicators (linked to model)</t>
        </is>
      </c>
    </row>
    <row r="9">
      <c r="A9" s="25" t="inlineStr">
        <is>
          <t>Metric</t>
        </is>
      </c>
      <c r="B9" s="25" t="inlineStr">
        <is>
          <t>Value</t>
        </is>
      </c>
      <c r="C9" s="25" t="inlineStr">
        <is>
          <t>Interpretation</t>
        </is>
      </c>
    </row>
    <row r="10">
      <c r="A10" s="60" t="inlineStr">
        <is>
          <t>Current CCC (Year 1)</t>
        </is>
      </c>
      <c r="B10" s="61">
        <f>'Dashboard'!B4</f>
        <v/>
      </c>
      <c r="C10" s="62" t="inlineStr">
        <is>
          <t>Days cash is tied in operations today</t>
        </is>
      </c>
    </row>
    <row r="11">
      <c r="A11" s="60" t="inlineStr">
        <is>
          <t>Target CCC</t>
        </is>
      </c>
      <c r="B11" s="61">
        <f>'Dashboard'!B5</f>
        <v/>
      </c>
      <c r="C11" s="62" t="inlineStr">
        <is>
          <t>Management target for optimized working capital</t>
        </is>
      </c>
    </row>
    <row r="12">
      <c r="A12" s="60" t="inlineStr">
        <is>
          <t>CCC Improvement</t>
        </is>
      </c>
      <c r="B12" s="61">
        <f>'Dashboard'!B6</f>
        <v/>
      </c>
      <c r="C12" s="62" t="inlineStr">
        <is>
          <t>Reduction achieved by operational optimization</t>
        </is>
      </c>
    </row>
    <row r="13">
      <c r="A13" s="60" t="inlineStr">
        <is>
          <t>Improvement %</t>
        </is>
      </c>
      <c r="B13" s="61">
        <f>'Dashboard'!B7</f>
        <v/>
      </c>
      <c r="C13" s="62" t="inlineStr">
        <is>
          <t>Relative improvement in liquidity cycle</t>
        </is>
      </c>
    </row>
    <row r="15">
      <c r="A15" s="57" t="inlineStr">
        <is>
          <t>Operational Drivers of CCC (ARS Metal Industries)</t>
        </is>
      </c>
    </row>
    <row r="16">
      <c r="A16" s="63" t="inlineStr">
        <is>
          <t>DIO (Inventory Days): driven primarily by steel stock strategy and WIP buffers.
DSO (Receivable Days): influenced by EPC/OEM contract payment terms and milestone payments.
DPO (Payable Days): negotiated supplier payment terms with steel mills and component suppliers.
For ARS Metal Industries, optimizing these parameters directly improves working capital efficiency, reduces financing needs, and strengthens CFADS available for debt service and reinvestment.</t>
        </is>
      </c>
      <c r="B16" s="33" t="n"/>
      <c r="C16" s="33" t="n"/>
      <c r="D16" s="33" t="n"/>
      <c r="E16" s="33" t="n"/>
      <c r="F16" s="33" t="n"/>
      <c r="G16" s="33" t="n"/>
      <c r="H16" s="33" t="n"/>
    </row>
    <row r="17">
      <c r="A17" s="33" t="n"/>
      <c r="B17" s="33" t="n"/>
      <c r="C17" s="33" t="n"/>
      <c r="D17" s="33" t="n"/>
      <c r="E17" s="33" t="n"/>
      <c r="F17" s="33" t="n"/>
      <c r="G17" s="33" t="n"/>
      <c r="H17" s="33" t="n"/>
    </row>
    <row r="18">
      <c r="A18" s="33" t="n"/>
      <c r="B18" s="33" t="n"/>
      <c r="C18" s="33" t="n"/>
      <c r="D18" s="33" t="n"/>
      <c r="E18" s="33" t="n"/>
      <c r="F18" s="33" t="n"/>
      <c r="G18" s="33" t="n"/>
      <c r="H18" s="33" t="n"/>
    </row>
    <row r="19">
      <c r="A19" s="33" t="n"/>
      <c r="B19" s="33" t="n"/>
      <c r="C19" s="33" t="n"/>
      <c r="D19" s="33" t="n"/>
      <c r="E19" s="33" t="n"/>
      <c r="F19" s="33" t="n"/>
      <c r="G19" s="33" t="n"/>
      <c r="H19" s="33" t="n"/>
    </row>
    <row r="20">
      <c r="A20" s="33" t="n"/>
      <c r="B20" s="33" t="n"/>
      <c r="C20" s="33" t="n"/>
      <c r="D20" s="33" t="n"/>
      <c r="E20" s="33" t="n"/>
      <c r="F20" s="33" t="n"/>
      <c r="G20" s="33" t="n"/>
      <c r="H20" s="33" t="n"/>
    </row>
  </sheetData>
  <mergeCells count="6">
    <mergeCell ref="A3:H3"/>
    <mergeCell ref="A15:H15"/>
    <mergeCell ref="A16:H20"/>
    <mergeCell ref="A1:H1"/>
    <mergeCell ref="A8:H8"/>
    <mergeCell ref="A4:H6"/>
  </mergeCells>
  <pageMargins left="0.75" right="0.75" top="1" bottom="1" header="0.5" footer="0.5"/>
</worksheet>
</file>

<file path=xl/worksheets/sheet2.xml><?xml version="1.0" encoding="utf-8"?>
<worksheet xmlns="http://schemas.openxmlformats.org/spreadsheetml/2006/main">
  <sheetPr filterMode="0">
    <outlinePr summaryBelow="1" summaryRight="1"/>
    <pageSetUpPr fitToPage="0"/>
  </sheetPr>
  <dimension ref="A1:F31"/>
  <sheetViews>
    <sheetView showFormulas="0" showGridLines="0" showRowColHeaders="1" showZeros="1" rightToLeft="0" tabSelected="1" showOutlineSymbols="1" defaultGridColor="1" view="normal" topLeftCell="A1" colorId="64" zoomScale="100" zoomScaleNormal="100" zoomScalePageLayoutView="100" workbookViewId="0">
      <pane ySplit="6" topLeftCell="A7" activePane="bottomLeft" state="frozen"/>
      <selection pane="bottomLeft" activeCell="A1" activeCellId="0" sqref="A1"/>
      <selection pane="bottomLeft" activeCell="A1" activeCellId="0" sqref="A1"/>
    </sheetView>
  </sheetViews>
  <sheetFormatPr baseColWidth="8" defaultColWidth="8.6796875" defaultRowHeight="15" customHeight="1" zeroHeight="0" outlineLevelRow="0"/>
  <cols>
    <col width="36" customWidth="1" style="19" min="1" max="1"/>
    <col width="16" customWidth="1" style="19" min="2" max="2"/>
    <col width="10" customWidth="1" style="19" min="3" max="3"/>
    <col width="24" customWidth="1" style="19" min="4" max="4"/>
    <col width="30" customWidth="1" style="19" min="5" max="5"/>
    <col width="20" customWidth="1" style="19" min="6" max="6"/>
  </cols>
  <sheetData>
    <row r="1" ht="17.35" customHeight="1" s="20">
      <c r="A1" s="21" t="inlineStr">
        <is>
          <t>Cash Conversion Cycle (CCC) — Professional Model (ARS / Montenegro)</t>
        </is>
      </c>
    </row>
    <row r="3" ht="15" customHeight="1" s="20">
      <c r="A3" s="22" t="inlineStr">
        <is>
          <t>Scenario</t>
        </is>
      </c>
      <c r="B3" s="23" t="inlineStr">
        <is>
          <t>Base</t>
        </is>
      </c>
      <c r="C3" s="24" t="inlineStr">
        <is>
          <t>Options: Base / Optimistic / Pessimistic</t>
        </is>
      </c>
    </row>
    <row r="5" ht="15" customHeight="1" s="20">
      <c r="A5" s="25" t="inlineStr">
        <is>
          <t>Key Assumptions (editable inputs)</t>
        </is>
      </c>
      <c r="B5" s="64" t="n"/>
      <c r="C5" s="64" t="n"/>
      <c r="D5" s="64" t="n"/>
      <c r="E5" s="64" t="n"/>
      <c r="F5" s="65" t="n"/>
    </row>
    <row r="6" ht="15" customHeight="1" s="20">
      <c r="A6" s="26" t="inlineStr">
        <is>
          <t>Parameter</t>
        </is>
      </c>
      <c r="B6" s="26" t="inlineStr">
        <is>
          <t>Value</t>
        </is>
      </c>
      <c r="C6" s="26" t="inlineStr">
        <is>
          <t>Unit</t>
        </is>
      </c>
      <c r="D6" s="26" t="inlineStr">
        <is>
          <t>Notes</t>
        </is>
      </c>
      <c r="E6" s="64" t="n"/>
      <c r="F6" s="65" t="n"/>
    </row>
    <row r="7" ht="15" customHeight="1" s="20">
      <c r="A7" s="29" t="inlineStr">
        <is>
          <t>Start Year</t>
        </is>
      </c>
      <c r="B7" s="30" t="n">
        <v>2026</v>
      </c>
      <c r="C7" s="31" t="n"/>
      <c r="D7" s="32" t="n"/>
      <c r="E7" s="64" t="n"/>
      <c r="F7" s="65" t="n"/>
    </row>
    <row r="8" ht="15" customHeight="1" s="20">
      <c r="A8" s="29" t="inlineStr">
        <is>
          <t>End Year</t>
        </is>
      </c>
      <c r="B8" s="30" t="n">
        <v>2030</v>
      </c>
      <c r="C8" s="31" t="n"/>
      <c r="D8" s="32" t="n"/>
      <c r="E8" s="64" t="n"/>
      <c r="F8" s="65" t="n"/>
    </row>
    <row r="9" ht="15" customHeight="1" s="20">
      <c r="A9" s="29" t="inlineStr">
        <is>
          <t>Days in Year</t>
        </is>
      </c>
      <c r="B9" s="30" t="n">
        <v>365</v>
      </c>
      <c r="C9" s="31" t="n"/>
      <c r="D9" s="32" t="inlineStr">
        <is>
          <t>Use 365 unless you want 360 banking convention</t>
        </is>
      </c>
      <c r="E9" s="64" t="n"/>
      <c r="F9" s="65" t="n"/>
    </row>
    <row r="10" ht="15" customHeight="1" s="20">
      <c r="A10" s="29" t="inlineStr">
        <is>
          <t>Revenue (Year 1)</t>
        </is>
      </c>
      <c r="B10" s="34" t="n">
        <v>5000000</v>
      </c>
      <c r="C10" s="31" t="inlineStr">
        <is>
          <t>€</t>
        </is>
      </c>
      <c r="D10" s="32" t="n"/>
      <c r="E10" s="64" t="n"/>
      <c r="F10" s="65" t="n"/>
    </row>
    <row r="11" ht="15" customHeight="1" s="20">
      <c r="A11" s="29" t="inlineStr">
        <is>
          <t>COGS (% of Revenue)</t>
        </is>
      </c>
      <c r="B11" s="35">
        <f>CHOOSE($B$23,$B$18,$C$18,$D$18)</f>
        <v/>
      </c>
      <c r="C11" s="31" t="inlineStr">
        <is>
          <t>%</t>
        </is>
      </c>
      <c r="D11" s="32" t="n"/>
      <c r="E11" s="64" t="n"/>
      <c r="F11" s="65" t="n"/>
    </row>
    <row r="12" ht="15" customHeight="1" s="20">
      <c r="A12" s="29" t="inlineStr">
        <is>
          <t>Revenue Growth (YoY)</t>
        </is>
      </c>
      <c r="B12" s="35">
        <f>CHOOSE($B$23,$B$17,$C$17,$D$17)</f>
        <v/>
      </c>
      <c r="C12" s="31" t="inlineStr">
        <is>
          <t>%</t>
        </is>
      </c>
      <c r="D12" s="32" t="n"/>
      <c r="E12" s="64" t="n"/>
      <c r="F12" s="65" t="n"/>
    </row>
    <row r="13" ht="15" customHeight="1" s="20">
      <c r="A13" s="29" t="inlineStr">
        <is>
          <t>Target CCC (days)</t>
        </is>
      </c>
      <c r="B13" s="36" t="n">
        <v>45</v>
      </c>
      <c r="C13" s="31" t="inlineStr">
        <is>
          <t>days</t>
        </is>
      </c>
      <c r="D13" s="32" t="inlineStr">
        <is>
          <t>Typical investor target: &lt;45 days</t>
        </is>
      </c>
      <c r="E13" s="64" t="n"/>
      <c r="F13" s="65" t="n"/>
    </row>
    <row r="15" ht="15" customHeight="1" s="20">
      <c r="A15" s="25" t="inlineStr">
        <is>
          <t>Scenario Inputs (optional overrides)</t>
        </is>
      </c>
      <c r="B15" s="64" t="n"/>
      <c r="C15" s="64" t="n"/>
      <c r="D15" s="64" t="n"/>
      <c r="E15" s="64" t="n"/>
      <c r="F15" s="65" t="n"/>
    </row>
    <row r="16" ht="28.35" customHeight="1" s="20">
      <c r="A16" s="26" t="inlineStr">
        <is>
          <t>Metric</t>
        </is>
      </c>
      <c r="B16" s="26" t="inlineStr">
        <is>
          <t>Base</t>
        </is>
      </c>
      <c r="C16" s="26" t="inlineStr">
        <is>
          <t>Optimistic</t>
        </is>
      </c>
      <c r="D16" s="26" t="inlineStr">
        <is>
          <t>Pessimistic</t>
        </is>
      </c>
      <c r="E16" s="26" t="inlineStr">
        <is>
          <t>Unit</t>
        </is>
      </c>
      <c r="F16" s="26" t="inlineStr">
        <is>
          <t>Notes</t>
        </is>
      </c>
    </row>
    <row r="17" ht="15" customHeight="1" s="20">
      <c r="A17" s="32" t="inlineStr">
        <is>
          <t>Revenue Growth (YoY)</t>
        </is>
      </c>
      <c r="B17" s="37" t="n">
        <v>0.12</v>
      </c>
      <c r="C17" s="37" t="n">
        <v>0.15</v>
      </c>
      <c r="D17" s="37" t="n">
        <v>0.08</v>
      </c>
      <c r="E17" s="31" t="inlineStr">
        <is>
          <t>%</t>
        </is>
      </c>
      <c r="F17" s="32" t="n"/>
    </row>
    <row r="18" ht="15" customHeight="1" s="20">
      <c r="A18" s="32" t="inlineStr">
        <is>
          <t>COGS (% of Revenue)</t>
        </is>
      </c>
      <c r="B18" s="37" t="n">
        <v>0.65</v>
      </c>
      <c r="C18" s="37" t="n">
        <v>0.63</v>
      </c>
      <c r="D18" s="37" t="n">
        <v>0.68</v>
      </c>
      <c r="E18" s="31" t="inlineStr">
        <is>
          <t>%</t>
        </is>
      </c>
      <c r="F18" s="32" t="n"/>
    </row>
    <row r="19" ht="28.35" customHeight="1" s="20">
      <c r="A19" s="32" t="inlineStr">
        <is>
          <t>DSO shift (days)</t>
        </is>
      </c>
      <c r="B19" s="38" t="n">
        <v>0</v>
      </c>
      <c r="C19" s="38" t="n">
        <v>-5</v>
      </c>
      <c r="D19" s="38" t="n">
        <v>10</v>
      </c>
      <c r="E19" s="31" t="inlineStr">
        <is>
          <t>days</t>
        </is>
      </c>
      <c r="F19" s="32" t="inlineStr">
        <is>
          <t>Scenario adjustment applied to yearly path</t>
        </is>
      </c>
    </row>
    <row r="20" ht="28.35" customHeight="1" s="20">
      <c r="A20" s="32" t="inlineStr">
        <is>
          <t>DPO shift (days)</t>
        </is>
      </c>
      <c r="B20" s="38" t="n">
        <v>0</v>
      </c>
      <c r="C20" s="38" t="n">
        <v>5</v>
      </c>
      <c r="D20" s="38" t="n">
        <v>-5</v>
      </c>
      <c r="E20" s="31" t="inlineStr">
        <is>
          <t>days</t>
        </is>
      </c>
      <c r="F20" s="32" t="inlineStr">
        <is>
          <t>Scenario adjustment applied to yearly path</t>
        </is>
      </c>
    </row>
    <row r="21" ht="28.35" customHeight="1" s="20">
      <c r="A21" s="32" t="inlineStr">
        <is>
          <t>DIO shift (days)</t>
        </is>
      </c>
      <c r="B21" s="38" t="n">
        <v>0</v>
      </c>
      <c r="C21" s="38" t="n">
        <v>-5</v>
      </c>
      <c r="D21" s="38" t="n">
        <v>10</v>
      </c>
      <c r="E21" s="31" t="inlineStr">
        <is>
          <t>days</t>
        </is>
      </c>
      <c r="F21" s="32" t="inlineStr">
        <is>
          <t>Scenario adjustment applied to yearly path</t>
        </is>
      </c>
    </row>
    <row r="23" ht="15" customHeight="1" s="20">
      <c r="A23" s="39" t="inlineStr">
        <is>
          <t>Scenario Index</t>
        </is>
      </c>
      <c r="B23" s="40">
        <f>MATCH(B3,{"Base","Optimistic","Pessimistic"},0)</f>
        <v/>
      </c>
    </row>
    <row r="25" ht="15" customHeight="1" s="20">
      <c r="A25" s="25" t="inlineStr">
        <is>
          <t>Operational Working-Capital Targets by Year (editable)</t>
        </is>
      </c>
      <c r="B25" s="64" t="n"/>
      <c r="C25" s="64" t="n"/>
      <c r="D25" s="64" t="n"/>
      <c r="E25" s="64" t="n"/>
      <c r="F25" s="65" t="n"/>
    </row>
    <row r="26" ht="28.35" customHeight="1" s="20">
      <c r="A26" s="26" t="inlineStr">
        <is>
          <t>Year</t>
        </is>
      </c>
      <c r="B26" s="26" t="inlineStr">
        <is>
          <t>DIO (days)</t>
        </is>
      </c>
      <c r="C26" s="26" t="inlineStr">
        <is>
          <t>DSO (days)</t>
        </is>
      </c>
      <c r="D26" s="26" t="inlineStr">
        <is>
          <t>DPO (days)</t>
        </is>
      </c>
      <c r="E26" s="26" t="inlineStr">
        <is>
          <t>Notes</t>
        </is>
      </c>
      <c r="F26" s="26" t="n"/>
    </row>
    <row r="27" ht="15" customHeight="1" s="20">
      <c r="A27" s="31" t="n">
        <v>2026</v>
      </c>
      <c r="B27" s="41">
        <f>45 + CHOOSE($B$23,$B$21,$C$21,$D$21)</f>
        <v/>
      </c>
      <c r="C27" s="41">
        <f>60 + CHOOSE($B$23,$B$19,$C$19,$D$19)</f>
        <v/>
      </c>
      <c r="D27" s="41">
        <f>30 + CHOOSE($B$23,$B$20,$C$20,$D$20)</f>
        <v/>
      </c>
      <c r="E27" s="42" t="inlineStr">
        <is>
          <t>Edit path (e.g., WMS, milestones, supplier terms)</t>
        </is>
      </c>
      <c r="F27" s="65" t="n"/>
    </row>
    <row r="28" ht="15" customHeight="1" s="20">
      <c r="A28" s="31" t="n">
        <v>2027</v>
      </c>
      <c r="B28" s="41">
        <f>41 + CHOOSE($B$23,$B$21,$C$21,$D$21)</f>
        <v/>
      </c>
      <c r="C28" s="41">
        <f>56 + CHOOSE($B$23,$B$19,$C$19,$D$19)</f>
        <v/>
      </c>
      <c r="D28" s="41">
        <f>34 + CHOOSE($B$23,$B$20,$C$20,$D$20)</f>
        <v/>
      </c>
      <c r="E28" s="42" t="inlineStr">
        <is>
          <t>Edit path (e.g., WMS, milestones, supplier terms)</t>
        </is>
      </c>
      <c r="F28" s="65" t="n"/>
    </row>
    <row r="29" ht="15" customHeight="1" s="20">
      <c r="A29" s="31" t="n">
        <v>2028</v>
      </c>
      <c r="B29" s="41">
        <f>38 + CHOOSE($B$23,$B$21,$C$21,$D$21)</f>
        <v/>
      </c>
      <c r="C29" s="41">
        <f>52 + CHOOSE($B$23,$B$19,$C$19,$D$19)</f>
        <v/>
      </c>
      <c r="D29" s="41">
        <f>38 + CHOOSE($B$23,$B$20,$C$20,$D$20)</f>
        <v/>
      </c>
      <c r="E29" s="42" t="inlineStr">
        <is>
          <t>Edit path (e.g., WMS, milestones, supplier terms)</t>
        </is>
      </c>
      <c r="F29" s="65" t="n"/>
    </row>
    <row r="30" ht="15" customHeight="1" s="20">
      <c r="A30" s="31" t="n">
        <v>2029</v>
      </c>
      <c r="B30" s="41">
        <f>34 + CHOOSE($B$23,$B$21,$C$21,$D$21)</f>
        <v/>
      </c>
      <c r="C30" s="41">
        <f>48 + CHOOSE($B$23,$B$19,$C$19,$D$19)</f>
        <v/>
      </c>
      <c r="D30" s="41">
        <f>42 + CHOOSE($B$23,$B$20,$C$20,$D$20)</f>
        <v/>
      </c>
      <c r="E30" s="42" t="inlineStr">
        <is>
          <t>Edit path (e.g., WMS, milestones, supplier terms)</t>
        </is>
      </c>
      <c r="F30" s="65" t="n"/>
    </row>
    <row r="31" ht="15" customHeight="1" s="20">
      <c r="A31" s="31" t="n">
        <v>2030</v>
      </c>
      <c r="B31" s="41">
        <f>30 + CHOOSE($B$23,$B$21,$C$21,$D$21)</f>
        <v/>
      </c>
      <c r="C31" s="41">
        <f>45 + CHOOSE($B$23,$B$19,$C$19,$D$19)</f>
        <v/>
      </c>
      <c r="D31" s="41">
        <f>45 + CHOOSE($B$23,$B$20,$C$20,$D$20)</f>
        <v/>
      </c>
      <c r="E31" s="42" t="inlineStr">
        <is>
          <t>Edit path (e.g., WMS, milestones, supplier terms)</t>
        </is>
      </c>
      <c r="F31" s="65" t="n"/>
    </row>
  </sheetData>
  <mergeCells count="18">
    <mergeCell ref="D13:F13"/>
    <mergeCell ref="D11:F11"/>
    <mergeCell ref="E30:F30"/>
    <mergeCell ref="C3:F3"/>
    <mergeCell ref="E29:F29"/>
    <mergeCell ref="A1:F1"/>
    <mergeCell ref="A5:F5"/>
    <mergeCell ref="A15:F15"/>
    <mergeCell ref="D12:F12"/>
    <mergeCell ref="E27:F27"/>
    <mergeCell ref="E28:F28"/>
    <mergeCell ref="D9:F9"/>
    <mergeCell ref="D7:F7"/>
    <mergeCell ref="D8:F8"/>
    <mergeCell ref="D6:F6"/>
    <mergeCell ref="E31:F31"/>
    <mergeCell ref="A25:F25"/>
    <mergeCell ref="D10:F10"/>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3.xml><?xml version="1.0" encoding="utf-8"?>
<worksheet xmlns="http://schemas.openxmlformats.org/spreadsheetml/2006/main">
  <sheetPr filterMode="0">
    <outlinePr summaryBelow="1" summaryRight="1"/>
    <pageSetUpPr fitToPage="0"/>
  </sheetPr>
  <dimension ref="A1:K8"/>
  <sheetViews>
    <sheetView showFormulas="0" showGridLines="0" showRowColHeaders="1" showZeros="1" rightToLeft="0" tabSelected="0" showOutlineSymbols="1" defaultGridColor="1" view="normal" topLeftCell="A1" colorId="64" zoomScale="100" zoomScaleNormal="100" zoomScalePageLayoutView="100" workbookViewId="0">
      <pane ySplit="3" topLeftCell="A4" activePane="bottomLeft" state="frozen"/>
      <selection pane="bottomLeft" activeCell="A1" activeCellId="0" sqref="A1"/>
      <selection pane="bottomLeft" activeCell="A1" activeCellId="0" sqref="A1"/>
    </sheetView>
  </sheetViews>
  <sheetFormatPr baseColWidth="8" defaultColWidth="8.6796875" defaultRowHeight="15" customHeight="1" zeroHeight="0" outlineLevelRow="0"/>
  <cols>
    <col width="10" customWidth="1" style="19" min="1" max="1"/>
    <col width="16" customWidth="1" style="19" min="2" max="2"/>
    <col width="16" customWidth="1" style="19" min="3" max="3"/>
    <col width="18" customWidth="1" style="19" min="4" max="4"/>
    <col width="16" customWidth="1" style="19" min="5" max="6"/>
    <col width="16" customWidth="1" style="20" min="6" max="6"/>
    <col width="10" customWidth="1" style="19" min="7" max="10"/>
    <col width="10" customWidth="1" style="20" min="8" max="8"/>
    <col width="10" customWidth="1" style="20" min="9" max="9"/>
    <col width="11" customWidth="1" style="20" min="10" max="10"/>
    <col width="38" customWidth="1" style="19" min="11" max="11"/>
    <col width="2" customWidth="1" style="19" min="13" max="15"/>
  </cols>
  <sheetData>
    <row r="1" ht="17.35" customHeight="1" s="20">
      <c r="A1" s="21" t="inlineStr">
        <is>
          <t>CCC Calculation (2026–2030) — standard formulas + audit trail</t>
        </is>
      </c>
    </row>
    <row r="3" ht="28.35" customHeight="1" s="20">
      <c r="A3" s="26" t="inlineStr">
        <is>
          <t>Year</t>
        </is>
      </c>
      <c r="B3" s="26" t="inlineStr">
        <is>
          <t>Revenue (€)</t>
        </is>
      </c>
      <c r="C3" s="26" t="inlineStr">
        <is>
          <t>COGS (€)</t>
        </is>
      </c>
      <c r="D3" s="26" t="inlineStr">
        <is>
          <t>Avg Inventory (€)</t>
        </is>
      </c>
      <c r="E3" s="26" t="inlineStr">
        <is>
          <t>Avg AR (€)</t>
        </is>
      </c>
      <c r="F3" s="26" t="inlineStr">
        <is>
          <t>Avg AP (€)</t>
        </is>
      </c>
      <c r="G3" s="26" t="inlineStr">
        <is>
          <t>DIO (days)</t>
        </is>
      </c>
      <c r="H3" s="26" t="inlineStr">
        <is>
          <t>DSO (days)</t>
        </is>
      </c>
      <c r="I3" s="26" t="inlineStr">
        <is>
          <t>DPO (days)</t>
        </is>
      </c>
      <c r="J3" s="26" t="inlineStr">
        <is>
          <t>CCC (days)</t>
        </is>
      </c>
      <c r="K3" s="26" t="inlineStr">
        <is>
          <t>Notes</t>
        </is>
      </c>
    </row>
    <row r="4" ht="28.35" customHeight="1" s="20">
      <c r="A4" s="43" t="n">
        <v>2026</v>
      </c>
      <c r="B4" s="44">
        <f>Assumptions!B10</f>
        <v/>
      </c>
      <c r="C4" s="44">
        <f>B4*Assumptions!B11</f>
        <v/>
      </c>
      <c r="D4" s="44">
        <f>(INDEX(Assumptions!$B$27:$B$31, MATCH(A4, Assumptions!$A$27:$A$31, 0))/Assumptions!B9)*C4</f>
        <v/>
      </c>
      <c r="E4" s="44">
        <f>(INDEX(Assumptions!$C$27:$C$31, MATCH(A4, Assumptions!$A$27:$A$31, 0))/Assumptions!B9)*B4</f>
        <v/>
      </c>
      <c r="F4" s="44">
        <f>(INDEX(Assumptions!$D$27:$D$31, MATCH(A4, Assumptions!$A$27:$A$31, 0))/Assumptions!B9)*C4</f>
        <v/>
      </c>
      <c r="G4" s="45">
        <f>(D4/C4)*Assumptions!B9</f>
        <v/>
      </c>
      <c r="H4" s="45">
        <f>(E4/B4)*Assumptions!B9</f>
        <v/>
      </c>
      <c r="I4" s="45">
        <f>(F4/C4)*Assumptions!B9</f>
        <v/>
      </c>
      <c r="J4" s="52">
        <f>G4+H4-I4</f>
        <v/>
      </c>
      <c r="K4" s="42" t="inlineStr">
        <is>
          <t>DIO/DSO/DPO computed from balances (audit-ready)</t>
        </is>
      </c>
    </row>
    <row r="5" ht="28.35" customHeight="1" s="20">
      <c r="A5" s="43" t="n">
        <v>2027</v>
      </c>
      <c r="B5" s="44">
        <f>B4*(1+Assumptions!B12)</f>
        <v/>
      </c>
      <c r="C5" s="44">
        <f>B5*Assumptions!B11</f>
        <v/>
      </c>
      <c r="D5" s="44">
        <f>(INDEX(Assumptions!$B$27:$B$31, MATCH(A5, Assumptions!$A$27:$A$31, 0))/Assumptions!B9)*C5</f>
        <v/>
      </c>
      <c r="E5" s="44">
        <f>(INDEX(Assumptions!$C$27:$C$31, MATCH(A5, Assumptions!$A$27:$A$31, 0))/Assumptions!B9)*B5</f>
        <v/>
      </c>
      <c r="F5" s="44">
        <f>(INDEX(Assumptions!$D$27:$D$31, MATCH(A5, Assumptions!$A$27:$A$31, 0))/Assumptions!B9)*C5</f>
        <v/>
      </c>
      <c r="G5" s="45">
        <f>(D5/C5)*Assumptions!B9</f>
        <v/>
      </c>
      <c r="H5" s="45">
        <f>(E5/B5)*Assumptions!B9</f>
        <v/>
      </c>
      <c r="I5" s="45">
        <f>(F5/C5)*Assumptions!B9</f>
        <v/>
      </c>
      <c r="J5" s="52">
        <f>G5+H5-I5</f>
        <v/>
      </c>
      <c r="K5" s="42" t="inlineStr">
        <is>
          <t>DIO/DSO/DPO computed from balances (audit-ready)</t>
        </is>
      </c>
    </row>
    <row r="6" ht="28.35" customHeight="1" s="20">
      <c r="A6" s="43" t="n">
        <v>2028</v>
      </c>
      <c r="B6" s="44">
        <f>B5*(1+Assumptions!B12)</f>
        <v/>
      </c>
      <c r="C6" s="44">
        <f>B6*Assumptions!B11</f>
        <v/>
      </c>
      <c r="D6" s="44">
        <f>(INDEX(Assumptions!$B$27:$B$31, MATCH(A6, Assumptions!$A$27:$A$31, 0))/Assumptions!B9)*C6</f>
        <v/>
      </c>
      <c r="E6" s="44">
        <f>(INDEX(Assumptions!$C$27:$C$31, MATCH(A6, Assumptions!$A$27:$A$31, 0))/Assumptions!B9)*B6</f>
        <v/>
      </c>
      <c r="F6" s="44">
        <f>(INDEX(Assumptions!$D$27:$D$31, MATCH(A6, Assumptions!$A$27:$A$31, 0))/Assumptions!B9)*C6</f>
        <v/>
      </c>
      <c r="G6" s="45">
        <f>(D6/C6)*Assumptions!B9</f>
        <v/>
      </c>
      <c r="H6" s="45">
        <f>(E6/B6)*Assumptions!B9</f>
        <v/>
      </c>
      <c r="I6" s="45">
        <f>(F6/C6)*Assumptions!B9</f>
        <v/>
      </c>
      <c r="J6" s="52">
        <f>G6+H6-I6</f>
        <v/>
      </c>
      <c r="K6" s="42" t="inlineStr">
        <is>
          <t>DIO/DSO/DPO computed from balances (audit-ready)</t>
        </is>
      </c>
    </row>
    <row r="7" ht="28.35" customHeight="1" s="20">
      <c r="A7" s="43" t="n">
        <v>2029</v>
      </c>
      <c r="B7" s="44">
        <f>B6*(1+Assumptions!B12)</f>
        <v/>
      </c>
      <c r="C7" s="44">
        <f>B7*Assumptions!B11</f>
        <v/>
      </c>
      <c r="D7" s="44">
        <f>(INDEX(Assumptions!$B$27:$B$31, MATCH(A7, Assumptions!$A$27:$A$31, 0))/Assumptions!B9)*C7</f>
        <v/>
      </c>
      <c r="E7" s="44">
        <f>(INDEX(Assumptions!$C$27:$C$31, MATCH(A7, Assumptions!$A$27:$A$31, 0))/Assumptions!B9)*B7</f>
        <v/>
      </c>
      <c r="F7" s="44">
        <f>(INDEX(Assumptions!$D$27:$D$31, MATCH(A7, Assumptions!$A$27:$A$31, 0))/Assumptions!B9)*C7</f>
        <v/>
      </c>
      <c r="G7" s="45">
        <f>(D7/C7)*Assumptions!B9</f>
        <v/>
      </c>
      <c r="H7" s="45">
        <f>(E7/B7)*Assumptions!B9</f>
        <v/>
      </c>
      <c r="I7" s="45">
        <f>(F7/C7)*Assumptions!B9</f>
        <v/>
      </c>
      <c r="J7" s="52">
        <f>G7+H7-I7</f>
        <v/>
      </c>
      <c r="K7" s="42" t="inlineStr">
        <is>
          <t>DIO/DSO/DPO computed from balances (audit-ready)</t>
        </is>
      </c>
    </row>
    <row r="8" ht="28.35" customHeight="1" s="20">
      <c r="A8" s="47" t="n">
        <v>2030</v>
      </c>
      <c r="B8" s="48">
        <f>B7*(1+Assumptions!B12)</f>
        <v/>
      </c>
      <c r="C8" s="48">
        <f>B8*Assumptions!B11</f>
        <v/>
      </c>
      <c r="D8" s="48">
        <f>(INDEX(Assumptions!$B$27:$B$31, MATCH(A8, Assumptions!$A$27:$A$31, 0))/Assumptions!B9)*C8</f>
        <v/>
      </c>
      <c r="E8" s="48">
        <f>(INDEX(Assumptions!$C$27:$C$31, MATCH(A8, Assumptions!$A$27:$A$31, 0))/Assumptions!B9)*B8</f>
        <v/>
      </c>
      <c r="F8" s="48">
        <f>(INDEX(Assumptions!$D$27:$D$31, MATCH(A8, Assumptions!$A$27:$A$31, 0))/Assumptions!B9)*C8</f>
        <v/>
      </c>
      <c r="G8" s="49">
        <f>(D8/C8)*Assumptions!B9</f>
        <v/>
      </c>
      <c r="H8" s="49">
        <f>(E8/B8)*Assumptions!B9</f>
        <v/>
      </c>
      <c r="I8" s="49">
        <f>(F8/C8)*Assumptions!B9</f>
        <v/>
      </c>
      <c r="J8" s="50">
        <f>G8+H8-I8</f>
        <v/>
      </c>
      <c r="K8" s="51" t="inlineStr">
        <is>
          <t>DIO/DSO/DPO computed from balances (audit-ready)</t>
        </is>
      </c>
    </row>
  </sheetData>
  <mergeCells count="1">
    <mergeCell ref="A1:K1"/>
  </mergeCells>
  <conditionalFormatting sqref="J4:J8">
    <cfRule type="cellIs" priority="3" operator="lessThanOrEqual" dxfId="2">
      <formula>45</formula>
    </cfRule>
    <cfRule type="cellIs" priority="4" operator="between" dxfId="3">
      <formula>45.0001</formula>
      <formula>60</formula>
    </cfRule>
    <cfRule type="cellIs" priority="5" operator="greaterThan" dxfId="4">
      <formula>60</formula>
    </cfRule>
  </conditionalFormatting>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drawing xmlns:r="http://schemas.openxmlformats.org/officeDocument/2006/relationships" r:id="rId1"/>
  <legacyDrawing xmlns:r="http://schemas.openxmlformats.org/officeDocument/2006/relationships" r:id="anysvml"/>
</worksheet>
</file>

<file path=xl/worksheets/sheet4.xml><?xml version="1.0" encoding="utf-8"?>
<worksheet xmlns="http://schemas.openxmlformats.org/spreadsheetml/2006/main">
  <sheetPr filterMode="0">
    <outlinePr summaryBelow="1" summaryRight="1"/>
    <pageSetUpPr fitToPage="0"/>
  </sheetPr>
  <dimension ref="A1:H19"/>
  <sheetViews>
    <sheetView showFormulas="0" showGridLines="0" showRowColHeaders="1" showZeros="1" rightToLeft="0" tabSelected="0" showOutlineSymbols="1" defaultGridColor="1" view="normal" topLeftCell="A1" colorId="64" zoomScale="100" zoomScaleNormal="100" zoomScalePageLayoutView="100" workbookViewId="0">
      <pane ySplit="3" topLeftCell="A4" activePane="bottomLeft" state="frozen"/>
      <selection pane="bottomLeft" activeCell="A1" activeCellId="0" sqref="A1"/>
      <selection pane="bottomLeft" activeCell="A1" activeCellId="0" sqref="A1"/>
    </sheetView>
  </sheetViews>
  <sheetFormatPr baseColWidth="8" defaultColWidth="8.6796875" defaultRowHeight="15" customHeight="1" zeroHeight="0" outlineLevelRow="0"/>
  <cols>
    <col width="34" customWidth="1" style="19" min="1" max="1"/>
    <col width="16" customWidth="1" style="19" min="2" max="2"/>
    <col width="22" customWidth="1" style="19" min="3" max="3"/>
    <col width="4" customWidth="1" style="19" min="4" max="4"/>
    <col width="16" customWidth="1" style="19" min="5" max="8"/>
    <col width="16" customWidth="1" style="20" min="6" max="6"/>
    <col width="16" customWidth="1" style="20" min="7" max="7"/>
    <col width="16" customWidth="1" style="20" min="8" max="8"/>
  </cols>
  <sheetData>
    <row r="1" ht="17.35" customHeight="1" s="20">
      <c r="A1" s="21" t="inlineStr">
        <is>
          <t>Dashboard / Summary (Investor View)</t>
        </is>
      </c>
    </row>
    <row r="3" ht="15" customHeight="1" s="20">
      <c r="A3" s="25" t="inlineStr">
        <is>
          <t>Key Indicators</t>
        </is>
      </c>
      <c r="B3" s="64" t="n"/>
      <c r="C3" s="64" t="n"/>
      <c r="D3" s="64" t="n"/>
      <c r="E3" s="64" t="n"/>
      <c r="F3" s="64" t="n"/>
      <c r="G3" s="64" t="n"/>
      <c r="H3" s="65" t="n"/>
    </row>
    <row r="4" ht="15" customHeight="1" s="20">
      <c r="A4" s="29" t="inlineStr">
        <is>
          <t>Current CCC (Year 1)</t>
        </is>
      </c>
      <c r="B4" s="52">
        <f>'CCC Calculation'!J4</f>
        <v/>
      </c>
    </row>
    <row r="5" ht="15" customHeight="1" s="20">
      <c r="A5" s="29" t="inlineStr">
        <is>
          <t>Target CCC (days)</t>
        </is>
      </c>
      <c r="B5" s="52">
        <f>Assumptions!B13</f>
        <v/>
      </c>
    </row>
    <row r="6" ht="15" customHeight="1" s="20">
      <c r="A6" s="29" t="inlineStr">
        <is>
          <t>Improvement (Year 1 → Year 5)</t>
        </is>
      </c>
      <c r="B6" s="52">
        <f>'CCC Calculation'!J4-'CCC Calculation'!J8</f>
        <v/>
      </c>
    </row>
    <row r="7" ht="15" customHeight="1" s="20">
      <c r="A7" s="29" t="inlineStr">
        <is>
          <t>Improvement (%)</t>
        </is>
      </c>
      <c r="B7" s="53">
        <f>IF('CCC Calculation'!J4=0,0,B6/'CCC Calculation'!J4)</f>
        <v/>
      </c>
    </row>
    <row r="9" ht="15" customHeight="1" s="20">
      <c r="A9" s="25" t="inlineStr">
        <is>
          <t>Interpretation (Cash Flow Meaning)</t>
        </is>
      </c>
      <c r="B9" s="64" t="n"/>
      <c r="C9" s="64" t="n"/>
      <c r="D9" s="64" t="n"/>
      <c r="E9" s="64" t="n"/>
      <c r="F9" s="64" t="n"/>
      <c r="G9" s="64" t="n"/>
      <c r="H9" s="65" t="n"/>
    </row>
    <row r="10" ht="15" customHeight="1" s="20">
      <c r="A10" s="42" t="inlineStr">
        <is>
          <t>CCC = Inventory + Receivables − Payables (in days). Lower CCC reduces working capital and improves liquidity.</t>
        </is>
      </c>
      <c r="B10" s="64" t="n"/>
      <c r="C10" s="64" t="n"/>
      <c r="D10" s="64" t="n"/>
      <c r="E10" s="64" t="n"/>
      <c r="F10" s="64" t="n"/>
      <c r="G10" s="64" t="n"/>
      <c r="H10" s="65" t="n"/>
    </row>
    <row r="11" ht="15" customHeight="1" s="20">
      <c r="A11" s="42" t="inlineStr">
        <is>
          <t>For ARS (material-heavy COGS), CCC materially drives CFADS, debt headroom, and IRR.</t>
        </is>
      </c>
      <c r="B11" s="64" t="n"/>
      <c r="C11" s="64" t="n"/>
      <c r="D11" s="64" t="n"/>
      <c r="E11" s="64" t="n"/>
      <c r="F11" s="64" t="n"/>
      <c r="G11" s="64" t="n"/>
      <c r="H11" s="65" t="n"/>
    </row>
    <row r="12" ht="15" customHeight="1" s="20">
      <c r="A12" s="42" t="inlineStr">
        <is>
          <t>Negative CCC is excellent; CCC &gt; 60 days often signals higher liquidity risk.</t>
        </is>
      </c>
      <c r="B12" s="64" t="n"/>
      <c r="C12" s="64" t="n"/>
      <c r="D12" s="64" t="n"/>
      <c r="E12" s="64" t="n"/>
      <c r="F12" s="64" t="n"/>
      <c r="G12" s="64" t="n"/>
      <c r="H12" s="65" t="n"/>
    </row>
    <row r="14" ht="15" customHeight="1" s="20">
      <c r="A14" s="25" t="inlineStr">
        <is>
          <t>CCC Decomposition (Year 1)</t>
        </is>
      </c>
      <c r="B14" s="64" t="n"/>
      <c r="C14" s="64" t="n"/>
      <c r="D14" s="64" t="n"/>
      <c r="E14" s="64" t="n"/>
      <c r="F14" s="64" t="n"/>
      <c r="G14" s="64" t="n"/>
      <c r="H14" s="65" t="n"/>
    </row>
    <row r="15" ht="15" customHeight="1" s="20">
      <c r="A15" s="26" t="inlineStr">
        <is>
          <t>Component</t>
        </is>
      </c>
      <c r="B15" s="26" t="inlineStr">
        <is>
          <t>Days</t>
        </is>
      </c>
      <c r="C15" s="26" t="inlineStr">
        <is>
          <t>Effect on CCC</t>
        </is>
      </c>
    </row>
    <row r="16" ht="15" customHeight="1" s="20">
      <c r="A16" s="32" t="inlineStr">
        <is>
          <t>DIO</t>
        </is>
      </c>
      <c r="B16" s="45">
        <f>'CCC Calculation'!G4</f>
        <v/>
      </c>
      <c r="C16" s="32" t="inlineStr">
        <is>
          <t>+ increases CCC</t>
        </is>
      </c>
    </row>
    <row r="17" ht="15" customHeight="1" s="20">
      <c r="A17" s="32" t="inlineStr">
        <is>
          <t>DSO</t>
        </is>
      </c>
      <c r="B17" s="45">
        <f>'CCC Calculation'!H4</f>
        <v/>
      </c>
      <c r="C17" s="32" t="inlineStr">
        <is>
          <t>+ increases CCC</t>
        </is>
      </c>
    </row>
    <row r="18" ht="15" customHeight="1" s="20">
      <c r="A18" s="32" t="inlineStr">
        <is>
          <t>DPO</t>
        </is>
      </c>
      <c r="B18" s="45">
        <f>'CCC Calculation'!I4</f>
        <v/>
      </c>
      <c r="C18" s="32" t="inlineStr">
        <is>
          <t>− reduces CCC</t>
        </is>
      </c>
    </row>
    <row r="19" ht="15" customHeight="1" s="20">
      <c r="A19" s="32" t="inlineStr">
        <is>
          <t>CCC</t>
        </is>
      </c>
      <c r="B19" s="52">
        <f>'CCC Calculation'!J4</f>
        <v/>
      </c>
      <c r="C19" s="32" t="inlineStr">
        <is>
          <t>Result</t>
        </is>
      </c>
    </row>
  </sheetData>
  <mergeCells count="7">
    <mergeCell ref="A9:H9"/>
    <mergeCell ref="A12:H12"/>
    <mergeCell ref="A3:H3"/>
    <mergeCell ref="A10:H10"/>
    <mergeCell ref="A11:H11"/>
    <mergeCell ref="A14:H14"/>
    <mergeCell ref="A1:H1"/>
  </mergeCells>
  <conditionalFormatting sqref="B4">
    <cfRule type="cellIs" rank="0" priority="2" equalAverage="0" operator="lessThanOrEqual" aboveAverage="0" dxfId="0" text="" percent="0" bottom="0">
      <formula>$B$5</formula>
    </cfRule>
    <cfRule type="cellIs" rank="0" priority="3" equalAverage="0" operator="greaterThan" aboveAverage="0" dxfId="1" text="" percent="0" bottom="0">
      <formula>60</formula>
    </cfRule>
  </conditionalFormatting>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drawing xmlns:r="http://schemas.openxmlformats.org/officeDocument/2006/relationships" r:id="rId1"/>
</worksheet>
</file>

<file path=xl/worksheets/sheet5.xml><?xml version="1.0" encoding="utf-8"?>
<worksheet xmlns="http://schemas.openxmlformats.org/spreadsheetml/2006/main">
  <sheetPr filterMode="0">
    <outlinePr summaryBelow="1" summaryRight="1"/>
    <pageSetUpPr fitToPage="0"/>
  </sheetPr>
  <dimension ref="A1:K16"/>
  <sheetViews>
    <sheetView showFormulas="0" showGridLines="0" showRowColHeaders="1" showZeros="1" rightToLeft="0" tabSelected="0" showOutlineSymbols="1" defaultGridColor="1" view="normal" topLeftCell="A1" colorId="64" zoomScale="100" zoomScaleNormal="100" zoomScalePageLayoutView="100" workbookViewId="0">
      <pane ySplit="3" topLeftCell="A4" activePane="bottomLeft" state="frozen"/>
      <selection pane="bottomLeft" activeCell="A1" activeCellId="0" sqref="A1"/>
      <selection pane="bottomLeft" activeCell="A1" activeCellId="0" sqref="A1"/>
    </sheetView>
  </sheetViews>
  <sheetFormatPr baseColWidth="8" defaultColWidth="8.6796875" defaultRowHeight="15" customHeight="1" zeroHeight="0" outlineLevelRow="0"/>
  <cols>
    <col width="14" customWidth="1" style="19" min="1" max="1"/>
    <col width="12" customWidth="1" style="19" min="2" max="4"/>
    <col width="12" customWidth="1" style="20" min="3" max="3"/>
    <col width="12" customWidth="1" style="20" min="4" max="4"/>
    <col width="4" customWidth="1" style="19" min="5" max="5"/>
    <col width="22" customWidth="1" style="19" min="6" max="6"/>
    <col width="10" customWidth="1" style="19" min="7" max="11"/>
    <col width="10" customWidth="1" style="20" min="8" max="8"/>
    <col width="10" customWidth="1" style="20" min="9" max="9"/>
    <col width="10" customWidth="1" style="20" min="10" max="10"/>
    <col width="10" customWidth="1" style="20" min="11" max="11"/>
  </cols>
  <sheetData>
    <row r="1" ht="17.35" customHeight="1" s="20">
      <c r="A1" s="21" t="inlineStr">
        <is>
          <t>Sensitivity Analysis — CCC impact of ±10 days changes (Year 1)</t>
        </is>
      </c>
    </row>
    <row r="3" ht="15" customHeight="1" s="20">
      <c r="A3" s="25" t="inlineStr">
        <is>
          <t>Base (Year 1)</t>
        </is>
      </c>
      <c r="B3" s="64" t="n"/>
      <c r="C3" s="64" t="n"/>
      <c r="D3" s="65" t="n"/>
    </row>
    <row r="4" ht="15" customHeight="1" s="20">
      <c r="A4" s="29" t="inlineStr">
        <is>
          <t>DIO</t>
        </is>
      </c>
      <c r="B4" s="52">
        <f>'CCC Calculation'!G4</f>
        <v/>
      </c>
    </row>
    <row r="5" ht="15" customHeight="1" s="20">
      <c r="A5" s="29" t="inlineStr">
        <is>
          <t>DSO</t>
        </is>
      </c>
      <c r="B5" s="52">
        <f>'CCC Calculation'!H4</f>
        <v/>
      </c>
    </row>
    <row r="6" ht="15" customHeight="1" s="20">
      <c r="A6" s="29" t="inlineStr">
        <is>
          <t>DPO</t>
        </is>
      </c>
      <c r="B6" s="52">
        <f>'CCC Calculation'!I4</f>
        <v/>
      </c>
    </row>
    <row r="7" ht="15" customHeight="1" s="20">
      <c r="A7" s="29" t="inlineStr">
        <is>
          <t>CCC</t>
        </is>
      </c>
      <c r="B7" s="52">
        <f>'CCC Calculation'!J4</f>
        <v/>
      </c>
    </row>
    <row r="9" ht="15" customHeight="1" s="20">
      <c r="A9" s="25" t="inlineStr">
        <is>
          <t>One-way sensitivity (Year 1 CCC)</t>
        </is>
      </c>
      <c r="B9" s="64" t="n"/>
      <c r="C9" s="64" t="n"/>
      <c r="D9" s="64" t="n"/>
      <c r="E9" s="64" t="n"/>
      <c r="F9" s="64" t="n"/>
      <c r="G9" s="64" t="n"/>
      <c r="H9" s="65" t="n"/>
    </row>
    <row r="10" ht="28.35" customHeight="1" s="20">
      <c r="A10" s="26" t="inlineStr">
        <is>
          <t>Change (days)</t>
        </is>
      </c>
      <c r="B10" s="26" t="inlineStr">
        <is>
          <t>CCC vs DIO</t>
        </is>
      </c>
      <c r="C10" s="26" t="inlineStr">
        <is>
          <t>CCC vs DSO</t>
        </is>
      </c>
      <c r="D10" s="26" t="inlineStr">
        <is>
          <t>CCC vs DPO</t>
        </is>
      </c>
      <c r="F10" s="25" t="inlineStr">
        <is>
          <t>Two-way: CCC with DIO &amp; DSO shifts (DPO fixed)</t>
        </is>
      </c>
      <c r="G10" s="64" t="n"/>
      <c r="H10" s="64" t="n"/>
      <c r="I10" s="64" t="n"/>
      <c r="J10" s="64" t="n"/>
      <c r="K10" s="65" t="n"/>
    </row>
    <row r="11" ht="15" customHeight="1" s="20">
      <c r="A11" s="45" t="n">
        <v>-10</v>
      </c>
      <c r="B11" s="45">
        <f>($B$4+A11)+$B$5-$B$6</f>
        <v/>
      </c>
      <c r="C11" s="45">
        <f>$B$4+($B$5+A11)-$B$6</f>
        <v/>
      </c>
      <c r="D11" s="45">
        <f>$B$4+$B$5-($B$6+A11)</f>
        <v/>
      </c>
      <c r="F11" s="26" t="inlineStr">
        <is>
          <t>DIO\DSO</t>
        </is>
      </c>
      <c r="G11" s="54" t="n">
        <v>-10</v>
      </c>
      <c r="H11" s="54" t="n">
        <v>-5</v>
      </c>
      <c r="I11" s="54" t="n">
        <v>0</v>
      </c>
      <c r="J11" s="54" t="n">
        <v>5</v>
      </c>
      <c r="K11" s="54" t="n">
        <v>10</v>
      </c>
    </row>
    <row r="12" ht="15" customHeight="1" s="20">
      <c r="A12" s="45" t="n">
        <v>-5</v>
      </c>
      <c r="B12" s="45">
        <f>($B$4+A12)+$B$5-$B$6</f>
        <v/>
      </c>
      <c r="C12" s="45">
        <f>$B$4+($B$5+A12)-$B$6</f>
        <v/>
      </c>
      <c r="D12" s="45">
        <f>$B$4+$B$5-($B$6+A12)</f>
        <v/>
      </c>
      <c r="F12" s="55" t="n">
        <v>-10</v>
      </c>
      <c r="G12" s="45">
        <f>($B$4+-10)+($B$5+-10)-$B$6</f>
        <v/>
      </c>
      <c r="H12" s="45">
        <f>($B$4+-10)+($B$5+-5)-$B$6</f>
        <v/>
      </c>
      <c r="I12" s="45">
        <f>($B$4+-10)+($B$5+0)-$B$6</f>
        <v/>
      </c>
      <c r="J12" s="45">
        <f>($B$4+-10)+($B$5+5)-$B$6</f>
        <v/>
      </c>
      <c r="K12" s="45">
        <f>($B$4+-10)+($B$5+10)-$B$6</f>
        <v/>
      </c>
    </row>
    <row r="13" ht="15" customHeight="1" s="20">
      <c r="A13" s="45" t="n">
        <v>0</v>
      </c>
      <c r="B13" s="45">
        <f>($B$4+A13)+$B$5-$B$6</f>
        <v/>
      </c>
      <c r="C13" s="45">
        <f>$B$4+($B$5+A13)-$B$6</f>
        <v/>
      </c>
      <c r="D13" s="45">
        <f>$B$4+$B$5-($B$6+A13)</f>
        <v/>
      </c>
      <c r="F13" s="55" t="n">
        <v>-5</v>
      </c>
      <c r="G13" s="45">
        <f>($B$4+-5)+($B$5+-10)-$B$6</f>
        <v/>
      </c>
      <c r="H13" s="45">
        <f>($B$4+-5)+($B$5+-5)-$B$6</f>
        <v/>
      </c>
      <c r="I13" s="45">
        <f>($B$4+-5)+($B$5+0)-$B$6</f>
        <v/>
      </c>
      <c r="J13" s="45">
        <f>($B$4+-5)+($B$5+5)-$B$6</f>
        <v/>
      </c>
      <c r="K13" s="45">
        <f>($B$4+-5)+($B$5+10)-$B$6</f>
        <v/>
      </c>
    </row>
    <row r="14" ht="15" customHeight="1" s="20">
      <c r="A14" s="45" t="n">
        <v>5</v>
      </c>
      <c r="B14" s="45">
        <f>($B$4+A14)+$B$5-$B$6</f>
        <v/>
      </c>
      <c r="C14" s="45">
        <f>$B$4+($B$5+A14)-$B$6</f>
        <v/>
      </c>
      <c r="D14" s="45">
        <f>$B$4+$B$5-($B$6+A14)</f>
        <v/>
      </c>
      <c r="F14" s="55" t="n">
        <v>0</v>
      </c>
      <c r="G14" s="45">
        <f>($B$4+0)+($B$5+-10)-$B$6</f>
        <v/>
      </c>
      <c r="H14" s="45">
        <f>($B$4+0)+($B$5+-5)-$B$6</f>
        <v/>
      </c>
      <c r="I14" s="45">
        <f>($B$4+0)+($B$5+0)-$B$6</f>
        <v/>
      </c>
      <c r="J14" s="45">
        <f>($B$4+0)+($B$5+5)-$B$6</f>
        <v/>
      </c>
      <c r="K14" s="45">
        <f>($B$4+0)+($B$5+10)-$B$6</f>
        <v/>
      </c>
    </row>
    <row r="15" ht="15" customHeight="1" s="20">
      <c r="A15" s="45" t="n">
        <v>10</v>
      </c>
      <c r="B15" s="45">
        <f>($B$4+A15)+$B$5-$B$6</f>
        <v/>
      </c>
      <c r="C15" s="45">
        <f>$B$4+($B$5+A15)-$B$6</f>
        <v/>
      </c>
      <c r="D15" s="45">
        <f>$B$4+$B$5-($B$6+A15)</f>
        <v/>
      </c>
      <c r="F15" s="55" t="n">
        <v>5</v>
      </c>
      <c r="G15" s="45">
        <f>($B$4+5)+($B$5+-10)-$B$6</f>
        <v/>
      </c>
      <c r="H15" s="45">
        <f>($B$4+5)+($B$5+-5)-$B$6</f>
        <v/>
      </c>
      <c r="I15" s="45">
        <f>($B$4+5)+($B$5+0)-$B$6</f>
        <v/>
      </c>
      <c r="J15" s="45">
        <f>($B$4+5)+($B$5+5)-$B$6</f>
        <v/>
      </c>
      <c r="K15" s="45">
        <f>($B$4+5)+($B$5+10)-$B$6</f>
        <v/>
      </c>
    </row>
    <row r="16" ht="15" customHeight="1" s="20">
      <c r="F16" s="55" t="n">
        <v>10</v>
      </c>
      <c r="G16" s="45">
        <f>($B$4+10)+($B$5+-10)-$B$6</f>
        <v/>
      </c>
      <c r="H16" s="45">
        <f>($B$4+10)+($B$5+-5)-$B$6</f>
        <v/>
      </c>
      <c r="I16" s="45">
        <f>($B$4+10)+($B$5+0)-$B$6</f>
        <v/>
      </c>
      <c r="J16" s="45">
        <f>($B$4+10)+($B$5+5)-$B$6</f>
        <v/>
      </c>
      <c r="K16" s="45">
        <f>($B$4+10)+($B$5+10)-$B$6</f>
        <v/>
      </c>
    </row>
  </sheetData>
  <mergeCells count="5">
    <mergeCell ref="A9:H9"/>
    <mergeCell ref="F10:H10"/>
    <mergeCell ref="F10:K10"/>
    <mergeCell ref="A3:D3"/>
    <mergeCell ref="A1:H1"/>
  </mergeCells>
  <conditionalFormatting sqref="G12:K16">
    <cfRule type="colorScale" priority="2">
      <colorScale>
        <cfvo type="min"/>
        <cfvo type="percentile" val="50"/>
        <cfvo type="max"/>
        <color rgb="00C6EFCE"/>
        <color rgb="00FFEB9C"/>
        <color rgb="00FFC7CE"/>
      </colorScale>
    </cfRule>
  </conditionalFormatting>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2026-03-05T01:47:18Z</dcterms:created>
  <dcterms:modified xmlns:dcterms="http://purl.org/dc/terms/" xmlns:xsi="http://www.w3.org/2001/XMLSchema-instance" xsi:type="dcterms:W3CDTF">2026-03-08T04:10:12Z</dcterms:modified>
  <cp:revision>0</cp:revision>
</cp:coreProperties>
</file>