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PUT_Bilansi" sheetId="3" state="visible" r:id="rId3"/>
    <sheet xmlns:r="http://schemas.openxmlformats.org/officeDocument/2006/relationships" name="CAPEX_Historija" sheetId="4" state="visible" r:id="rId4"/>
    <sheet xmlns:r="http://schemas.openxmlformats.org/officeDocument/2006/relationships" name="Amortizacija_Plan" sheetId="5" state="visible" r:id="rId5"/>
    <sheet xmlns:r="http://schemas.openxmlformats.org/officeDocument/2006/relationships" name="CAPEX_Projekcija_2026_2030" sheetId="6" state="visible" r:id="rId6"/>
    <sheet xmlns:r="http://schemas.openxmlformats.org/officeDocument/2006/relationships" name="OPEX_Historija" sheetId="7" state="visible" r:id="rId7"/>
    <sheet xmlns:r="http://schemas.openxmlformats.org/officeDocument/2006/relationships" name="OPEX_Projekcija_2026_2030" sheetId="8" state="visible" r:id="rId8"/>
    <sheet xmlns:r="http://schemas.openxmlformats.org/officeDocument/2006/relationships" name="Cashflow_BurnRate" sheetId="9" state="visible" r:id="rId9"/>
    <sheet xmlns:r="http://schemas.openxmlformats.org/officeDocument/2006/relationships" name="PDV_Refund_Tracker" sheetId="10" state="visible" r:id="rId10"/>
    <sheet xmlns:r="http://schemas.openxmlformats.org/officeDocument/2006/relationships" name="TRY_Hedge_Calc" sheetId="11" state="visible" r:id="rId11"/>
    <sheet xmlns:r="http://schemas.openxmlformats.org/officeDocument/2006/relationships" name="Full_Integrated_Model" sheetId="12" state="visible" r:id="rId12"/>
    <sheet xmlns:r="http://schemas.openxmlformats.org/officeDocument/2006/relationships" name="Summary_Dashboard" sheetId="13" state="visible" r:id="rId13"/>
    <sheet xmlns:r="http://schemas.openxmlformats.org/officeDocument/2006/relationships" name="Controls_&amp;_Checks" sheetId="14" state="visible" r:id="rId14"/>
    <sheet xmlns:r="http://schemas.openxmlformats.org/officeDocument/2006/relationships" name="Instructions" sheetId="15" state="visible" r:id="rId1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[Red](#,##0);-"/>
    <numFmt numFmtId="166" formatCode="dd.mm.yyyy"/>
    <numFmt numFmtId="167" formatCode="0.00x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9"/>
    </font>
    <font>
      <name val="Segoe UI"/>
      <b val="1"/>
      <color rgb="00FFFFFF"/>
      <sz val="10"/>
    </font>
    <font>
      <name val="Calibri"/>
      <family val="2"/>
      <color theme="10"/>
      <sz val="12"/>
      <scheme val="minor"/>
    </font>
    <font>
      <name val="Segoe U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6B7C93"/>
      </patternFill>
    </fill>
    <fill>
      <patternFill patternType="solid">
        <fgColor rgb="00FFF4CC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1"/>
    <xf numFmtId="0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5" fillId="3" borderId="1" pivotButton="0" quotePrefix="0" xfId="0"/>
    <xf numFmtId="165" fontId="5" fillId="3" borderId="1" pivotButton="0" quotePrefix="0" xfId="0"/>
    <xf numFmtId="164" fontId="0" fillId="0" borderId="1" pivotButton="0" quotePrefix="0" xfId="0"/>
    <xf numFmtId="165" fontId="0" fillId="5" borderId="1" pivotButton="0" quotePrefix="0" xfId="0"/>
    <xf numFmtId="165" fontId="0" fillId="0" borderId="1" pivotButton="0" quotePrefix="0" xfId="0"/>
    <xf numFmtId="164" fontId="5" fillId="3" borderId="1" pivotButton="0" quotePrefix="0" xfId="0"/>
    <xf numFmtId="166" fontId="0" fillId="0" borderId="0" pivotButton="0" quotePrefix="0" xfId="0"/>
    <xf numFmtId="0" fontId="5" fillId="3" borderId="0" pivotButton="0" quotePrefix="0" xfId="0"/>
    <xf numFmtId="167" fontId="0" fillId="5" borderId="1" pivotButton="0" quotePrefix="0" xfId="0"/>
    <xf numFmtId="0" fontId="3" fillId="2" borderId="0" pivotButton="0" quotePrefix="0" xfId="0"/>
    <xf numFmtId="167" fontId="0" fillId="0" borderId="1" pivotButton="0" quotePrefix="0" xfId="0"/>
    <xf numFmtId="165" fontId="0" fillId="0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28A745"/>
        </patternFill>
      </fill>
    </dxf>
    <dxf>
      <font>
        <b val="1"/>
        <color rgb="00FFFFFF"/>
      </font>
      <fill>
        <patternFill patternType="solid">
          <fgColor rgb="00DC3545"/>
        </patternFill>
      </fill>
    </dxf>
    <dxf>
      <fill>
        <patternFill patternType="solid">
          <fgColor rgb="00FFC10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'Summary_Dashboard'!$F$4:$F$8</f>
            </numRef>
          </cat>
          <val>
            <numRef>
              <f>'Summary_Dashboard'!$G$4:$G$8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 Rate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'Cashflow_BurnRate'!D5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'Cashflow_BurnRate'!$A$6:$A$29</f>
            </numRef>
          </cat>
          <val>
            <numRef>
              <f>'Cashflow_BurnRate'!$D$6:$D$29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28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288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SSUMPTIONS!A1" TargetMode="External" Id="rId1"/><Relationship Type="http://schemas.openxmlformats.org/officeDocument/2006/relationships/hyperlink" Target="#INPUT_Bilansi!A1" TargetMode="External" Id="rId2"/><Relationship Type="http://schemas.openxmlformats.org/officeDocument/2006/relationships/hyperlink" Target="#CAPEX_Historija!A1" TargetMode="External" Id="rId3"/><Relationship Type="http://schemas.openxmlformats.org/officeDocument/2006/relationships/hyperlink" Target="#Amortizacija_Plan!A1" TargetMode="External" Id="rId4"/><Relationship Type="http://schemas.openxmlformats.org/officeDocument/2006/relationships/hyperlink" Target="#CAPEX_Projekcija_2026_2030!A1" TargetMode="External" Id="rId5"/><Relationship Type="http://schemas.openxmlformats.org/officeDocument/2006/relationships/hyperlink" Target="#OPEX_Historija!A1" TargetMode="External" Id="rId6"/><Relationship Type="http://schemas.openxmlformats.org/officeDocument/2006/relationships/hyperlink" Target="#OPEX_Projekcija_2026_2030!A1" TargetMode="External" Id="rId7"/><Relationship Type="http://schemas.openxmlformats.org/officeDocument/2006/relationships/hyperlink" Target="#Cashflow_BurnRate!A1" TargetMode="External" Id="rId8"/><Relationship Type="http://schemas.openxmlformats.org/officeDocument/2006/relationships/hyperlink" Target="#PDV_Refund_Tracker!A1" TargetMode="External" Id="rId9"/><Relationship Type="http://schemas.openxmlformats.org/officeDocument/2006/relationships/hyperlink" Target="#TRY_Hedge_Calc!A1" TargetMode="External" Id="rId10"/><Relationship Type="http://schemas.openxmlformats.org/officeDocument/2006/relationships/hyperlink" Target="#Full_Integrated_Model!A1" TargetMode="External" Id="rId11"/><Relationship Type="http://schemas.openxmlformats.org/officeDocument/2006/relationships/hyperlink" Target="#Summary_Dashboard!A1" TargetMode="External" Id="rId12"/><Relationship Type="http://schemas.openxmlformats.org/officeDocument/2006/relationships/hyperlink" Target="#Controls_&amp;_Checks!A1" TargetMode="External" Id="rId13"/><Relationship Type="http://schemas.openxmlformats.org/officeDocument/2006/relationships/hyperlink" Target="#Instructions!A1" TargetMode="External" Id="rId14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</cols>
  <sheetData>
    <row r="1">
      <c r="A1" s="1" t="inlineStr">
        <is>
          <t>ARS METAL INDUSTRIES DOO - FINAL HARMONIZED CFO MODEL</t>
        </is>
      </c>
    </row>
    <row r="2">
      <c r="A2" s="2" t="inlineStr">
        <is>
          <t>Index | Harmonized from historical bilansi and CAPEX/OPEX model</t>
        </is>
      </c>
    </row>
    <row r="4">
      <c r="A4" s="3" t="inlineStr">
        <is>
          <t>Section</t>
        </is>
      </c>
      <c r="B4" s="3" t="inlineStr">
        <is>
          <t>Sheet</t>
        </is>
      </c>
      <c r="C4" s="3" t="inlineStr">
        <is>
          <t>Purpose</t>
        </is>
      </c>
    </row>
    <row r="5">
      <c r="A5" s="4" t="inlineStr">
        <is>
          <t>Core</t>
        </is>
      </c>
      <c r="B5" s="5" t="inlineStr">
        <is>
          <t>ASSUMPTIONS</t>
        </is>
      </c>
      <c r="C5" s="4" t="inlineStr">
        <is>
          <t>Master assumptions and scenario switch</t>
        </is>
      </c>
    </row>
    <row r="6">
      <c r="A6" s="4" t="inlineStr">
        <is>
          <t>Historical</t>
        </is>
      </c>
      <c r="B6" s="5" t="inlineStr">
        <is>
          <t>INPUT_Bilansi</t>
        </is>
      </c>
      <c r="C6" s="4" t="inlineStr">
        <is>
          <t>Historical imported balance sheet</t>
        </is>
      </c>
    </row>
    <row r="7">
      <c r="A7" s="4" t="inlineStr">
        <is>
          <t>Historical</t>
        </is>
      </c>
      <c r="B7" s="5" t="inlineStr">
        <is>
          <t>CAPEX_Historija</t>
        </is>
      </c>
      <c r="C7" s="4" t="inlineStr">
        <is>
          <t>CAPEX history by category</t>
        </is>
      </c>
    </row>
    <row r="8">
      <c r="A8" s="4" t="inlineStr">
        <is>
          <t>Historical</t>
        </is>
      </c>
      <c r="B8" s="5" t="inlineStr">
        <is>
          <t>Amortizacija_Plan</t>
        </is>
      </c>
      <c r="C8" s="4" t="inlineStr">
        <is>
          <t>Depreciation schedule</t>
        </is>
      </c>
    </row>
    <row r="9">
      <c r="A9" s="4" t="inlineStr">
        <is>
          <t>Projection</t>
        </is>
      </c>
      <c r="B9" s="5" t="inlineStr">
        <is>
          <t>CAPEX_Projekcija_2026_2030</t>
        </is>
      </c>
      <c r="C9" s="4" t="inlineStr">
        <is>
          <t>Future CAPEX plan</t>
        </is>
      </c>
    </row>
    <row r="10">
      <c r="A10" s="4" t="inlineStr">
        <is>
          <t>Projection</t>
        </is>
      </c>
      <c r="B10" s="5" t="inlineStr">
        <is>
          <t>OPEX_Historija</t>
        </is>
      </c>
      <c r="C10" s="4" t="inlineStr">
        <is>
          <t>Historical OPEX monthly</t>
        </is>
      </c>
    </row>
    <row r="11">
      <c r="A11" s="4" t="inlineStr">
        <is>
          <t>Projection</t>
        </is>
      </c>
      <c r="B11" s="5" t="inlineStr">
        <is>
          <t>OPEX_Projekcija_2026_2030</t>
        </is>
      </c>
      <c r="C11" s="4" t="inlineStr">
        <is>
          <t>Future OPEX plan</t>
        </is>
      </c>
    </row>
    <row r="12">
      <c r="A12" s="4" t="inlineStr">
        <is>
          <t>Cash</t>
        </is>
      </c>
      <c r="B12" s="5" t="inlineStr">
        <is>
          <t>Cashflow_BurnRate</t>
        </is>
      </c>
      <c r="C12" s="4" t="inlineStr">
        <is>
          <t>Monthly burn and runway</t>
        </is>
      </c>
    </row>
    <row r="13">
      <c r="A13" s="4" t="inlineStr">
        <is>
          <t>Tax</t>
        </is>
      </c>
      <c r="B13" s="5" t="inlineStr">
        <is>
          <t>PDV_Refund_Tracker</t>
        </is>
      </c>
      <c r="C13" s="4" t="inlineStr">
        <is>
          <t>VAT refund tracker</t>
        </is>
      </c>
    </row>
    <row r="14">
      <c r="A14" s="4" t="inlineStr">
        <is>
          <t>FX</t>
        </is>
      </c>
      <c r="B14" s="5" t="inlineStr">
        <is>
          <t>TRY_Hedge_Calc</t>
        </is>
      </c>
      <c r="C14" s="4" t="inlineStr">
        <is>
          <t>TRY hedge calculator</t>
        </is>
      </c>
    </row>
    <row r="15">
      <c r="A15" s="4" t="inlineStr">
        <is>
          <t>Integrated</t>
        </is>
      </c>
      <c r="B15" s="5" t="inlineStr">
        <is>
          <t>Full_Integrated_Model</t>
        </is>
      </c>
      <c r="C15" s="4" t="inlineStr">
        <is>
          <t>Integrated summary model</t>
        </is>
      </c>
    </row>
    <row r="16">
      <c r="A16" s="4" t="inlineStr">
        <is>
          <t>Control</t>
        </is>
      </c>
      <c r="B16" s="5" t="inlineStr">
        <is>
          <t>Summary_Dashboard</t>
        </is>
      </c>
      <c r="C16" s="4" t="inlineStr">
        <is>
          <t>KPI dashboard</t>
        </is>
      </c>
    </row>
    <row r="17">
      <c r="A17" s="4" t="inlineStr">
        <is>
          <t>Control</t>
        </is>
      </c>
      <c r="B17" s="5" t="inlineStr">
        <is>
          <t>Controls_&amp;_Checks</t>
        </is>
      </c>
      <c r="C17" s="4" t="inlineStr">
        <is>
          <t>Integrity checks</t>
        </is>
      </c>
    </row>
    <row r="18">
      <c r="A18" s="4" t="inlineStr">
        <is>
          <t>Guide</t>
        </is>
      </c>
      <c r="B18" s="5" t="inlineStr">
        <is>
          <t>Instructions</t>
        </is>
      </c>
      <c r="C18" s="4" t="inlineStr">
        <is>
          <t>Usage notes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36" customWidth="1" min="4" max="4"/>
    <col width="18" customWidth="1" min="5" max="5"/>
    <col width="16" customWidth="1" min="6" max="6"/>
  </cols>
  <sheetData>
    <row r="1">
      <c r="A1" s="1" t="inlineStr">
        <is>
          <t>ASSUMPTIONS</t>
        </is>
      </c>
    </row>
    <row r="2">
      <c r="A2" s="2" t="inlineStr">
        <is>
          <t>Yellow=input | Green=calculated | Scenario selector in F4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Notes</t>
        </is>
      </c>
      <c r="E3" s="3" t="inlineStr">
        <is>
          <t>Scenario</t>
        </is>
      </c>
      <c r="F3" s="3" t="inlineStr">
        <is>
          <t>Selected</t>
        </is>
      </c>
    </row>
    <row r="4">
      <c r="A4" s="4" t="inlineStr">
        <is>
          <t>MODEL_CCY</t>
        </is>
      </c>
      <c r="B4" s="6" t="inlineStr">
        <is>
          <t>EUR</t>
        </is>
      </c>
      <c r="C4" s="4" t="inlineStr">
        <is>
          <t>text</t>
        </is>
      </c>
      <c r="D4" s="4" t="inlineStr">
        <is>
          <t>Reporting currency</t>
        </is>
      </c>
      <c r="E4" s="4" t="inlineStr">
        <is>
          <t>Scenario</t>
        </is>
      </c>
      <c r="F4" s="4" t="inlineStr">
        <is>
          <t>Base</t>
        </is>
      </c>
    </row>
    <row r="5">
      <c r="A5" s="4" t="inlineStr">
        <is>
          <t>FX_EUR_TRY</t>
        </is>
      </c>
      <c r="B5" s="7" t="n">
        <v>51.7</v>
      </c>
      <c r="C5" s="4" t="inlineStr">
        <is>
          <t>TRY/EUR</t>
        </is>
      </c>
      <c r="D5" s="4" t="inlineStr">
        <is>
          <t>Equipment import FX</t>
        </is>
      </c>
      <c r="E5" s="4" t="inlineStr">
        <is>
          <t>CAPEX_Multiplier</t>
        </is>
      </c>
      <c r="F5" s="4">
        <f>IF($F$4="Base",1,IF($F$4="Downside",1.15,0.90))</f>
        <v/>
      </c>
    </row>
    <row r="6">
      <c r="A6" s="4" t="inlineStr">
        <is>
          <t>VAT_STD</t>
        </is>
      </c>
      <c r="B6" s="8" t="n">
        <v>0.21</v>
      </c>
      <c r="C6" s="4" t="inlineStr">
        <is>
          <t>%</t>
        </is>
      </c>
      <c r="D6" s="4" t="inlineStr">
        <is>
          <t>Standard VAT rate</t>
        </is>
      </c>
      <c r="E6" s="4" t="inlineStr">
        <is>
          <t>OPEX_Multiplier</t>
        </is>
      </c>
      <c r="F6" s="4">
        <f>IF($F$4="Base",1,IF($F$4="Downside",1.10,0.95))</f>
        <v/>
      </c>
    </row>
    <row r="7">
      <c r="A7" s="4" t="inlineStr">
        <is>
          <t>VAT_CAPEX_REFUNDABLE</t>
        </is>
      </c>
      <c r="B7" s="8" t="n">
        <v>0.21</v>
      </c>
      <c r="C7" s="4" t="inlineStr">
        <is>
          <t>%</t>
        </is>
      </c>
      <c r="D7" s="4" t="inlineStr">
        <is>
          <t>Refundable CAPEX VAT</t>
        </is>
      </c>
      <c r="E7" s="4" t="inlineStr">
        <is>
          <t>Revenue_Multiplier</t>
        </is>
      </c>
      <c r="F7" s="4">
        <f>IF($F$4="Base",1,IF($F$4="Downside",0.85,1.10))</f>
        <v/>
      </c>
    </row>
    <row r="8">
      <c r="A8" s="4" t="inlineStr">
        <is>
          <t>CIT_RATE</t>
        </is>
      </c>
      <c r="B8" s="9" t="n">
        <v>0.15</v>
      </c>
      <c r="C8" s="4" t="inlineStr">
        <is>
          <t>%</t>
        </is>
      </c>
      <c r="D8" s="4" t="inlineStr">
        <is>
          <t>Corporate tax</t>
        </is>
      </c>
      <c r="E8" s="4" t="n"/>
      <c r="F8" s="4" t="n"/>
    </row>
    <row r="9">
      <c r="A9" s="4" t="inlineStr">
        <is>
          <t>INF_CONSTRUCTION</t>
        </is>
      </c>
      <c r="B9" s="9" t="n">
        <v>0.035</v>
      </c>
      <c r="C9" s="4" t="inlineStr">
        <is>
          <t>%</t>
        </is>
      </c>
      <c r="D9" s="4" t="inlineStr">
        <is>
          <t>Construction inflation</t>
        </is>
      </c>
      <c r="E9" s="4" t="n"/>
      <c r="F9" s="4" t="n"/>
    </row>
    <row r="10">
      <c r="A10" s="4" t="inlineStr">
        <is>
          <t>INF_OPEX</t>
        </is>
      </c>
      <c r="B10" s="9" t="n">
        <v>0.025</v>
      </c>
      <c r="C10" s="4" t="inlineStr">
        <is>
          <t>%</t>
        </is>
      </c>
      <c r="D10" s="4" t="inlineStr">
        <is>
          <t>OPEX inflation</t>
        </is>
      </c>
      <c r="E10" s="4" t="n"/>
      <c r="F10" s="4" t="n"/>
    </row>
    <row r="11">
      <c r="A11" s="4" t="inlineStr">
        <is>
          <t>DISCOUNT_RATE</t>
        </is>
      </c>
      <c r="B11" s="9" t="n">
        <v>0.08</v>
      </c>
      <c r="C11" s="4" t="inlineStr">
        <is>
          <t>%</t>
        </is>
      </c>
      <c r="D11" s="4" t="inlineStr">
        <is>
          <t>Discount rate</t>
        </is>
      </c>
      <c r="E11" s="4" t="n"/>
      <c r="F11" s="4" t="n"/>
    </row>
    <row r="12">
      <c r="A12" s="4" t="inlineStr">
        <is>
          <t>WACC</t>
        </is>
      </c>
      <c r="B12" s="9" t="n">
        <v>0.095</v>
      </c>
      <c r="C12" s="4" t="inlineStr">
        <is>
          <t>%</t>
        </is>
      </c>
      <c r="D12" s="4" t="inlineStr">
        <is>
          <t>WACC</t>
        </is>
      </c>
      <c r="E12" s="4" t="n"/>
      <c r="F12" s="4" t="n"/>
    </row>
    <row r="13">
      <c r="A13" s="4" t="inlineStr">
        <is>
          <t>COD_DATE</t>
        </is>
      </c>
      <c r="B13" s="6" t="inlineStr">
        <is>
          <t>01.07.2029</t>
        </is>
      </c>
      <c r="C13" s="4" t="inlineStr">
        <is>
          <t>date</t>
        </is>
      </c>
      <c r="D13" s="4" t="inlineStr">
        <is>
          <t>Commercial operation date</t>
        </is>
      </c>
      <c r="E13" s="4" t="n"/>
      <c r="F13" s="4" t="n"/>
    </row>
    <row r="14">
      <c r="A14" s="4" t="inlineStr">
        <is>
          <t>LOAN_AMOUNT</t>
        </is>
      </c>
      <c r="B14" s="10" t="n">
        <v>10000000</v>
      </c>
      <c r="C14" s="4" t="inlineStr">
        <is>
          <t>EUR</t>
        </is>
      </c>
      <c r="D14" s="4" t="inlineStr">
        <is>
          <t>Senior debt</t>
        </is>
      </c>
      <c r="E14" s="4" t="n"/>
      <c r="F14" s="4" t="n"/>
    </row>
    <row r="15">
      <c r="A15" s="4" t="inlineStr">
        <is>
          <t>INTEREST_RATE</t>
        </is>
      </c>
      <c r="B15" s="9" t="n">
        <v>0.065</v>
      </c>
      <c r="C15" s="4" t="inlineStr">
        <is>
          <t>%</t>
        </is>
      </c>
      <c r="D15" s="4" t="inlineStr">
        <is>
          <t>Interest rate</t>
        </is>
      </c>
      <c r="E15" s="4" t="n"/>
      <c r="F15" s="4" t="n"/>
    </row>
    <row r="16">
      <c r="A16" s="4" t="inlineStr">
        <is>
          <t>TENOR_YEARS</t>
        </is>
      </c>
      <c r="B16" s="6" t="n">
        <v>10</v>
      </c>
      <c r="C16" s="4" t="inlineStr">
        <is>
          <t>years</t>
        </is>
      </c>
      <c r="D16" s="4" t="inlineStr">
        <is>
          <t>Debt tenor</t>
        </is>
      </c>
      <c r="E16" s="4" t="n"/>
      <c r="F16" s="4" t="n"/>
    </row>
    <row r="17">
      <c r="A17" s="4" t="inlineStr">
        <is>
          <t>GRACE_YEARS</t>
        </is>
      </c>
      <c r="B17" s="6" t="n">
        <v>3</v>
      </c>
      <c r="C17" s="4" t="inlineStr">
        <is>
          <t>years</t>
        </is>
      </c>
      <c r="D17" s="4" t="inlineStr">
        <is>
          <t>Grace period</t>
        </is>
      </c>
      <c r="E17" s="4" t="n"/>
      <c r="F17" s="4" t="n"/>
    </row>
    <row r="18">
      <c r="A18" s="4" t="inlineStr">
        <is>
          <t>GRANT_AMOUNT</t>
        </is>
      </c>
      <c r="B18" s="10" t="n">
        <v>2000000</v>
      </c>
      <c r="C18" s="4" t="inlineStr">
        <is>
          <t>EUR</t>
        </is>
      </c>
      <c r="D18" s="4" t="inlineStr">
        <is>
          <t>Grant amount</t>
        </is>
      </c>
      <c r="E18" s="4" t="n"/>
      <c r="F18" s="4" t="n"/>
    </row>
    <row r="19">
      <c r="A19" s="4" t="inlineStr">
        <is>
          <t>CAPEX_TOTAL_TARGET</t>
        </is>
      </c>
      <c r="B19" s="10" t="n">
        <v>14850000</v>
      </c>
      <c r="C19" s="4" t="inlineStr">
        <is>
          <t>EUR</t>
        </is>
      </c>
      <c r="D19" s="4" t="inlineStr">
        <is>
          <t>Target total CAPEX</t>
        </is>
      </c>
      <c r="E19" s="4" t="n"/>
      <c r="F19" s="4" t="n"/>
    </row>
    <row r="20">
      <c r="A20" s="4" t="inlineStr">
        <is>
          <t>WORKING_DAYS_YR</t>
        </is>
      </c>
      <c r="B20" s="6" t="n">
        <v>250</v>
      </c>
      <c r="C20" s="4" t="inlineStr">
        <is>
          <t>days</t>
        </is>
      </c>
      <c r="D20" s="4" t="inlineStr">
        <is>
          <t>Average working days</t>
        </is>
      </c>
      <c r="E20" s="4" t="n"/>
      <c r="F20" s="4" t="n"/>
    </row>
    <row r="21">
      <c r="A21" s="4" t="inlineStr">
        <is>
          <t>HEDGE_PCT</t>
        </is>
      </c>
      <c r="B21" s="9" t="n">
        <v>0.8</v>
      </c>
      <c r="C21" s="4" t="inlineStr">
        <is>
          <t>%</t>
        </is>
      </c>
      <c r="D21" s="4" t="inlineStr">
        <is>
          <t>TRY hedge ratio</t>
        </is>
      </c>
      <c r="E21" s="4" t="n"/>
      <c r="F21" s="4" t="n"/>
    </row>
    <row r="22">
      <c r="A22" s="4" t="inlineStr">
        <is>
          <t>GET_ELIGIBLE_PCT</t>
        </is>
      </c>
      <c r="B22" s="9" t="n">
        <v>0.65</v>
      </c>
      <c r="C22" s="4" t="inlineStr">
        <is>
          <t>%</t>
        </is>
      </c>
      <c r="D22" s="4" t="inlineStr">
        <is>
          <t>GET eligible CAPEX</t>
        </is>
      </c>
      <c r="E22" s="4" t="n"/>
      <c r="F22" s="4" t="n"/>
    </row>
    <row r="23">
      <c r="A23" s="4" t="inlineStr">
        <is>
          <t>MIN_CASH_DIV</t>
        </is>
      </c>
      <c r="B23" s="10" t="n">
        <v>100000</v>
      </c>
      <c r="C23" s="4" t="inlineStr">
        <is>
          <t>EUR</t>
        </is>
      </c>
      <c r="D23" s="4" t="inlineStr">
        <is>
          <t>Minimum cash for dividend</t>
        </is>
      </c>
      <c r="E23" s="4" t="n"/>
      <c r="F23" s="4" t="n"/>
    </row>
    <row r="24">
      <c r="A24" s="4" t="inlineStr">
        <is>
          <t>DIV_START_YEAR</t>
        </is>
      </c>
      <c r="B24" s="6" t="n">
        <v>2032</v>
      </c>
      <c r="C24" s="4" t="inlineStr">
        <is>
          <t>year</t>
        </is>
      </c>
      <c r="D24" s="4" t="inlineStr">
        <is>
          <t>Dividend start year</t>
        </is>
      </c>
      <c r="E24" s="4" t="n"/>
      <c r="F24" s="4" t="n"/>
    </row>
  </sheetData>
  <mergeCells count="2">
    <mergeCell ref="A2:F2"/>
    <mergeCell ref="A1:F1"/>
  </mergeCells>
  <dataValidations count="1">
    <dataValidation sqref="F4" showDropDown="0" showInputMessage="0" showErrorMessage="0" allowBlank="0" type="list">
      <formula1>"Base,Downside,Upside"</formula1>
    </dataValidation>
  </dataValidation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INPUT_Bilansi</t>
        </is>
      </c>
    </row>
    <row r="2">
      <c r="A2" s="2" t="inlineStr">
        <is>
          <t>Historical balance sheet import (2025 / 2024 / 2023)</t>
        </is>
      </c>
    </row>
    <row r="3">
      <c r="A3" s="3" t="inlineStr">
        <is>
          <t>Grupa računa / račun</t>
        </is>
      </c>
      <c r="B3" s="3" t="inlineStr">
        <is>
          <t>Pozicija / Opis</t>
        </is>
      </c>
      <c r="C3" s="3" t="inlineStr">
        <is>
          <t>Redni broj</t>
        </is>
      </c>
      <c r="D3" s="3" t="inlineStr">
        <is>
          <t>Tekuća godina (2025)</t>
        </is>
      </c>
      <c r="E3" s="3" t="inlineStr">
        <is>
          <t>Prethodna (2024)</t>
        </is>
      </c>
      <c r="F3" s="3" t="inlineStr">
        <is>
          <t>Prethodna (2023)</t>
        </is>
      </c>
    </row>
    <row r="4">
      <c r="A4" s="11" t="inlineStr">
        <is>
          <t>B.</t>
        </is>
      </c>
      <c r="B4" s="11" t="inlineStr">
        <is>
          <t>STALNA IMOVINA (003+008+016)</t>
        </is>
      </c>
      <c r="C4" s="11" t="n">
        <v>2</v>
      </c>
      <c r="D4" s="12" t="n">
        <v>740967</v>
      </c>
      <c r="E4" s="12" t="n">
        <v>602598</v>
      </c>
      <c r="F4" s="12" t="n">
        <v>399000</v>
      </c>
    </row>
    <row r="5">
      <c r="A5" s="4" t="inlineStr">
        <is>
          <t>01</t>
        </is>
      </c>
      <c r="B5" s="4" t="inlineStr">
        <is>
          <t>I. NEMATERIJALNA ULAGANJA (004 do 007)</t>
        </is>
      </c>
      <c r="C5" s="4" t="n">
        <v>3</v>
      </c>
      <c r="D5" s="10" t="n">
        <v>0</v>
      </c>
      <c r="E5" s="10" t="n">
        <v>0</v>
      </c>
      <c r="F5" s="10" t="n">
        <v>0</v>
      </c>
    </row>
    <row r="6">
      <c r="A6" s="4" t="inlineStr">
        <is>
          <t>10</t>
        </is>
      </c>
      <c r="B6" s="4" t="inlineStr">
        <is>
          <t>1. Ulaganja u razvoj</t>
        </is>
      </c>
      <c r="C6" s="4" t="n">
        <v>4</v>
      </c>
      <c r="D6" s="10" t="n">
        <v>0</v>
      </c>
      <c r="E6" s="10" t="n">
        <v>0</v>
      </c>
      <c r="F6" s="10" t="n">
        <v>0</v>
      </c>
    </row>
    <row r="7">
      <c r="A7" s="4" t="inlineStr">
        <is>
          <t>011</t>
        </is>
      </c>
      <c r="B7" s="4" t="inlineStr">
        <is>
          <t>i 014</t>
        </is>
      </c>
      <c r="C7" s="4" t="n">
        <v>5</v>
      </c>
      <c r="D7" s="10" t="n">
        <v>0</v>
      </c>
      <c r="E7" s="10" t="n">
        <v>0</v>
      </c>
      <c r="F7" s="10" t="n">
        <v>0</v>
      </c>
    </row>
    <row r="8">
      <c r="A8" s="4" t="inlineStr">
        <is>
          <t>012</t>
        </is>
      </c>
      <c r="B8" s="4" t="inlineStr">
        <is>
          <t>3. Goodwill</t>
        </is>
      </c>
      <c r="C8" s="4" t="n">
        <v>6</v>
      </c>
      <c r="D8" s="10" t="n">
        <v>0</v>
      </c>
      <c r="E8" s="10" t="n">
        <v>0</v>
      </c>
      <c r="F8" s="10" t="n">
        <v>0</v>
      </c>
    </row>
    <row r="9">
      <c r="A9" s="4" t="inlineStr">
        <is>
          <t>016</t>
        </is>
      </c>
      <c r="B9" s="4" t="inlineStr">
        <is>
          <t>i 015</t>
        </is>
      </c>
      <c r="C9" s="4" t="n">
        <v>7</v>
      </c>
      <c r="D9" s="10" t="n">
        <v>0</v>
      </c>
      <c r="E9" s="10" t="n">
        <v>0</v>
      </c>
      <c r="F9" s="10" t="n">
        <v>0</v>
      </c>
    </row>
    <row r="10">
      <c r="A10" s="4" t="n"/>
      <c r="B10" s="4" t="n"/>
      <c r="C10" s="4" t="n">
        <v>8</v>
      </c>
      <c r="D10" s="10" t="n">
        <v>740967</v>
      </c>
      <c r="E10" s="10" t="n">
        <v>602598</v>
      </c>
      <c r="F10" s="10" t="n">
        <v>399000</v>
      </c>
    </row>
    <row r="11">
      <c r="A11" s="4" t="inlineStr">
        <is>
          <t>020</t>
        </is>
      </c>
      <c r="B11" s="4" t="inlineStr">
        <is>
          <t>i 022 1. Zemljište i objekti</t>
        </is>
      </c>
      <c r="C11" s="4" t="n">
        <v>9</v>
      </c>
      <c r="D11" s="10" t="n">
        <v>419426</v>
      </c>
      <c r="E11" s="10" t="n">
        <v>399000</v>
      </c>
      <c r="F11" s="10" t="n">
        <v>399000</v>
      </c>
    </row>
    <row r="12">
      <c r="A12" s="4" t="inlineStr">
        <is>
          <t>023</t>
        </is>
      </c>
      <c r="B12" s="4" t="inlineStr">
        <is>
          <t>2. Postrojenja i oprema</t>
        </is>
      </c>
      <c r="C12" s="4" t="n">
        <v>10</v>
      </c>
      <c r="D12" s="10" t="n">
        <v>650</v>
      </c>
      <c r="E12" s="10" t="n">
        <v>0</v>
      </c>
      <c r="F12" s="10" t="n">
        <v>0</v>
      </c>
    </row>
    <row r="13">
      <c r="A13" s="4" t="n"/>
      <c r="B13" s="4" t="n"/>
      <c r="C13" s="4" t="n">
        <v>11</v>
      </c>
      <c r="D13" s="10" t="n">
        <v>0</v>
      </c>
      <c r="E13" s="10" t="n">
        <v>0</v>
      </c>
      <c r="F13" s="10" t="n">
        <v>0</v>
      </c>
    </row>
    <row r="14">
      <c r="A14" s="4" t="inlineStr">
        <is>
          <t>024</t>
        </is>
      </c>
      <c r="B14" s="4" t="inlineStr">
        <is>
          <t>3.1. Investicione nekretnine</t>
        </is>
      </c>
      <c r="C14" s="4" t="n">
        <v>12</v>
      </c>
      <c r="D14" s="10" t="n">
        <v>0</v>
      </c>
      <c r="E14" s="10" t="n">
        <v>0</v>
      </c>
      <c r="F14" s="10" t="n">
        <v>0</v>
      </c>
    </row>
    <row r="15">
      <c r="A15" s="4" t="inlineStr">
        <is>
          <t>021</t>
        </is>
      </c>
      <c r="B15" s="4" t="inlineStr">
        <is>
          <t>i 025 3.2. Biološka sredstva</t>
        </is>
      </c>
      <c r="C15" s="4" t="n">
        <v>13</v>
      </c>
      <c r="D15" s="10" t="n">
        <v>0</v>
      </c>
      <c r="E15" s="10" t="n">
        <v>0</v>
      </c>
      <c r="F15" s="10" t="n">
        <v>0</v>
      </c>
    </row>
    <row r="16">
      <c r="A16" s="4" t="inlineStr">
        <is>
          <t>026</t>
        </is>
      </c>
      <c r="B16" s="4" t="inlineStr">
        <is>
          <t>i 029 3.3. Ostala nepomenuta materijalna stalna sredstva</t>
        </is>
      </c>
      <c r="C16" s="4" t="n">
        <v>14</v>
      </c>
      <c r="D16" s="10" t="n">
        <v>0</v>
      </c>
      <c r="E16" s="10" t="n">
        <v>0</v>
      </c>
      <c r="F16" s="10" t="n">
        <v>0</v>
      </c>
    </row>
    <row r="17">
      <c r="A17" s="4" t="inlineStr">
        <is>
          <t>028</t>
        </is>
      </c>
      <c r="B17" s="4" t="inlineStr">
        <is>
          <t>i 027</t>
        </is>
      </c>
      <c r="C17" s="4" t="n">
        <v>15</v>
      </c>
      <c r="D17" s="10" t="n">
        <v>320891</v>
      </c>
      <c r="E17" s="10" t="n">
        <v>203598</v>
      </c>
      <c r="F17" s="10" t="n">
        <v>0</v>
      </c>
    </row>
    <row r="18">
      <c r="A18" s="4" t="n"/>
      <c r="B18" s="4" t="n"/>
      <c r="C18" s="4" t="n">
        <v>16</v>
      </c>
      <c r="D18" s="10" t="n">
        <v>0</v>
      </c>
      <c r="E18" s="10" t="n">
        <v>0</v>
      </c>
      <c r="F18" s="10" t="n">
        <v>0</v>
      </c>
    </row>
    <row r="19">
      <c r="A19" s="4" t="inlineStr">
        <is>
          <t>030,</t>
        </is>
      </c>
      <c r="B19" s="4" t="inlineStr">
        <is>
          <t>039(dio) 1. Ucešca u kapitalu zavisnih pravnih lica</t>
        </is>
      </c>
      <c r="C19" s="4" t="n">
        <v>17</v>
      </c>
      <c r="D19" s="10" t="n">
        <v>0</v>
      </c>
      <c r="E19" s="10" t="n">
        <v>0</v>
      </c>
      <c r="F19" s="10" t="n">
        <v>0</v>
      </c>
    </row>
    <row r="20">
      <c r="A20" s="4" t="inlineStr">
        <is>
          <t>033(dio),</t>
        </is>
      </c>
      <c r="B20" s="4" t="inlineStr">
        <is>
          <t>039(dio)</t>
        </is>
      </c>
      <c r="C20" s="4" t="n">
        <v>18</v>
      </c>
      <c r="D20" s="10" t="n">
        <v>0</v>
      </c>
      <c r="E20" s="10" t="n">
        <v>0</v>
      </c>
      <c r="F20" s="10" t="n">
        <v>0</v>
      </c>
    </row>
    <row r="21">
      <c r="A21" s="4" t="inlineStr">
        <is>
          <t>031(dio),</t>
        </is>
      </c>
      <c r="B21" s="4" t="inlineStr">
        <is>
          <t>032(dio), 039(dio)</t>
        </is>
      </c>
      <c r="C21" s="4" t="n">
        <v>19</v>
      </c>
      <c r="D21" s="10" t="n">
        <v>0</v>
      </c>
      <c r="E21" s="10" t="n">
        <v>0</v>
      </c>
      <c r="F21" s="10" t="n">
        <v>0</v>
      </c>
    </row>
    <row r="22">
      <c r="A22" s="4" t="inlineStr">
        <is>
          <t>033(dio),</t>
        </is>
      </c>
      <c r="B22" s="4" t="inlineStr">
        <is>
          <t>039(dio)</t>
        </is>
      </c>
      <c r="C22" s="4" t="n">
        <v>20</v>
      </c>
      <c r="D22" s="10" t="n">
        <v>0</v>
      </c>
      <c r="E22" s="10" t="n">
        <v>0</v>
      </c>
      <c r="F22" s="10" t="n">
        <v>0</v>
      </c>
    </row>
    <row r="23">
      <c r="A23" s="4" t="inlineStr">
        <is>
          <t>031(dio),</t>
        </is>
      </c>
      <c r="B23" s="4" t="inlineStr">
        <is>
          <t>032(dio)</t>
        </is>
      </c>
      <c r="C23" s="4" t="n">
        <v>21</v>
      </c>
      <c r="D23" s="10" t="n">
        <v>0</v>
      </c>
      <c r="E23" s="10" t="n">
        <v>0</v>
      </c>
      <c r="F23" s="10" t="n">
        <v>0</v>
      </c>
    </row>
    <row r="24">
      <c r="A24" s="4" t="n"/>
      <c r="B24" s="4" t="n"/>
      <c r="C24" s="4" t="n">
        <v>22</v>
      </c>
      <c r="D24" s="10" t="n">
        <v>0</v>
      </c>
      <c r="E24" s="10" t="n">
        <v>0</v>
      </c>
      <c r="F24" s="10" t="n">
        <v>0</v>
      </c>
    </row>
    <row r="25">
      <c r="A25" s="4" t="inlineStr">
        <is>
          <t>038,</t>
        </is>
      </c>
      <c r="B25" s="4" t="inlineStr">
        <is>
          <t>039(dio)</t>
        </is>
      </c>
      <c r="C25" s="4" t="n">
        <v>23</v>
      </c>
      <c r="D25" s="10" t="n">
        <v>0</v>
      </c>
      <c r="E25" s="10" t="n">
        <v>0</v>
      </c>
      <c r="F25" s="10" t="n">
        <v>0</v>
      </c>
    </row>
    <row r="26">
      <c r="A26" s="4" t="inlineStr">
        <is>
          <t>288</t>
        </is>
      </c>
      <c r="B26" s="4" t="inlineStr">
        <is>
          <t>C. ODLOŽENA PORESKA SREDSTVA</t>
        </is>
      </c>
      <c r="C26" s="4" t="n">
        <v>24</v>
      </c>
      <c r="D26" s="10" t="n">
        <v>0</v>
      </c>
      <c r="E26" s="10" t="n">
        <v>0</v>
      </c>
      <c r="F26" s="10" t="n">
        <v>0</v>
      </c>
    </row>
    <row r="27">
      <c r="A27" s="11" t="inlineStr">
        <is>
          <t>D.</t>
        </is>
      </c>
      <c r="B27" s="11" t="inlineStr">
        <is>
          <t>OBRTNA SREDSTVA (026+031+039+043+044)</t>
        </is>
      </c>
      <c r="C27" s="11" t="n">
        <v>25</v>
      </c>
      <c r="D27" s="12" t="n">
        <v>127375</v>
      </c>
      <c r="E27" s="12" t="n">
        <v>62879</v>
      </c>
      <c r="F27" s="12" t="n">
        <v>39880</v>
      </c>
    </row>
    <row r="28">
      <c r="A28" s="4" t="inlineStr">
        <is>
          <t>I.</t>
        </is>
      </c>
      <c r="B28" s="4" t="inlineStr">
        <is>
          <t>ZALIHE (027 do 030)</t>
        </is>
      </c>
      <c r="C28" s="4" t="n">
        <v>26</v>
      </c>
      <c r="D28" s="10" t="n">
        <v>4869</v>
      </c>
      <c r="E28" s="10" t="n">
        <v>0</v>
      </c>
      <c r="F28" s="10" t="n">
        <v>0</v>
      </c>
    </row>
    <row r="29">
      <c r="A29" s="4" t="inlineStr">
        <is>
          <t>10</t>
        </is>
      </c>
      <c r="B29" s="4" t="n"/>
      <c r="C29" s="4" t="n">
        <v>27</v>
      </c>
      <c r="D29" s="10" t="n">
        <v>0</v>
      </c>
      <c r="E29" s="10" t="n">
        <v>0</v>
      </c>
      <c r="F29" s="10" t="n">
        <v>0</v>
      </c>
    </row>
    <row r="30">
      <c r="A30" s="4" t="inlineStr">
        <is>
          <t>11</t>
        </is>
      </c>
      <c r="B30" s="4" t="inlineStr">
        <is>
          <t>2. Nedovršena proizvodnja</t>
        </is>
      </c>
      <c r="C30" s="4" t="n">
        <v>28</v>
      </c>
      <c r="D30" s="10" t="n">
        <v>0</v>
      </c>
      <c r="E30" s="10" t="n">
        <v>0</v>
      </c>
      <c r="F30" s="10" t="n">
        <v>0</v>
      </c>
    </row>
    <row r="31">
      <c r="A31" s="4" t="inlineStr">
        <is>
          <t>12</t>
        </is>
      </c>
      <c r="B31" s="4" t="inlineStr">
        <is>
          <t>i 13 3. Gotovi proizvodi i roba</t>
        </is>
      </c>
      <c r="C31" s="4" t="n">
        <v>29</v>
      </c>
      <c r="D31" s="10" t="n">
        <v>0</v>
      </c>
      <c r="E31" s="10" t="n">
        <v>0</v>
      </c>
      <c r="F31" s="10" t="n">
        <v>0</v>
      </c>
    </row>
    <row r="32">
      <c r="A32" s="4" t="inlineStr">
        <is>
          <t>15</t>
        </is>
      </c>
      <c r="B32" s="4" t="inlineStr">
        <is>
          <t>4. Dati avansi</t>
        </is>
      </c>
      <c r="C32" s="4" t="n">
        <v>30</v>
      </c>
      <c r="D32" s="10" t="n">
        <v>4869</v>
      </c>
      <c r="E32" s="10" t="n">
        <v>0</v>
      </c>
      <c r="F32" s="10" t="n">
        <v>0</v>
      </c>
    </row>
    <row r="33">
      <c r="A33" s="4" t="inlineStr">
        <is>
          <t>II.</t>
        </is>
      </c>
      <c r="B33" s="4" t="inlineStr">
        <is>
          <t>KRATKOROCNA POTRAŽIVANJA (032 do 035)</t>
        </is>
      </c>
      <c r="C33" s="4" t="n">
        <v>31</v>
      </c>
      <c r="D33" s="10" t="n">
        <v>115344</v>
      </c>
      <c r="E33" s="10" t="n">
        <v>60094</v>
      </c>
      <c r="F33" s="10" t="n">
        <v>0</v>
      </c>
    </row>
    <row r="34">
      <c r="A34" s="4" t="inlineStr">
        <is>
          <t>202,</t>
        </is>
      </c>
      <c r="B34" s="4" t="inlineStr">
        <is>
          <t>203, 209(dio) 1. Potraživanja od kupaca</t>
        </is>
      </c>
      <c r="C34" s="4" t="n">
        <v>32</v>
      </c>
      <c r="D34" s="10" t="n">
        <v>0</v>
      </c>
      <c r="E34" s="10" t="n">
        <v>0</v>
      </c>
      <c r="F34" s="10" t="n">
        <v>0</v>
      </c>
    </row>
    <row r="35">
      <c r="A35" s="4" t="inlineStr">
        <is>
          <t>200,</t>
        </is>
      </c>
      <c r="B35" s="4" t="inlineStr">
        <is>
          <t>209(dio) 2. Potraživanja od maticnog i zavisnih pravnih lica</t>
        </is>
      </c>
      <c r="C35" s="4" t="n">
        <v>33</v>
      </c>
      <c r="D35" s="10" t="n">
        <v>0</v>
      </c>
      <c r="E35" s="10" t="n">
        <v>0</v>
      </c>
      <c r="F35" s="10" t="n">
        <v>0</v>
      </c>
    </row>
    <row r="36">
      <c r="A36" s="4" t="inlineStr">
        <is>
          <t>201,</t>
        </is>
      </c>
      <c r="B36" s="4" t="inlineStr">
        <is>
          <t>209(dio) 3. Potraživanja od ostalih povezanih lica</t>
        </is>
      </c>
      <c r="C36" s="4" t="n">
        <v>34</v>
      </c>
      <c r="D36" s="10" t="n">
        <v>0</v>
      </c>
      <c r="E36" s="10" t="n">
        <v>0</v>
      </c>
      <c r="F36" s="10" t="n">
        <v>0</v>
      </c>
    </row>
    <row r="37">
      <c r="A37" s="4" t="inlineStr">
        <is>
          <t>4.</t>
        </is>
      </c>
      <c r="B37" s="4" t="inlineStr">
        <is>
          <t>Ostala potraživanja (036-038)</t>
        </is>
      </c>
      <c r="C37" s="4" t="n">
        <v>35</v>
      </c>
      <c r="D37" s="10" t="n">
        <v>115344</v>
      </c>
      <c r="E37" s="10" t="n">
        <v>60094</v>
      </c>
      <c r="F37" s="10" t="n">
        <v>0</v>
      </c>
    </row>
    <row r="38">
      <c r="A38" s="4" t="inlineStr">
        <is>
          <t>223</t>
        </is>
      </c>
      <c r="B38" s="4" t="inlineStr">
        <is>
          <t>4.1. Potraživanja za više placen porez na dobit</t>
        </is>
      </c>
      <c r="C38" s="4" t="n">
        <v>36</v>
      </c>
      <c r="D38" s="10" t="n">
        <v>0</v>
      </c>
      <c r="E38" s="10" t="n">
        <v>0</v>
      </c>
      <c r="F38" s="10" t="n">
        <v>0</v>
      </c>
    </row>
    <row r="39">
      <c r="A39" s="4" t="inlineStr">
        <is>
          <t>27</t>
        </is>
      </c>
      <c r="B39" s="4" t="n"/>
      <c r="C39" s="4" t="n">
        <v>37</v>
      </c>
      <c r="D39" s="10" t="n">
        <v>86224</v>
      </c>
      <c r="E39" s="10" t="n">
        <v>60094</v>
      </c>
      <c r="F39" s="10" t="n">
        <v>0</v>
      </c>
    </row>
    <row r="40">
      <c r="A40" s="4" t="inlineStr">
        <is>
          <t>21,</t>
        </is>
      </c>
      <c r="B40" s="4" t="inlineStr">
        <is>
          <t>22 osim 223 4.3. Ostala nepomenuta potraživanja</t>
        </is>
      </c>
      <c r="C40" s="4" t="n">
        <v>38</v>
      </c>
      <c r="D40" s="10" t="n">
        <v>29120</v>
      </c>
      <c r="E40" s="10" t="n">
        <v>0</v>
      </c>
      <c r="F40" s="10" t="n">
        <v>0</v>
      </c>
    </row>
    <row r="41">
      <c r="A41" s="4" t="n"/>
      <c r="B41" s="4" t="n"/>
      <c r="C41" s="4" t="n">
        <v>39</v>
      </c>
      <c r="D41" s="10" t="n">
        <v>0</v>
      </c>
      <c r="E41" s="10" t="n">
        <v>0</v>
      </c>
      <c r="F41" s="10" t="n">
        <v>0</v>
      </c>
    </row>
    <row r="42">
      <c r="A42" s="4" t="inlineStr">
        <is>
          <t>236(dio)</t>
        </is>
      </c>
      <c r="B42" s="4" t="n"/>
      <c r="C42" s="4" t="n">
        <v>40</v>
      </c>
      <c r="D42" s="10" t="n">
        <v>0</v>
      </c>
      <c r="E42" s="10" t="n">
        <v>0</v>
      </c>
      <c r="F42" s="10" t="n">
        <v>0</v>
      </c>
    </row>
    <row r="43">
      <c r="A43" s="4" t="inlineStr">
        <is>
          <t>237</t>
        </is>
      </c>
      <c r="B43" s="4" t="n"/>
      <c r="C43" s="4" t="n">
        <v>41</v>
      </c>
      <c r="D43" s="10" t="n">
        <v>0</v>
      </c>
      <c r="E43" s="10" t="n">
        <v>0</v>
      </c>
      <c r="F43" s="10" t="n">
        <v>0</v>
      </c>
    </row>
    <row r="44">
      <c r="A44" s="4" t="inlineStr">
        <is>
          <t>23</t>
        </is>
      </c>
      <c r="B44" s="4" t="inlineStr">
        <is>
          <t>osim 236(dio) i osim 237 3. Ostali kratkorocni finansiski plasmani</t>
        </is>
      </c>
      <c r="C44" s="4" t="n">
        <v>42</v>
      </c>
      <c r="D44" s="10" t="n">
        <v>0</v>
      </c>
      <c r="E44" s="10" t="n">
        <v>0</v>
      </c>
      <c r="F44" s="10" t="n">
        <v>0</v>
      </c>
    </row>
    <row r="45">
      <c r="A45" s="4" t="inlineStr">
        <is>
          <t>24</t>
        </is>
      </c>
      <c r="B45" s="4" t="inlineStr">
        <is>
          <t>IV. GOTOVINA NA RACUNIMA I U BLAGAJNI</t>
        </is>
      </c>
      <c r="C45" s="4" t="n">
        <v>43</v>
      </c>
      <c r="D45" s="10" t="n">
        <v>7162</v>
      </c>
      <c r="E45" s="10" t="n">
        <v>2785</v>
      </c>
      <c r="F45" s="10" t="n">
        <v>39880</v>
      </c>
    </row>
    <row r="46">
      <c r="A46" s="4" t="inlineStr">
        <is>
          <t>4</t>
        </is>
      </c>
      <c r="B46" s="4" t="n"/>
      <c r="C46" s="4" t="n">
        <v>44</v>
      </c>
      <c r="D46" s="10" t="n">
        <v>0</v>
      </c>
      <c r="E46" s="10" t="n">
        <v>0</v>
      </c>
      <c r="F46" s="10" t="n">
        <v>0</v>
      </c>
    </row>
    <row r="47">
      <c r="A47" s="4" t="inlineStr">
        <is>
          <t>28</t>
        </is>
      </c>
      <c r="B47" s="4" t="inlineStr">
        <is>
          <t>osim 288 E. AKTIVNA VREMENSKA RAZGRANICENJA</t>
        </is>
      </c>
      <c r="C47" s="4" t="n">
        <v>45</v>
      </c>
      <c r="D47" s="10" t="n">
        <v>0</v>
      </c>
      <c r="E47" s="10" t="n">
        <v>0</v>
      </c>
      <c r="F47" s="10" t="n">
        <v>0</v>
      </c>
    </row>
    <row r="48">
      <c r="A48" s="4" t="inlineStr">
        <is>
          <t>F.</t>
        </is>
      </c>
      <c r="B48" s="4" t="inlineStr">
        <is>
          <t>UKUPNA AKTIVA (001+002+024+025+045)</t>
        </is>
      </c>
      <c r="C48" s="4" t="n">
        <v>46</v>
      </c>
      <c r="D48" s="10" t="n">
        <v>868342</v>
      </c>
      <c r="E48" s="10" t="n">
        <v>665477</v>
      </c>
      <c r="F48" s="10" t="n">
        <v>438880</v>
      </c>
    </row>
  </sheetData>
  <mergeCells count="2">
    <mergeCell ref="A2:F2"/>
    <mergeCell ref="A1:F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CAPEX_Historija</t>
        </is>
      </c>
    </row>
    <row r="2">
      <c r="A2" s="2" t="inlineStr">
        <is>
          <t>Historical balances and additions by category</t>
        </is>
      </c>
    </row>
    <row r="3">
      <c r="A3" s="3" t="inlineStr">
        <is>
          <t>Category (EN / SR)</t>
        </is>
      </c>
      <c r="B3" s="3" t="inlineStr">
        <is>
          <t>Tax Group</t>
        </is>
      </c>
      <c r="C3" s="3" t="inlineStr">
        <is>
          <t>Rate</t>
        </is>
      </c>
      <c r="D3" s="3" t="inlineStr">
        <is>
          <t>2023</t>
        </is>
      </c>
      <c r="E3" s="3" t="inlineStr">
        <is>
          <t>2024</t>
        </is>
      </c>
      <c r="F3" s="3" t="inlineStr">
        <is>
          <t>2025</t>
        </is>
      </c>
      <c r="G3" s="3" t="inlineStr">
        <is>
          <t>Δ24 vs 23</t>
        </is>
      </c>
      <c r="H3" s="3" t="inlineStr">
        <is>
          <t>Δ25 vs 24</t>
        </is>
      </c>
      <c r="I3" s="3" t="inlineStr">
        <is>
          <t>Cumulative to 2025</t>
        </is>
      </c>
    </row>
    <row r="4">
      <c r="A4" s="4" t="inlineStr">
        <is>
          <t>Land &amp; Buildings / Zemljište i objekti (RB 9)</t>
        </is>
      </c>
      <c r="B4" s="4" t="inlineStr">
        <is>
          <t>N/A / II</t>
        </is>
      </c>
      <c r="C4" s="13" t="n">
        <v>0.1</v>
      </c>
      <c r="D4" s="14">
        <f>INDEX(INPUT_Bilansi!$F:$F,MATCH(9,INPUT_Bilansi!$C:$C,0))</f>
        <v/>
      </c>
      <c r="E4" s="14">
        <f>INDEX(INPUT_Bilansi!$E:$E,MATCH(9,INPUT_Bilansi!$C:$C,0))</f>
        <v/>
      </c>
      <c r="F4" s="14">
        <f>INDEX(INPUT_Bilansi!$D:$D,MATCH(9,INPUT_Bilansi!$C:$C,0))</f>
        <v/>
      </c>
      <c r="G4" s="15">
        <f>E4-D4</f>
        <v/>
      </c>
      <c r="H4" s="15">
        <f>F4-E4</f>
        <v/>
      </c>
      <c r="I4" s="15">
        <f>SUM(D4:F4)</f>
        <v/>
      </c>
    </row>
    <row r="5">
      <c r="A5" s="4" t="inlineStr">
        <is>
          <t>Machinery &amp; Equipment / Postrojenja i oprema (RB 10)</t>
        </is>
      </c>
      <c r="B5" s="4" t="inlineStr">
        <is>
          <t>III / IV</t>
        </is>
      </c>
      <c r="C5" s="13" t="n">
        <v>0.15</v>
      </c>
      <c r="D5" s="14">
        <f>INDEX(INPUT_Bilansi!$F:$F,MATCH(10,INPUT_Bilansi!$C:$C,0))</f>
        <v/>
      </c>
      <c r="E5" s="14">
        <f>INDEX(INPUT_Bilansi!$E:$E,MATCH(10,INPUT_Bilansi!$C:$C,0))</f>
        <v/>
      </c>
      <c r="F5" s="14">
        <f>INDEX(INPUT_Bilansi!$D:$D,MATCH(10,INPUT_Bilansi!$C:$C,0))</f>
        <v/>
      </c>
      <c r="G5" s="15">
        <f>E5-D5</f>
        <v/>
      </c>
      <c r="H5" s="15">
        <f>F5-E5</f>
        <v/>
      </c>
      <c r="I5" s="15">
        <f>SUM(D5:F5)</f>
        <v/>
      </c>
    </row>
    <row r="6">
      <c r="A6" s="4" t="inlineStr">
        <is>
          <t>Advances for PPE / Avansi za PPE (RB 15)</t>
        </is>
      </c>
      <c r="B6" s="4" t="inlineStr">
        <is>
          <t>N/A</t>
        </is>
      </c>
      <c r="C6" s="13" t="n">
        <v>0</v>
      </c>
      <c r="D6" s="14">
        <f>INDEX(INPUT_Bilansi!$F:$F,MATCH(15,INPUT_Bilansi!$C:$C,0))</f>
        <v/>
      </c>
      <c r="E6" s="14">
        <f>INDEX(INPUT_Bilansi!$E:$E,MATCH(15,INPUT_Bilansi!$C:$C,0))</f>
        <v/>
      </c>
      <c r="F6" s="14">
        <f>INDEX(INPUT_Bilansi!$D:$D,MATCH(15,INPUT_Bilansi!$C:$C,0))</f>
        <v/>
      </c>
      <c r="G6" s="15">
        <f>E6-D6</f>
        <v/>
      </c>
      <c r="H6" s="15">
        <f>F6-E6</f>
        <v/>
      </c>
      <c r="I6" s="15">
        <f>SUM(D6:F6)</f>
        <v/>
      </c>
    </row>
    <row r="7">
      <c r="A7" s="4" t="inlineStr">
        <is>
          <t>Intangibles / Nematerijalna ulaganja (RB 3)</t>
        </is>
      </c>
      <c r="B7" s="4" t="inlineStr">
        <is>
          <t>III</t>
        </is>
      </c>
      <c r="C7" s="13" t="n">
        <v>0.15</v>
      </c>
      <c r="D7" s="14">
        <f>INDEX(INPUT_Bilansi!$F:$F,MATCH(3,INPUT_Bilansi!$C:$C,0))</f>
        <v/>
      </c>
      <c r="E7" s="14">
        <f>INDEX(INPUT_Bilansi!$E:$E,MATCH(3,INPUT_Bilansi!$C:$C,0))</f>
        <v/>
      </c>
      <c r="F7" s="14">
        <f>INDEX(INPUT_Bilansi!$D:$D,MATCH(3,INPUT_Bilansi!$C:$C,0))</f>
        <v/>
      </c>
      <c r="G7" s="15">
        <f>E7-D7</f>
        <v/>
      </c>
      <c r="H7" s="15">
        <f>F7-E7</f>
        <v/>
      </c>
      <c r="I7" s="15">
        <f>SUM(D7:F7)</f>
        <v/>
      </c>
    </row>
    <row r="8">
      <c r="A8" s="4" t="inlineStr">
        <is>
          <t>Other Fixed Assets / Ostala stalna imovina</t>
        </is>
      </c>
      <c r="B8" s="4" t="inlineStr">
        <is>
          <t>Various</t>
        </is>
      </c>
      <c r="C8" s="13" t="n">
        <v>0.1</v>
      </c>
      <c r="D8" s="14">
        <f>INDEX(INPUT_Bilansi!$F:$F,MATCH(2,INPUT_Bilansi!$C:$C,0))-SUM(D4:D7)</f>
        <v/>
      </c>
      <c r="E8" s="14">
        <f>INDEX(INPUT_Bilansi!$E:$E,MATCH(2,INPUT_Bilansi!$C:$C,0))-SUM(E4:E7)</f>
        <v/>
      </c>
      <c r="F8" s="14">
        <f>INDEX(INPUT_Bilansi!$D:$D,MATCH(2,INPUT_Bilansi!$C:$C,0))-SUM(F4:F7)</f>
        <v/>
      </c>
      <c r="G8" s="15">
        <f>E8-D8</f>
        <v/>
      </c>
      <c r="H8" s="15">
        <f>F8-E8</f>
        <v/>
      </c>
      <c r="I8" s="15">
        <f>SUM(D8:F8)</f>
        <v/>
      </c>
    </row>
    <row r="9">
      <c r="A9" s="11" t="inlineStr">
        <is>
          <t>TOTAL CAPEX</t>
        </is>
      </c>
      <c r="B9" s="11" t="n"/>
      <c r="C9" s="16" t="n"/>
      <c r="D9" s="12">
        <f>SUM(D4:D8)</f>
        <v/>
      </c>
      <c r="E9" s="12">
        <f>SUM(E4:E8)</f>
        <v/>
      </c>
      <c r="F9" s="12">
        <f>SUM(F4:F8)</f>
        <v/>
      </c>
      <c r="G9" s="12">
        <f>E9-D9</f>
        <v/>
      </c>
      <c r="H9" s="12">
        <f>F9-E9</f>
        <v/>
      </c>
      <c r="I9" s="12">
        <f>SUM(D9:F9)</f>
        <v/>
      </c>
    </row>
  </sheetData>
  <mergeCells count="2">
    <mergeCell ref="A1:I1"/>
    <mergeCell ref="A2:I2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Amortizacija_Plan</t>
        </is>
      </c>
    </row>
    <row r="2">
      <c r="A2" s="2" t="inlineStr">
        <is>
          <t>Straight-line depreciation bridge</t>
        </is>
      </c>
    </row>
    <row r="3">
      <c r="A3" s="3" t="inlineStr">
        <is>
          <t>Investment Year</t>
        </is>
      </c>
      <c r="B3" s="3" t="inlineStr">
        <is>
          <t>Category</t>
        </is>
      </c>
      <c r="C3" s="3" t="inlineStr">
        <is>
          <t>Amount</t>
        </is>
      </c>
      <c r="D3" s="3" t="inlineStr">
        <is>
          <t>Rate</t>
        </is>
      </c>
      <c r="E3" s="3" t="inlineStr">
        <is>
          <t>Annual Depreciation</t>
        </is>
      </c>
      <c r="F3" s="3" t="inlineStr">
        <is>
          <t>Cum. Depreciation to 2025</t>
        </is>
      </c>
      <c r="G3" s="3" t="inlineStr">
        <is>
          <t>Residual 2026</t>
        </is>
      </c>
    </row>
    <row r="4">
      <c r="A4" s="4" t="n">
        <v>2023</v>
      </c>
      <c r="B4" s="4" t="inlineStr">
        <is>
          <t>Land &amp; Buildings</t>
        </is>
      </c>
      <c r="C4" s="14">
        <f>CAPEX_Historija!D4</f>
        <v/>
      </c>
      <c r="D4" s="9">
        <f>CAPEX_Historija!C4</f>
        <v/>
      </c>
      <c r="E4" s="14">
        <f>C4*D4</f>
        <v/>
      </c>
      <c r="F4" s="14">
        <f>MIN(C4,E4*MAX(0,2025-A4+1))</f>
        <v/>
      </c>
      <c r="G4" s="14">
        <f>MAX(0,C4-F4)</f>
        <v/>
      </c>
    </row>
    <row r="5">
      <c r="A5" s="4" t="n">
        <v>2024</v>
      </c>
      <c r="B5" s="4" t="inlineStr">
        <is>
          <t>Land &amp; Buildings</t>
        </is>
      </c>
      <c r="C5" s="14">
        <f>CAPEX_Historija!E4</f>
        <v/>
      </c>
      <c r="D5" s="9">
        <f>CAPEX_Historija!C4</f>
        <v/>
      </c>
      <c r="E5" s="14">
        <f>C5*D5</f>
        <v/>
      </c>
      <c r="F5" s="14">
        <f>MIN(C5,E5*MAX(0,2025-A5+1))</f>
        <v/>
      </c>
      <c r="G5" s="14">
        <f>MAX(0,C5-F5)</f>
        <v/>
      </c>
    </row>
    <row r="6">
      <c r="A6" s="4" t="n">
        <v>2025</v>
      </c>
      <c r="B6" s="4" t="inlineStr">
        <is>
          <t>Land &amp; Buildings</t>
        </is>
      </c>
      <c r="C6" s="14">
        <f>CAPEX_Historija!F4</f>
        <v/>
      </c>
      <c r="D6" s="9">
        <f>CAPEX_Historija!C4</f>
        <v/>
      </c>
      <c r="E6" s="14">
        <f>C6*D6</f>
        <v/>
      </c>
      <c r="F6" s="14">
        <f>MIN(C6,E6*MAX(0,2025-A6+1))</f>
        <v/>
      </c>
      <c r="G6" s="14">
        <f>MAX(0,C6-F6)</f>
        <v/>
      </c>
    </row>
    <row r="7">
      <c r="A7" s="4" t="n">
        <v>2023</v>
      </c>
      <c r="B7" s="4" t="inlineStr">
        <is>
          <t>Machinery &amp; Equipment</t>
        </is>
      </c>
      <c r="C7" s="14">
        <f>CAPEX_Historija!D5</f>
        <v/>
      </c>
      <c r="D7" s="9">
        <f>CAPEX_Historija!C5</f>
        <v/>
      </c>
      <c r="E7" s="14">
        <f>C7*D7</f>
        <v/>
      </c>
      <c r="F7" s="14">
        <f>MIN(C7,E7*MAX(0,2025-A7+1))</f>
        <v/>
      </c>
      <c r="G7" s="14">
        <f>MAX(0,C7-F7)</f>
        <v/>
      </c>
    </row>
    <row r="8">
      <c r="A8" s="4" t="n">
        <v>2024</v>
      </c>
      <c r="B8" s="4" t="inlineStr">
        <is>
          <t>Machinery &amp; Equipment</t>
        </is>
      </c>
      <c r="C8" s="14">
        <f>CAPEX_Historija!E5</f>
        <v/>
      </c>
      <c r="D8" s="9">
        <f>CAPEX_Historija!C5</f>
        <v/>
      </c>
      <c r="E8" s="14">
        <f>C8*D8</f>
        <v/>
      </c>
      <c r="F8" s="14">
        <f>MIN(C8,E8*MAX(0,2025-A8+1))</f>
        <v/>
      </c>
      <c r="G8" s="14">
        <f>MAX(0,C8-F8)</f>
        <v/>
      </c>
    </row>
    <row r="9">
      <c r="A9" s="4" t="n">
        <v>2025</v>
      </c>
      <c r="B9" s="4" t="inlineStr">
        <is>
          <t>Machinery &amp; Equipment</t>
        </is>
      </c>
      <c r="C9" s="14">
        <f>CAPEX_Historija!F5</f>
        <v/>
      </c>
      <c r="D9" s="9">
        <f>CAPEX_Historija!C5</f>
        <v/>
      </c>
      <c r="E9" s="14">
        <f>C9*D9</f>
        <v/>
      </c>
      <c r="F9" s="14">
        <f>MIN(C9,E9*MAX(0,2025-A9+1))</f>
        <v/>
      </c>
      <c r="G9" s="14">
        <f>MAX(0,C9-F9)</f>
        <v/>
      </c>
    </row>
    <row r="10">
      <c r="A10" s="4" t="n">
        <v>2023</v>
      </c>
      <c r="B10" s="4" t="inlineStr">
        <is>
          <t>Intangibles</t>
        </is>
      </c>
      <c r="C10" s="14">
        <f>CAPEX_Historija!D7</f>
        <v/>
      </c>
      <c r="D10" s="9">
        <f>CAPEX_Historija!C7</f>
        <v/>
      </c>
      <c r="E10" s="14">
        <f>C10*D10</f>
        <v/>
      </c>
      <c r="F10" s="14">
        <f>MIN(C10,E10*MAX(0,2025-A10+1))</f>
        <v/>
      </c>
      <c r="G10" s="14">
        <f>MAX(0,C10-F10)</f>
        <v/>
      </c>
    </row>
    <row r="11">
      <c r="A11" s="4" t="n">
        <v>2024</v>
      </c>
      <c r="B11" s="4" t="inlineStr">
        <is>
          <t>Intangibles</t>
        </is>
      </c>
      <c r="C11" s="14">
        <f>CAPEX_Historija!E7</f>
        <v/>
      </c>
      <c r="D11" s="9">
        <f>CAPEX_Historija!C7</f>
        <v/>
      </c>
      <c r="E11" s="14">
        <f>C11*D11</f>
        <v/>
      </c>
      <c r="F11" s="14">
        <f>MIN(C11,E11*MAX(0,2025-A11+1))</f>
        <v/>
      </c>
      <c r="G11" s="14">
        <f>MAX(0,C11-F11)</f>
        <v/>
      </c>
    </row>
    <row r="12">
      <c r="A12" s="4" t="n">
        <v>2025</v>
      </c>
      <c r="B12" s="4" t="inlineStr">
        <is>
          <t>Intangibles</t>
        </is>
      </c>
      <c r="C12" s="14">
        <f>CAPEX_Historija!F7</f>
        <v/>
      </c>
      <c r="D12" s="9">
        <f>CAPEX_Historija!C7</f>
        <v/>
      </c>
      <c r="E12" s="14">
        <f>C12*D12</f>
        <v/>
      </c>
      <c r="F12" s="14">
        <f>MIN(C12,E12*MAX(0,2025-A12+1))</f>
        <v/>
      </c>
      <c r="G12" s="14">
        <f>MAX(0,C12-F12)</f>
        <v/>
      </c>
    </row>
  </sheetData>
  <mergeCells count="2">
    <mergeCell ref="A2:G2"/>
    <mergeCell ref="A1:G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</cols>
  <sheetData>
    <row r="1">
      <c r="A1" s="1" t="inlineStr">
        <is>
          <t>CAPEX_Projekcija_2026_2030</t>
        </is>
      </c>
    </row>
    <row r="2">
      <c r="A2" s="2" t="inlineStr">
        <is>
          <t>Yellow = plan inputs for 2026-2030</t>
        </is>
      </c>
    </row>
    <row r="3">
      <c r="A3" s="3" t="inlineStr">
        <is>
          <t>Category</t>
        </is>
      </c>
      <c r="B3" s="3" t="inlineStr">
        <is>
          <t>Tax Group</t>
        </is>
      </c>
      <c r="C3" s="3" t="inlineStr">
        <is>
          <t>2026</t>
        </is>
      </c>
      <c r="D3" s="3" t="inlineStr">
        <is>
          <t>2027</t>
        </is>
      </c>
      <c r="E3" s="3" t="inlineStr">
        <is>
          <t>2028</t>
        </is>
      </c>
      <c r="F3" s="3" t="inlineStr">
        <is>
          <t>2029</t>
        </is>
      </c>
      <c r="G3" s="3" t="inlineStr">
        <is>
          <t>2030</t>
        </is>
      </c>
      <c r="H3" s="3" t="inlineStr">
        <is>
          <t>Total Future</t>
        </is>
      </c>
      <c r="I3" s="3" t="inlineStr">
        <is>
          <t>Total Cumulative</t>
        </is>
      </c>
    </row>
    <row r="4">
      <c r="A4" t="inlineStr">
        <is>
          <t>Land &amp; Buildings</t>
        </is>
      </c>
      <c r="B4" t="inlineStr">
        <is>
          <t>II</t>
        </is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4">
        <f>SUM(C4:G4)</f>
        <v/>
      </c>
      <c r="I4" s="14">
        <f>CAPEX_Historija!I4+H4</f>
        <v/>
      </c>
    </row>
    <row r="5">
      <c r="A5" t="inlineStr">
        <is>
          <t>Machinery &amp; Equipment</t>
        </is>
      </c>
      <c r="B5" t="inlineStr">
        <is>
          <t>III/IV</t>
        </is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4">
        <f>SUM(C5:G5)</f>
        <v/>
      </c>
      <c r="I5" s="14">
        <f>CAPEX_Historija!I5+H5</f>
        <v/>
      </c>
    </row>
    <row r="6">
      <c r="A6" t="inlineStr">
        <is>
          <t>Advances</t>
        </is>
      </c>
      <c r="B6" t="inlineStr">
        <is>
          <t>N/A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>
        <f>SUM(C6:G6)</f>
        <v/>
      </c>
      <c r="I6" s="14">
        <f>CAPEX_Historija!I6+H6</f>
        <v/>
      </c>
    </row>
    <row r="7">
      <c r="A7" t="inlineStr">
        <is>
          <t>Intangibles</t>
        </is>
      </c>
      <c r="B7" t="inlineStr">
        <is>
          <t>III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4">
        <f>SUM(C7:G7)</f>
        <v/>
      </c>
      <c r="I7" s="14">
        <f>CAPEX_Historija!I7+H7</f>
        <v/>
      </c>
    </row>
    <row r="8">
      <c r="A8" t="inlineStr">
        <is>
          <t>Other Fixed Assets</t>
        </is>
      </c>
      <c r="B8" t="inlineStr">
        <is>
          <t>II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4">
        <f>SUM(C8:G8)</f>
        <v/>
      </c>
      <c r="I8" s="14">
        <f>CAPEX_Historija!I8+H8</f>
        <v/>
      </c>
    </row>
    <row r="9">
      <c r="A9" s="11" t="inlineStr">
        <is>
          <t>TOTAL</t>
        </is>
      </c>
      <c r="B9" s="11" t="n"/>
      <c r="C9" s="12">
        <f>SUM(C4:C8)</f>
        <v/>
      </c>
      <c r="D9" s="12">
        <f>SUM(D4:D8)</f>
        <v/>
      </c>
      <c r="E9" s="12">
        <f>SUM(E4:E8)</f>
        <v/>
      </c>
      <c r="F9" s="12">
        <f>SUM(F4:F8)</f>
        <v/>
      </c>
      <c r="G9" s="12">
        <f>SUM(G4:G8)</f>
        <v/>
      </c>
      <c r="H9" s="12">
        <f>SUM(H4:H8)</f>
        <v/>
      </c>
      <c r="I9" s="12">
        <f>CAPEX_Historija!I9+H9</f>
        <v/>
      </c>
    </row>
  </sheetData>
  <mergeCells count="2">
    <mergeCell ref="A1:I1"/>
    <mergeCell ref="A2:I2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4" customWidth="1" min="8" max="8"/>
  </cols>
  <sheetData>
    <row r="1">
      <c r="A1" s="1" t="inlineStr">
        <is>
          <t>OPEX_Historija</t>
        </is>
      </c>
    </row>
    <row r="2">
      <c r="A2" s="2" t="inlineStr">
        <is>
          <t>Monthly historical OPEX inputs 2023-2025</t>
        </is>
      </c>
    </row>
    <row r="3">
      <c r="A3" s="3" t="inlineStr">
        <is>
          <t>Month</t>
        </is>
      </c>
      <c r="B3" s="3" t="inlineStr">
        <is>
          <t>Salaries</t>
        </is>
      </c>
      <c r="C3" s="3" t="inlineStr">
        <is>
          <t>Energy &amp; Utilities</t>
        </is>
      </c>
      <c r="D3" s="3" t="inlineStr">
        <is>
          <t>Rent/Services</t>
        </is>
      </c>
      <c r="E3" s="3" t="inlineStr">
        <is>
          <t>Professional Fees</t>
        </is>
      </c>
      <c r="F3" s="3" t="inlineStr">
        <is>
          <t>Travel &amp; Misc</t>
        </is>
      </c>
      <c r="G3" s="3" t="inlineStr">
        <is>
          <t>Total OPEX</t>
        </is>
      </c>
      <c r="H3" s="3" t="inlineStr">
        <is>
          <t>Notes</t>
        </is>
      </c>
    </row>
    <row r="4">
      <c r="A4" s="17">
        <f>DATE(2023,1,1)</f>
        <v/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4">
        <f>SUM(B4:F4)</f>
        <v/>
      </c>
    </row>
    <row r="5">
      <c r="A5" s="17">
        <f>DATE(2023,2,1)</f>
        <v/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4">
        <f>SUM(B5:F5)</f>
        <v/>
      </c>
    </row>
    <row r="6">
      <c r="A6" s="17">
        <f>DATE(2023,3,1)</f>
        <v/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4">
        <f>SUM(B6:F6)</f>
        <v/>
      </c>
    </row>
    <row r="7">
      <c r="A7" s="17">
        <f>DATE(2023,4,1)</f>
        <v/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4">
        <f>SUM(B7:F7)</f>
        <v/>
      </c>
    </row>
    <row r="8">
      <c r="A8" s="17">
        <f>DATE(2023,5,1)</f>
        <v/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4">
        <f>SUM(B8:F8)</f>
        <v/>
      </c>
    </row>
    <row r="9">
      <c r="A9" s="17">
        <f>DATE(2023,6,1)</f>
        <v/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4">
        <f>SUM(B9:F9)</f>
        <v/>
      </c>
    </row>
    <row r="10">
      <c r="A10" s="17">
        <f>DATE(2023,7,1)</f>
        <v/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4">
        <f>SUM(B10:F10)</f>
        <v/>
      </c>
    </row>
    <row r="11">
      <c r="A11" s="17">
        <f>DATE(2023,8,1)</f>
        <v/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0</v>
      </c>
      <c r="G11" s="14">
        <f>SUM(B11:F11)</f>
        <v/>
      </c>
    </row>
    <row r="12">
      <c r="A12" s="17">
        <f>DATE(2023,9,1)</f>
        <v/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4">
        <f>SUM(B12:F12)</f>
        <v/>
      </c>
    </row>
    <row r="13">
      <c r="A13" s="17">
        <f>DATE(2023,10,1)</f>
        <v/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4">
        <f>SUM(B13:F13)</f>
        <v/>
      </c>
    </row>
    <row r="14">
      <c r="A14" s="17">
        <f>DATE(2023,11,1)</f>
        <v/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4">
        <f>SUM(B14:F14)</f>
        <v/>
      </c>
    </row>
    <row r="15">
      <c r="A15" s="17">
        <f>DATE(2023,12,1)</f>
        <v/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4">
        <f>SUM(B15:F15)</f>
        <v/>
      </c>
    </row>
    <row r="16">
      <c r="A16" s="17">
        <f>DATE(2024,1,1)</f>
        <v/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4">
        <f>SUM(B16:F16)</f>
        <v/>
      </c>
    </row>
    <row r="17">
      <c r="A17" s="17">
        <f>DATE(2024,2,1)</f>
        <v/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4">
        <f>SUM(B17:F17)</f>
        <v/>
      </c>
    </row>
    <row r="18">
      <c r="A18" s="17">
        <f>DATE(2024,3,1)</f>
        <v/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4">
        <f>SUM(B18:F18)</f>
        <v/>
      </c>
    </row>
    <row r="19">
      <c r="A19" s="17">
        <f>DATE(2024,4,1)</f>
        <v/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4">
        <f>SUM(B19:F19)</f>
        <v/>
      </c>
    </row>
    <row r="20">
      <c r="A20" s="17">
        <f>DATE(2024,5,1)</f>
        <v/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4">
        <f>SUM(B20:F20)</f>
        <v/>
      </c>
    </row>
    <row r="21">
      <c r="A21" s="17">
        <f>DATE(2024,6,1)</f>
        <v/>
      </c>
      <c r="B21" s="10" t="n">
        <v>0</v>
      </c>
      <c r="C21" s="10" t="n">
        <v>0</v>
      </c>
      <c r="D21" s="10" t="n">
        <v>0</v>
      </c>
      <c r="E21" s="10" t="n">
        <v>0</v>
      </c>
      <c r="F21" s="10" t="n">
        <v>0</v>
      </c>
      <c r="G21" s="14">
        <f>SUM(B21:F21)</f>
        <v/>
      </c>
    </row>
    <row r="22">
      <c r="A22" s="17">
        <f>DATE(2024,7,1)</f>
        <v/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4">
        <f>SUM(B22:F22)</f>
        <v/>
      </c>
    </row>
    <row r="23">
      <c r="A23" s="17">
        <f>DATE(2024,8,1)</f>
        <v/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4">
        <f>SUM(B23:F23)</f>
        <v/>
      </c>
    </row>
    <row r="24">
      <c r="A24" s="17">
        <f>DATE(2024,9,1)</f>
        <v/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4">
        <f>SUM(B24:F24)</f>
        <v/>
      </c>
    </row>
    <row r="25">
      <c r="A25" s="17">
        <f>DATE(2024,10,1)</f>
        <v/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4">
        <f>SUM(B25:F25)</f>
        <v/>
      </c>
    </row>
    <row r="26">
      <c r="A26" s="17">
        <f>DATE(2024,11,1)</f>
        <v/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4">
        <f>SUM(B26:F26)</f>
        <v/>
      </c>
    </row>
    <row r="27">
      <c r="A27" s="17">
        <f>DATE(2024,12,1)</f>
        <v/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4">
        <f>SUM(B27:F27)</f>
        <v/>
      </c>
    </row>
    <row r="28">
      <c r="A28" s="17">
        <f>DATE(2025,1,1)</f>
        <v/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4">
        <f>SUM(B28:F28)</f>
        <v/>
      </c>
    </row>
    <row r="29">
      <c r="A29" s="17">
        <f>DATE(2025,2,1)</f>
        <v/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4">
        <f>SUM(B29:F29)</f>
        <v/>
      </c>
    </row>
    <row r="30">
      <c r="A30" s="17">
        <f>DATE(2025,3,1)</f>
        <v/>
      </c>
      <c r="B30" s="10" t="n">
        <v>0</v>
      </c>
      <c r="C30" s="10" t="n">
        <v>0</v>
      </c>
      <c r="D30" s="10" t="n">
        <v>0</v>
      </c>
      <c r="E30" s="10" t="n">
        <v>0</v>
      </c>
      <c r="F30" s="10" t="n">
        <v>0</v>
      </c>
      <c r="G30" s="14">
        <f>SUM(B30:F30)</f>
        <v/>
      </c>
    </row>
    <row r="31">
      <c r="A31" s="17">
        <f>DATE(2025,4,1)</f>
        <v/>
      </c>
      <c r="B31" s="10" t="n">
        <v>0</v>
      </c>
      <c r="C31" s="10" t="n">
        <v>0</v>
      </c>
      <c r="D31" s="10" t="n">
        <v>0</v>
      </c>
      <c r="E31" s="10" t="n">
        <v>0</v>
      </c>
      <c r="F31" s="10" t="n">
        <v>0</v>
      </c>
      <c r="G31" s="14">
        <f>SUM(B31:F31)</f>
        <v/>
      </c>
    </row>
    <row r="32">
      <c r="A32" s="17">
        <f>DATE(2025,5,1)</f>
        <v/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4">
        <f>SUM(B32:F32)</f>
        <v/>
      </c>
    </row>
    <row r="33">
      <c r="A33" s="17">
        <f>DATE(2025,6,1)</f>
        <v/>
      </c>
      <c r="B33" s="10" t="n">
        <v>0</v>
      </c>
      <c r="C33" s="10" t="n">
        <v>0</v>
      </c>
      <c r="D33" s="10" t="n">
        <v>0</v>
      </c>
      <c r="E33" s="10" t="n">
        <v>0</v>
      </c>
      <c r="F33" s="10" t="n">
        <v>0</v>
      </c>
      <c r="G33" s="14">
        <f>SUM(B33:F33)</f>
        <v/>
      </c>
    </row>
    <row r="34">
      <c r="A34" s="17">
        <f>DATE(2025,7,1)</f>
        <v/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0</v>
      </c>
      <c r="G34" s="14">
        <f>SUM(B34:F34)</f>
        <v/>
      </c>
    </row>
    <row r="35">
      <c r="A35" s="17">
        <f>DATE(2025,8,1)</f>
        <v/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4">
        <f>SUM(B35:F35)</f>
        <v/>
      </c>
    </row>
    <row r="36">
      <c r="A36" s="17">
        <f>DATE(2025,9,1)</f>
        <v/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0</v>
      </c>
      <c r="G36" s="14">
        <f>SUM(B36:F36)</f>
        <v/>
      </c>
    </row>
    <row r="37">
      <c r="A37" s="17">
        <f>DATE(2025,10,1)</f>
        <v/>
      </c>
      <c r="B37" s="10" t="n">
        <v>0</v>
      </c>
      <c r="C37" s="10" t="n">
        <v>0</v>
      </c>
      <c r="D37" s="10" t="n">
        <v>0</v>
      </c>
      <c r="E37" s="10" t="n">
        <v>0</v>
      </c>
      <c r="F37" s="10" t="n">
        <v>0</v>
      </c>
      <c r="G37" s="14">
        <f>SUM(B37:F37)</f>
        <v/>
      </c>
    </row>
    <row r="38">
      <c r="A38" s="17">
        <f>DATE(2025,11,1)</f>
        <v/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  <c r="G38" s="14">
        <f>SUM(B38:F38)</f>
        <v/>
      </c>
    </row>
    <row r="39">
      <c r="A39" s="17">
        <f>DATE(2025,12,1)</f>
        <v/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0</v>
      </c>
      <c r="G39" s="14">
        <f>SUM(B39:F39)</f>
        <v/>
      </c>
    </row>
    <row r="42">
      <c r="A42" s="18" t="inlineStr">
        <is>
          <t>Yearly Summary</t>
        </is>
      </c>
    </row>
    <row r="43">
      <c r="A43" s="3" t="inlineStr">
        <is>
          <t>Year</t>
        </is>
      </c>
      <c r="B43" s="3" t="inlineStr">
        <is>
          <t>OPEX total</t>
        </is>
      </c>
      <c r="C43" s="3" t="inlineStr">
        <is>
          <t>Comment</t>
        </is>
      </c>
    </row>
    <row r="44">
      <c r="A44" s="4" t="n">
        <v>2023</v>
      </c>
      <c r="B44" s="15">
        <f>SUMIFS($G$4:$G$39,$A$4:$A$39,"&gt;="&amp;DATE(2023,1,1),$A$4:$A$39,"&lt;"&amp;DATE(2024,1,1))</f>
        <v/>
      </c>
      <c r="C44" s="4" t="inlineStr">
        <is>
          <t>Pre-op baseline</t>
        </is>
      </c>
    </row>
    <row r="45">
      <c r="A45" s="4" t="n">
        <v>2024</v>
      </c>
      <c r="B45" s="15">
        <f>SUMIFS($G$4:$G$39,$A$4:$A$39,"&gt;="&amp;DATE(2024,1,1),$A$4:$A$39,"&lt;"&amp;DATE(2025,1,1))</f>
        <v/>
      </c>
      <c r="C45" s="4" t="inlineStr">
        <is>
          <t>Target ~105.7k from FS</t>
        </is>
      </c>
    </row>
    <row r="46">
      <c r="A46" s="4" t="n">
        <v>2025</v>
      </c>
      <c r="B46" s="15">
        <f>SUMIFS($G$4:$G$39,$A$4:$A$39,"&gt;="&amp;DATE(2025,1,1),$A$4:$A$39,"&lt;"&amp;DATE(2026,1,1))</f>
        <v/>
      </c>
      <c r="C46" s="4" t="inlineStr">
        <is>
          <t>Target ~132.1k from FS</t>
        </is>
      </c>
    </row>
  </sheetData>
  <mergeCells count="3">
    <mergeCell ref="A42:C42"/>
    <mergeCell ref="A2:H2"/>
    <mergeCell ref="A1:H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OPEX_Projekcija_2026_2030</t>
        </is>
      </c>
    </row>
    <row r="2">
      <c r="A2" s="2" t="inlineStr">
        <is>
          <t>Yellow = Base 2026 inputs | linked to inflation and scenario</t>
        </is>
      </c>
    </row>
    <row r="3">
      <c r="A3" s="3" t="inlineStr">
        <is>
          <t>Category</t>
        </is>
      </c>
      <c r="B3" s="3" t="inlineStr">
        <is>
          <t>Base 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  <c r="G3" s="3" t="inlineStr">
        <is>
          <t>Inflation</t>
        </is>
      </c>
      <c r="H3" s="3" t="inlineStr">
        <is>
          <t>Scenario Mult</t>
        </is>
      </c>
    </row>
    <row r="4">
      <c r="A4" t="inlineStr">
        <is>
          <t>Salaries</t>
        </is>
      </c>
      <c r="B4" s="10" t="n">
        <v>0</v>
      </c>
      <c r="C4" s="14">
        <f>B4*(1+ASSUMPTIONS!$B$10)*ASSUMPTIONS!$F$7</f>
        <v/>
      </c>
      <c r="D4" s="14">
        <f>C4*(1+ASSUMPTIONS!$B$10)*ASSUMPTIONS!$F$7</f>
        <v/>
      </c>
      <c r="E4" s="14">
        <f>D4*(1+ASSUMPTIONS!$B$10)*ASSUMPTIONS!$F$7*1.80</f>
        <v/>
      </c>
      <c r="F4" s="14">
        <f>E4*(1+ASSUMPTIONS!$B$10)*1.10</f>
        <v/>
      </c>
      <c r="G4" s="13">
        <f>ASSUMPTIONS!$B$10</f>
        <v/>
      </c>
      <c r="H4" s="13">
        <f>ASSUMPTIONS!$F$7</f>
        <v/>
      </c>
    </row>
    <row r="5">
      <c r="A5" t="inlineStr">
        <is>
          <t>Energy &amp; Utilities</t>
        </is>
      </c>
      <c r="B5" s="10" t="n">
        <v>0</v>
      </c>
      <c r="C5" s="14">
        <f>B5*(1+ASSUMPTIONS!$B$10)*ASSUMPTIONS!$F$7</f>
        <v/>
      </c>
      <c r="D5" s="14">
        <f>C5*(1+ASSUMPTIONS!$B$10)*ASSUMPTIONS!$F$7</f>
        <v/>
      </c>
      <c r="E5" s="14">
        <f>D5*(1+ASSUMPTIONS!$B$10)*ASSUMPTIONS!$F$7*1.80</f>
        <v/>
      </c>
      <c r="F5" s="14">
        <f>E5*(1+ASSUMPTIONS!$B$10)*1.10</f>
        <v/>
      </c>
      <c r="G5" s="13">
        <f>ASSUMPTIONS!$B$10</f>
        <v/>
      </c>
      <c r="H5" s="13">
        <f>ASSUMPTIONS!$F$7</f>
        <v/>
      </c>
    </row>
    <row r="6">
      <c r="A6" t="inlineStr">
        <is>
          <t>Maintenance</t>
        </is>
      </c>
      <c r="B6" s="10" t="n">
        <v>0</v>
      </c>
      <c r="C6" s="14">
        <f>B6*(1+ASSUMPTIONS!$B$10)*ASSUMPTIONS!$F$7</f>
        <v/>
      </c>
      <c r="D6" s="14">
        <f>C6*(1+ASSUMPTIONS!$B$10)*ASSUMPTIONS!$F$7</f>
        <v/>
      </c>
      <c r="E6" s="14">
        <f>D6*(1+ASSUMPTIONS!$B$10)*ASSUMPTIONS!$F$7*1.80</f>
        <v/>
      </c>
      <c r="F6" s="14">
        <f>E6*(1+ASSUMPTIONS!$B$10)*1.10</f>
        <v/>
      </c>
      <c r="G6" s="13">
        <f>ASSUMPTIONS!$B$10</f>
        <v/>
      </c>
      <c r="H6" s="13">
        <f>ASSUMPTIONS!$F$7</f>
        <v/>
      </c>
    </row>
    <row r="7">
      <c r="A7" t="inlineStr">
        <is>
          <t>SG&amp;A / Admin</t>
        </is>
      </c>
      <c r="B7" s="10" t="n">
        <v>0</v>
      </c>
      <c r="C7" s="14">
        <f>B7*(1+ASSUMPTIONS!$B$10)*ASSUMPTIONS!$F$7</f>
        <v/>
      </c>
      <c r="D7" s="14">
        <f>C7*(1+ASSUMPTIONS!$B$10)*ASSUMPTIONS!$F$7</f>
        <v/>
      </c>
      <c r="E7" s="14">
        <f>D7*(1+ASSUMPTIONS!$B$10)*ASSUMPTIONS!$F$7*1.80</f>
        <v/>
      </c>
      <c r="F7" s="14">
        <f>E7*(1+ASSUMPTIONS!$B$10)*1.10</f>
        <v/>
      </c>
      <c r="G7" s="13">
        <f>ASSUMPTIONS!$B$10</f>
        <v/>
      </c>
      <c r="H7" s="13">
        <f>ASSUMPTIONS!$F$7</f>
        <v/>
      </c>
    </row>
    <row r="8">
      <c r="A8" t="inlineStr">
        <is>
          <t>Insurance</t>
        </is>
      </c>
      <c r="B8" s="10" t="n">
        <v>0</v>
      </c>
      <c r="C8" s="14">
        <f>B8*(1+ASSUMPTIONS!$B$10)*ASSUMPTIONS!$F$7</f>
        <v/>
      </c>
      <c r="D8" s="14">
        <f>C8*(1+ASSUMPTIONS!$B$10)*ASSUMPTIONS!$F$7</f>
        <v/>
      </c>
      <c r="E8" s="14">
        <f>D8*(1+ASSUMPTIONS!$B$10)*ASSUMPTIONS!$F$7*1.80</f>
        <v/>
      </c>
      <c r="F8" s="14">
        <f>E8*(1+ASSUMPTIONS!$B$10)*1.10</f>
        <v/>
      </c>
      <c r="G8" s="13">
        <f>ASSUMPTIONS!$B$10</f>
        <v/>
      </c>
      <c r="H8" s="13">
        <f>ASSUMPTIONS!$F$7</f>
        <v/>
      </c>
    </row>
    <row r="9">
      <c r="A9" t="inlineStr">
        <is>
          <t>Logistics</t>
        </is>
      </c>
      <c r="B9" s="10" t="n">
        <v>0</v>
      </c>
      <c r="C9" s="14">
        <f>B9*(1+ASSUMPTIONS!$B$10)*ASSUMPTIONS!$F$7</f>
        <v/>
      </c>
      <c r="D9" s="14">
        <f>C9*(1+ASSUMPTIONS!$B$10)*ASSUMPTIONS!$F$7</f>
        <v/>
      </c>
      <c r="E9" s="14">
        <f>D9*(1+ASSUMPTIONS!$B$10)*ASSUMPTIONS!$F$7*1.80</f>
        <v/>
      </c>
      <c r="F9" s="14">
        <f>E9*(1+ASSUMPTIONS!$B$10)*1.10</f>
        <v/>
      </c>
      <c r="G9" s="13">
        <f>ASSUMPTIONS!$B$10</f>
        <v/>
      </c>
      <c r="H9" s="13">
        <f>ASSUMPTIONS!$F$7</f>
        <v/>
      </c>
    </row>
    <row r="10">
      <c r="A10" t="inlineStr">
        <is>
          <t>Other OPEX</t>
        </is>
      </c>
      <c r="B10" s="10" t="n">
        <v>0</v>
      </c>
      <c r="C10" s="14">
        <f>B10*(1+ASSUMPTIONS!$B$10)*ASSUMPTIONS!$F$7</f>
        <v/>
      </c>
      <c r="D10" s="14">
        <f>C10*(1+ASSUMPTIONS!$B$10)*ASSUMPTIONS!$F$7</f>
        <v/>
      </c>
      <c r="E10" s="14">
        <f>D10*(1+ASSUMPTIONS!$B$10)*ASSUMPTIONS!$F$7*1.80</f>
        <v/>
      </c>
      <c r="F10" s="14">
        <f>E10*(1+ASSUMPTIONS!$B$10)*1.10</f>
        <v/>
      </c>
      <c r="G10" s="13">
        <f>ASSUMPTIONS!$B$10</f>
        <v/>
      </c>
      <c r="H10" s="13">
        <f>ASSUMPTIONS!$F$7</f>
        <v/>
      </c>
    </row>
    <row r="11">
      <c r="A11" s="11" t="inlineStr">
        <is>
          <t>TOTAL</t>
        </is>
      </c>
      <c r="B11" s="12">
        <f>SUM(B4:B10)</f>
        <v/>
      </c>
      <c r="C11" s="12">
        <f>SUM(C4:C10)</f>
        <v/>
      </c>
      <c r="D11" s="12">
        <f>SUM(D4:D10)</f>
        <v/>
      </c>
      <c r="E11" s="12">
        <f>SUM(E4:E10)</f>
        <v/>
      </c>
      <c r="F11" s="12">
        <f>SUM(F4:F10)</f>
        <v/>
      </c>
      <c r="G11" s="11" t="n"/>
      <c r="H11" s="11" t="n"/>
    </row>
  </sheetData>
  <mergeCells count="2">
    <mergeCell ref="A2:H2"/>
    <mergeCell ref="A1:H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Cashflow_BurnRate</t>
        </is>
      </c>
    </row>
    <row r="2">
      <c r="A2" s="2" t="inlineStr">
        <is>
          <t>Monthly burn and runway 2026-2027</t>
        </is>
      </c>
    </row>
    <row r="3">
      <c r="A3" s="4" t="inlineStr">
        <is>
          <t>Starting Cash (EUR)</t>
        </is>
      </c>
      <c r="B3" s="10" t="n">
        <v>0</v>
      </c>
    </row>
    <row r="5">
      <c r="A5" s="3" t="inlineStr">
        <is>
          <t>Month</t>
        </is>
      </c>
      <c r="B5" s="3" t="inlineStr">
        <is>
          <t>CAPEX Out</t>
        </is>
      </c>
      <c r="C5" s="3" t="inlineStr">
        <is>
          <t>OPEX Out</t>
        </is>
      </c>
      <c r="D5" s="3" t="inlineStr">
        <is>
          <t>Total Burn</t>
        </is>
      </c>
      <c r="E5" s="3" t="inlineStr">
        <is>
          <t>Funding In</t>
        </is>
      </c>
      <c r="F5" s="3" t="inlineStr">
        <is>
          <t>Net Cash Flow</t>
        </is>
      </c>
      <c r="G5" s="3" t="inlineStr">
        <is>
          <t>Opening Cash</t>
        </is>
      </c>
      <c r="H5" s="3" t="inlineStr">
        <is>
          <t>Closing Cash</t>
        </is>
      </c>
    </row>
    <row r="6">
      <c r="A6" s="17">
        <f>DATE(2026,1,1)</f>
        <v/>
      </c>
      <c r="B6" s="15">
        <f>CAPEX_Projekcija_2026_2030!C$9/12*ASSUMPTIONS!$F$6</f>
        <v/>
      </c>
      <c r="C6" s="15">
        <f>OPEX_Projekcija_2026_2030!B$11/12</f>
        <v/>
      </c>
      <c r="D6" s="15">
        <f>B6+C6</f>
        <v/>
      </c>
      <c r="E6" s="10" t="n">
        <v>0</v>
      </c>
      <c r="F6" s="15">
        <f>E6-D6</f>
        <v/>
      </c>
      <c r="G6" s="15">
        <f>IF(ROW()=6,$B$3,H5)</f>
        <v/>
      </c>
      <c r="H6" s="15">
        <f>G6+F6</f>
        <v/>
      </c>
    </row>
    <row r="7">
      <c r="A7" s="17">
        <f>DATE(2026,2,1)</f>
        <v/>
      </c>
      <c r="B7" s="15">
        <f>CAPEX_Projekcija_2026_2030!C$9/12*ASSUMPTIONS!$F$6</f>
        <v/>
      </c>
      <c r="C7" s="15">
        <f>OPEX_Projekcija_2026_2030!B$11/12</f>
        <v/>
      </c>
      <c r="D7" s="15">
        <f>B7+C7</f>
        <v/>
      </c>
      <c r="E7" s="10" t="n">
        <v>0</v>
      </c>
      <c r="F7" s="15">
        <f>E7-D7</f>
        <v/>
      </c>
      <c r="G7" s="15">
        <f>IF(ROW()=6,$B$3,H5)</f>
        <v/>
      </c>
      <c r="H7" s="15">
        <f>G7+F7</f>
        <v/>
      </c>
    </row>
    <row r="8">
      <c r="A8" s="17">
        <f>DATE(2026,3,1)</f>
        <v/>
      </c>
      <c r="B8" s="15">
        <f>CAPEX_Projekcija_2026_2030!C$9/12*ASSUMPTIONS!$F$6</f>
        <v/>
      </c>
      <c r="C8" s="15">
        <f>OPEX_Projekcija_2026_2030!B$11/12</f>
        <v/>
      </c>
      <c r="D8" s="15">
        <f>B8+C8</f>
        <v/>
      </c>
      <c r="E8" s="10" t="n">
        <v>0</v>
      </c>
      <c r="F8" s="15">
        <f>E8-D8</f>
        <v/>
      </c>
      <c r="G8" s="15">
        <f>IF(ROW()=6,$B$3,H5)</f>
        <v/>
      </c>
      <c r="H8" s="15">
        <f>G8+F8</f>
        <v/>
      </c>
    </row>
    <row r="9">
      <c r="A9" s="17">
        <f>DATE(2026,4,1)</f>
        <v/>
      </c>
      <c r="B9" s="15">
        <f>CAPEX_Projekcija_2026_2030!C$9/12*ASSUMPTIONS!$F$6</f>
        <v/>
      </c>
      <c r="C9" s="15">
        <f>OPEX_Projekcija_2026_2030!B$11/12</f>
        <v/>
      </c>
      <c r="D9" s="15">
        <f>B9+C9</f>
        <v/>
      </c>
      <c r="E9" s="10" t="n">
        <v>0</v>
      </c>
      <c r="F9" s="15">
        <f>E9-D9</f>
        <v/>
      </c>
      <c r="G9" s="15">
        <f>IF(ROW()=6,$B$3,H5)</f>
        <v/>
      </c>
      <c r="H9" s="15">
        <f>G9+F9</f>
        <v/>
      </c>
    </row>
    <row r="10">
      <c r="A10" s="17">
        <f>DATE(2026,5,1)</f>
        <v/>
      </c>
      <c r="B10" s="15">
        <f>CAPEX_Projekcija_2026_2030!C$9/12*ASSUMPTIONS!$F$6</f>
        <v/>
      </c>
      <c r="C10" s="15">
        <f>OPEX_Projekcija_2026_2030!B$11/12</f>
        <v/>
      </c>
      <c r="D10" s="15">
        <f>B10+C10</f>
        <v/>
      </c>
      <c r="E10" s="10" t="n">
        <v>0</v>
      </c>
      <c r="F10" s="15">
        <f>E10-D10</f>
        <v/>
      </c>
      <c r="G10" s="15">
        <f>IF(ROW()=6,$B$3,H5)</f>
        <v/>
      </c>
      <c r="H10" s="15">
        <f>G10+F10</f>
        <v/>
      </c>
    </row>
    <row r="11">
      <c r="A11" s="17">
        <f>DATE(2026,6,1)</f>
        <v/>
      </c>
      <c r="B11" s="15">
        <f>CAPEX_Projekcija_2026_2030!C$9/12*ASSUMPTIONS!$F$6</f>
        <v/>
      </c>
      <c r="C11" s="15">
        <f>OPEX_Projekcija_2026_2030!B$11/12</f>
        <v/>
      </c>
      <c r="D11" s="15">
        <f>B11+C11</f>
        <v/>
      </c>
      <c r="E11" s="10" t="n">
        <v>0</v>
      </c>
      <c r="F11" s="15">
        <f>E11-D11</f>
        <v/>
      </c>
      <c r="G11" s="15">
        <f>IF(ROW()=6,$B$3,H5)</f>
        <v/>
      </c>
      <c r="H11" s="15">
        <f>G11+F11</f>
        <v/>
      </c>
    </row>
    <row r="12">
      <c r="A12" s="17">
        <f>DATE(2026,7,1)</f>
        <v/>
      </c>
      <c r="B12" s="15">
        <f>CAPEX_Projekcija_2026_2030!C$9/12*ASSUMPTIONS!$F$6</f>
        <v/>
      </c>
      <c r="C12" s="15">
        <f>OPEX_Projekcija_2026_2030!B$11/12</f>
        <v/>
      </c>
      <c r="D12" s="15">
        <f>B12+C12</f>
        <v/>
      </c>
      <c r="E12" s="10" t="n">
        <v>0</v>
      </c>
      <c r="F12" s="15">
        <f>E12-D12</f>
        <v/>
      </c>
      <c r="G12" s="15">
        <f>IF(ROW()=6,$B$3,H5)</f>
        <v/>
      </c>
      <c r="H12" s="15">
        <f>G12+F12</f>
        <v/>
      </c>
    </row>
    <row r="13">
      <c r="A13" s="17">
        <f>DATE(2026,8,1)</f>
        <v/>
      </c>
      <c r="B13" s="15">
        <f>CAPEX_Projekcija_2026_2030!C$9/12*ASSUMPTIONS!$F$6</f>
        <v/>
      </c>
      <c r="C13" s="15">
        <f>OPEX_Projekcija_2026_2030!B$11/12</f>
        <v/>
      </c>
      <c r="D13" s="15">
        <f>B13+C13</f>
        <v/>
      </c>
      <c r="E13" s="10" t="n">
        <v>0</v>
      </c>
      <c r="F13" s="15">
        <f>E13-D13</f>
        <v/>
      </c>
      <c r="G13" s="15">
        <f>IF(ROW()=6,$B$3,H5)</f>
        <v/>
      </c>
      <c r="H13" s="15">
        <f>G13+F13</f>
        <v/>
      </c>
    </row>
    <row r="14">
      <c r="A14" s="17">
        <f>DATE(2026,9,1)</f>
        <v/>
      </c>
      <c r="B14" s="15">
        <f>CAPEX_Projekcija_2026_2030!C$9/12*ASSUMPTIONS!$F$6</f>
        <v/>
      </c>
      <c r="C14" s="15">
        <f>OPEX_Projekcija_2026_2030!B$11/12</f>
        <v/>
      </c>
      <c r="D14" s="15">
        <f>B14+C14</f>
        <v/>
      </c>
      <c r="E14" s="10" t="n">
        <v>0</v>
      </c>
      <c r="F14" s="15">
        <f>E14-D14</f>
        <v/>
      </c>
      <c r="G14" s="15">
        <f>IF(ROW()=6,$B$3,H5)</f>
        <v/>
      </c>
      <c r="H14" s="15">
        <f>G14+F14</f>
        <v/>
      </c>
    </row>
    <row r="15">
      <c r="A15" s="17">
        <f>DATE(2026,10,1)</f>
        <v/>
      </c>
      <c r="B15" s="15">
        <f>CAPEX_Projekcija_2026_2030!C$9/12*ASSUMPTIONS!$F$6</f>
        <v/>
      </c>
      <c r="C15" s="15">
        <f>OPEX_Projekcija_2026_2030!B$11/12</f>
        <v/>
      </c>
      <c r="D15" s="15">
        <f>B15+C15</f>
        <v/>
      </c>
      <c r="E15" s="10" t="n">
        <v>0</v>
      </c>
      <c r="F15" s="15">
        <f>E15-D15</f>
        <v/>
      </c>
      <c r="G15" s="15">
        <f>IF(ROW()=6,$B$3,H5)</f>
        <v/>
      </c>
      <c r="H15" s="15">
        <f>G15+F15</f>
        <v/>
      </c>
    </row>
    <row r="16">
      <c r="A16" s="17">
        <f>DATE(2026,11,1)</f>
        <v/>
      </c>
      <c r="B16" s="15">
        <f>CAPEX_Projekcija_2026_2030!C$9/12*ASSUMPTIONS!$F$6</f>
        <v/>
      </c>
      <c r="C16" s="15">
        <f>OPEX_Projekcija_2026_2030!B$11/12</f>
        <v/>
      </c>
      <c r="D16" s="15">
        <f>B16+C16</f>
        <v/>
      </c>
      <c r="E16" s="10" t="n">
        <v>0</v>
      </c>
      <c r="F16" s="15">
        <f>E16-D16</f>
        <v/>
      </c>
      <c r="G16" s="15">
        <f>IF(ROW()=6,$B$3,H5)</f>
        <v/>
      </c>
      <c r="H16" s="15">
        <f>G16+F16</f>
        <v/>
      </c>
    </row>
    <row r="17">
      <c r="A17" s="17">
        <f>DATE(2026,12,1)</f>
        <v/>
      </c>
      <c r="B17" s="15">
        <f>CAPEX_Projekcija_2026_2030!C$9/12*ASSUMPTIONS!$F$6</f>
        <v/>
      </c>
      <c r="C17" s="15">
        <f>OPEX_Projekcija_2026_2030!B$11/12</f>
        <v/>
      </c>
      <c r="D17" s="15">
        <f>B17+C17</f>
        <v/>
      </c>
      <c r="E17" s="10" t="n">
        <v>0</v>
      </c>
      <c r="F17" s="15">
        <f>E17-D17</f>
        <v/>
      </c>
      <c r="G17" s="15">
        <f>IF(ROW()=6,$B$3,H5)</f>
        <v/>
      </c>
      <c r="H17" s="15">
        <f>G17+F17</f>
        <v/>
      </c>
    </row>
    <row r="18">
      <c r="A18" s="17">
        <f>DATE(2027,1,1)</f>
        <v/>
      </c>
      <c r="B18" s="15">
        <f>CAPEX_Projekcija_2026_2030!D$9/12*ASSUMPTIONS!$F$6</f>
        <v/>
      </c>
      <c r="C18" s="15">
        <f>OPEX_Projekcija_2026_2030!C$11/12</f>
        <v/>
      </c>
      <c r="D18" s="15">
        <f>B18+C18</f>
        <v/>
      </c>
      <c r="E18" s="10" t="n">
        <v>0</v>
      </c>
      <c r="F18" s="15">
        <f>E18-D18</f>
        <v/>
      </c>
      <c r="G18" s="15">
        <f>IF(ROW()=6,$B$3,H5)</f>
        <v/>
      </c>
      <c r="H18" s="15">
        <f>G18+F18</f>
        <v/>
      </c>
    </row>
    <row r="19">
      <c r="A19" s="17">
        <f>DATE(2027,2,1)</f>
        <v/>
      </c>
      <c r="B19" s="15">
        <f>CAPEX_Projekcija_2026_2030!D$9/12*ASSUMPTIONS!$F$6</f>
        <v/>
      </c>
      <c r="C19" s="15">
        <f>OPEX_Projekcija_2026_2030!C$11/12</f>
        <v/>
      </c>
      <c r="D19" s="15">
        <f>B19+C19</f>
        <v/>
      </c>
      <c r="E19" s="10" t="n">
        <v>0</v>
      </c>
      <c r="F19" s="15">
        <f>E19-D19</f>
        <v/>
      </c>
      <c r="G19" s="15">
        <f>IF(ROW()=6,$B$3,H5)</f>
        <v/>
      </c>
      <c r="H19" s="15">
        <f>G19+F19</f>
        <v/>
      </c>
    </row>
    <row r="20">
      <c r="A20" s="17">
        <f>DATE(2027,3,1)</f>
        <v/>
      </c>
      <c r="B20" s="15">
        <f>CAPEX_Projekcija_2026_2030!D$9/12*ASSUMPTIONS!$F$6</f>
        <v/>
      </c>
      <c r="C20" s="15">
        <f>OPEX_Projekcija_2026_2030!C$11/12</f>
        <v/>
      </c>
      <c r="D20" s="15">
        <f>B20+C20</f>
        <v/>
      </c>
      <c r="E20" s="10" t="n">
        <v>0</v>
      </c>
      <c r="F20" s="15">
        <f>E20-D20</f>
        <v/>
      </c>
      <c r="G20" s="15">
        <f>IF(ROW()=6,$B$3,H5)</f>
        <v/>
      </c>
      <c r="H20" s="15">
        <f>G20+F20</f>
        <v/>
      </c>
    </row>
    <row r="21">
      <c r="A21" s="17">
        <f>DATE(2027,4,1)</f>
        <v/>
      </c>
      <c r="B21" s="15">
        <f>CAPEX_Projekcija_2026_2030!D$9/12*ASSUMPTIONS!$F$6</f>
        <v/>
      </c>
      <c r="C21" s="15">
        <f>OPEX_Projekcija_2026_2030!C$11/12</f>
        <v/>
      </c>
      <c r="D21" s="15">
        <f>B21+C21</f>
        <v/>
      </c>
      <c r="E21" s="10" t="n">
        <v>0</v>
      </c>
      <c r="F21" s="15">
        <f>E21-D21</f>
        <v/>
      </c>
      <c r="G21" s="15">
        <f>IF(ROW()=6,$B$3,H5)</f>
        <v/>
      </c>
      <c r="H21" s="15">
        <f>G21+F21</f>
        <v/>
      </c>
    </row>
    <row r="22">
      <c r="A22" s="17">
        <f>DATE(2027,5,1)</f>
        <v/>
      </c>
      <c r="B22" s="15">
        <f>CAPEX_Projekcija_2026_2030!D$9/12*ASSUMPTIONS!$F$6</f>
        <v/>
      </c>
      <c r="C22" s="15">
        <f>OPEX_Projekcija_2026_2030!C$11/12</f>
        <v/>
      </c>
      <c r="D22" s="15">
        <f>B22+C22</f>
        <v/>
      </c>
      <c r="E22" s="10" t="n">
        <v>0</v>
      </c>
      <c r="F22" s="15">
        <f>E22-D22</f>
        <v/>
      </c>
      <c r="G22" s="15">
        <f>IF(ROW()=6,$B$3,H5)</f>
        <v/>
      </c>
      <c r="H22" s="15">
        <f>G22+F22</f>
        <v/>
      </c>
    </row>
    <row r="23">
      <c r="A23" s="17">
        <f>DATE(2027,6,1)</f>
        <v/>
      </c>
      <c r="B23" s="15">
        <f>CAPEX_Projekcija_2026_2030!D$9/12*ASSUMPTIONS!$F$6</f>
        <v/>
      </c>
      <c r="C23" s="15">
        <f>OPEX_Projekcija_2026_2030!C$11/12</f>
        <v/>
      </c>
      <c r="D23" s="15">
        <f>B23+C23</f>
        <v/>
      </c>
      <c r="E23" s="10" t="n">
        <v>0</v>
      </c>
      <c r="F23" s="15">
        <f>E23-D23</f>
        <v/>
      </c>
      <c r="G23" s="15">
        <f>IF(ROW()=6,$B$3,H5)</f>
        <v/>
      </c>
      <c r="H23" s="15">
        <f>G23+F23</f>
        <v/>
      </c>
    </row>
    <row r="24">
      <c r="A24" s="17">
        <f>DATE(2027,7,1)</f>
        <v/>
      </c>
      <c r="B24" s="15">
        <f>CAPEX_Projekcija_2026_2030!D$9/12*ASSUMPTIONS!$F$6</f>
        <v/>
      </c>
      <c r="C24" s="15">
        <f>OPEX_Projekcija_2026_2030!C$11/12</f>
        <v/>
      </c>
      <c r="D24" s="15">
        <f>B24+C24</f>
        <v/>
      </c>
      <c r="E24" s="10" t="n">
        <v>0</v>
      </c>
      <c r="F24" s="15">
        <f>E24-D24</f>
        <v/>
      </c>
      <c r="G24" s="15">
        <f>IF(ROW()=6,$B$3,H5)</f>
        <v/>
      </c>
      <c r="H24" s="15">
        <f>G24+F24</f>
        <v/>
      </c>
    </row>
    <row r="25">
      <c r="A25" s="17">
        <f>DATE(2027,8,1)</f>
        <v/>
      </c>
      <c r="B25" s="15">
        <f>CAPEX_Projekcija_2026_2030!D$9/12*ASSUMPTIONS!$F$6</f>
        <v/>
      </c>
      <c r="C25" s="15">
        <f>OPEX_Projekcija_2026_2030!C$11/12</f>
        <v/>
      </c>
      <c r="D25" s="15">
        <f>B25+C25</f>
        <v/>
      </c>
      <c r="E25" s="10" t="n">
        <v>0</v>
      </c>
      <c r="F25" s="15">
        <f>E25-D25</f>
        <v/>
      </c>
      <c r="G25" s="15">
        <f>IF(ROW()=6,$B$3,H5)</f>
        <v/>
      </c>
      <c r="H25" s="15">
        <f>G25+F25</f>
        <v/>
      </c>
    </row>
    <row r="26">
      <c r="A26" s="17">
        <f>DATE(2027,9,1)</f>
        <v/>
      </c>
      <c r="B26" s="15">
        <f>CAPEX_Projekcija_2026_2030!D$9/12*ASSUMPTIONS!$F$6</f>
        <v/>
      </c>
      <c r="C26" s="15">
        <f>OPEX_Projekcija_2026_2030!C$11/12</f>
        <v/>
      </c>
      <c r="D26" s="15">
        <f>B26+C26</f>
        <v/>
      </c>
      <c r="E26" s="10" t="n">
        <v>0</v>
      </c>
      <c r="F26" s="15">
        <f>E26-D26</f>
        <v/>
      </c>
      <c r="G26" s="15">
        <f>IF(ROW()=6,$B$3,H5)</f>
        <v/>
      </c>
      <c r="H26" s="15">
        <f>G26+F26</f>
        <v/>
      </c>
    </row>
    <row r="27">
      <c r="A27" s="17">
        <f>DATE(2027,10,1)</f>
        <v/>
      </c>
      <c r="B27" s="15">
        <f>CAPEX_Projekcija_2026_2030!D$9/12*ASSUMPTIONS!$F$6</f>
        <v/>
      </c>
      <c r="C27" s="15">
        <f>OPEX_Projekcija_2026_2030!C$11/12</f>
        <v/>
      </c>
      <c r="D27" s="15">
        <f>B27+C27</f>
        <v/>
      </c>
      <c r="E27" s="10" t="n">
        <v>0</v>
      </c>
      <c r="F27" s="15">
        <f>E27-D27</f>
        <v/>
      </c>
      <c r="G27" s="15">
        <f>IF(ROW()=6,$B$3,H5)</f>
        <v/>
      </c>
      <c r="H27" s="15">
        <f>G27+F27</f>
        <v/>
      </c>
    </row>
    <row r="28">
      <c r="A28" s="17">
        <f>DATE(2027,11,1)</f>
        <v/>
      </c>
      <c r="B28" s="15">
        <f>CAPEX_Projekcija_2026_2030!D$9/12*ASSUMPTIONS!$F$6</f>
        <v/>
      </c>
      <c r="C28" s="15">
        <f>OPEX_Projekcija_2026_2030!C$11/12</f>
        <v/>
      </c>
      <c r="D28" s="15">
        <f>B28+C28</f>
        <v/>
      </c>
      <c r="E28" s="10" t="n">
        <v>0</v>
      </c>
      <c r="F28" s="15">
        <f>E28-D28</f>
        <v/>
      </c>
      <c r="G28" s="15">
        <f>IF(ROW()=6,$B$3,H5)</f>
        <v/>
      </c>
      <c r="H28" s="15">
        <f>G28+F28</f>
        <v/>
      </c>
    </row>
    <row r="29">
      <c r="A29" s="17">
        <f>DATE(2027,12,1)</f>
        <v/>
      </c>
      <c r="B29" s="15">
        <f>CAPEX_Projekcija_2026_2030!D$9/12*ASSUMPTIONS!$F$6</f>
        <v/>
      </c>
      <c r="C29" s="15">
        <f>OPEX_Projekcija_2026_2030!C$11/12</f>
        <v/>
      </c>
      <c r="D29" s="15">
        <f>B29+C29</f>
        <v/>
      </c>
      <c r="E29" s="10" t="n">
        <v>0</v>
      </c>
      <c r="F29" s="15">
        <f>E29-D29</f>
        <v/>
      </c>
      <c r="G29" s="15">
        <f>IF(ROW()=6,$B$3,H5)</f>
        <v/>
      </c>
      <c r="H29" s="15">
        <f>G29+F29</f>
        <v/>
      </c>
    </row>
    <row r="31">
      <c r="G31" s="11" t="inlineStr">
        <is>
          <t>Avg Burn</t>
        </is>
      </c>
      <c r="H31" s="14">
        <f>AVERAGE(D6:D29)</f>
        <v/>
      </c>
    </row>
    <row r="32">
      <c r="G32" s="11" t="inlineStr">
        <is>
          <t>Closing Cash</t>
        </is>
      </c>
      <c r="H32" s="14">
        <f>H29</f>
        <v/>
      </c>
    </row>
    <row r="33">
      <c r="G33" s="11" t="inlineStr">
        <is>
          <t>Runway (months)</t>
        </is>
      </c>
      <c r="H33" s="19">
        <f>IF(H31&gt;0,H32/H31,"")</f>
        <v/>
      </c>
    </row>
  </sheetData>
  <mergeCells count="2">
    <mergeCell ref="A2:H2"/>
    <mergeCell ref="A1:H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8" customWidth="1" min="5" max="5"/>
    <col width="14" customWidth="1" min="6" max="6"/>
    <col width="24" customWidth="1" min="7" max="7"/>
  </cols>
  <sheetData>
    <row r="1">
      <c r="A1" s="1" t="inlineStr">
        <is>
          <t>PDV_Refund_Tracker</t>
        </is>
      </c>
    </row>
    <row r="2">
      <c r="A2" s="2" t="inlineStr">
        <is>
          <t>Refundable input VAT on CAPEX only</t>
        </is>
      </c>
    </row>
    <row r="3">
      <c r="A3" s="3" t="inlineStr">
        <is>
          <t>Year</t>
        </is>
      </c>
      <c r="B3" s="3" t="inlineStr">
        <is>
          <t>CAPEX (EUR)</t>
        </is>
      </c>
      <c r="C3" s="3" t="inlineStr">
        <is>
          <t>Input VAT Paid</t>
        </is>
      </c>
      <c r="D3" s="3" t="inlineStr">
        <is>
          <t>VAT Refund (cash-in)</t>
        </is>
      </c>
      <c r="E3" s="3" t="inlineStr">
        <is>
          <t>Cumulative Refund</t>
        </is>
      </c>
      <c r="F3" s="3" t="inlineStr">
        <is>
          <t>Refund Lag (months)</t>
        </is>
      </c>
      <c r="G3" s="3" t="inlineStr">
        <is>
          <t>Notes</t>
        </is>
      </c>
    </row>
    <row r="4">
      <c r="A4" s="4" t="n">
        <v>2026</v>
      </c>
      <c r="B4" s="15">
        <f>CAPEX_Projekcija_2026_2030!C$9*ASSUMPTIONS!$F$6</f>
        <v/>
      </c>
      <c r="C4" s="15">
        <f>B4*ASSUMPTIONS!$B$7</f>
        <v/>
      </c>
      <c r="D4" s="15" t="n">
        <v>0</v>
      </c>
      <c r="E4" s="15">
        <f>SUM($D$4:D4)</f>
        <v/>
      </c>
      <c r="F4" s="4" t="n">
        <v>12</v>
      </c>
      <c r="G4" s="4" t="n"/>
    </row>
    <row r="5">
      <c r="A5" s="4" t="n">
        <v>2027</v>
      </c>
      <c r="B5" s="15">
        <f>CAPEX_Projekcija_2026_2030!D$9*ASSUMPTIONS!$F$6</f>
        <v/>
      </c>
      <c r="C5" s="15">
        <f>B5*ASSUMPTIONS!$B$7</f>
        <v/>
      </c>
      <c r="D5" s="15">
        <f>C4*0.8</f>
        <v/>
      </c>
      <c r="E5" s="15">
        <f>SUM($D$4:D5)</f>
        <v/>
      </c>
      <c r="F5" s="4" t="n">
        <v>12</v>
      </c>
      <c r="G5" s="4" t="n"/>
    </row>
    <row r="6">
      <c r="A6" s="4" t="n">
        <v>2028</v>
      </c>
      <c r="B6" s="15">
        <f>CAPEX_Projekcija_2026_2030!E$9*ASSUMPTIONS!$F$6</f>
        <v/>
      </c>
      <c r="C6" s="15">
        <f>B6*ASSUMPTIONS!$B$7</f>
        <v/>
      </c>
      <c r="D6" s="15">
        <f>C5*0.8 + C4*0.2</f>
        <v/>
      </c>
      <c r="E6" s="15">
        <f>SUM($D$4:D6)</f>
        <v/>
      </c>
      <c r="F6" s="4" t="n">
        <v>12</v>
      </c>
      <c r="G6" s="4" t="n"/>
    </row>
    <row r="7">
      <c r="A7" s="4" t="n">
        <v>2029</v>
      </c>
      <c r="B7" s="15">
        <f>CAPEX_Projekcija_2026_2030!F$9*ASSUMPTIONS!$F$6</f>
        <v/>
      </c>
      <c r="C7" s="15">
        <f>B7*ASSUMPTIONS!$B$7</f>
        <v/>
      </c>
      <c r="D7" s="15">
        <f>C6*0.8 + C5*0.2</f>
        <v/>
      </c>
      <c r="E7" s="15">
        <f>SUM($D$4:D7)</f>
        <v/>
      </c>
      <c r="F7" s="4" t="n">
        <v>12</v>
      </c>
      <c r="G7" s="4" t="n"/>
    </row>
    <row r="8">
      <c r="A8" s="4" t="n">
        <v>2030</v>
      </c>
      <c r="B8" s="15">
        <f>CAPEX_Projekcija_2026_2030!G$9*ASSUMPTIONS!$F$6</f>
        <v/>
      </c>
      <c r="C8" s="15">
        <f>B8*ASSUMPTIONS!$B$7</f>
        <v/>
      </c>
      <c r="D8" s="15">
        <f>C7*0.8 + C6*0.2</f>
        <v/>
      </c>
      <c r="E8" s="15">
        <f>SUM($D$4:D8)</f>
        <v/>
      </c>
      <c r="F8" s="4" t="n">
        <v>12</v>
      </c>
      <c r="G8" s="4" t="n"/>
    </row>
  </sheetData>
  <mergeCells count="2">
    <mergeCell ref="A2:G2"/>
    <mergeCell ref="A1:G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20" customWidth="1" min="4" max="4"/>
    <col width="32" customWidth="1" min="5" max="5"/>
    <col width="12" customWidth="1" min="6" max="6"/>
  </cols>
  <sheetData>
    <row r="1">
      <c r="A1" s="1" t="inlineStr">
        <is>
          <t>TRY_Hedge_Calc</t>
        </is>
      </c>
    </row>
    <row r="2">
      <c r="A2" s="2" t="inlineStr">
        <is>
          <t>TRY exposure and hedge sensitivity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Formula / Link</t>
        </is>
      </c>
      <c r="E3" s="3" t="inlineStr">
        <is>
          <t>Impact Notes</t>
        </is>
      </c>
      <c r="F3" s="3" t="inlineStr">
        <is>
          <t>Input?</t>
        </is>
      </c>
    </row>
    <row r="4">
      <c r="A4" s="4" t="inlineStr">
        <is>
          <t>Equipment CAPEX share of total</t>
        </is>
      </c>
      <c r="B4" s="9" t="n">
        <v>0.8</v>
      </c>
      <c r="C4" s="4" t="inlineStr">
        <is>
          <t>%</t>
        </is>
      </c>
      <c r="D4" s="4" t="inlineStr"/>
      <c r="E4" s="4" t="inlineStr">
        <is>
          <t>Assumed % of CAPEX exposed to TRY</t>
        </is>
      </c>
      <c r="F4" s="4" t="inlineStr">
        <is>
          <t>Input</t>
        </is>
      </c>
    </row>
    <row r="5">
      <c r="A5" s="4" t="inlineStr">
        <is>
          <t>Hedge ratio</t>
        </is>
      </c>
      <c r="B5" s="9" t="n">
        <v>0.8</v>
      </c>
      <c r="C5" s="4" t="inlineStr">
        <is>
          <t>%</t>
        </is>
      </c>
      <c r="D5" s="4" t="inlineStr"/>
      <c r="E5" s="4" t="inlineStr">
        <is>
          <t>% hedged via EUR pricing / forward</t>
        </is>
      </c>
      <c r="F5" s="4" t="inlineStr">
        <is>
          <t>Input</t>
        </is>
      </c>
    </row>
    <row r="6">
      <c r="A6" s="4" t="inlineStr">
        <is>
          <t>FX EUR/TRY (spot)</t>
        </is>
      </c>
      <c r="B6" s="7">
        <f>ASSUMPTIONS!$B$5</f>
        <v/>
      </c>
      <c r="C6" s="4" t="inlineStr">
        <is>
          <t>TRY/EUR</t>
        </is>
      </c>
      <c r="D6" s="4">
        <f>ASSUMPTIONS!$B$5</f>
        <v/>
      </c>
      <c r="E6" s="4" t="inlineStr">
        <is>
          <t>Driver</t>
        </is>
      </c>
      <c r="F6" s="4" t="inlineStr">
        <is>
          <t>Calc</t>
        </is>
      </c>
    </row>
    <row r="7">
      <c r="A7" s="4" t="inlineStr">
        <is>
          <t>Total CAPEX (plan)</t>
        </is>
      </c>
      <c r="B7" s="14">
        <f>ASSUMPTIONS!$B$19</f>
        <v/>
      </c>
      <c r="C7" s="4" t="inlineStr">
        <is>
          <t>EUR</t>
        </is>
      </c>
      <c r="D7" s="4">
        <f>ASSUMPTIONS!$B$19</f>
        <v/>
      </c>
      <c r="E7" s="4" t="inlineStr">
        <is>
          <t>Target plan</t>
        </is>
      </c>
      <c r="F7" s="4" t="inlineStr">
        <is>
          <t>Calc</t>
        </is>
      </c>
    </row>
    <row r="8">
      <c r="A8" s="4" t="inlineStr">
        <is>
          <t>Equipment CAPEX (EUR)</t>
        </is>
      </c>
      <c r="B8" s="14">
        <f>B4*B7</f>
        <v/>
      </c>
      <c r="C8" s="4" t="inlineStr">
        <is>
          <t>EUR</t>
        </is>
      </c>
      <c r="D8" s="4">
        <f>B4*B7</f>
        <v/>
      </c>
      <c r="E8" s="4" t="inlineStr">
        <is>
          <t>Exposed portion</t>
        </is>
      </c>
      <c r="F8" s="4" t="inlineStr">
        <is>
          <t>Calc</t>
        </is>
      </c>
    </row>
    <row r="9">
      <c r="A9" s="4" t="inlineStr">
        <is>
          <t>Unhedged portion (EUR)</t>
        </is>
      </c>
      <c r="B9" s="14">
        <f>B8*(1-B5)</f>
        <v/>
      </c>
      <c r="C9" s="4" t="inlineStr">
        <is>
          <t>EUR</t>
        </is>
      </c>
      <c r="D9" s="4">
        <f>B8*(1-B5)</f>
        <v/>
      </c>
      <c r="E9" s="4" t="inlineStr">
        <is>
          <t>Residual exposure</t>
        </is>
      </c>
      <c r="F9" s="4" t="inlineStr">
        <is>
          <t>Calc</t>
        </is>
      </c>
    </row>
    <row r="10">
      <c r="A10" s="4" t="inlineStr">
        <is>
          <t>TRY exposure (TRY)</t>
        </is>
      </c>
      <c r="B10" s="14">
        <f>B9*B6</f>
        <v/>
      </c>
      <c r="C10" s="4" t="inlineStr">
        <is>
          <t>TRY</t>
        </is>
      </c>
      <c r="D10" s="4">
        <f>B9*B6</f>
        <v/>
      </c>
      <c r="E10" s="4" t="inlineStr">
        <is>
          <t>Converted exposure</t>
        </is>
      </c>
      <c r="F10" s="4" t="inlineStr">
        <is>
          <t>Calc</t>
        </is>
      </c>
    </row>
    <row r="11">
      <c r="A11" s="4" t="inlineStr">
        <is>
          <t>Sensitivity +10% TRY dep.</t>
        </is>
      </c>
      <c r="B11" s="14">
        <f>B9*0.10</f>
        <v/>
      </c>
      <c r="C11" s="4" t="inlineStr">
        <is>
          <t>EUR</t>
        </is>
      </c>
      <c r="D11" s="4">
        <f>B9*0.10</f>
        <v/>
      </c>
      <c r="E11" s="4" t="inlineStr">
        <is>
          <t>Approx EUR cost increase</t>
        </is>
      </c>
      <c r="F11" s="4" t="inlineStr">
        <is>
          <t>Calc</t>
        </is>
      </c>
    </row>
  </sheetData>
  <mergeCells count="2">
    <mergeCell ref="A2:F2"/>
    <mergeCell ref="A1:F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0" customWidth="1" min="11" max="11"/>
    <col width="18" customWidth="1" min="13" max="13"/>
    <col width="14" customWidth="1" min="14" max="14"/>
  </cols>
  <sheetData>
    <row r="1">
      <c r="A1" s="1" t="inlineStr">
        <is>
          <t>Full_Integrated_Model</t>
        </is>
      </c>
    </row>
    <row r="2">
      <c r="A2" s="2" t="inlineStr">
        <is>
          <t>Simplified P&amp;L + CF + DSCR (2026-2030)</t>
        </is>
      </c>
    </row>
    <row r="3">
      <c r="A3" s="3" t="inlineStr">
        <is>
          <t>Year</t>
        </is>
      </c>
      <c r="B3" s="3" t="inlineStr">
        <is>
          <t>Revenue</t>
        </is>
      </c>
      <c r="C3" s="3" t="inlineStr">
        <is>
          <t>OPEX</t>
        </is>
      </c>
      <c r="D3" s="3" t="inlineStr">
        <is>
          <t>EBITDA</t>
        </is>
      </c>
      <c r="E3" s="3" t="inlineStr">
        <is>
          <t>CAPEX</t>
        </is>
      </c>
      <c r="F3" s="3" t="inlineStr">
        <is>
          <t>VAT Refund</t>
        </is>
      </c>
      <c r="G3" s="3" t="inlineStr">
        <is>
          <t>CFADS</t>
        </is>
      </c>
      <c r="H3" s="3" t="inlineStr">
        <is>
          <t>Interest</t>
        </is>
      </c>
      <c r="I3" s="3" t="inlineStr">
        <is>
          <t>Debt Service</t>
        </is>
      </c>
      <c r="J3" s="3" t="inlineStr">
        <is>
          <t>Equity CF</t>
        </is>
      </c>
      <c r="K3" s="3" t="inlineStr">
        <is>
          <t>DSCR</t>
        </is>
      </c>
      <c r="M3" s="20" t="inlineStr">
        <is>
          <t>Driver</t>
        </is>
      </c>
      <c r="N3" s="20" t="inlineStr">
        <is>
          <t>Value</t>
        </is>
      </c>
    </row>
    <row r="4">
      <c r="A4" t="n">
        <v>2026</v>
      </c>
      <c r="B4" s="15">
        <f>N4*N5*N6*ASSUMPTIONS!$F$8</f>
        <v/>
      </c>
      <c r="C4" s="15">
        <f>OPEX_Projekcija_2026_2030!B$11</f>
        <v/>
      </c>
      <c r="D4" s="15">
        <f>B4-C4</f>
        <v/>
      </c>
      <c r="E4" s="15">
        <f>CAPEX_Projekcija_2026_2030!C$9*ASSUMPTIONS!$F$6</f>
        <v/>
      </c>
      <c r="F4" s="15">
        <f>PDV_Refund_Tracker!D4</f>
        <v/>
      </c>
      <c r="G4" s="15">
        <f>D4-E4+F4</f>
        <v/>
      </c>
      <c r="H4" s="15">
        <f>ASSUMPTIONS!$B$14*ASSUMPTIONS!$B$15</f>
        <v/>
      </c>
      <c r="I4" s="15">
        <f>IF(A4&lt;YEAR(DATEVALUE(ASSUMPTIONS!$B$13))+ASSUMPTIONS!$B$17,H4,H4+ASSUMPTIONS!$B$14/MAX(1,ASSUMPTIONS!$B$16-ASSUMPTIONS!$B$17))</f>
        <v/>
      </c>
      <c r="J4" s="15">
        <f>G4-I4</f>
        <v/>
      </c>
      <c r="K4" s="21">
        <f>IF(I4&gt;0,G4/I4,"")</f>
        <v/>
      </c>
      <c r="M4" s="4" t="inlineStr">
        <is>
          <t>Capacity (tpy)</t>
        </is>
      </c>
      <c r="N4" s="6" t="n">
        <v>75000</v>
      </c>
    </row>
    <row r="5">
      <c r="A5" t="n">
        <v>2027</v>
      </c>
      <c r="B5" s="15">
        <f>N4*N5*N7*ASSUMPTIONS!$F$8</f>
        <v/>
      </c>
      <c r="C5" s="15">
        <f>OPEX_Projekcija_2026_2030!C$11</f>
        <v/>
      </c>
      <c r="D5" s="15">
        <f>B5-C5</f>
        <v/>
      </c>
      <c r="E5" s="15">
        <f>CAPEX_Projekcija_2026_2030!D$9*ASSUMPTIONS!$F$6</f>
        <v/>
      </c>
      <c r="F5" s="15">
        <f>PDV_Refund_Tracker!D5</f>
        <v/>
      </c>
      <c r="G5" s="15">
        <f>D5-E5+F5</f>
        <v/>
      </c>
      <c r="H5" s="15">
        <f>ASSUMPTIONS!$B$14*ASSUMPTIONS!$B$15</f>
        <v/>
      </c>
      <c r="I5" s="15">
        <f>IF(A5&lt;YEAR(DATEVALUE(ASSUMPTIONS!$B$13))+ASSUMPTIONS!$B$17,H5,H5+ASSUMPTIONS!$B$14/MAX(1,ASSUMPTIONS!$B$16-ASSUMPTIONS!$B$17))</f>
        <v/>
      </c>
      <c r="J5" s="15">
        <f>G5-I5</f>
        <v/>
      </c>
      <c r="K5" s="21">
        <f>IF(I5&gt;0,G5/I5,"")</f>
        <v/>
      </c>
      <c r="M5" s="4" t="inlineStr">
        <is>
          <t>Price €/t</t>
        </is>
      </c>
      <c r="N5" s="6" t="n">
        <v>1850</v>
      </c>
    </row>
    <row r="6">
      <c r="A6" t="n">
        <v>2028</v>
      </c>
      <c r="B6" s="15">
        <f>N4*N5*N8*ASSUMPTIONS!$F$8</f>
        <v/>
      </c>
      <c r="C6" s="15">
        <f>OPEX_Projekcija_2026_2030!D$11</f>
        <v/>
      </c>
      <c r="D6" s="15">
        <f>B6-C6</f>
        <v/>
      </c>
      <c r="E6" s="15">
        <f>CAPEX_Projekcija_2026_2030!E$9*ASSUMPTIONS!$F$6</f>
        <v/>
      </c>
      <c r="F6" s="15">
        <f>PDV_Refund_Tracker!D6</f>
        <v/>
      </c>
      <c r="G6" s="15">
        <f>D6-E6+F6</f>
        <v/>
      </c>
      <c r="H6" s="15">
        <f>ASSUMPTIONS!$B$14*ASSUMPTIONS!$B$15</f>
        <v/>
      </c>
      <c r="I6" s="15">
        <f>IF(A6&lt;YEAR(DATEVALUE(ASSUMPTIONS!$B$13))+ASSUMPTIONS!$B$17,H6,H6+ASSUMPTIONS!$B$14/MAX(1,ASSUMPTIONS!$B$16-ASSUMPTIONS!$B$17))</f>
        <v/>
      </c>
      <c r="J6" s="15">
        <f>G6-I6</f>
        <v/>
      </c>
      <c r="K6" s="21">
        <f>IF(I6&gt;0,G6/I6,"")</f>
        <v/>
      </c>
      <c r="M6" s="4" t="inlineStr">
        <is>
          <t>Ramp 2026</t>
        </is>
      </c>
      <c r="N6" s="6" t="n">
        <v>0</v>
      </c>
    </row>
    <row r="7">
      <c r="A7" t="n">
        <v>2029</v>
      </c>
      <c r="B7" s="15">
        <f>N4*N5*N9*ASSUMPTIONS!$F$8</f>
        <v/>
      </c>
      <c r="C7" s="15">
        <f>OPEX_Projekcija_2026_2030!E$11</f>
        <v/>
      </c>
      <c r="D7" s="15">
        <f>B7-C7</f>
        <v/>
      </c>
      <c r="E7" s="15">
        <f>CAPEX_Projekcija_2026_2030!F$9*ASSUMPTIONS!$F$6</f>
        <v/>
      </c>
      <c r="F7" s="15">
        <f>PDV_Refund_Tracker!D7</f>
        <v/>
      </c>
      <c r="G7" s="15">
        <f>D7-E7+F7</f>
        <v/>
      </c>
      <c r="H7" s="15">
        <f>ASSUMPTIONS!$B$14*ASSUMPTIONS!$B$15</f>
        <v/>
      </c>
      <c r="I7" s="15">
        <f>IF(A7&lt;YEAR(DATEVALUE(ASSUMPTIONS!$B$13))+ASSUMPTIONS!$B$17,H7,H7+ASSUMPTIONS!$B$14/MAX(1,ASSUMPTIONS!$B$16-ASSUMPTIONS!$B$17))</f>
        <v/>
      </c>
      <c r="J7" s="15">
        <f>G7-I7</f>
        <v/>
      </c>
      <c r="K7" s="21">
        <f>IF(I7&gt;0,G7/I7,"")</f>
        <v/>
      </c>
      <c r="M7" s="4" t="inlineStr">
        <is>
          <t>Ramp 2027</t>
        </is>
      </c>
      <c r="N7" s="6" t="n">
        <v>0</v>
      </c>
    </row>
    <row r="8">
      <c r="A8" t="n">
        <v>2030</v>
      </c>
      <c r="B8" s="15">
        <f>N4*N5*N10*ASSUMPTIONS!$F$8</f>
        <v/>
      </c>
      <c r="C8" s="15">
        <f>OPEX_Projekcija_2026_2030!F$11</f>
        <v/>
      </c>
      <c r="D8" s="15">
        <f>B8-C8</f>
        <v/>
      </c>
      <c r="E8" s="15">
        <f>CAPEX_Projekcija_2026_2030!G$9*ASSUMPTIONS!$F$6</f>
        <v/>
      </c>
      <c r="F8" s="15">
        <f>PDV_Refund_Tracker!D8</f>
        <v/>
      </c>
      <c r="G8" s="15">
        <f>D8-E8+F8</f>
        <v/>
      </c>
      <c r="H8" s="15">
        <f>ASSUMPTIONS!$B$14*ASSUMPTIONS!$B$15</f>
        <v/>
      </c>
      <c r="I8" s="15">
        <f>IF(A8&lt;YEAR(DATEVALUE(ASSUMPTIONS!$B$13))+ASSUMPTIONS!$B$17,H8,H8+ASSUMPTIONS!$B$14/MAX(1,ASSUMPTIONS!$B$16-ASSUMPTIONS!$B$17))</f>
        <v/>
      </c>
      <c r="J8" s="15">
        <f>G8-I8</f>
        <v/>
      </c>
      <c r="K8" s="21">
        <f>IF(I8&gt;0,G8/I8,"")</f>
        <v/>
      </c>
      <c r="M8" s="4" t="inlineStr">
        <is>
          <t>Ramp 2028</t>
        </is>
      </c>
      <c r="N8" s="6" t="n">
        <v>0</v>
      </c>
    </row>
    <row r="9">
      <c r="M9" s="4" t="inlineStr">
        <is>
          <t>Ramp 2029</t>
        </is>
      </c>
      <c r="N9" s="6" t="n">
        <v>0.4</v>
      </c>
    </row>
    <row r="10">
      <c r="M10" s="4" t="inlineStr">
        <is>
          <t>Ramp 2030</t>
        </is>
      </c>
      <c r="N10" s="6" t="n">
        <v>0.7</v>
      </c>
    </row>
  </sheetData>
  <mergeCells count="2">
    <mergeCell ref="A2:N2"/>
    <mergeCell ref="A1:N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24" customWidth="1" min="4" max="4"/>
    <col width="12" customWidth="1" min="6" max="6"/>
    <col width="16" customWidth="1" min="7" max="7"/>
    <col width="16" customWidth="1" min="8" max="8"/>
  </cols>
  <sheetData>
    <row r="1">
      <c r="A1" s="1" t="inlineStr">
        <is>
          <t>Summary_Dashboard</t>
        </is>
      </c>
    </row>
    <row r="2">
      <c r="A2" s="2" t="inlineStr">
        <is>
          <t>Management snapshot and visuals</t>
        </is>
      </c>
    </row>
    <row r="3">
      <c r="A3" s="3" t="inlineStr">
        <is>
          <t>KPI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Source</t>
        </is>
      </c>
      <c r="E3" s="3" t="inlineStr"/>
      <c r="F3" s="3" t="inlineStr">
        <is>
          <t>Year</t>
        </is>
      </c>
      <c r="G3" s="3" t="inlineStr">
        <is>
          <t>CAPEX</t>
        </is>
      </c>
      <c r="H3" s="3" t="inlineStr">
        <is>
          <t>OPEX</t>
        </is>
      </c>
    </row>
    <row r="4">
      <c r="A4" s="4" t="inlineStr">
        <is>
          <t>Total historical CAPEX (to 2025)</t>
        </is>
      </c>
      <c r="B4" s="14">
        <f>CAPEX_Historija!I9</f>
        <v/>
      </c>
      <c r="C4" s="4" t="inlineStr">
        <is>
          <t>EUR</t>
        </is>
      </c>
      <c r="D4" s="4" t="inlineStr">
        <is>
          <t>CAPEX_Historija</t>
        </is>
      </c>
      <c r="F4" t="n">
        <v>2026</v>
      </c>
      <c r="G4" s="22">
        <f>CAPEX_Projekcija_2026_2030!C$9</f>
        <v/>
      </c>
      <c r="H4" s="22">
        <f>OPEX_Projekcija_2026_2030!B$11</f>
        <v/>
      </c>
    </row>
    <row r="5">
      <c r="A5" s="4" t="inlineStr">
        <is>
          <t>Cumulative fixed assets 2025</t>
        </is>
      </c>
      <c r="B5" s="14">
        <f>INDEX(INPUT_Bilansi!$D:$D,MATCH(2,INPUT_Bilansi!$C:$C,0))</f>
        <v/>
      </c>
      <c r="C5" s="4" t="inlineStr">
        <is>
          <t>EUR</t>
        </is>
      </c>
      <c r="D5" s="4" t="inlineStr">
        <is>
          <t>INPUT_Bilansi</t>
        </is>
      </c>
      <c r="F5" t="n">
        <v>2027</v>
      </c>
      <c r="G5" s="22">
        <f>CAPEX_Projekcija_2026_2030!D$9</f>
        <v/>
      </c>
      <c r="H5" s="22">
        <f>OPEX_Projekcija_2026_2030!C$11</f>
        <v/>
      </c>
    </row>
    <row r="6">
      <c r="A6" s="4" t="inlineStr">
        <is>
          <t>% CAPEX in advances (2025)</t>
        </is>
      </c>
      <c r="B6" s="8">
        <f>IF(CAPEX_Historija!F9&gt;0,CAPEX_Historija!F6/CAPEX_Historija!F9,0)</f>
        <v/>
      </c>
      <c r="C6" s="4" t="inlineStr">
        <is>
          <t>%</t>
        </is>
      </c>
      <c r="D6" s="4" t="inlineStr">
        <is>
          <t>CAPEX_Historija</t>
        </is>
      </c>
      <c r="F6" t="n">
        <v>2028</v>
      </c>
      <c r="G6" s="22">
        <f>CAPEX_Projekcija_2026_2030!E$9</f>
        <v/>
      </c>
      <c r="H6" s="22">
        <f>OPEX_Projekcija_2026_2030!D$11</f>
        <v/>
      </c>
    </row>
    <row r="7">
      <c r="A7" s="4" t="inlineStr">
        <is>
          <t>Projected CAPEX 2026-2030</t>
        </is>
      </c>
      <c r="B7" s="14">
        <f>CAPEX_Projekcija_2026_2030!H9</f>
        <v/>
      </c>
      <c r="C7" s="4" t="inlineStr">
        <is>
          <t>EUR</t>
        </is>
      </c>
      <c r="D7" s="4" t="inlineStr">
        <is>
          <t>CAPEX projection</t>
        </is>
      </c>
      <c r="F7" t="n">
        <v>2029</v>
      </c>
      <c r="G7" s="22">
        <f>CAPEX_Projekcija_2026_2030!F$9</f>
        <v/>
      </c>
      <c r="H7" s="22">
        <f>OPEX_Projekcija_2026_2030!E$11</f>
        <v/>
      </c>
    </row>
    <row r="8">
      <c r="A8" s="4" t="inlineStr">
        <is>
          <t>Projected OPEX 2026</t>
        </is>
      </c>
      <c r="B8" s="14">
        <f>OPEX_Projekcija_2026_2030!B11</f>
        <v/>
      </c>
      <c r="C8" s="4" t="inlineStr">
        <is>
          <t>EUR</t>
        </is>
      </c>
      <c r="D8" s="4" t="inlineStr">
        <is>
          <t>OPEX projection</t>
        </is>
      </c>
      <c r="F8" t="n">
        <v>2030</v>
      </c>
      <c r="G8" s="22">
        <f>CAPEX_Projekcija_2026_2030!G$9</f>
        <v/>
      </c>
      <c r="H8" s="22">
        <f>OPEX_Projekcija_2026_2030!F$11</f>
        <v/>
      </c>
    </row>
    <row r="9">
      <c r="A9" s="4" t="inlineStr">
        <is>
          <t>Average monthly burn</t>
        </is>
      </c>
      <c r="B9" s="14">
        <f>AVERAGE(Cashflow_BurnRate!D6:D29)</f>
        <v/>
      </c>
      <c r="C9" s="4" t="inlineStr">
        <is>
          <t>EUR/month</t>
        </is>
      </c>
      <c r="D9" s="4" t="inlineStr">
        <is>
          <t>Cashflow_BurnRate</t>
        </is>
      </c>
    </row>
    <row r="10">
      <c r="A10" s="4" t="inlineStr">
        <is>
          <t>Runway (months)</t>
        </is>
      </c>
      <c r="B10" s="19">
        <f>Cashflow_BurnRate!H33</f>
        <v/>
      </c>
      <c r="C10" s="4" t="inlineStr">
        <is>
          <t>x</t>
        </is>
      </c>
      <c r="D10" s="4" t="inlineStr">
        <is>
          <t>Cashflow_BurnRate</t>
        </is>
      </c>
    </row>
    <row r="11">
      <c r="A11" s="4" t="inlineStr">
        <is>
          <t>Cumulative VAT refund</t>
        </is>
      </c>
      <c r="B11" s="14">
        <f>PDV_Refund_Tracker!E8</f>
        <v/>
      </c>
      <c r="C11" s="4" t="inlineStr">
        <is>
          <t>EUR</t>
        </is>
      </c>
      <c r="D11" s="4" t="inlineStr">
        <is>
          <t>PDV_Refund_Tracker</t>
        </is>
      </c>
    </row>
    <row r="12">
      <c r="A12" s="4" t="inlineStr">
        <is>
          <t>Min DSCR 2029-2030</t>
        </is>
      </c>
      <c r="B12" s="19">
        <f>MIN(Full_Integrated_Model!K7:K8)</f>
        <v/>
      </c>
      <c r="C12" s="4" t="inlineStr">
        <is>
          <t>x</t>
        </is>
      </c>
      <c r="D12" s="4" t="inlineStr">
        <is>
          <t>Integrated Model</t>
        </is>
      </c>
    </row>
  </sheetData>
  <mergeCells count="2">
    <mergeCell ref="A2:H2"/>
    <mergeCell ref="A1:H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34" customWidth="1" min="5" max="5"/>
    <col width="24" customWidth="1" min="6" max="6"/>
  </cols>
  <sheetData>
    <row r="1">
      <c r="A1" s="1" t="inlineStr">
        <is>
          <t>Controls_&amp;_Checks</t>
        </is>
      </c>
    </row>
    <row r="2">
      <c r="A2" s="2" t="inlineStr">
        <is>
          <t>All checks should be OK before sharing</t>
        </is>
      </c>
    </row>
    <row r="3">
      <c r="A3" s="3" t="inlineStr">
        <is>
          <t>Check</t>
        </is>
      </c>
      <c r="B3" s="3" t="inlineStr">
        <is>
          <t>Result</t>
        </is>
      </c>
      <c r="C3" s="3" t="inlineStr">
        <is>
          <t>Status</t>
        </is>
      </c>
      <c r="D3" s="3" t="inlineStr">
        <is>
          <t>Threshold</t>
        </is>
      </c>
      <c r="E3" s="3" t="inlineStr">
        <is>
          <t>Fix Instruction</t>
        </is>
      </c>
      <c r="F3" s="3" t="inlineStr">
        <is>
          <t>Link</t>
        </is>
      </c>
    </row>
    <row r="4">
      <c r="A4" s="4" t="inlineStr">
        <is>
          <t>Historical CAPEX total &gt; 0</t>
        </is>
      </c>
      <c r="B4" s="15">
        <f>CAPEX_Historija!I9</f>
        <v/>
      </c>
      <c r="C4" s="4">
        <f>IF(B4&gt;0,"OK","FAIL")</f>
        <v/>
      </c>
      <c r="D4" s="4" t="inlineStr">
        <is>
          <t>&gt; 0</t>
        </is>
      </c>
      <c r="E4" s="4" t="inlineStr">
        <is>
          <t>Populate INPUT_Bilansi correctly</t>
        </is>
      </c>
      <c r="F4" s="4" t="inlineStr">
        <is>
          <t>CAPEX_Historija</t>
        </is>
      </c>
    </row>
    <row r="5">
      <c r="A5" s="4" t="inlineStr">
        <is>
          <t>Projected CAPEX vs target</t>
        </is>
      </c>
      <c r="B5" s="15">
        <f>CAPEX_Projekcija_2026_2030!H9-ASSUMPTIONS!$B$19</f>
        <v/>
      </c>
      <c r="C5" s="4">
        <f>IF(ABS(B5)&lt;=1,"OK","FAIL")</f>
        <v/>
      </c>
      <c r="D5" s="4" t="inlineStr">
        <is>
          <t>0 +/-1</t>
        </is>
      </c>
      <c r="E5" s="4" t="inlineStr">
        <is>
          <t>Align CAPEX plan to target</t>
        </is>
      </c>
      <c r="F5" s="4" t="inlineStr">
        <is>
          <t>CAPEX_Projekcija_2026_2030</t>
        </is>
      </c>
    </row>
    <row r="6">
      <c r="A6" s="4" t="inlineStr">
        <is>
          <t>No blanks in OPEX 2026</t>
        </is>
      </c>
      <c r="B6" s="4">
        <f>COUNTBLANK(OPEX_Projekcija_2026_2030!B4:B10)</f>
        <v/>
      </c>
      <c r="C6" s="4">
        <f>IF(B6=0,"OK","FAIL")</f>
        <v/>
      </c>
      <c r="D6" s="4" t="inlineStr">
        <is>
          <t>0</t>
        </is>
      </c>
      <c r="E6" s="4" t="inlineStr">
        <is>
          <t>Fill yellow OPEX cells</t>
        </is>
      </c>
      <c r="F6" s="4" t="inlineStr">
        <is>
          <t>OPEX_Projekcija_2026_2030</t>
        </is>
      </c>
    </row>
    <row r="7">
      <c r="A7" s="4" t="inlineStr">
        <is>
          <t>VAT refundable set</t>
        </is>
      </c>
      <c r="B7" s="13">
        <f>ASSUMPTIONS!$B$7</f>
        <v/>
      </c>
      <c r="C7" s="4">
        <f>IF(AND(B7&gt;0,B7&lt;=0.21),"OK","FAIL")</f>
        <v/>
      </c>
      <c r="D7" s="4" t="inlineStr">
        <is>
          <t>0-21%</t>
        </is>
      </c>
      <c r="E7" s="4" t="inlineStr">
        <is>
          <t>Check VAT_CAPEX_REFUNDABLE</t>
        </is>
      </c>
      <c r="F7" s="4" t="inlineStr">
        <is>
          <t>ASSUMPTIONS</t>
        </is>
      </c>
    </row>
    <row r="8">
      <c r="A8" s="4" t="inlineStr">
        <is>
          <t>Min DSCR &gt;= 1.20</t>
        </is>
      </c>
      <c r="B8" s="21">
        <f>MIN(Full_Integrated_Model!K7:K8)</f>
        <v/>
      </c>
      <c r="C8" s="4">
        <f>IF(B8&gt;=1.2,"OK","FAIL")</f>
        <v/>
      </c>
      <c r="D8" s="4" t="inlineStr">
        <is>
          <t>&gt;=1.20x</t>
        </is>
      </c>
      <c r="E8" s="4" t="inlineStr">
        <is>
          <t>Adjust debt / OPEX / CAPEX</t>
        </is>
      </c>
      <c r="F8" s="4" t="inlineStr">
        <is>
          <t>Full_Integrated_Model</t>
        </is>
      </c>
    </row>
    <row r="9">
      <c r="A9" s="4" t="inlineStr">
        <is>
          <t>Runway &gt; 6 months</t>
        </is>
      </c>
      <c r="B9" s="21">
        <f>Cashflow_BurnRate!H33</f>
        <v/>
      </c>
      <c r="C9" s="4">
        <f>IF(B9&gt;6,"OK","FAIL")</f>
        <v/>
      </c>
      <c r="D9" s="4" t="inlineStr">
        <is>
          <t>&gt; 6</t>
        </is>
      </c>
      <c r="E9" s="4" t="inlineStr">
        <is>
          <t>Increase funding or reduce burn</t>
        </is>
      </c>
      <c r="F9" s="4" t="inlineStr">
        <is>
          <t>Cashflow_BurnRate</t>
        </is>
      </c>
    </row>
    <row r="10">
      <c r="A10" s="4" t="inlineStr">
        <is>
          <t>Advances share &lt; 50%</t>
        </is>
      </c>
      <c r="B10" s="13">
        <f>IF(CAPEX_Historija!F9&gt;0,CAPEX_Historija!F6/CAPEX_Historija!F9,0)</f>
        <v/>
      </c>
      <c r="C10" s="4">
        <f>IF(B10&lt;0.5,"OK","WARN")</f>
        <v/>
      </c>
      <c r="D10" s="4" t="inlineStr">
        <is>
          <t>&lt; 50%</t>
        </is>
      </c>
      <c r="E10" s="4" t="inlineStr">
        <is>
          <t>Convert advances post-COD</t>
        </is>
      </c>
      <c r="F10" s="4" t="inlineStr">
        <is>
          <t>CAPEX_Historija</t>
        </is>
      </c>
    </row>
  </sheetData>
  <mergeCells count="2">
    <mergeCell ref="A2:F2"/>
    <mergeCell ref="A1:F1"/>
  </mergeCells>
  <conditionalFormatting sqref="C4:C10">
    <cfRule type="expression" priority="1" dxfId="0">
      <formula>C4="OK"</formula>
    </cfRule>
    <cfRule type="expression" priority="2" dxfId="1">
      <formula>C4="FAIL"</formula>
    </cfRule>
    <cfRule type="expression" priority="3" dxfId="2">
      <formula>C4="WARN"</formula>
    </cfRule>
  </conditionalFormatting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Instructions</t>
        </is>
      </c>
    </row>
    <row r="2">
      <c r="A2" s="2" t="inlineStr">
        <is>
          <t>Quick setup in 5 steps</t>
        </is>
      </c>
    </row>
    <row r="3">
      <c r="A3" s="3" t="inlineStr">
        <is>
          <t>Step</t>
        </is>
      </c>
      <c r="B3" s="3" t="inlineStr">
        <is>
          <t>Instruction</t>
        </is>
      </c>
    </row>
    <row r="4">
      <c r="A4" s="11" t="inlineStr">
        <is>
          <t>1. Populate INPUT_Bilansi</t>
        </is>
      </c>
      <c r="B4" s="6" t="inlineStr">
        <is>
          <t>Paste / verify 2025 / 2024 / 2023 historical bilans rows.</t>
        </is>
      </c>
    </row>
    <row r="5">
      <c r="A5" s="11" t="inlineStr">
        <is>
          <t>2. Review CAPEX_Historija</t>
        </is>
      </c>
      <c r="B5" s="6" t="inlineStr">
        <is>
          <t>Historical CAPEX balances and changes update automatically.</t>
        </is>
      </c>
    </row>
    <row r="6">
      <c r="A6" s="11" t="inlineStr">
        <is>
          <t>3. Fill future CAPEX/OPEX</t>
        </is>
      </c>
      <c r="B6" s="6" t="inlineStr">
        <is>
          <t>Complete yellow cells in CAPEX_Projekcija and OPEX_Projekcija.</t>
        </is>
      </c>
    </row>
    <row r="7">
      <c r="A7" s="11" t="inlineStr">
        <is>
          <t>4. Update ASSUMPTIONS</t>
        </is>
      </c>
      <c r="B7" s="6" t="inlineStr">
        <is>
          <t>Set scenario, inflation, VAT, FX, grant, loan and target CAPEX.</t>
        </is>
      </c>
    </row>
    <row r="8">
      <c r="A8" s="11" t="inlineStr">
        <is>
          <t>5. Check Controls and Dashboard</t>
        </is>
      </c>
      <c r="B8" s="6" t="inlineStr">
        <is>
          <t>All checks should be OK before sharing with banks or investors.</t>
        </is>
      </c>
    </row>
  </sheetData>
  <mergeCells count="2">
    <mergeCell ref="A2:B2"/>
    <mergeCell ref="A1:B1"/>
  </mergeCells>
  <pageMargins left="0.3" right="0.3" top="0.5" bottom="0.5" header="0.5" footer="0.5"/>
  <headerFooter>
    <oddHeader>&amp;C&amp;BARS Metal Industries DOO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2026-03-08T13:51:41Z</dcterms:created>
  <dcterms:modified xmlns:dcterms="http://purl.org/dc/terms/" xmlns:xsi="http://www.w3.org/2001/XMLSchema-instance" xsi:type="dcterms:W3CDTF">2026-03-08T13:51:42Z</dcterms:modified>
</cp:coreProperties>
</file>