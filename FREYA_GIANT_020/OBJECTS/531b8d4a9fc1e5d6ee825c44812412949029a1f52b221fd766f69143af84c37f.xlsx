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C_Memo_Summary" sheetId="2" state="visible" r:id="rId2"/>
    <sheet xmlns:r="http://schemas.openxmlformats.org/officeDocument/2006/relationships" name="Lender_Summary" sheetId="3" state="visible" r:id="rId3"/>
    <sheet xmlns:r="http://schemas.openxmlformats.org/officeDocument/2006/relationships" name="Sources_&amp;_Assumptions" sheetId="4" state="visible" r:id="rId4"/>
    <sheet xmlns:r="http://schemas.openxmlformats.org/officeDocument/2006/relationships" name="BoQ_Detailed" sheetId="5" state="visible" r:id="rId5"/>
    <sheet xmlns:r="http://schemas.openxmlformats.org/officeDocument/2006/relationships" name="Debt_Schedule_Quarterly" sheetId="6" state="visible" r:id="rId6"/>
    <sheet xmlns:r="http://schemas.openxmlformats.org/officeDocument/2006/relationships" name="Debt_Schedule_Annual" sheetId="7" state="visible" r:id="rId7"/>
    <sheet xmlns:r="http://schemas.openxmlformats.org/officeDocument/2006/relationships" name="P&amp;L_CashFlow" sheetId="8" state="visible" r:id="rId8"/>
    <sheet xmlns:r="http://schemas.openxmlformats.org/officeDocument/2006/relationships" name="Covenant_Package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Risk_Regi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x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FF"/>
    </font>
    <font>
      <color rgb="00000000"/>
    </font>
    <font>
      <color rgb="00008000"/>
    </font>
    <font>
      <color rgb="00666666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7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1" pivotButton="0" quotePrefix="0" xfId="0"/>
    <xf numFmtId="0" fontId="7" fillId="0" borderId="0" pivotButton="0" quotePrefix="0" xfId="1"/>
    <xf numFmtId="0" fontId="8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8" fontId="0" fillId="0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2" fontId="3" fillId="0" borderId="1" pivotButton="0" quotePrefix="0" xfId="0"/>
    <xf numFmtId="165" fontId="3" fillId="0" borderId="1" pivotButton="0" quotePrefix="0" xfId="0"/>
    <xf numFmtId="38" fontId="3" fillId="0" borderId="1" pivotButton="0" quotePrefix="0" xfId="0"/>
    <xf numFmtId="0" fontId="2" fillId="0" borderId="6" pivotButton="0" quotePrefix="0" xfId="0"/>
    <xf numFmtId="38" fontId="2" fillId="0" borderId="6" pivotButton="0" quotePrefix="0" xfId="0"/>
    <xf numFmtId="3" fontId="0" fillId="0" borderId="1" pivotButton="0" quotePrefix="0" xfId="0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Bridge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'Lender_Summary'!$A$4:$A$6</f>
            </numRef>
          </cat>
          <val>
            <numRef>
              <f>'Lender_Summary'!$B$4:$B$6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'P&amp;L_CashFlow'!Q3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'P&amp;L_CashFlow'!$A$4:$A$15</f>
            </numRef>
          </cat>
          <val>
            <numRef>
              <f>'P&amp;L_CashFlow'!$Q$4:$Q$15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DSCR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4" authorId="0" shapeId="0">
      <text>
        <t>Source: Model input</t>
      </text>
    </comment>
    <comment ref="B5" authorId="0" shapeId="0">
      <text>
        <t>Source: Model input</t>
      </text>
    </comment>
    <comment ref="B6" authorId="0" shapeId="0">
      <text>
        <t>Source: Model input</t>
      </text>
    </comment>
    <comment ref="B7" authorId="0" shapeId="0">
      <text>
        <t>Source: Model input</t>
      </text>
    </comment>
    <comment ref="B8" authorId="0" shapeId="0">
      <text>
        <t>Source: Model input</t>
      </text>
    </comment>
    <comment ref="B9" authorId="0" shapeId="0">
      <text>
        <t>Source: Model input</t>
      </text>
    </comment>
    <comment ref="B10" authorId="0" shapeId="0">
      <text>
        <t>Source: Model input</t>
      </text>
    </comment>
    <comment ref="B11" authorId="0" shapeId="0">
      <text>
        <t>Source: Model input</t>
      </text>
    </comment>
    <comment ref="B12" authorId="0" shapeId="0">
      <text>
        <t>Source: Model input</t>
      </text>
    </comment>
    <comment ref="B13" authorId="0" shapeId="0">
      <text>
        <t>Source: Model input</t>
      </text>
    </comment>
    <comment ref="B14" authorId="0" shapeId="0">
      <text>
        <t>Source: Model input</t>
      </text>
    </comment>
    <comment ref="B15" authorId="0" shapeId="0">
      <text>
        <t>Source: Model input</t>
      </text>
    </comment>
    <comment ref="B16" authorId="0" shapeId="0">
      <text>
        <t>Source: Model input</t>
      </text>
    </comment>
    <comment ref="B17" authorId="0" shapeId="0">
      <text>
        <t>Source: Model input</t>
      </text>
    </comment>
    <comment ref="B18" authorId="0" shapeId="0">
      <text>
        <t>Source: Model input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19</col>
      <colOff>0</colOff>
      <row>3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IC_Memo_Summary!A1" TargetMode="External" Id="rId1"/><Relationship Type="http://schemas.openxmlformats.org/officeDocument/2006/relationships/hyperlink" Target="#Lender_Summary!A1" TargetMode="External" Id="rId2"/><Relationship Type="http://schemas.openxmlformats.org/officeDocument/2006/relationships/hyperlink" Target="#Sources_&amp;_Assumptions!A1" TargetMode="External" Id="rId3"/><Relationship Type="http://schemas.openxmlformats.org/officeDocument/2006/relationships/hyperlink" Target="#BoQ_Detailed!A1" TargetMode="External" Id="rId4"/><Relationship Type="http://schemas.openxmlformats.org/officeDocument/2006/relationships/hyperlink" Target="#Debt_Schedule_Quarterly!A1" TargetMode="External" Id="rId5"/><Relationship Type="http://schemas.openxmlformats.org/officeDocument/2006/relationships/hyperlink" Target="#Debt_Schedule_Annual!A1" TargetMode="External" Id="rId6"/><Relationship Type="http://schemas.openxmlformats.org/officeDocument/2006/relationships/hyperlink" Target="#P&amp;L_CashFlow!A1" TargetMode="External" Id="rId7"/><Relationship Type="http://schemas.openxmlformats.org/officeDocument/2006/relationships/hyperlink" Target="#Covenant_Package!A1" TargetMode="External" Id="rId8"/><Relationship Type="http://schemas.openxmlformats.org/officeDocument/2006/relationships/hyperlink" Target="#Sensitivity!A1" TargetMode="External" Id="rId9"/><Relationship Type="http://schemas.openxmlformats.org/officeDocument/2006/relationships/hyperlink" Target="#Risk_Register!A1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ADS Metal Karadag - Full Unified Financial Model</t>
        </is>
      </c>
      <c r="B1" s="2" t="n"/>
      <c r="C1" s="2" t="n"/>
      <c r="D1" s="2" t="n"/>
      <c r="E1" s="2" t="n"/>
      <c r="F1" s="3" t="n"/>
    </row>
    <row r="2"/>
    <row r="3">
      <c r="A3" t="inlineStr">
        <is>
          <t>Version</t>
        </is>
      </c>
      <c r="B3" t="inlineStr">
        <is>
          <t>v3.2</t>
        </is>
      </c>
    </row>
    <row r="4">
      <c r="A4" t="inlineStr">
        <is>
          <t>Generated</t>
        </is>
      </c>
      <c r="B4" t="inlineStr">
        <is>
          <t>24.03.2026 23:40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Model Scope</t>
        </is>
      </c>
      <c r="B6" t="inlineStr">
        <is>
          <t>CAPEX, Debt, IDC, P&amp;L, CFADS, DSCR, Sensitivity, Covenant Review</t>
        </is>
      </c>
    </row>
    <row r="7"/>
    <row r="8">
      <c r="A8" s="4" t="inlineStr">
        <is>
          <t>Color Legend</t>
        </is>
      </c>
    </row>
    <row r="9">
      <c r="A9" s="5" t="inlineStr">
        <is>
          <t>Blue text</t>
        </is>
      </c>
      <c r="B9" t="inlineStr">
        <is>
          <t>Hardcoded input / scenario driver</t>
        </is>
      </c>
    </row>
    <row r="10">
      <c r="A10" s="6" t="inlineStr">
        <is>
          <t>Black text</t>
        </is>
      </c>
      <c r="B10" t="inlineStr">
        <is>
          <t>Formula / calculation</t>
        </is>
      </c>
    </row>
    <row r="11">
      <c r="A11" s="7" t="inlineStr">
        <is>
          <t>Green text</t>
        </is>
      </c>
      <c r="B11" t="inlineStr">
        <is>
          <t>Internal link / imported</t>
        </is>
      </c>
    </row>
    <row r="12">
      <c r="A12" s="8" t="inlineStr">
        <is>
          <t>Grey text</t>
        </is>
      </c>
      <c r="B12" t="inlineStr">
        <is>
          <t>Static parameter / note</t>
        </is>
      </c>
    </row>
    <row r="13"/>
    <row r="14">
      <c r="A14" s="4" t="inlineStr">
        <is>
          <t>Workbook Tabs</t>
        </is>
      </c>
    </row>
    <row r="15">
      <c r="A15" s="9" t="inlineStr">
        <is>
          <t>IC_Memo_Summary</t>
        </is>
      </c>
    </row>
    <row r="16">
      <c r="A16" s="9" t="inlineStr">
        <is>
          <t>Lender_Summary</t>
        </is>
      </c>
    </row>
    <row r="17">
      <c r="A17" s="9" t="inlineStr">
        <is>
          <t>Sources_&amp;_Assumptions</t>
        </is>
      </c>
    </row>
    <row r="18">
      <c r="A18" s="9" t="inlineStr">
        <is>
          <t>BoQ_Detailed</t>
        </is>
      </c>
    </row>
    <row r="19">
      <c r="A19" s="9" t="inlineStr">
        <is>
          <t>Debt_Schedule_Quarterly</t>
        </is>
      </c>
    </row>
    <row r="20">
      <c r="A20" s="9" t="inlineStr">
        <is>
          <t>Debt_Schedule_Annual</t>
        </is>
      </c>
    </row>
    <row r="21">
      <c r="A21" s="9" t="inlineStr">
        <is>
          <t>P&amp;L_CashFlow</t>
        </is>
      </c>
    </row>
    <row r="22">
      <c r="A22" s="9" t="inlineStr">
        <is>
          <t>Covenant_Package</t>
        </is>
      </c>
    </row>
    <row r="23">
      <c r="A23" s="9" t="inlineStr">
        <is>
          <t>Sensitivity</t>
        </is>
      </c>
    </row>
    <row r="24">
      <c r="A24" s="9" t="inlineStr">
        <is>
          <t>Risk_Register</t>
        </is>
      </c>
    </row>
  </sheetData>
  <mergeCells count="1">
    <mergeCell ref="A1:F1"/>
  </mergeCells>
  <hyperlinks>
    <hyperlink xmlns:r="http://schemas.openxmlformats.org/officeDocument/2006/relationships" ref="A15" r:id="rId1"/>
    <hyperlink xmlns:r="http://schemas.openxmlformats.org/officeDocument/2006/relationships" ref="A16" r:id="rId2"/>
    <hyperlink xmlns:r="http://schemas.openxmlformats.org/officeDocument/2006/relationships" ref="A17" r:id="rId3"/>
    <hyperlink xmlns:r="http://schemas.openxmlformats.org/officeDocument/2006/relationships" ref="A18" r:id="rId4"/>
    <hyperlink xmlns:r="http://schemas.openxmlformats.org/officeDocument/2006/relationships" ref="A19" r:id="rId5"/>
    <hyperlink xmlns:r="http://schemas.openxmlformats.org/officeDocument/2006/relationships" ref="A20" r:id="rId6"/>
    <hyperlink xmlns:r="http://schemas.openxmlformats.org/officeDocument/2006/relationships" ref="A21" r:id="rId7"/>
    <hyperlink xmlns:r="http://schemas.openxmlformats.org/officeDocument/2006/relationships" ref="A22" r:id="rId8"/>
    <hyperlink xmlns:r="http://schemas.openxmlformats.org/officeDocument/2006/relationships" ref="A23" r:id="rId9"/>
    <hyperlink xmlns:r="http://schemas.openxmlformats.org/officeDocument/2006/relationships" ref="A24" r:id="rId10"/>
  </hyperlinks>
  <pageMargins left="0.3" right="0.3" top="0.4" bottom="0.4" header="0.2" footer="0.2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Investment Committee Summary</t>
        </is>
      </c>
      <c r="B1" s="2" t="n"/>
      <c r="C1" s="2" t="n"/>
      <c r="D1" s="2" t="n"/>
      <c r="E1" s="2" t="n"/>
      <c r="F1" s="3" t="n"/>
    </row>
    <row r="2"/>
    <row r="3">
      <c r="A3" s="10" t="inlineStr">
        <is>
          <t>Metric</t>
        </is>
      </c>
      <c r="B3" s="10" t="inlineStr">
        <is>
          <t>Value</t>
        </is>
      </c>
    </row>
    <row r="4">
      <c r="A4" s="11" t="inlineStr">
        <is>
          <t>Project</t>
        </is>
      </c>
      <c r="B4" s="11" t="inlineStr">
        <is>
          <t>ADS Metal Karadag</t>
        </is>
      </c>
    </row>
    <row r="5">
      <c r="A5" s="11" t="inlineStr">
        <is>
          <t>Direct BoQ CAPEX</t>
        </is>
      </c>
      <c r="B5" s="12" t="n">
        <v>17040685</v>
      </c>
    </row>
    <row r="6">
      <c r="A6" s="11" t="inlineStr">
        <is>
          <t>Contingency</t>
        </is>
      </c>
      <c r="B6" s="12" t="n">
        <v>1704068.5</v>
      </c>
    </row>
    <row r="7">
      <c r="A7" s="11" t="inlineStr">
        <is>
          <t>Escalation</t>
        </is>
      </c>
      <c r="B7" s="12" t="n">
        <v>420194.8077846195</v>
      </c>
    </row>
    <row r="8">
      <c r="A8" s="11" t="inlineStr">
        <is>
          <t>Total Project CAPEX</t>
        </is>
      </c>
      <c r="B8" s="12" t="n">
        <v>19164948.30778462</v>
      </c>
    </row>
    <row r="9">
      <c r="A9" s="11" t="inlineStr">
        <is>
          <t>Initial Working Capital</t>
        </is>
      </c>
      <c r="B9" s="12" t="n">
        <v>1200000</v>
      </c>
    </row>
    <row r="10">
      <c r="A10" s="11" t="inlineStr">
        <is>
          <t>Total Uses</t>
        </is>
      </c>
      <c r="B10" s="12" t="n">
        <v>20364948.30778462</v>
      </c>
    </row>
    <row r="11">
      <c r="A11" s="11" t="inlineStr">
        <is>
          <t>Base Debt Commitment</t>
        </is>
      </c>
      <c r="B11" s="12" t="n">
        <v>12218968.98467077</v>
      </c>
    </row>
    <row r="12">
      <c r="A12" s="11" t="inlineStr">
        <is>
          <t>Funded Debt at COD</t>
        </is>
      </c>
      <c r="B12" s="12" t="n">
        <v>13114632.53311137</v>
      </c>
    </row>
    <row r="13">
      <c r="A13" s="11" t="inlineStr">
        <is>
          <t>Total IDC</t>
        </is>
      </c>
      <c r="B13" s="12" t="n">
        <v>712379.0136705299</v>
      </c>
    </row>
    <row r="14">
      <c r="A14" s="11" t="inlineStr">
        <is>
          <t>Average DSCR</t>
        </is>
      </c>
      <c r="B14" s="13" t="n">
        <v>2.489125784952119</v>
      </c>
    </row>
    <row r="15">
      <c r="A15" s="11" t="inlineStr">
        <is>
          <t>Minimum DSCR</t>
        </is>
      </c>
      <c r="B15" s="13" t="n">
        <v>0.4724147349264212</v>
      </c>
    </row>
    <row r="16"/>
    <row r="17"/>
    <row r="18">
      <c r="A18" s="4" t="inlineStr">
        <is>
          <t>Credit View</t>
        </is>
      </c>
    </row>
    <row r="19">
      <c r="A19" s="14" t="inlineStr">
        <is>
          <t>Base case exhibits adequate debt service capacity, with DSCR driven by ramp-up and annual straight-line amortization after grace.</t>
        </is>
      </c>
    </row>
    <row r="20"/>
  </sheetData>
  <mergeCells count="2">
    <mergeCell ref="A1:F1"/>
    <mergeCell ref="A19:F20"/>
  </mergeCells>
  <pageMargins left="0.3" right="0.3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Lender Summary</t>
        </is>
      </c>
      <c r="B1" s="2" t="n"/>
      <c r="C1" s="2" t="n"/>
      <c r="D1" s="2" t="n"/>
      <c r="E1" s="2" t="n"/>
      <c r="F1" s="3" t="n"/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Unit</t>
        </is>
      </c>
    </row>
    <row r="4">
      <c r="A4" s="11" t="inlineStr">
        <is>
          <t>Direct BoQ CAPEX</t>
        </is>
      </c>
      <c r="B4" s="12" t="n">
        <v>17040685</v>
      </c>
      <c r="C4" s="11" t="inlineStr">
        <is>
          <t>EUR</t>
        </is>
      </c>
    </row>
    <row r="5">
      <c r="A5" s="11" t="inlineStr">
        <is>
          <t>Contingency</t>
        </is>
      </c>
      <c r="B5" s="12" t="n">
        <v>1704068.5</v>
      </c>
      <c r="C5" s="11" t="inlineStr">
        <is>
          <t>EUR</t>
        </is>
      </c>
    </row>
    <row r="6">
      <c r="A6" s="11" t="inlineStr">
        <is>
          <t>Escalation</t>
        </is>
      </c>
      <c r="B6" s="12" t="n">
        <v>420194.8077846195</v>
      </c>
      <c r="C6" s="11" t="inlineStr">
        <is>
          <t>EUR</t>
        </is>
      </c>
    </row>
    <row r="7">
      <c r="A7" s="11" t="inlineStr">
        <is>
          <t>Total Project CAPEX</t>
        </is>
      </c>
      <c r="B7" s="12" t="n">
        <v>19164948.30778462</v>
      </c>
      <c r="C7" s="11" t="inlineStr">
        <is>
          <t>EUR</t>
        </is>
      </c>
    </row>
    <row r="8">
      <c r="A8" s="11" t="inlineStr">
        <is>
          <t>Initial Working Capital</t>
        </is>
      </c>
      <c r="B8" s="12" t="n">
        <v>1200000</v>
      </c>
      <c r="C8" s="11" t="inlineStr">
        <is>
          <t>EUR</t>
        </is>
      </c>
    </row>
    <row r="9">
      <c r="A9" s="11" t="inlineStr">
        <is>
          <t>Total Uses</t>
        </is>
      </c>
      <c r="B9" s="12" t="n">
        <v>20364948.30778462</v>
      </c>
      <c r="C9" s="11" t="inlineStr">
        <is>
          <t>EUR</t>
        </is>
      </c>
    </row>
    <row r="10">
      <c r="A10" s="11" t="inlineStr">
        <is>
          <t>Base Debt Commitment</t>
        </is>
      </c>
      <c r="B10" s="12" t="n">
        <v>12218968.98467077</v>
      </c>
      <c r="C10" s="11" t="inlineStr">
        <is>
          <t>EUR</t>
        </is>
      </c>
    </row>
    <row r="11">
      <c r="A11" s="11" t="inlineStr">
        <is>
          <t>Arranger Fee</t>
        </is>
      </c>
      <c r="B11" s="12" t="n">
        <v>183284.5347700616</v>
      </c>
      <c r="C11" s="11" t="inlineStr">
        <is>
          <t>EUR</t>
        </is>
      </c>
    </row>
    <row r="12">
      <c r="A12" s="11" t="inlineStr">
        <is>
          <t>Total IDC</t>
        </is>
      </c>
      <c r="B12" s="12" t="n">
        <v>712379.0136705299</v>
      </c>
      <c r="C12" s="11" t="inlineStr">
        <is>
          <t>EUR</t>
        </is>
      </c>
    </row>
    <row r="13">
      <c r="A13" s="11" t="inlineStr">
        <is>
          <t>Funded Debt at COD</t>
        </is>
      </c>
      <c r="B13" s="12" t="n">
        <v>13114632.53311137</v>
      </c>
      <c r="C13" s="11" t="inlineStr">
        <is>
          <t>EUR</t>
        </is>
      </c>
    </row>
    <row r="14">
      <c r="A14" s="11" t="inlineStr">
        <is>
          <t>Average DSCR</t>
        </is>
      </c>
      <c r="B14" s="13" t="n">
        <v>2.489125784952119</v>
      </c>
      <c r="C14" s="11" t="inlineStr">
        <is>
          <t>x</t>
        </is>
      </c>
    </row>
    <row r="15">
      <c r="A15" s="11" t="inlineStr">
        <is>
          <t>Minimum DSCR</t>
        </is>
      </c>
      <c r="B15" s="13" t="n">
        <v>0.4724147349264212</v>
      </c>
      <c r="C15" s="11" t="inlineStr">
        <is>
          <t>x</t>
        </is>
      </c>
    </row>
  </sheetData>
  <mergeCells count="1">
    <mergeCell ref="A1:F1"/>
  </mergeCells>
  <pageMargins left="0.3" right="0.3" top="0.4" bottom="0.4" header="0.2" footer="0.2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Sources &amp; Assumptions</t>
        </is>
      </c>
      <c r="B1" s="2" t="n"/>
      <c r="C1" s="2" t="n"/>
      <c r="D1" s="3" t="n"/>
    </row>
    <row r="2"/>
    <row r="3">
      <c r="A3" s="10" t="inlineStr">
        <is>
          <t>Parameter</t>
        </is>
      </c>
      <c r="B3" s="10" t="inlineStr">
        <is>
          <t>Value</t>
        </is>
      </c>
      <c r="C3" s="10" t="inlineStr">
        <is>
          <t>Unit</t>
        </is>
      </c>
      <c r="D3" s="10" t="inlineStr">
        <is>
          <t>Source / Note</t>
        </is>
      </c>
    </row>
    <row r="4">
      <c r="A4" s="11" t="inlineStr">
        <is>
          <t>Construction Years</t>
        </is>
      </c>
      <c r="B4" s="15" t="n">
        <v>1.5</v>
      </c>
      <c r="C4" s="11" t="inlineStr">
        <is>
          <t>years</t>
        </is>
      </c>
      <c r="D4" s="11" t="inlineStr">
        <is>
          <t>Model input</t>
        </is>
      </c>
    </row>
    <row r="5">
      <c r="A5" s="11" t="inlineStr">
        <is>
          <t>Contingency %</t>
        </is>
      </c>
      <c r="B5" s="16" t="n">
        <v>0.1</v>
      </c>
      <c r="C5" s="11" t="inlineStr">
        <is>
          <t>%</t>
        </is>
      </c>
      <c r="D5" s="11" t="inlineStr">
        <is>
          <t>Model input</t>
        </is>
      </c>
    </row>
    <row r="6">
      <c r="A6" s="11" t="inlineStr">
        <is>
          <t>Escalation Rate</t>
        </is>
      </c>
      <c r="B6" s="16" t="n">
        <v>0.03</v>
      </c>
      <c r="C6" s="11" t="inlineStr">
        <is>
          <t>%</t>
        </is>
      </c>
      <c r="D6" s="11" t="inlineStr">
        <is>
          <t>Model input</t>
        </is>
      </c>
    </row>
    <row r="7">
      <c r="A7" s="11" t="inlineStr">
        <is>
          <t>Debt Share</t>
        </is>
      </c>
      <c r="B7" s="16" t="n">
        <v>0.6</v>
      </c>
      <c r="C7" s="11" t="inlineStr">
        <is>
          <t>%</t>
        </is>
      </c>
      <c r="D7" s="11" t="inlineStr">
        <is>
          <t>Model input</t>
        </is>
      </c>
    </row>
    <row r="8">
      <c r="A8" s="11" t="inlineStr">
        <is>
          <t>Equity Share</t>
        </is>
      </c>
      <c r="B8" s="16" t="n">
        <v>0.4</v>
      </c>
      <c r="C8" s="11" t="inlineStr">
        <is>
          <t>%</t>
        </is>
      </c>
      <c r="D8" s="11" t="inlineStr">
        <is>
          <t>Model input</t>
        </is>
      </c>
    </row>
    <row r="9">
      <c r="A9" s="11" t="inlineStr">
        <is>
          <t>Debt Rate</t>
        </is>
      </c>
      <c r="B9" s="16" t="n">
        <v>0.065</v>
      </c>
      <c r="C9" s="11" t="inlineStr">
        <is>
          <t>%</t>
        </is>
      </c>
      <c r="D9" s="11" t="inlineStr">
        <is>
          <t>Model input</t>
        </is>
      </c>
    </row>
    <row r="10">
      <c r="A10" s="11" t="inlineStr">
        <is>
          <t>Commitment Fee</t>
        </is>
      </c>
      <c r="B10" s="16" t="n">
        <v>0.0075</v>
      </c>
      <c r="C10" s="11" t="inlineStr">
        <is>
          <t>%</t>
        </is>
      </c>
      <c r="D10" s="11" t="inlineStr">
        <is>
          <t>Model input</t>
        </is>
      </c>
    </row>
    <row r="11">
      <c r="A11" s="11" t="inlineStr">
        <is>
          <t>Arranger Fee %</t>
        </is>
      </c>
      <c r="B11" s="16" t="n">
        <v>0.015</v>
      </c>
      <c r="C11" s="11" t="inlineStr">
        <is>
          <t>%</t>
        </is>
      </c>
      <c r="D11" s="11" t="inlineStr">
        <is>
          <t>Model input</t>
        </is>
      </c>
    </row>
    <row r="12">
      <c r="A12" s="11" t="inlineStr">
        <is>
          <t>Grace Years</t>
        </is>
      </c>
      <c r="B12" s="15" t="n">
        <v>1</v>
      </c>
      <c r="C12" s="11" t="inlineStr">
        <is>
          <t>years</t>
        </is>
      </c>
      <c r="D12" s="11" t="inlineStr">
        <is>
          <t>Model input</t>
        </is>
      </c>
    </row>
    <row r="13">
      <c r="A13" s="11" t="inlineStr">
        <is>
          <t>Tenor Years</t>
        </is>
      </c>
      <c r="B13" s="15" t="n">
        <v>8</v>
      </c>
      <c r="C13" s="11" t="inlineStr">
        <is>
          <t>years</t>
        </is>
      </c>
      <c r="D13" s="11" t="inlineStr">
        <is>
          <t>Model input</t>
        </is>
      </c>
    </row>
    <row r="14">
      <c r="A14" s="11" t="inlineStr">
        <is>
          <t>Initial Working Capital</t>
        </is>
      </c>
      <c r="B14" s="17" t="n">
        <v>1200000</v>
      </c>
      <c r="C14" s="11" t="inlineStr">
        <is>
          <t>EUR</t>
        </is>
      </c>
      <c r="D14" s="11" t="inlineStr">
        <is>
          <t>Model input</t>
        </is>
      </c>
    </row>
    <row r="15">
      <c r="A15" s="11" t="inlineStr">
        <is>
          <t>Inventory Days</t>
        </is>
      </c>
      <c r="B15" s="15" t="n">
        <v>75</v>
      </c>
      <c r="C15" s="11" t="inlineStr">
        <is>
          <t>days</t>
        </is>
      </c>
      <c r="D15" s="11" t="inlineStr">
        <is>
          <t>Model input</t>
        </is>
      </c>
    </row>
    <row r="16">
      <c r="A16" s="11" t="inlineStr">
        <is>
          <t>Receivable Days</t>
        </is>
      </c>
      <c r="B16" s="15" t="n">
        <v>60</v>
      </c>
      <c r="C16" s="11" t="inlineStr">
        <is>
          <t>days</t>
        </is>
      </c>
      <c r="D16" s="11" t="inlineStr">
        <is>
          <t>Model input</t>
        </is>
      </c>
    </row>
    <row r="17">
      <c r="A17" s="11" t="inlineStr">
        <is>
          <t>Payable Days</t>
        </is>
      </c>
      <c r="B17" s="15" t="n">
        <v>35</v>
      </c>
      <c r="C17" s="11" t="inlineStr">
        <is>
          <t>days</t>
        </is>
      </c>
      <c r="D17" s="11" t="inlineStr">
        <is>
          <t>Model input</t>
        </is>
      </c>
    </row>
    <row r="18">
      <c r="A18" s="11" t="inlineStr">
        <is>
          <t>Tax Rate</t>
        </is>
      </c>
      <c r="B18" s="16" t="n">
        <v>0.09</v>
      </c>
      <c r="C18" s="11" t="inlineStr">
        <is>
          <t>%</t>
        </is>
      </c>
      <c r="D18" s="11" t="inlineStr">
        <is>
          <t>Model input</t>
        </is>
      </c>
    </row>
  </sheetData>
  <mergeCells count="1">
    <mergeCell ref="A1:D1"/>
  </mergeCells>
  <pageMargins left="0.3" right="0.3" top="0.4" bottom="0.4" header="0.2" footer="0.2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4" customWidth="1" min="4" max="4"/>
    <col width="10" customWidth="1" min="5" max="5"/>
  </cols>
  <sheetData>
    <row r="1">
      <c r="A1" s="1" t="inlineStr">
        <is>
          <t>Detailed BoQ</t>
        </is>
      </c>
      <c r="B1" s="2" t="n"/>
      <c r="C1" s="2" t="n"/>
      <c r="D1" s="2" t="n"/>
      <c r="E1" s="3" t="n"/>
    </row>
    <row r="2"/>
    <row r="3">
      <c r="A3" s="10" t="inlineStr">
        <is>
          <t>Category</t>
        </is>
      </c>
      <c r="B3" s="10" t="inlineStr">
        <is>
          <t>Unit</t>
        </is>
      </c>
      <c r="C3" s="10" t="inlineStr">
        <is>
          <t>Qty</t>
        </is>
      </c>
      <c r="D3" s="10" t="inlineStr">
        <is>
          <t>Total_EUR</t>
        </is>
      </c>
    </row>
    <row r="4">
      <c r="A4" s="11" t="inlineStr">
        <is>
          <t>Site Preparation &amp; Earthworks</t>
        </is>
      </c>
      <c r="B4" s="11" t="inlineStr">
        <is>
          <t>lump sum</t>
        </is>
      </c>
      <c r="C4" s="11" t="n">
        <v>1</v>
      </c>
      <c r="D4" s="12" t="n">
        <v>292500</v>
      </c>
    </row>
    <row r="5">
      <c r="A5" s="11" t="inlineStr">
        <is>
          <t>Reinforced Concrete &amp; Heavy Foundations</t>
        </is>
      </c>
      <c r="B5" s="11" t="inlineStr">
        <is>
          <t>lump sum</t>
        </is>
      </c>
      <c r="C5" s="11" t="n">
        <v>1</v>
      </c>
      <c r="D5" s="12" t="n">
        <v>1880650</v>
      </c>
    </row>
    <row r="6">
      <c r="A6" s="11" t="inlineStr">
        <is>
          <t>Structural Steel Superstructure</t>
        </is>
      </c>
      <c r="B6" s="11" t="inlineStr">
        <is>
          <t>lump sum</t>
        </is>
      </c>
      <c r="C6" s="11" t="n">
        <v>1</v>
      </c>
      <c r="D6" s="12" t="n">
        <v>1938000</v>
      </c>
    </row>
    <row r="7">
      <c r="A7" s="11" t="inlineStr">
        <is>
          <t>Roof, Cladding &amp; Building Works</t>
        </is>
      </c>
      <c r="B7" s="11" t="inlineStr">
        <is>
          <t>lump sum</t>
        </is>
      </c>
      <c r="C7" s="11" t="n">
        <v>1</v>
      </c>
      <c r="D7" s="12" t="n">
        <v>1735350</v>
      </c>
    </row>
    <row r="8">
      <c r="A8" s="11" t="inlineStr">
        <is>
          <t>Machine Supply &amp; Installation</t>
        </is>
      </c>
      <c r="B8" s="11" t="inlineStr">
        <is>
          <t>lump sum</t>
        </is>
      </c>
      <c r="C8" s="11" t="n">
        <v>1</v>
      </c>
      <c r="D8" s="12" t="n">
        <v>6130000</v>
      </c>
    </row>
    <row r="9">
      <c r="A9" s="11" t="inlineStr">
        <is>
          <t>Electrical &amp; HV Systems</t>
        </is>
      </c>
      <c r="B9" s="11" t="inlineStr">
        <is>
          <t>lump sum</t>
        </is>
      </c>
      <c r="C9" s="11" t="n">
        <v>1</v>
      </c>
      <c r="D9" s="12" t="n">
        <v>1807300</v>
      </c>
    </row>
    <row r="10">
      <c r="A10" s="11" t="inlineStr">
        <is>
          <t>Industrial MEP Systems</t>
        </is>
      </c>
      <c r="B10" s="11" t="inlineStr">
        <is>
          <t>lump sum</t>
        </is>
      </c>
      <c r="C10" s="11" t="n">
        <v>1</v>
      </c>
      <c r="D10" s="12" t="n">
        <v>2056885</v>
      </c>
    </row>
    <row r="11">
      <c r="A11" s="11" t="inlineStr">
        <is>
          <t>Engineering, EPC &amp; Project Management</t>
        </is>
      </c>
      <c r="B11" s="11" t="inlineStr">
        <is>
          <t>lump sum</t>
        </is>
      </c>
      <c r="C11" s="11" t="n">
        <v>1</v>
      </c>
      <c r="D11" s="12" t="n">
        <v>850000</v>
      </c>
    </row>
    <row r="12">
      <c r="A12" s="11" t="inlineStr">
        <is>
          <t>Owner's Costs &amp; Permits</t>
        </is>
      </c>
      <c r="B12" s="11" t="inlineStr">
        <is>
          <t>lump sum</t>
        </is>
      </c>
      <c r="C12" s="11" t="n">
        <v>1</v>
      </c>
      <c r="D12" s="12" t="n">
        <v>350000</v>
      </c>
    </row>
    <row r="13">
      <c r="A13" s="18" t="inlineStr">
        <is>
          <t>Direct BoQ CAPEX</t>
        </is>
      </c>
      <c r="D13" s="19">
        <f>SUM(D4:D12)</f>
        <v/>
      </c>
    </row>
  </sheetData>
  <mergeCells count="1">
    <mergeCell ref="A1:E1"/>
  </mergeCells>
  <pageMargins left="0.3" right="0.3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Debt Schedule - Quarterly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/>
    <row r="3">
      <c r="A3" s="10" t="inlineStr">
        <is>
          <t>Quarter</t>
        </is>
      </c>
      <c r="B3" s="10" t="inlineStr">
        <is>
          <t>Spend_Uses</t>
        </is>
      </c>
      <c r="C3" s="10" t="inlineStr">
        <is>
          <t>Debt_Draw</t>
        </is>
      </c>
      <c r="D3" s="10" t="inlineStr">
        <is>
          <t>Arranger_Fee_Funded</t>
        </is>
      </c>
      <c r="E3" s="10" t="inlineStr">
        <is>
          <t>Undrawn_Base_Debt</t>
        </is>
      </c>
      <c r="F3" s="10" t="inlineStr">
        <is>
          <t>Opening_Debt</t>
        </is>
      </c>
      <c r="G3" s="10" t="inlineStr">
        <is>
          <t>Interest</t>
        </is>
      </c>
      <c r="H3" s="10" t="inlineStr">
        <is>
          <t>Commitment_Fee</t>
        </is>
      </c>
      <c r="I3" s="10" t="inlineStr">
        <is>
          <t>IDC</t>
        </is>
      </c>
      <c r="J3" s="10" t="inlineStr">
        <is>
          <t>Closing_Debt</t>
        </is>
      </c>
    </row>
    <row r="4">
      <c r="A4" s="11" t="n">
        <v>1</v>
      </c>
      <c r="B4" s="12" t="n">
        <v>1614913.229427848</v>
      </c>
      <c r="C4" s="12" t="n">
        <v>968947.9376567088</v>
      </c>
      <c r="D4" s="12" t="n">
        <v>183284.5347700616</v>
      </c>
      <c r="E4" s="12" t="n">
        <v>12218968.98467077</v>
      </c>
      <c r="F4" s="12" t="n">
        <v>0</v>
      </c>
      <c r="G4" s="12" t="n">
        <v>10851.07568347426</v>
      </c>
      <c r="H4" s="12" t="n">
        <v>22910.56684625769</v>
      </c>
      <c r="I4" s="12" t="n">
        <v>33761.64252973195</v>
      </c>
      <c r="J4" s="12" t="n">
        <v>1185994.114956502</v>
      </c>
    </row>
    <row r="5">
      <c r="A5" s="11" t="n">
        <v>2</v>
      </c>
      <c r="B5" s="12" t="n">
        <v>3368969.43304627</v>
      </c>
      <c r="C5" s="12" t="n">
        <v>2021381.659827762</v>
      </c>
      <c r="D5" s="12" t="n">
        <v>0</v>
      </c>
      <c r="E5" s="12" t="n">
        <v>11250021.04701406</v>
      </c>
      <c r="F5" s="12" t="n">
        <v>1185994.114956502</v>
      </c>
      <c r="G5" s="12" t="n">
        <v>35696.13035414372</v>
      </c>
      <c r="H5" s="12" t="n">
        <v>21093.78946315137</v>
      </c>
      <c r="I5" s="12" t="n">
        <v>56789.91981729509</v>
      </c>
      <c r="J5" s="12" t="n">
        <v>3264165.694601559</v>
      </c>
    </row>
    <row r="6">
      <c r="A6" s="11" t="n">
        <v>3</v>
      </c>
      <c r="B6" s="12" t="n">
        <v>5198591.491418191</v>
      </c>
      <c r="C6" s="12" t="n">
        <v>3119154.894850915</v>
      </c>
      <c r="D6" s="12" t="n">
        <v>0</v>
      </c>
      <c r="E6" s="12" t="n">
        <v>9228639.3871863</v>
      </c>
      <c r="F6" s="12" t="n">
        <v>3264165.694601559</v>
      </c>
      <c r="G6" s="12" t="n">
        <v>78385.82605793902</v>
      </c>
      <c r="H6" s="12" t="n">
        <v>17303.69885097431</v>
      </c>
      <c r="I6" s="12" t="n">
        <v>95689.52490891333</v>
      </c>
      <c r="J6" s="12" t="n">
        <v>6479010.114361387</v>
      </c>
    </row>
    <row r="7">
      <c r="A7" s="11" t="n">
        <v>4</v>
      </c>
      <c r="B7" s="12" t="n">
        <v>5198591.491418191</v>
      </c>
      <c r="C7" s="12" t="n">
        <v>3119154.894850915</v>
      </c>
      <c r="D7" s="12" t="n">
        <v>0</v>
      </c>
      <c r="E7" s="12" t="n">
        <v>6109484.492335387</v>
      </c>
      <c r="F7" s="12" t="n">
        <v>6479010.114361387</v>
      </c>
      <c r="G7" s="12" t="n">
        <v>130627.0478790362</v>
      </c>
      <c r="H7" s="12" t="n">
        <v>11455.28342312885</v>
      </c>
      <c r="I7" s="12" t="n">
        <v>142082.3313021651</v>
      </c>
      <c r="J7" s="12" t="n">
        <v>9740247.340514468</v>
      </c>
    </row>
    <row r="8">
      <c r="A8" s="11" t="n">
        <v>5</v>
      </c>
      <c r="B8" s="12" t="n">
        <v>3368969.433046269</v>
      </c>
      <c r="C8" s="12" t="n">
        <v>2021381.659827761</v>
      </c>
      <c r="D8" s="12" t="n">
        <v>0</v>
      </c>
      <c r="E8" s="12" t="n">
        <v>2990329.597484471</v>
      </c>
      <c r="F8" s="12" t="n">
        <v>9740247.340514468</v>
      </c>
      <c r="G8" s="12" t="n">
        <v>174702.7452694607</v>
      </c>
      <c r="H8" s="12" t="n">
        <v>5606.867995283384</v>
      </c>
      <c r="I8" s="12" t="n">
        <v>180309.6132647441</v>
      </c>
      <c r="J8" s="12" t="n">
        <v>11941938.61360697</v>
      </c>
    </row>
    <row r="9">
      <c r="A9" s="11" t="n">
        <v>6</v>
      </c>
      <c r="B9" s="12" t="n">
        <v>1614913.229427853</v>
      </c>
      <c r="C9" s="12" t="n">
        <v>968947.9376567118</v>
      </c>
      <c r="D9" s="12" t="n">
        <v>0</v>
      </c>
      <c r="E9" s="12" t="n">
        <v>968947.9376567099</v>
      </c>
      <c r="F9" s="12" t="n">
        <v>11941938.61360697</v>
      </c>
      <c r="G9" s="12" t="n">
        <v>201929.2044645741</v>
      </c>
      <c r="H9" s="12" t="n">
        <v>1816.777383106331</v>
      </c>
      <c r="I9" s="12" t="n">
        <v>203745.9818476804</v>
      </c>
      <c r="J9" s="12" t="n">
        <v>13114632.53311137</v>
      </c>
    </row>
  </sheetData>
  <mergeCells count="1">
    <mergeCell ref="A1:J1"/>
  </mergeCells>
  <pageMargins left="0.3" right="0.3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>
      <c r="A1" s="1" t="inlineStr">
        <is>
          <t>Debt Schedule - Annual</t>
        </is>
      </c>
      <c r="B1" s="2" t="n"/>
      <c r="C1" s="2" t="n"/>
      <c r="D1" s="2" t="n"/>
      <c r="E1" s="2" t="n"/>
      <c r="F1" s="2" t="n"/>
      <c r="G1" s="3" t="n"/>
    </row>
    <row r="2"/>
    <row r="3">
      <c r="A3" s="10" t="inlineStr">
        <is>
          <t>Year</t>
        </is>
      </c>
      <c r="B3" s="10" t="inlineStr">
        <is>
          <t>Opening_Debt</t>
        </is>
      </c>
      <c r="C3" s="10" t="inlineStr">
        <is>
          <t>Interest</t>
        </is>
      </c>
      <c r="D3" s="10" t="inlineStr">
        <is>
          <t>Principal</t>
        </is>
      </c>
      <c r="E3" s="10" t="inlineStr">
        <is>
          <t>Debt_Service</t>
        </is>
      </c>
      <c r="F3" s="10" t="inlineStr">
        <is>
          <t>Closing_Debt</t>
        </is>
      </c>
    </row>
    <row r="4">
      <c r="A4" s="11" t="n">
        <v>1</v>
      </c>
      <c r="B4" s="12" t="n">
        <v>13114632.53311137</v>
      </c>
      <c r="C4" s="12" t="n">
        <v>852451.1146522388</v>
      </c>
      <c r="D4" s="12" t="n">
        <v>0</v>
      </c>
      <c r="E4" s="12" t="n">
        <v>852451.1146522388</v>
      </c>
      <c r="F4" s="12" t="n">
        <v>13114632.53311137</v>
      </c>
    </row>
    <row r="5">
      <c r="A5" s="11" t="n">
        <v>2</v>
      </c>
      <c r="B5" s="12" t="n">
        <v>13114632.53311137</v>
      </c>
      <c r="C5" s="12" t="n">
        <v>852451.1146522388</v>
      </c>
      <c r="D5" s="12" t="n">
        <v>1873518.933301624</v>
      </c>
      <c r="E5" s="12" t="n">
        <v>2725970.047953863</v>
      </c>
      <c r="F5" s="12" t="n">
        <v>11241113.59980974</v>
      </c>
    </row>
    <row r="6">
      <c r="A6" s="11" t="n">
        <v>3</v>
      </c>
      <c r="B6" s="12" t="n">
        <v>11241113.59980974</v>
      </c>
      <c r="C6" s="12" t="n">
        <v>730672.3839876333</v>
      </c>
      <c r="D6" s="12" t="n">
        <v>1873518.933301624</v>
      </c>
      <c r="E6" s="12" t="n">
        <v>2604191.317289257</v>
      </c>
      <c r="F6" s="12" t="n">
        <v>9367594.666508118</v>
      </c>
    </row>
    <row r="7">
      <c r="A7" s="11" t="n">
        <v>4</v>
      </c>
      <c r="B7" s="12" t="n">
        <v>9367594.666508118</v>
      </c>
      <c r="C7" s="12" t="n">
        <v>608893.6533230277</v>
      </c>
      <c r="D7" s="12" t="n">
        <v>1873518.933301624</v>
      </c>
      <c r="E7" s="12" t="n">
        <v>2482412.586624651</v>
      </c>
      <c r="F7" s="12" t="n">
        <v>7494075.733206494</v>
      </c>
    </row>
    <row r="8">
      <c r="A8" s="11" t="n">
        <v>5</v>
      </c>
      <c r="B8" s="12" t="n">
        <v>7494075.733206494</v>
      </c>
      <c r="C8" s="12" t="n">
        <v>487114.9226584221</v>
      </c>
      <c r="D8" s="12" t="n">
        <v>1873518.933301624</v>
      </c>
      <c r="E8" s="12" t="n">
        <v>2360633.855960046</v>
      </c>
      <c r="F8" s="12" t="n">
        <v>5620556.79990487</v>
      </c>
    </row>
    <row r="9">
      <c r="A9" s="11" t="n">
        <v>6</v>
      </c>
      <c r="B9" s="12" t="n">
        <v>5620556.79990487</v>
      </c>
      <c r="C9" s="12" t="n">
        <v>365336.1919938166</v>
      </c>
      <c r="D9" s="12" t="n">
        <v>1873518.933301624</v>
      </c>
      <c r="E9" s="12" t="n">
        <v>2238855.12529544</v>
      </c>
      <c r="F9" s="12" t="n">
        <v>3747037.866603246</v>
      </c>
    </row>
    <row r="10">
      <c r="A10" s="11" t="n">
        <v>7</v>
      </c>
      <c r="B10" s="12" t="n">
        <v>3747037.866603246</v>
      </c>
      <c r="C10" s="12" t="n">
        <v>243557.461329211</v>
      </c>
      <c r="D10" s="12" t="n">
        <v>1873518.933301624</v>
      </c>
      <c r="E10" s="12" t="n">
        <v>2117076.394630834</v>
      </c>
      <c r="F10" s="12" t="n">
        <v>1873518.933301622</v>
      </c>
    </row>
    <row r="11">
      <c r="A11" s="11" t="n">
        <v>8</v>
      </c>
      <c r="B11" s="12" t="n">
        <v>1873518.933301622</v>
      </c>
      <c r="C11" s="12" t="n">
        <v>121778.7306646054</v>
      </c>
      <c r="D11" s="12" t="n">
        <v>1873518.933301622</v>
      </c>
      <c r="E11" s="12" t="n">
        <v>1995297.663966228</v>
      </c>
      <c r="F11" s="12" t="n">
        <v>0</v>
      </c>
    </row>
    <row r="12">
      <c r="A12" s="11" t="n">
        <v>9</v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</row>
    <row r="13">
      <c r="A13" s="11" t="n">
        <v>10</v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</row>
    <row r="14">
      <c r="A14" s="11" t="n">
        <v>11</v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</row>
    <row r="15">
      <c r="A15" s="11" t="n">
        <v>12</v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</row>
  </sheetData>
  <mergeCells count="1">
    <mergeCell ref="A1:G1"/>
  </mergeCells>
  <pageMargins left="0.3" right="0.3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0" customWidth="1" min="18" max="18"/>
  </cols>
  <sheetData>
    <row r="1">
      <c r="A1" s="1" t="inlineStr">
        <is>
          <t>P&amp;L / Cash Flow / CFADS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</row>
    <row r="2"/>
    <row r="3">
      <c r="A3" s="10" t="inlineStr">
        <is>
          <t>Year</t>
        </is>
      </c>
      <c r="B3" s="10" t="inlineStr">
        <is>
          <t>Revenue</t>
        </is>
      </c>
      <c r="C3" s="10" t="inlineStr">
        <is>
          <t>COGS</t>
        </is>
      </c>
      <c r="D3" s="10" t="inlineStr">
        <is>
          <t>OPEX</t>
        </is>
      </c>
      <c r="E3" s="10" t="inlineStr">
        <is>
          <t>EBITDA</t>
        </is>
      </c>
      <c r="F3" s="10" t="inlineStr">
        <is>
          <t>Depreciation</t>
        </is>
      </c>
      <c r="G3" s="10" t="inlineStr">
        <is>
          <t>EBIT</t>
        </is>
      </c>
      <c r="H3" s="10" t="inlineStr">
        <is>
          <t>Interest</t>
        </is>
      </c>
      <c r="I3" s="10" t="inlineStr">
        <is>
          <t>Principal</t>
        </is>
      </c>
      <c r="J3" s="10" t="inlineStr">
        <is>
          <t>Debt_Service</t>
        </is>
      </c>
      <c r="K3" s="10" t="inlineStr">
        <is>
          <t>PBT</t>
        </is>
      </c>
      <c r="L3" s="10" t="inlineStr">
        <is>
          <t>Tax</t>
        </is>
      </c>
      <c r="M3" s="10" t="inlineStr">
        <is>
          <t>Net_Income</t>
        </is>
      </c>
      <c r="N3" s="10" t="inlineStr">
        <is>
          <t>Working_Capital</t>
        </is>
      </c>
      <c r="O3" s="10" t="inlineStr">
        <is>
          <t>Delta_WC</t>
        </is>
      </c>
      <c r="P3" s="10" t="inlineStr">
        <is>
          <t>CFADS</t>
        </is>
      </c>
      <c r="Q3" s="10" t="inlineStr">
        <is>
          <t>DSCR</t>
        </is>
      </c>
    </row>
    <row r="4">
      <c r="A4" s="20" t="n">
        <v>1</v>
      </c>
      <c r="B4" s="12" t="n">
        <v>8000000</v>
      </c>
      <c r="C4" s="12" t="n">
        <v>5279999.999999999</v>
      </c>
      <c r="D4" s="12" t="n">
        <v>580559.7932311385</v>
      </c>
      <c r="E4" s="12" t="n">
        <v>2139440.206768862</v>
      </c>
      <c r="F4" s="12" t="n">
        <v>1277663.220518975</v>
      </c>
      <c r="G4" s="12" t="n">
        <v>861776.9862498876</v>
      </c>
      <c r="H4" s="12" t="n">
        <v>852451.1146522388</v>
      </c>
      <c r="I4" s="12" t="n">
        <v>0</v>
      </c>
      <c r="J4" s="12" t="n">
        <v>852451.1146522388</v>
      </c>
      <c r="K4" s="12" t="n">
        <v>9325.871597648831</v>
      </c>
      <c r="L4" s="12" t="n">
        <v>839.3284437883948</v>
      </c>
      <c r="M4" s="12" t="n">
        <v>8486.543153860437</v>
      </c>
      <c r="N4" s="12" t="n">
        <v>1735890.410958904</v>
      </c>
      <c r="O4" s="12" t="n">
        <v>1735890.410958904</v>
      </c>
      <c r="P4" s="12" t="n">
        <v>402710.4673661697</v>
      </c>
      <c r="Q4" s="13" t="n">
        <v>0.4724147349264212</v>
      </c>
    </row>
    <row r="5">
      <c r="A5" s="20" t="n">
        <v>2</v>
      </c>
      <c r="B5" s="12" t="n">
        <v>16000000</v>
      </c>
      <c r="C5" s="12" t="n">
        <v>10560000</v>
      </c>
      <c r="D5" s="12" t="n">
        <v>900559.7932311385</v>
      </c>
      <c r="E5" s="12" t="n">
        <v>4539440.206768863</v>
      </c>
      <c r="F5" s="12" t="n">
        <v>1277663.220518975</v>
      </c>
      <c r="G5" s="12" t="n">
        <v>3261776.986249888</v>
      </c>
      <c r="H5" s="12" t="n">
        <v>852451.1146522388</v>
      </c>
      <c r="I5" s="12" t="n">
        <v>1873518.933301624</v>
      </c>
      <c r="J5" s="12" t="n">
        <v>2725970.047953863</v>
      </c>
      <c r="K5" s="12" t="n">
        <v>2409325.87159765</v>
      </c>
      <c r="L5" s="12" t="n">
        <v>216839.3284437885</v>
      </c>
      <c r="M5" s="12" t="n">
        <v>2192486.543153861</v>
      </c>
      <c r="N5" s="12" t="n">
        <v>3471780.821917809</v>
      </c>
      <c r="O5" s="12" t="n">
        <v>1735890.410958904</v>
      </c>
      <c r="P5" s="12" t="n">
        <v>2586710.467366171</v>
      </c>
      <c r="Q5" s="13" t="n">
        <v>0.9489137524852037</v>
      </c>
    </row>
    <row r="6">
      <c r="A6" s="20" t="n">
        <v>3</v>
      </c>
      <c r="B6" s="12" t="n">
        <v>24000000</v>
      </c>
      <c r="C6" s="12" t="n">
        <v>15840000</v>
      </c>
      <c r="D6" s="12" t="n">
        <v>1220559.793231138</v>
      </c>
      <c r="E6" s="12" t="n">
        <v>6939440.206768863</v>
      </c>
      <c r="F6" s="12" t="n">
        <v>1277663.220518975</v>
      </c>
      <c r="G6" s="12" t="n">
        <v>5661776.986249888</v>
      </c>
      <c r="H6" s="12" t="n">
        <v>730672.3839876333</v>
      </c>
      <c r="I6" s="12" t="n">
        <v>1873518.933301624</v>
      </c>
      <c r="J6" s="12" t="n">
        <v>2604191.317289257</v>
      </c>
      <c r="K6" s="12" t="n">
        <v>4931104.602262255</v>
      </c>
      <c r="L6" s="12" t="n">
        <v>443799.4142036029</v>
      </c>
      <c r="M6" s="12" t="n">
        <v>4487305.188058652</v>
      </c>
      <c r="N6" s="12" t="n">
        <v>5207671.232876712</v>
      </c>
      <c r="O6" s="12" t="n">
        <v>1735890.410958904</v>
      </c>
      <c r="P6" s="12" t="n">
        <v>4759750.381606356</v>
      </c>
      <c r="Q6" s="13" t="n">
        <v>1.827726845568648</v>
      </c>
    </row>
    <row r="7">
      <c r="A7" s="20" t="n">
        <v>4</v>
      </c>
      <c r="B7" s="12" t="n">
        <v>26000000</v>
      </c>
      <c r="C7" s="12" t="n">
        <v>17160000</v>
      </c>
      <c r="D7" s="12" t="n">
        <v>1300559.793231138</v>
      </c>
      <c r="E7" s="12" t="n">
        <v>7539440.206768865</v>
      </c>
      <c r="F7" s="12" t="n">
        <v>1277663.220518975</v>
      </c>
      <c r="G7" s="12" t="n">
        <v>6261776.98624989</v>
      </c>
      <c r="H7" s="12" t="n">
        <v>608893.6533230277</v>
      </c>
      <c r="I7" s="12" t="n">
        <v>1873518.933301624</v>
      </c>
      <c r="J7" s="12" t="n">
        <v>2482412.586624651</v>
      </c>
      <c r="K7" s="12" t="n">
        <v>5652883.332926863</v>
      </c>
      <c r="L7" s="12" t="n">
        <v>508759.4999634176</v>
      </c>
      <c r="M7" s="12" t="n">
        <v>5144123.832963445</v>
      </c>
      <c r="N7" s="12" t="n">
        <v>5641643.835616439</v>
      </c>
      <c r="O7" s="12" t="n">
        <v>433972.6027397262</v>
      </c>
      <c r="P7" s="12" t="n">
        <v>6596708.104065721</v>
      </c>
      <c r="Q7" s="13" t="n">
        <v>2.65737780238832</v>
      </c>
    </row>
    <row r="8">
      <c r="A8" s="20" t="n">
        <v>5</v>
      </c>
      <c r="B8" s="12" t="n">
        <v>28000000</v>
      </c>
      <c r="C8" s="12" t="n">
        <v>18480000</v>
      </c>
      <c r="D8" s="12" t="n">
        <v>1380559.793231138</v>
      </c>
      <c r="E8" s="12" t="n">
        <v>8139440.206768865</v>
      </c>
      <c r="F8" s="12" t="n">
        <v>1277663.220518975</v>
      </c>
      <c r="G8" s="12" t="n">
        <v>6861776.98624989</v>
      </c>
      <c r="H8" s="12" t="n">
        <v>487114.9226584221</v>
      </c>
      <c r="I8" s="12" t="n">
        <v>1873518.933301624</v>
      </c>
      <c r="J8" s="12" t="n">
        <v>2360633.855960046</v>
      </c>
      <c r="K8" s="12" t="n">
        <v>6374662.063591468</v>
      </c>
      <c r="L8" s="12" t="n">
        <v>573719.5857232321</v>
      </c>
      <c r="M8" s="12" t="n">
        <v>5800942.477868236</v>
      </c>
      <c r="N8" s="12" t="n">
        <v>6075616.438356164</v>
      </c>
      <c r="O8" s="12" t="n">
        <v>433972.6027397253</v>
      </c>
      <c r="P8" s="12" t="n">
        <v>7131748.018305907</v>
      </c>
      <c r="Q8" s="13" t="n">
        <v>3.02111570597868</v>
      </c>
    </row>
    <row r="9">
      <c r="A9" s="20" t="n">
        <v>6</v>
      </c>
      <c r="B9" s="12" t="n">
        <v>28560000</v>
      </c>
      <c r="C9" s="12" t="n">
        <v>18849600</v>
      </c>
      <c r="D9" s="12" t="n">
        <v>1402959.793231138</v>
      </c>
      <c r="E9" s="12" t="n">
        <v>8307440.206768865</v>
      </c>
      <c r="F9" s="12" t="n">
        <v>1277663.220518975</v>
      </c>
      <c r="G9" s="12" t="n">
        <v>7029776.98624989</v>
      </c>
      <c r="H9" s="12" t="n">
        <v>365336.1919938166</v>
      </c>
      <c r="I9" s="12" t="n">
        <v>1873518.933301624</v>
      </c>
      <c r="J9" s="12" t="n">
        <v>2238855.12529544</v>
      </c>
      <c r="K9" s="12" t="n">
        <v>6664440.794256073</v>
      </c>
      <c r="L9" s="12" t="n">
        <v>599799.6714830466</v>
      </c>
      <c r="M9" s="12" t="n">
        <v>6064641.122773027</v>
      </c>
      <c r="N9" s="12" t="n">
        <v>6197128.767123288</v>
      </c>
      <c r="O9" s="12" t="n">
        <v>121512.3287671236</v>
      </c>
      <c r="P9" s="12" t="n">
        <v>7586128.206518695</v>
      </c>
      <c r="Q9" s="13" t="n">
        <v>3.38839620340223</v>
      </c>
    </row>
    <row r="10">
      <c r="A10" s="20" t="n">
        <v>7</v>
      </c>
      <c r="B10" s="12" t="n">
        <v>29131200</v>
      </c>
      <c r="C10" s="12" t="n">
        <v>19226592</v>
      </c>
      <c r="D10" s="12" t="n">
        <v>1425807.793231138</v>
      </c>
      <c r="E10" s="12" t="n">
        <v>8478800.206768865</v>
      </c>
      <c r="F10" s="12" t="n">
        <v>1277663.220518975</v>
      </c>
      <c r="G10" s="12" t="n">
        <v>7201136.98624989</v>
      </c>
      <c r="H10" s="12" t="n">
        <v>243557.461329211</v>
      </c>
      <c r="I10" s="12" t="n">
        <v>1873518.933301624</v>
      </c>
      <c r="J10" s="12" t="n">
        <v>2117076.394630834</v>
      </c>
      <c r="K10" s="12" t="n">
        <v>6957579.52492068</v>
      </c>
      <c r="L10" s="12" t="n">
        <v>626182.1572428611</v>
      </c>
      <c r="M10" s="12" t="n">
        <v>6331397.367677819</v>
      </c>
      <c r="N10" s="12" t="n">
        <v>6321071.342465753</v>
      </c>
      <c r="O10" s="12" t="n">
        <v>123942.5753424652</v>
      </c>
      <c r="P10" s="12" t="n">
        <v>7728675.474183539</v>
      </c>
      <c r="Q10" s="13" t="n">
        <v>3.650636081808105</v>
      </c>
    </row>
    <row r="11">
      <c r="A11" s="20" t="n">
        <v>8</v>
      </c>
      <c r="B11" s="12" t="n">
        <v>29713824</v>
      </c>
      <c r="C11" s="12" t="n">
        <v>19611123.84</v>
      </c>
      <c r="D11" s="12" t="n">
        <v>1449112.753231138</v>
      </c>
      <c r="E11" s="12" t="n">
        <v>8653587.406768866</v>
      </c>
      <c r="F11" s="12" t="n">
        <v>1277663.220518975</v>
      </c>
      <c r="G11" s="12" t="n">
        <v>7375924.186249891</v>
      </c>
      <c r="H11" s="12" t="n">
        <v>121778.7306646054</v>
      </c>
      <c r="I11" s="12" t="n">
        <v>1873518.933301622</v>
      </c>
      <c r="J11" s="12" t="n">
        <v>1995297.663966228</v>
      </c>
      <c r="K11" s="12" t="n">
        <v>7254145.455585286</v>
      </c>
      <c r="L11" s="12" t="n">
        <v>652873.0910026757</v>
      </c>
      <c r="M11" s="12" t="n">
        <v>6601272.36458261</v>
      </c>
      <c r="N11" s="12" t="n">
        <v>6447492.769315069</v>
      </c>
      <c r="O11" s="12" t="n">
        <v>126421.4268493159</v>
      </c>
      <c r="P11" s="12" t="n">
        <v>7874292.888916874</v>
      </c>
      <c r="Q11" s="13" t="n">
        <v>3.946425153059345</v>
      </c>
    </row>
    <row r="12">
      <c r="A12" s="20" t="n">
        <v>9</v>
      </c>
      <c r="B12" s="12" t="n">
        <v>30308100.48</v>
      </c>
      <c r="C12" s="12" t="n">
        <v>20003346.3168</v>
      </c>
      <c r="D12" s="12" t="n">
        <v>1472883.812431138</v>
      </c>
      <c r="E12" s="12" t="n">
        <v>8831870.350768864</v>
      </c>
      <c r="F12" s="12" t="n">
        <v>1277663.220518975</v>
      </c>
      <c r="G12" s="12" t="n">
        <v>7554207.13024989</v>
      </c>
      <c r="H12" s="12" t="n">
        <v>0</v>
      </c>
      <c r="I12" s="12" t="n">
        <v>0</v>
      </c>
      <c r="J12" s="12" t="n">
        <v>0</v>
      </c>
      <c r="K12" s="12" t="n">
        <v>7554207.13024989</v>
      </c>
      <c r="L12" s="12" t="n">
        <v>679878.6417224901</v>
      </c>
      <c r="M12" s="12" t="n">
        <v>6874328.488527399</v>
      </c>
      <c r="N12" s="12" t="n">
        <v>6576442.62470137</v>
      </c>
      <c r="O12" s="12" t="n">
        <v>128949.8553863009</v>
      </c>
      <c r="P12" s="12" t="n">
        <v>8023041.853660073</v>
      </c>
      <c r="Q12" s="13" t="n">
        <v/>
      </c>
    </row>
    <row r="13">
      <c r="A13" s="20" t="n">
        <v>10</v>
      </c>
      <c r="B13" s="12" t="n">
        <v>30914262.49</v>
      </c>
      <c r="C13" s="12" t="n">
        <v>20403413.2434</v>
      </c>
      <c r="D13" s="12" t="n">
        <v>1497130.292831138</v>
      </c>
      <c r="E13" s="12" t="n">
        <v>9013718.953768864</v>
      </c>
      <c r="F13" s="12" t="n">
        <v>1277663.220518975</v>
      </c>
      <c r="G13" s="12" t="n">
        <v>7736055.73324989</v>
      </c>
      <c r="H13" s="12" t="n">
        <v>0</v>
      </c>
      <c r="I13" s="12" t="n">
        <v>0</v>
      </c>
      <c r="J13" s="12" t="n">
        <v>0</v>
      </c>
      <c r="K13" s="12" t="n">
        <v>7736055.73324989</v>
      </c>
      <c r="L13" s="12" t="n">
        <v>696245.01599249</v>
      </c>
      <c r="M13" s="12" t="n">
        <v>7039810.7172574</v>
      </c>
      <c r="N13" s="12" t="n">
        <v>6707971.477282191</v>
      </c>
      <c r="O13" s="12" t="n">
        <v>131528.8525808211</v>
      </c>
      <c r="P13" s="12" t="n">
        <v>8185945.085195553</v>
      </c>
      <c r="Q13" s="13" t="n">
        <v/>
      </c>
    </row>
    <row r="14">
      <c r="A14" s="20" t="n">
        <v>11</v>
      </c>
      <c r="B14" s="12" t="n">
        <v>31532547.74</v>
      </c>
      <c r="C14" s="12" t="n">
        <v>20811481.5084</v>
      </c>
      <c r="D14" s="12" t="n">
        <v>1521861.702831138</v>
      </c>
      <c r="E14" s="12" t="n">
        <v>9199204.528768864</v>
      </c>
      <c r="F14" s="12" t="n">
        <v>1277663.220518975</v>
      </c>
      <c r="G14" s="12" t="n">
        <v>7921541.308249889</v>
      </c>
      <c r="H14" s="12" t="n">
        <v>0</v>
      </c>
      <c r="I14" s="12" t="n">
        <v>0</v>
      </c>
      <c r="J14" s="12" t="n">
        <v>0</v>
      </c>
      <c r="K14" s="12" t="n">
        <v>7921541.308249889</v>
      </c>
      <c r="L14" s="12" t="n">
        <v>712938.71774249</v>
      </c>
      <c r="M14" s="12" t="n">
        <v>7208602.590507399</v>
      </c>
      <c r="N14" s="12" t="n">
        <v>6842130.906871232</v>
      </c>
      <c r="O14" s="12" t="n">
        <v>134159.4295890415</v>
      </c>
      <c r="P14" s="12" t="n">
        <v>8352106.381437332</v>
      </c>
      <c r="Q14" s="13" t="n">
        <v/>
      </c>
    </row>
    <row r="15">
      <c r="A15" s="20" t="n">
        <v>12</v>
      </c>
      <c r="B15" s="12" t="n">
        <v>32163198.69</v>
      </c>
      <c r="C15" s="12" t="n">
        <v>21227711.1354</v>
      </c>
      <c r="D15" s="12" t="n">
        <v>1547087.740831139</v>
      </c>
      <c r="E15" s="12" t="n">
        <v>9388399.813768866</v>
      </c>
      <c r="F15" s="12" t="n">
        <v>1277663.220518975</v>
      </c>
      <c r="G15" s="12" t="n">
        <v>8110736.593249891</v>
      </c>
      <c r="H15" s="12" t="n">
        <v>0</v>
      </c>
      <c r="I15" s="12" t="n">
        <v>0</v>
      </c>
      <c r="J15" s="12" t="n">
        <v>0</v>
      </c>
      <c r="K15" s="12" t="n">
        <v>8110736.593249891</v>
      </c>
      <c r="L15" s="12" t="n">
        <v>729966.2933924901</v>
      </c>
      <c r="M15" s="12" t="n">
        <v>7380770.2998574</v>
      </c>
      <c r="N15" s="12" t="n">
        <v>6978973.523967125</v>
      </c>
      <c r="O15" s="12" t="n">
        <v>136842.6170958923</v>
      </c>
      <c r="P15" s="12" t="n">
        <v>8521590.903280482</v>
      </c>
      <c r="Q15" s="13" t="n">
        <v/>
      </c>
    </row>
  </sheetData>
  <mergeCells count="1">
    <mergeCell ref="A1:R1"/>
  </mergeCells>
  <pageMargins left="0.3" right="0.3" top="0.4" bottom="0.4" header="0.2" footer="0.2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1" customWidth="1" min="5" max="5"/>
    <col width="22" customWidth="1" min="6" max="6"/>
    <col width="10" customWidth="1" min="7" max="7"/>
    <col width="10" customWidth="1" min="8" max="8"/>
  </cols>
  <sheetData>
    <row r="1">
      <c r="A1" s="1" t="inlineStr">
        <is>
          <t>Covenant Package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10" t="inlineStr">
        <is>
          <t>Year</t>
        </is>
      </c>
      <c r="B3" s="10" t="inlineStr">
        <is>
          <t>CFADS</t>
        </is>
      </c>
      <c r="C3" s="10" t="inlineStr">
        <is>
          <t>Debt Service</t>
        </is>
      </c>
      <c r="D3" s="10" t="inlineStr">
        <is>
          <t>Actual DSCR</t>
        </is>
      </c>
      <c r="E3" s="10" t="inlineStr">
        <is>
          <t>Threshold</t>
        </is>
      </c>
      <c r="F3" s="10" t="inlineStr">
        <is>
          <t>Headroom</t>
        </is>
      </c>
      <c r="G3" s="10" t="inlineStr">
        <is>
          <t>Status</t>
        </is>
      </c>
      <c r="H3" s="10" t="inlineStr">
        <is>
          <t>Flag</t>
        </is>
      </c>
    </row>
    <row r="4">
      <c r="A4" s="11" t="n">
        <v>1</v>
      </c>
      <c r="B4" s="12" t="n">
        <v>402710.4673661697</v>
      </c>
      <c r="C4" s="12" t="n">
        <v>852451.1146522388</v>
      </c>
      <c r="D4" s="13" t="n">
        <v>0.4724147349264212</v>
      </c>
      <c r="E4" s="13" t="n">
        <v>1.2</v>
      </c>
      <c r="F4" s="13" t="n">
        <v>-0.7275852650735788</v>
      </c>
      <c r="G4" s="11" t="inlineStr">
        <is>
          <t>FAIL</t>
        </is>
      </c>
      <c r="H4" s="11" t="inlineStr">
        <is>
          <t>Review</t>
        </is>
      </c>
    </row>
    <row r="5">
      <c r="A5" s="11" t="n">
        <v>2</v>
      </c>
      <c r="B5" s="12" t="n">
        <v>2586710.467366171</v>
      </c>
      <c r="C5" s="12" t="n">
        <v>2725970.047953863</v>
      </c>
      <c r="D5" s="13" t="n">
        <v>0.9489137524852037</v>
      </c>
      <c r="E5" s="13" t="n">
        <v>1.2</v>
      </c>
      <c r="F5" s="13" t="n">
        <v>-0.2510862475147962</v>
      </c>
      <c r="G5" s="11" t="inlineStr">
        <is>
          <t>FAIL</t>
        </is>
      </c>
      <c r="H5" s="11" t="inlineStr">
        <is>
          <t>Review</t>
        </is>
      </c>
    </row>
    <row r="6">
      <c r="A6" s="11" t="n">
        <v>3</v>
      </c>
      <c r="B6" s="12" t="n">
        <v>4759750.381606356</v>
      </c>
      <c r="C6" s="12" t="n">
        <v>2604191.317289257</v>
      </c>
      <c r="D6" s="13" t="n">
        <v>1.827726845568648</v>
      </c>
      <c r="E6" s="13" t="n">
        <v>1.2</v>
      </c>
      <c r="F6" s="13" t="n">
        <v>0.6277268455686482</v>
      </c>
      <c r="G6" s="11" t="inlineStr">
        <is>
          <t>PASS</t>
        </is>
      </c>
      <c r="H6" s="11" t="inlineStr"/>
    </row>
    <row r="7">
      <c r="A7" s="11" t="n">
        <v>4</v>
      </c>
      <c r="B7" s="12" t="n">
        <v>6596708.104065721</v>
      </c>
      <c r="C7" s="12" t="n">
        <v>2482412.586624651</v>
      </c>
      <c r="D7" s="13" t="n">
        <v>2.65737780238832</v>
      </c>
      <c r="E7" s="13" t="n">
        <v>1.2</v>
      </c>
      <c r="F7" s="13" t="n">
        <v>1.45737780238832</v>
      </c>
      <c r="G7" s="11" t="inlineStr">
        <is>
          <t>PASS</t>
        </is>
      </c>
      <c r="H7" s="11" t="inlineStr"/>
    </row>
    <row r="8">
      <c r="A8" s="11" t="n">
        <v>5</v>
      </c>
      <c r="B8" s="12" t="n">
        <v>7131748.018305907</v>
      </c>
      <c r="C8" s="12" t="n">
        <v>2360633.855960046</v>
      </c>
      <c r="D8" s="13" t="n">
        <v>3.02111570597868</v>
      </c>
      <c r="E8" s="13" t="n">
        <v>1.2</v>
      </c>
      <c r="F8" s="13" t="n">
        <v>1.82111570597868</v>
      </c>
      <c r="G8" s="11" t="inlineStr">
        <is>
          <t>PASS</t>
        </is>
      </c>
      <c r="H8" s="11" t="inlineStr"/>
    </row>
    <row r="9">
      <c r="A9" s="11" t="n">
        <v>6</v>
      </c>
      <c r="B9" s="12" t="n">
        <v>7586128.206518695</v>
      </c>
      <c r="C9" s="12" t="n">
        <v>2238855.12529544</v>
      </c>
      <c r="D9" s="13" t="n">
        <v>3.38839620340223</v>
      </c>
      <c r="E9" s="13" t="n">
        <v>1.2</v>
      </c>
      <c r="F9" s="13" t="n">
        <v>2.18839620340223</v>
      </c>
      <c r="G9" s="11" t="inlineStr">
        <is>
          <t>PASS</t>
        </is>
      </c>
      <c r="H9" s="11" t="inlineStr"/>
    </row>
    <row r="10">
      <c r="A10" s="11" t="n">
        <v>7</v>
      </c>
      <c r="B10" s="12" t="n">
        <v>7728675.474183539</v>
      </c>
      <c r="C10" s="12" t="n">
        <v>2117076.394630834</v>
      </c>
      <c r="D10" s="13" t="n">
        <v>3.650636081808105</v>
      </c>
      <c r="E10" s="13" t="n">
        <v>1.2</v>
      </c>
      <c r="F10" s="13" t="n">
        <v>2.450636081808105</v>
      </c>
      <c r="G10" s="11" t="inlineStr">
        <is>
          <t>PASS</t>
        </is>
      </c>
      <c r="H10" s="11" t="inlineStr"/>
    </row>
    <row r="11">
      <c r="A11" s="11" t="n">
        <v>8</v>
      </c>
      <c r="B11" s="12" t="n">
        <v>7874292.888916874</v>
      </c>
      <c r="C11" s="12" t="n">
        <v>1995297.663966228</v>
      </c>
      <c r="D11" s="13" t="n">
        <v>3.946425153059345</v>
      </c>
      <c r="E11" s="13" t="n">
        <v>1.2</v>
      </c>
      <c r="F11" s="13" t="n">
        <v>2.746425153059345</v>
      </c>
      <c r="G11" s="11" t="inlineStr">
        <is>
          <t>PASS</t>
        </is>
      </c>
      <c r="H11" s="11" t="inlineStr"/>
    </row>
    <row r="12">
      <c r="A12" s="11" t="n">
        <v>9</v>
      </c>
      <c r="B12" s="12" t="n">
        <v>8023041.853660073</v>
      </c>
      <c r="C12" s="12" t="n">
        <v>0</v>
      </c>
      <c r="D12" s="13" t="n">
        <v/>
      </c>
      <c r="E12" s="13" t="n">
        <v>1.2</v>
      </c>
      <c r="F12" s="13" t="n">
        <v/>
      </c>
      <c r="G12" s="11" t="inlineStr">
        <is>
          <t>N/A</t>
        </is>
      </c>
      <c r="H12" s="11" t="inlineStr"/>
    </row>
    <row r="13">
      <c r="A13" s="11" t="n">
        <v>10</v>
      </c>
      <c r="B13" s="12" t="n">
        <v>8185945.085195553</v>
      </c>
      <c r="C13" s="12" t="n">
        <v>0</v>
      </c>
      <c r="D13" s="13" t="n">
        <v/>
      </c>
      <c r="E13" s="13" t="n">
        <v>1.2</v>
      </c>
      <c r="F13" s="13" t="n">
        <v/>
      </c>
      <c r="G13" s="11" t="inlineStr">
        <is>
          <t>N/A</t>
        </is>
      </c>
      <c r="H13" s="11" t="inlineStr"/>
    </row>
    <row r="14">
      <c r="A14" s="11" t="n">
        <v>11</v>
      </c>
      <c r="B14" s="12" t="n">
        <v>8352106.381437332</v>
      </c>
      <c r="C14" s="12" t="n">
        <v>0</v>
      </c>
      <c r="D14" s="13" t="n">
        <v/>
      </c>
      <c r="E14" s="13" t="n">
        <v>1.2</v>
      </c>
      <c r="F14" s="13" t="n">
        <v/>
      </c>
      <c r="G14" s="11" t="inlineStr">
        <is>
          <t>N/A</t>
        </is>
      </c>
      <c r="H14" s="11" t="inlineStr"/>
    </row>
    <row r="15">
      <c r="A15" s="11" t="n">
        <v>12</v>
      </c>
      <c r="B15" s="12" t="n">
        <v>8521590.903280482</v>
      </c>
      <c r="C15" s="12" t="n">
        <v>0</v>
      </c>
      <c r="D15" s="13" t="n">
        <v/>
      </c>
      <c r="E15" s="13" t="n">
        <v>1.2</v>
      </c>
      <c r="F15" s="13" t="n">
        <v/>
      </c>
      <c r="G15" s="11" t="inlineStr">
        <is>
          <t>N/A</t>
        </is>
      </c>
      <c r="H15" s="11" t="inlineStr"/>
    </row>
  </sheetData>
  <mergeCells count="1">
    <mergeCell ref="A1:H1"/>
  </mergeCells>
  <conditionalFormatting sqref="G4:G15">
    <cfRule type="cellIs" priority="1" operator="equal" dxfId="0">
      <formula>"FAIL"</formula>
    </cfRule>
  </conditionalFormatting>
  <pageMargins left="0.3" right="0.3" top="0.4" bottom="0.4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1" customWidth="1" min="2" max="2"/>
    <col width="10" customWidth="1" min="3" max="3"/>
    <col width="10" customWidth="1" min="4" max="4"/>
  </cols>
  <sheetData>
    <row r="1">
      <c r="A1" s="1" t="inlineStr">
        <is>
          <t>Sensitivity Analysis</t>
        </is>
      </c>
      <c r="B1" s="2" t="n"/>
      <c r="C1" s="2" t="n"/>
      <c r="D1" s="3" t="n"/>
    </row>
    <row r="2"/>
    <row r="3">
      <c r="A3" s="10" t="inlineStr">
        <is>
          <t>Scenario</t>
        </is>
      </c>
      <c r="B3" s="10" t="inlineStr">
        <is>
          <t>Total_Project_CAPEX</t>
        </is>
      </c>
    </row>
    <row r="4">
      <c r="A4" s="11" t="inlineStr">
        <is>
          <t>Base</t>
        </is>
      </c>
      <c r="B4" s="12" t="n">
        <v>19164948.30778462</v>
      </c>
    </row>
    <row r="5">
      <c r="A5" s="11" t="inlineStr">
        <is>
          <t>Machine +15%</t>
        </is>
      </c>
      <c r="B5" s="12" t="n">
        <v>20084448.30778462</v>
      </c>
    </row>
    <row r="6">
      <c r="A6" s="11" t="inlineStr">
        <is>
          <t>Steel +12%</t>
        </is>
      </c>
      <c r="B6" s="12" t="n">
        <v>19397508.30778462</v>
      </c>
    </row>
    <row r="7">
      <c r="A7" s="11" t="inlineStr">
        <is>
          <t>MEP +18%</t>
        </is>
      </c>
      <c r="B7" s="12" t="n">
        <v>19535187.60778462</v>
      </c>
    </row>
    <row r="8">
      <c r="A8" s="11" t="inlineStr">
        <is>
          <t>Worst Case</t>
        </is>
      </c>
      <c r="B8" s="12" t="n">
        <v>39852195.91556925</v>
      </c>
    </row>
  </sheetData>
  <mergeCells count="1">
    <mergeCell ref="A1:D1"/>
  </mergeCells>
  <pageMargins left="0.3" right="0.3" top="0.4" bottom="0.4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9" customWidth="1" min="2" max="2"/>
    <col width="14" customWidth="1" min="3" max="3"/>
    <col width="33" customWidth="1" min="4" max="4"/>
    <col width="15" customWidth="1" min="5" max="5"/>
    <col width="10" customWidth="1" min="6" max="6"/>
  </cols>
  <sheetData>
    <row r="1">
      <c r="A1" s="1" t="inlineStr">
        <is>
          <t>Risk Register</t>
        </is>
      </c>
      <c r="B1" s="2" t="n"/>
      <c r="C1" s="2" t="n"/>
      <c r="D1" s="2" t="n"/>
      <c r="E1" s="2" t="n"/>
      <c r="F1" s="3" t="n"/>
    </row>
    <row r="2"/>
    <row r="3">
      <c r="A3" s="10" t="inlineStr">
        <is>
          <t>Risk</t>
        </is>
      </c>
      <c r="B3" s="10" t="inlineStr">
        <is>
          <t>Probability (1-5)</t>
        </is>
      </c>
      <c r="C3" s="10" t="inlineStr">
        <is>
          <t>Impact (1-5)</t>
        </is>
      </c>
      <c r="D3" s="10" t="inlineStr">
        <is>
          <t>Mitigation</t>
        </is>
      </c>
      <c r="E3" s="10" t="inlineStr">
        <is>
          <t>Residual Risk</t>
        </is>
      </c>
    </row>
    <row r="4">
      <c r="A4" s="11" t="inlineStr">
        <is>
          <t>Steel Price Volatility</t>
        </is>
      </c>
      <c r="B4" s="11" t="n">
        <v>4</v>
      </c>
      <c r="C4" s="11" t="n">
        <v>5</v>
      </c>
      <c r="D4" s="11" t="inlineStr">
        <is>
          <t>Forward contracts + contingency</t>
        </is>
      </c>
      <c r="E4" s="11" t="inlineStr">
        <is>
          <t>Medium</t>
        </is>
      </c>
    </row>
    <row r="5">
      <c r="A5" s="11" t="inlineStr">
        <is>
          <t>Machine Cost Overrun</t>
        </is>
      </c>
      <c r="B5" s="11" t="n">
        <v>3</v>
      </c>
      <c r="C5" s="11" t="n">
        <v>4</v>
      </c>
      <c r="D5" s="11" t="inlineStr">
        <is>
          <t>Firm supplier quotes</t>
        </is>
      </c>
      <c r="E5" s="11" t="inlineStr">
        <is>
          <t>Low</t>
        </is>
      </c>
    </row>
    <row r="6">
      <c r="A6" s="11" t="inlineStr">
        <is>
          <t>MEP ATEX Compliance</t>
        </is>
      </c>
      <c r="B6" s="11" t="n">
        <v>4</v>
      </c>
      <c r="C6" s="11" t="n">
        <v>4</v>
      </c>
      <c r="D6" s="11" t="inlineStr">
        <is>
          <t>Third-party certification</t>
        </is>
      </c>
      <c r="E6" s="11" t="inlineStr">
        <is>
          <t>Low</t>
        </is>
      </c>
    </row>
    <row r="7">
      <c r="A7" s="11" t="inlineStr">
        <is>
          <t>Revenue Ramp Delay</t>
        </is>
      </c>
      <c r="B7" s="11" t="n">
        <v>5</v>
      </c>
      <c r="C7" s="11" t="n">
        <v>5</v>
      </c>
      <c r="D7" s="11" t="inlineStr">
        <is>
          <t>Conservative ramp</t>
        </is>
      </c>
      <c r="E7" s="11" t="inlineStr">
        <is>
          <t>Medium</t>
        </is>
      </c>
    </row>
    <row r="8">
      <c r="A8" s="11" t="inlineStr">
        <is>
          <t>Geotechnical/Seismic</t>
        </is>
      </c>
      <c r="B8" s="11" t="n">
        <v>3</v>
      </c>
      <c r="C8" s="11" t="n">
        <v>5</v>
      </c>
      <c r="D8" s="11" t="inlineStr">
        <is>
          <t>Full geotech study</t>
        </is>
      </c>
      <c r="E8" s="11" t="inlineStr">
        <is>
          <t>Low</t>
        </is>
      </c>
    </row>
  </sheetData>
  <mergeCells count="1">
    <mergeCell ref="A1:F1"/>
  </mergeCells>
  <pageMargins left="0.3" right="0.3" top="0.4" bottom="0.4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2026-03-24T23:40:12Z</dcterms:created>
  <dcterms:modified xmlns:dcterms="http://purl.org/dc/terms/" xmlns:xsi="http://www.w3.org/2001/XMLSchema-instance" xsi:type="dcterms:W3CDTF">2026-03-24T23:40:12Z</dcterms:modified>
</cp:coreProperties>
</file>