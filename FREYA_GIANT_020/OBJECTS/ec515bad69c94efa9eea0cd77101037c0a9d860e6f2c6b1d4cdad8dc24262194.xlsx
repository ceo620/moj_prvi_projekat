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Index" sheetId="2" state="visible" r:id="rId2"/>
    <sheet xmlns:r="http://schemas.openxmlformats.org/officeDocument/2006/relationships" name="10_Assumptions" sheetId="3" state="visible" r:id="rId3"/>
    <sheet xmlns:r="http://schemas.openxmlformats.org/officeDocument/2006/relationships" name="11_Timeline" sheetId="4" state="visible" r:id="rId4"/>
    <sheet xmlns:r="http://schemas.openxmlformats.org/officeDocument/2006/relationships" name="12_CAPEX_Input" sheetId="5" state="visible" r:id="rId5"/>
    <sheet xmlns:r="http://schemas.openxmlformats.org/officeDocument/2006/relationships" name="14_Operations_Input" sheetId="6" state="visible" r:id="rId6"/>
    <sheet xmlns:r="http://schemas.openxmlformats.org/officeDocument/2006/relationships" name="20_CAPEX_Phasing" sheetId="7" state="visible" r:id="rId7"/>
    <sheet xmlns:r="http://schemas.openxmlformats.org/officeDocument/2006/relationships" name="21_Sources_Uses" sheetId="8" state="visible" r:id="rId8"/>
    <sheet xmlns:r="http://schemas.openxmlformats.org/officeDocument/2006/relationships" name="22_Grant_Module" sheetId="9" state="visible" r:id="rId9"/>
    <sheet xmlns:r="http://schemas.openxmlformats.org/officeDocument/2006/relationships" name="23_Debt_Drawdown_IDC" sheetId="10" state="visible" r:id="rId10"/>
    <sheet xmlns:r="http://schemas.openxmlformats.org/officeDocument/2006/relationships" name="30_Revenue" sheetId="11" state="visible" r:id="rId11"/>
    <sheet xmlns:r="http://schemas.openxmlformats.org/officeDocument/2006/relationships" name="31_OPEX" sheetId="12" state="visible" r:id="rId12"/>
    <sheet xmlns:r="http://schemas.openxmlformats.org/officeDocument/2006/relationships" name="32_MaintCapex_WC" sheetId="13" state="visible" r:id="rId13"/>
    <sheet xmlns:r="http://schemas.openxmlformats.org/officeDocument/2006/relationships" name="33_Depreciation_Tax" sheetId="14" state="visible" r:id="rId14"/>
    <sheet xmlns:r="http://schemas.openxmlformats.org/officeDocument/2006/relationships" name="34_CFADS" sheetId="15" state="visible" r:id="rId15"/>
    <sheet xmlns:r="http://schemas.openxmlformats.org/officeDocument/2006/relationships" name="40_Debt_Schedule" sheetId="16" state="visible" r:id="rId16"/>
    <sheet xmlns:r="http://schemas.openxmlformats.org/officeDocument/2006/relationships" name="41_DSRA" sheetId="17" state="visible" r:id="rId17"/>
    <sheet xmlns:r="http://schemas.openxmlformats.org/officeDocument/2006/relationships" name="42_Coverage_Ratios" sheetId="18" state="visible" r:id="rId18"/>
    <sheet xmlns:r="http://schemas.openxmlformats.org/officeDocument/2006/relationships" name="43_Investor_Returns" sheetId="19" state="visible" r:id="rId19"/>
    <sheet xmlns:r="http://schemas.openxmlformats.org/officeDocument/2006/relationships" name="90_Checks" sheetId="20" state="visible" r:id="rId20"/>
    <sheet xmlns:r="http://schemas.openxmlformats.org/officeDocument/2006/relationships" name="50_Dashboard" sheetId="21" state="visible" r:id="rId2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_);[Red](#,##0);-"/>
    <numFmt numFmtId="165" formatCode="0.0%"/>
    <numFmt numFmtId="166" formatCode="0.00x"/>
    <numFmt numFmtId="167" formatCode="0.0000"/>
    <numFmt numFmtId="168" formatCode="yyyy-mm-dd"/>
    <numFmt numFmtId="169" formatCode="dd-mmm-yyyy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FFFFFF"/>
      <sz val="11"/>
    </font>
    <font>
      <color rgb="000000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4" borderId="1" pivotButton="0" quotePrefix="0" xfId="0"/>
    <xf numFmtId="1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5" fontId="5" fillId="0" borderId="1" pivotButton="0" quotePrefix="0" xfId="0"/>
    <xf numFmtId="166" fontId="4" fillId="4" borderId="1" pivotButton="0" quotePrefix="0" xfId="0"/>
    <xf numFmtId="0" fontId="5" fillId="0" borderId="1" pivotButton="0" quotePrefix="0" xfId="0"/>
    <xf numFmtId="164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9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Stack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'50_Dashboard'!J3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'50_Dashboard'!$I$4:$I$6</f>
            </numRef>
          </cat>
          <val>
            <numRef>
              <f>'50_Dashboard'!$J$4:$J$6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Outstanding</a:t>
            </a:r>
          </a:p>
        </rich>
      </tx>
    </title>
    <plotArea>
      <lineChart>
        <grouping val="standard"/>
        <ser>
          <idx val="0"/>
          <order val="0"/>
          <tx>
            <strRef>
              <f>'50_Dashboard'!E3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'50_Dashboard'!$D$4:$D$17</f>
            </numRef>
          </cat>
          <val>
            <numRef>
              <f>'50_Dashboard'!$E$4:$E$17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CFADS and DSCR</a:t>
            </a:r>
          </a:p>
        </rich>
      </tx>
    </title>
    <plotArea>
      <lineChart>
        <grouping val="standard"/>
        <ser>
          <idx val="0"/>
          <order val="0"/>
          <tx>
            <strRef>
              <f>'50_Dashboard'!F3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'50_Dashboard'!$D$4:$D$17</f>
            </numRef>
          </cat>
          <val>
            <numRef>
              <f>'50_Dashboard'!$F$4:$F$17</f>
            </numRef>
          </val>
        </ser>
        <ser>
          <idx val="1"/>
          <order val="1"/>
          <tx>
            <strRef>
              <f>'50_Dashboard'!G3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'50_Dashboard'!$D$4:$D$17</f>
            </numRef>
          </cat>
          <val>
            <numRef>
              <f>'50_Dashboard'!$G$4:$G$17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User project name</t>
      </text>
    </comment>
    <comment ref="B5" authorId="0" shapeId="0">
      <text>
        <t>Model base year</t>
      </text>
    </comment>
    <comment ref="B6" authorId="0" shapeId="0">
      <text>
        <t>Start of CAPEX deployment</t>
      </text>
    </comment>
    <comment ref="B7" authorId="0" shapeId="0">
      <text>
        <t>Last construction year</t>
      </text>
    </comment>
    <comment ref="B8" authorId="0" shapeId="0">
      <text>
        <t>Commercial operations start year</t>
      </text>
    </comment>
    <comment ref="B9" authorId="0" shapeId="0">
      <text>
        <t>User CAPEX total</t>
      </text>
    </comment>
    <comment ref="B10" authorId="0" shapeId="0">
      <text>
        <t>Target capital structure</t>
      </text>
    </comment>
    <comment ref="B11" authorId="0" shapeId="0">
      <text>
        <t>Target capital structure</t>
      </text>
    </comment>
    <comment ref="B12" authorId="0" shapeId="0">
      <text>
        <t>Balancing formula</t>
      </text>
    </comment>
    <comment ref="B14" authorId="0" shapeId="0">
      <text>
        <t>Illustrative interest rate</t>
      </text>
    </comment>
    <comment ref="B15" authorId="0" shapeId="0">
      <text>
        <t>Senior debt tenor</t>
      </text>
    </comment>
    <comment ref="B16" authorId="0" shapeId="0">
      <text>
        <t>First operating debt repayment year</t>
      </text>
    </comment>
    <comment ref="B17" authorId="0" shapeId="0">
      <text>
        <t>Reserve requirement</t>
      </text>
    </comment>
    <comment ref="B18" authorId="0" shapeId="0">
      <text>
        <t>Undrawn fee</t>
      </text>
    </comment>
    <comment ref="B19" authorId="0" shapeId="0">
      <text>
        <t>Debt fee at first draw</t>
      </text>
    </comment>
    <comment ref="B20" authorId="0" shapeId="0">
      <text>
        <t>Grant-eligible share</t>
      </text>
    </comment>
    <comment ref="B21" authorId="0" shapeId="0">
      <text>
        <t>Derived reimbursement rate</t>
      </text>
    </comment>
    <comment ref="B22" authorId="0" shapeId="0">
      <text>
        <t>Reimbursement lag</t>
      </text>
    </comment>
    <comment ref="B24" authorId="0" shapeId="0">
      <text>
        <t>Base revenue</t>
      </text>
    </comment>
    <comment ref="B25" authorId="0" shapeId="0">
      <text>
        <t>Base opex</t>
      </text>
    </comment>
    <comment ref="B26" authorId="0" shapeId="0">
      <text>
        <t>Maintenance capex</t>
      </text>
    </comment>
    <comment ref="B27" authorId="0" shapeId="0">
      <text>
        <t>Can be adjusted</t>
      </text>
    </comment>
    <comment ref="B29" authorId="0" shapeId="0">
      <text>
        <t>Corporate tax</t>
      </text>
    </comment>
    <comment ref="B30" authorId="0" shapeId="0">
      <text>
        <t>Coverage discount rate</t>
      </text>
    </comment>
    <comment ref="B31" authorId="0" shapeId="0">
      <text>
        <t>Coverage discount rate</t>
      </text>
    </comment>
    <comment ref="B32" authorId="0" shapeId="0">
      <text>
        <t>Investor hurdle</t>
      </text>
    </comment>
    <comment ref="B34" authorId="0" shapeId="0">
      <text>
        <t>Depreciation life</t>
      </text>
    </comment>
    <comment ref="B35" authorId="0" shapeId="0">
      <text>
        <t>Depreciation life</t>
      </text>
    </comment>
    <comment ref="B36" authorId="0" shapeId="0">
      <text>
        <t>Depreciation life</t>
      </text>
    </comment>
    <comment ref="B37" authorId="0" shapeId="0">
      <text>
        <t>Start depreciation</t>
      </text>
    </comment>
    <comment ref="B39" authorId="0" shapeId="0">
      <text>
        <t>Covenant</t>
      </text>
    </comment>
    <comment ref="B40" authorId="0" shapeId="0">
      <text>
        <t>Covenant</t>
      </text>
    </comment>
    <comment ref="B41" authorId="0" shapeId="0">
      <text>
        <t>Covenant</t>
      </text>
    </comment>
    <comment ref="B42" authorId="0" shapeId="0">
      <text>
        <t>Distribution lock-up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7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19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0" customWidth="1" min="3" max="3"/>
  </cols>
  <sheetData>
    <row r="1" ht="24" customHeight="1">
      <c r="A1" s="1" t="inlineStr">
        <is>
          <t>ARS Transformer Plant | Bank-Grade v4 Model</t>
        </is>
      </c>
    </row>
    <row r="2"/>
    <row r="3">
      <c r="A3" s="2" t="inlineStr">
        <is>
          <t>Project</t>
        </is>
      </c>
      <c r="B3" s="3" t="inlineStr">
        <is>
          <t>ARS Transformer Plant</t>
        </is>
      </c>
    </row>
    <row r="4">
      <c r="A4" s="2" t="inlineStr">
        <is>
          <t>Version</t>
        </is>
      </c>
      <c r="B4" s="3" t="inlineStr">
        <is>
          <t>v4.0</t>
        </is>
      </c>
    </row>
    <row r="5">
      <c r="A5" s="2" t="inlineStr">
        <is>
          <t>Date</t>
        </is>
      </c>
      <c r="B5" s="3" t="inlineStr">
        <is>
          <t>2026-03-23</t>
        </is>
      </c>
    </row>
    <row r="6">
      <c r="A6" s="2" t="inlineStr">
        <is>
          <t>Currency</t>
        </is>
      </c>
      <c r="B6" s="3" t="inlineStr">
        <is>
          <t>EUR</t>
        </is>
      </c>
    </row>
    <row r="7">
      <c r="A7" s="2" t="inlineStr">
        <is>
          <t>Purpose</t>
        </is>
      </c>
      <c r="B7" s="3" t="inlineStr">
        <is>
          <t>Project finance / lender-grade workbook</t>
        </is>
      </c>
    </row>
    <row r="8">
      <c r="A8" s="2" t="inlineStr">
        <is>
          <t>Status</t>
        </is>
      </c>
      <c r="B8" s="3" t="inlineStr">
        <is>
          <t>Upgraded and export-ready</t>
        </is>
      </c>
    </row>
    <row r="9"/>
    <row r="10"/>
    <row r="11">
      <c r="A11" s="4" t="inlineStr">
        <is>
          <t>This workbook contains assumptions, CAPEX phasing, funding, grant, debt, CFADS, DSRA, coverage ratios, equity returns, dashboard and checks.</t>
        </is>
      </c>
    </row>
    <row r="12"/>
  </sheetData>
  <mergeCells count="2">
    <mergeCell ref="A11:F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4" customWidth="1" min="3" max="3"/>
    <col width="12" customWidth="1" min="4" max="4"/>
  </cols>
  <sheetData>
    <row r="1" ht="24" customHeight="1">
      <c r="A1" s="1" t="inlineStr">
        <is>
          <t>Workbook Index</t>
        </is>
      </c>
    </row>
    <row r="2"/>
    <row r="3">
      <c r="A3" s="5" t="inlineStr">
        <is>
          <t>Code</t>
        </is>
      </c>
      <c r="B3" s="5" t="inlineStr">
        <is>
          <t>Sheet</t>
        </is>
      </c>
      <c r="C3" s="5" t="inlineStr">
        <is>
          <t>Purpose</t>
        </is>
      </c>
      <c r="D3" s="5" t="inlineStr">
        <is>
          <t>Status</t>
        </is>
      </c>
    </row>
    <row r="4">
      <c r="A4" s="3" t="inlineStr">
        <is>
          <t>00</t>
        </is>
      </c>
      <c r="B4" s="3" t="inlineStr">
        <is>
          <t>00_Cover</t>
        </is>
      </c>
      <c r="C4" s="3" t="inlineStr">
        <is>
          <t>Cover page</t>
        </is>
      </c>
      <c r="D4" s="3" t="inlineStr">
        <is>
          <t>Ready</t>
        </is>
      </c>
    </row>
    <row r="5">
      <c r="A5" s="3" t="inlineStr">
        <is>
          <t>01</t>
        </is>
      </c>
      <c r="B5" s="3" t="inlineStr">
        <is>
          <t>01_Index</t>
        </is>
      </c>
      <c r="C5" s="3" t="inlineStr">
        <is>
          <t>Workbook index</t>
        </is>
      </c>
      <c r="D5" s="3" t="inlineStr">
        <is>
          <t>Ready</t>
        </is>
      </c>
    </row>
    <row r="6">
      <c r="A6" s="3" t="inlineStr">
        <is>
          <t>10</t>
        </is>
      </c>
      <c r="B6" s="3" t="inlineStr">
        <is>
          <t>10_Assumptions</t>
        </is>
      </c>
      <c r="C6" s="3" t="inlineStr">
        <is>
          <t>Core assumptions</t>
        </is>
      </c>
      <c r="D6" s="3" t="inlineStr">
        <is>
          <t>Ready</t>
        </is>
      </c>
    </row>
    <row r="7">
      <c r="A7" s="3" t="inlineStr">
        <is>
          <t>11</t>
        </is>
      </c>
      <c r="B7" s="3" t="inlineStr">
        <is>
          <t>11_Timeline</t>
        </is>
      </c>
      <c r="C7" s="3" t="inlineStr">
        <is>
          <t>Master year flags</t>
        </is>
      </c>
      <c r="D7" s="3" t="inlineStr">
        <is>
          <t>Ready</t>
        </is>
      </c>
    </row>
    <row r="8">
      <c r="A8" s="3" t="inlineStr">
        <is>
          <t>12</t>
        </is>
      </c>
      <c r="B8" s="3" t="inlineStr">
        <is>
          <t>12_CAPEX_Input</t>
        </is>
      </c>
      <c r="C8" s="3" t="inlineStr">
        <is>
          <t>CAPEX and grant eligibility</t>
        </is>
      </c>
      <c r="D8" s="3" t="inlineStr">
        <is>
          <t>Ready</t>
        </is>
      </c>
    </row>
    <row r="9">
      <c r="A9" s="3" t="inlineStr">
        <is>
          <t>14</t>
        </is>
      </c>
      <c r="B9" s="3" t="inlineStr">
        <is>
          <t>14_Operations_Input</t>
        </is>
      </c>
      <c r="C9" s="3" t="inlineStr">
        <is>
          <t>Operating ramp drivers</t>
        </is>
      </c>
      <c r="D9" s="3" t="inlineStr">
        <is>
          <t>Ready</t>
        </is>
      </c>
    </row>
    <row r="10">
      <c r="A10" s="3" t="inlineStr">
        <is>
          <t>20</t>
        </is>
      </c>
      <c r="B10" s="3" t="inlineStr">
        <is>
          <t>20_CAPEX_Phasing</t>
        </is>
      </c>
      <c r="C10" s="3" t="inlineStr">
        <is>
          <t>Annual CAPEX phasing</t>
        </is>
      </c>
      <c r="D10" s="3" t="inlineStr">
        <is>
          <t>Ready</t>
        </is>
      </c>
    </row>
    <row r="11">
      <c r="A11" s="3" t="inlineStr">
        <is>
          <t>21</t>
        </is>
      </c>
      <c r="B11" s="3" t="inlineStr">
        <is>
          <t>21_Sources_Uses</t>
        </is>
      </c>
      <c r="C11" s="3" t="inlineStr">
        <is>
          <t>Construction funding closure</t>
        </is>
      </c>
      <c r="D11" s="3" t="inlineStr">
        <is>
          <t>Ready</t>
        </is>
      </c>
    </row>
    <row r="12">
      <c r="A12" s="3" t="inlineStr">
        <is>
          <t>22</t>
        </is>
      </c>
      <c r="B12" s="3" t="inlineStr">
        <is>
          <t>22_Grant_Module</t>
        </is>
      </c>
      <c r="C12" s="3" t="inlineStr">
        <is>
          <t>Grant reimbursement schedule</t>
        </is>
      </c>
      <c r="D12" s="3" t="inlineStr">
        <is>
          <t>Ready</t>
        </is>
      </c>
    </row>
    <row r="13">
      <c r="A13" s="3" t="inlineStr">
        <is>
          <t>23</t>
        </is>
      </c>
      <c r="B13" s="3" t="inlineStr">
        <is>
          <t>23_Debt_Drawdown_IDC</t>
        </is>
      </c>
      <c r="C13" s="3" t="inlineStr">
        <is>
          <t>Construction debt and IDC</t>
        </is>
      </c>
      <c r="D13" s="3" t="inlineStr">
        <is>
          <t>Ready</t>
        </is>
      </c>
    </row>
    <row r="14">
      <c r="A14" s="3" t="inlineStr">
        <is>
          <t>30</t>
        </is>
      </c>
      <c r="B14" s="3" t="inlineStr">
        <is>
          <t>30_Revenue</t>
        </is>
      </c>
      <c r="C14" s="3" t="inlineStr">
        <is>
          <t>Revenue build</t>
        </is>
      </c>
      <c r="D14" s="3" t="inlineStr">
        <is>
          <t>Ready</t>
        </is>
      </c>
    </row>
    <row r="15">
      <c r="A15" s="3" t="inlineStr">
        <is>
          <t>31</t>
        </is>
      </c>
      <c r="B15" s="3" t="inlineStr">
        <is>
          <t>31_OPEX</t>
        </is>
      </c>
      <c r="C15" s="3" t="inlineStr">
        <is>
          <t>OPEX build</t>
        </is>
      </c>
      <c r="D15" s="3" t="inlineStr">
        <is>
          <t>Ready</t>
        </is>
      </c>
    </row>
    <row r="16">
      <c r="A16" s="3" t="inlineStr">
        <is>
          <t>32</t>
        </is>
      </c>
      <c r="B16" s="3" t="inlineStr">
        <is>
          <t>32_MaintCapex_WC</t>
        </is>
      </c>
      <c r="C16" s="3" t="inlineStr">
        <is>
          <t>Maintenance capex and working capital</t>
        </is>
      </c>
      <c r="D16" s="3" t="inlineStr">
        <is>
          <t>Ready</t>
        </is>
      </c>
    </row>
    <row r="17">
      <c r="A17" s="3" t="inlineStr">
        <is>
          <t>33</t>
        </is>
      </c>
      <c r="B17" s="3" t="inlineStr">
        <is>
          <t>33_Depreciation_Tax</t>
        </is>
      </c>
      <c r="C17" s="3" t="inlineStr">
        <is>
          <t>Depreciation and cash tax</t>
        </is>
      </c>
      <c r="D17" s="3" t="inlineStr">
        <is>
          <t>Ready</t>
        </is>
      </c>
    </row>
    <row r="18">
      <c r="A18" s="3" t="inlineStr">
        <is>
          <t>34</t>
        </is>
      </c>
      <c r="B18" s="3" t="inlineStr">
        <is>
          <t>34_CFADS</t>
        </is>
      </c>
      <c r="C18" s="3" t="inlineStr">
        <is>
          <t>Cash flow available for debt service</t>
        </is>
      </c>
      <c r="D18" s="3" t="inlineStr">
        <is>
          <t>Ready</t>
        </is>
      </c>
    </row>
    <row r="19">
      <c r="A19" s="3" t="inlineStr">
        <is>
          <t>40</t>
        </is>
      </c>
      <c r="B19" s="3" t="inlineStr">
        <is>
          <t>40_Debt_Schedule</t>
        </is>
      </c>
      <c r="C19" s="3" t="inlineStr">
        <is>
          <t>Operating debt amortization</t>
        </is>
      </c>
      <c r="D19" s="3" t="inlineStr">
        <is>
          <t>Ready</t>
        </is>
      </c>
    </row>
    <row r="20">
      <c r="A20" s="3" t="inlineStr">
        <is>
          <t>41</t>
        </is>
      </c>
      <c r="B20" s="3" t="inlineStr">
        <is>
          <t>41_DSRA</t>
        </is>
      </c>
      <c r="C20" s="3" t="inlineStr">
        <is>
          <t>Debt service reserve account</t>
        </is>
      </c>
      <c r="D20" s="3" t="inlineStr">
        <is>
          <t>Ready</t>
        </is>
      </c>
    </row>
    <row r="21">
      <c r="A21" s="3" t="inlineStr">
        <is>
          <t>42</t>
        </is>
      </c>
      <c r="B21" s="3" t="inlineStr">
        <is>
          <t>42_Coverage_Ratios</t>
        </is>
      </c>
      <c r="C21" s="3" t="inlineStr">
        <is>
          <t>DSCR / LLCR / PLCR</t>
        </is>
      </c>
      <c r="D21" s="3" t="inlineStr">
        <is>
          <t>Ready</t>
        </is>
      </c>
    </row>
    <row r="22">
      <c r="A22" s="3" t="inlineStr">
        <is>
          <t>43</t>
        </is>
      </c>
      <c r="B22" s="3" t="inlineStr">
        <is>
          <t>43_Investor_Returns</t>
        </is>
      </c>
      <c r="C22" s="3" t="inlineStr">
        <is>
          <t>Investor returns bridge</t>
        </is>
      </c>
      <c r="D22" s="3" t="inlineStr">
        <is>
          <t>Ready</t>
        </is>
      </c>
    </row>
    <row r="23">
      <c r="A23" s="3" t="inlineStr">
        <is>
          <t>50</t>
        </is>
      </c>
      <c r="B23" s="3" t="inlineStr">
        <is>
          <t>50_Dashboard</t>
        </is>
      </c>
      <c r="C23" s="3" t="inlineStr">
        <is>
          <t>Executive dashboard</t>
        </is>
      </c>
      <c r="D23" s="3" t="inlineStr">
        <is>
          <t>Ready</t>
        </is>
      </c>
    </row>
    <row r="24">
      <c r="A24" s="3" t="inlineStr">
        <is>
          <t>90</t>
        </is>
      </c>
      <c r="B24" s="3" t="inlineStr">
        <is>
          <t>90_Checks</t>
        </is>
      </c>
      <c r="C24" s="3" t="inlineStr">
        <is>
          <t>Lender-grade checks</t>
        </is>
      </c>
      <c r="D24" s="3" t="inlineStr">
        <is>
          <t>Ready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54" customWidth="1" min="4" max="4"/>
  </cols>
  <sheetData>
    <row r="1" ht="24" customHeight="1">
      <c r="A1" s="1" t="inlineStr">
        <is>
          <t>10_Assumptions</t>
        </is>
      </c>
    </row>
    <row r="2"/>
    <row r="3">
      <c r="A3" s="6" t="inlineStr">
        <is>
          <t>Core Project Inputs</t>
        </is>
      </c>
    </row>
    <row r="4">
      <c r="A4" s="4" t="inlineStr">
        <is>
          <t>Project name</t>
        </is>
      </c>
      <c r="B4" s="7" t="inlineStr">
        <is>
          <t>ARS Transformer Plant</t>
        </is>
      </c>
      <c r="D4" s="3" t="inlineStr">
        <is>
          <t>User project name</t>
        </is>
      </c>
    </row>
    <row r="5">
      <c r="A5" s="4" t="inlineStr">
        <is>
          <t>Base year</t>
        </is>
      </c>
      <c r="B5" s="8" t="n">
        <v>2026</v>
      </c>
      <c r="D5" s="3" t="inlineStr">
        <is>
          <t>Model base year</t>
        </is>
      </c>
    </row>
    <row r="6">
      <c r="A6" s="4" t="inlineStr">
        <is>
          <t>Construction start year</t>
        </is>
      </c>
      <c r="B6" s="8" t="n">
        <v>2026</v>
      </c>
      <c r="D6" s="3" t="inlineStr">
        <is>
          <t>Start of CAPEX deployment</t>
        </is>
      </c>
    </row>
    <row r="7">
      <c r="A7" s="4" t="inlineStr">
        <is>
          <t>Construction end year</t>
        </is>
      </c>
      <c r="B7" s="8" t="n">
        <v>2030</v>
      </c>
      <c r="D7" s="3" t="inlineStr">
        <is>
          <t>Last construction year</t>
        </is>
      </c>
    </row>
    <row r="8">
      <c r="A8" s="4" t="inlineStr">
        <is>
          <t>COD year</t>
        </is>
      </c>
      <c r="B8" s="8" t="n">
        <v>2030</v>
      </c>
      <c r="D8" s="3" t="inlineStr">
        <is>
          <t>Commercial operations start year</t>
        </is>
      </c>
    </row>
    <row r="9">
      <c r="A9" s="4" t="inlineStr">
        <is>
          <t>Total CAPEX</t>
        </is>
      </c>
      <c r="B9" s="9" t="n">
        <v>70200000</v>
      </c>
      <c r="D9" s="3" t="inlineStr">
        <is>
          <t>User CAPEX total</t>
        </is>
      </c>
    </row>
    <row r="10">
      <c r="A10" s="4" t="inlineStr">
        <is>
          <t>Equity %</t>
        </is>
      </c>
      <c r="B10" s="10" t="n">
        <v>0.25</v>
      </c>
      <c r="D10" s="3" t="inlineStr">
        <is>
          <t>Target capital structure</t>
        </is>
      </c>
    </row>
    <row r="11">
      <c r="A11" s="4" t="inlineStr">
        <is>
          <t>Grant %</t>
        </is>
      </c>
      <c r="B11" s="10" t="n">
        <v>0.15</v>
      </c>
      <c r="D11" s="3" t="inlineStr">
        <is>
          <t>Target capital structure</t>
        </is>
      </c>
    </row>
    <row r="12">
      <c r="A12" s="4" t="inlineStr">
        <is>
          <t>Debt %</t>
        </is>
      </c>
      <c r="B12" s="11">
        <f>1-B10-B11</f>
        <v/>
      </c>
      <c r="D12" s="3" t="inlineStr">
        <is>
          <t>Balancing formula</t>
        </is>
      </c>
    </row>
    <row r="13"/>
    <row r="14">
      <c r="A14" s="4" t="inlineStr">
        <is>
          <t>Debt interest rate</t>
        </is>
      </c>
      <c r="B14" s="10" t="n">
        <v>0.06</v>
      </c>
      <c r="D14" s="3" t="inlineStr">
        <is>
          <t>Illustrative interest rate</t>
        </is>
      </c>
    </row>
    <row r="15">
      <c r="A15" s="4" t="inlineStr">
        <is>
          <t>Debt tenor (years)</t>
        </is>
      </c>
      <c r="B15" s="8" t="n">
        <v>8</v>
      </c>
      <c r="D15" s="3" t="inlineStr">
        <is>
          <t>Senior debt tenor</t>
        </is>
      </c>
    </row>
    <row r="16">
      <c r="A16" s="4" t="inlineStr">
        <is>
          <t>Repayment start year</t>
        </is>
      </c>
      <c r="B16" s="8" t="n">
        <v>2031</v>
      </c>
      <c r="D16" s="3" t="inlineStr">
        <is>
          <t>First operating debt repayment year</t>
        </is>
      </c>
    </row>
    <row r="17">
      <c r="A17" s="4" t="inlineStr">
        <is>
          <t>DSRA months</t>
        </is>
      </c>
      <c r="B17" s="8" t="n">
        <v>6</v>
      </c>
      <c r="D17" s="3" t="inlineStr">
        <is>
          <t>Reserve requirement</t>
        </is>
      </c>
    </row>
    <row r="18">
      <c r="A18" s="4" t="inlineStr">
        <is>
          <t>Commitment fee</t>
        </is>
      </c>
      <c r="B18" s="10" t="n">
        <v>0.005</v>
      </c>
      <c r="D18" s="3" t="inlineStr">
        <is>
          <t>Undrawn fee</t>
        </is>
      </c>
    </row>
    <row r="19">
      <c r="A19" s="4" t="inlineStr">
        <is>
          <t>Upfront fee</t>
        </is>
      </c>
      <c r="B19" s="10" t="n">
        <v>0.01</v>
      </c>
      <c r="D19" s="3" t="inlineStr">
        <is>
          <t>Debt fee at first draw</t>
        </is>
      </c>
    </row>
    <row r="20">
      <c r="A20" s="4" t="inlineStr">
        <is>
          <t>Eligible CAPEX %</t>
        </is>
      </c>
      <c r="B20" s="10" t="n">
        <v>0.8</v>
      </c>
      <c r="D20" s="3" t="inlineStr">
        <is>
          <t>Grant-eligible share</t>
        </is>
      </c>
    </row>
    <row r="21">
      <c r="A21" s="4" t="inlineStr">
        <is>
          <t>Grant reimbursement rate on eligible CAPEX</t>
        </is>
      </c>
      <c r="B21" s="11">
        <f>B11/B20</f>
        <v/>
      </c>
      <c r="D21" s="3" t="inlineStr">
        <is>
          <t>Derived reimbursement rate</t>
        </is>
      </c>
    </row>
    <row r="22">
      <c r="A22" s="4" t="inlineStr">
        <is>
          <t>Grant lag (years)</t>
        </is>
      </c>
      <c r="B22" s="8" t="n">
        <v>1</v>
      </c>
      <c r="D22" s="3" t="inlineStr">
        <is>
          <t>Reimbursement lag</t>
        </is>
      </c>
    </row>
    <row r="23"/>
    <row r="24">
      <c r="A24" s="4" t="inlineStr">
        <is>
          <t>Revenue @ 100% capacity</t>
        </is>
      </c>
      <c r="B24" s="9" t="n">
        <v>35000000</v>
      </c>
      <c r="D24" s="3" t="inlineStr">
        <is>
          <t>Base revenue</t>
        </is>
      </c>
    </row>
    <row r="25">
      <c r="A25" s="4" t="inlineStr">
        <is>
          <t>OPEX @ 100% capacity</t>
        </is>
      </c>
      <c r="B25" s="9" t="n">
        <v>20000000</v>
      </c>
      <c r="D25" s="3" t="inlineStr">
        <is>
          <t>Base opex</t>
        </is>
      </c>
    </row>
    <row r="26">
      <c r="A26" s="4" t="inlineStr">
        <is>
          <t>Maintenance CAPEX @ 100%</t>
        </is>
      </c>
      <c r="B26" s="9" t="n">
        <v>2000000</v>
      </c>
      <c r="D26" s="3" t="inlineStr">
        <is>
          <t>Maintenance capex</t>
        </is>
      </c>
    </row>
    <row r="27">
      <c r="A27" s="4" t="inlineStr">
        <is>
          <t>Working capital % of revenue</t>
        </is>
      </c>
      <c r="B27" s="10" t="n">
        <v>0</v>
      </c>
      <c r="D27" s="3" t="inlineStr">
        <is>
          <t>Can be adjusted</t>
        </is>
      </c>
    </row>
    <row r="28"/>
    <row r="29">
      <c r="A29" s="4" t="inlineStr">
        <is>
          <t>Tax rate</t>
        </is>
      </c>
      <c r="B29" s="10" t="n">
        <v>0.09</v>
      </c>
      <c r="D29" s="3" t="inlineStr">
        <is>
          <t>Corporate tax</t>
        </is>
      </c>
    </row>
    <row r="30">
      <c r="A30" s="4" t="inlineStr">
        <is>
          <t>LLCR discount rate</t>
        </is>
      </c>
      <c r="B30" s="10" t="n">
        <v>0.08</v>
      </c>
      <c r="D30" s="3" t="inlineStr">
        <is>
          <t>Coverage discount rate</t>
        </is>
      </c>
    </row>
    <row r="31">
      <c r="A31" s="4" t="inlineStr">
        <is>
          <t>PLCR discount rate</t>
        </is>
      </c>
      <c r="B31" s="10" t="n">
        <v>0.08</v>
      </c>
      <c r="D31" s="3" t="inlineStr">
        <is>
          <t>Coverage discount rate</t>
        </is>
      </c>
    </row>
    <row r="32">
      <c r="A32" s="4" t="inlineStr">
        <is>
          <t>Equity discount rate</t>
        </is>
      </c>
      <c r="B32" s="10" t="n">
        <v>0.15</v>
      </c>
      <c r="D32" s="3" t="inlineStr">
        <is>
          <t>Investor hurdle</t>
        </is>
      </c>
    </row>
    <row r="33"/>
    <row r="34">
      <c r="A34" s="4" t="inlineStr">
        <is>
          <t>Building useful life</t>
        </is>
      </c>
      <c r="B34" s="8" t="n">
        <v>20</v>
      </c>
      <c r="D34" s="3" t="inlineStr">
        <is>
          <t>Depreciation life</t>
        </is>
      </c>
    </row>
    <row r="35">
      <c r="A35" s="4" t="inlineStr">
        <is>
          <t>Equipment useful life</t>
        </is>
      </c>
      <c r="B35" s="8" t="n">
        <v>10</v>
      </c>
      <c r="D35" s="3" t="inlineStr">
        <is>
          <t>Depreciation life</t>
        </is>
      </c>
    </row>
    <row r="36">
      <c r="A36" s="4" t="inlineStr">
        <is>
          <t>Other useful life</t>
        </is>
      </c>
      <c r="B36" s="8" t="n">
        <v>8</v>
      </c>
      <c r="D36" s="3" t="inlineStr">
        <is>
          <t>Depreciation life</t>
        </is>
      </c>
    </row>
    <row r="37">
      <c r="A37" s="4" t="inlineStr">
        <is>
          <t>Depreciation start year</t>
        </is>
      </c>
      <c r="B37" s="8" t="n">
        <v>2030</v>
      </c>
      <c r="D37" s="3" t="inlineStr">
        <is>
          <t>Start depreciation</t>
        </is>
      </c>
    </row>
    <row r="38"/>
    <row r="39">
      <c r="A39" s="4" t="inlineStr">
        <is>
          <t>Minimum DSCR</t>
        </is>
      </c>
      <c r="B39" s="12" t="n">
        <v>1.3</v>
      </c>
      <c r="D39" s="3" t="inlineStr">
        <is>
          <t>Covenant</t>
        </is>
      </c>
    </row>
    <row r="40">
      <c r="A40" s="4" t="inlineStr">
        <is>
          <t>Minimum LLCR</t>
        </is>
      </c>
      <c r="B40" s="12" t="n">
        <v>1.8</v>
      </c>
      <c r="D40" s="3" t="inlineStr">
        <is>
          <t>Covenant</t>
        </is>
      </c>
    </row>
    <row r="41">
      <c r="A41" s="4" t="inlineStr">
        <is>
          <t>Minimum PLCR</t>
        </is>
      </c>
      <c r="B41" s="12" t="n">
        <v>2</v>
      </c>
      <c r="D41" s="3" t="inlineStr">
        <is>
          <t>Covenant</t>
        </is>
      </c>
    </row>
    <row r="42">
      <c r="A42" s="4" t="inlineStr">
        <is>
          <t>Lock-up DSCR</t>
        </is>
      </c>
      <c r="B42" s="12" t="n">
        <v>1.2</v>
      </c>
      <c r="D42" s="3" t="inlineStr">
        <is>
          <t>Distribution lock-up</t>
        </is>
      </c>
    </row>
    <row r="43"/>
    <row r="44"/>
    <row r="45">
      <c r="A45" s="3" t="inlineStr">
        <is>
          <t>Capital structure check</t>
        </is>
      </c>
      <c r="B45" s="11">
        <f>B10+B11+B12</f>
        <v/>
      </c>
      <c r="C45" s="13">
        <f>IF(ABS(B45-1)&lt;0.000001,"OK","ERROR")</f>
        <v/>
      </c>
    </row>
  </sheetData>
  <mergeCells count="2">
    <mergeCell ref="A3:H3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11_Timeline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Construction flag</t>
        </is>
      </c>
      <c r="B5" s="13">
        <f>IF(AND(B$4&gt;=10_Assumptions!$B$6,B$4&lt;=10_Assumptions!$B$7),1,0)</f>
        <v/>
      </c>
      <c r="C5" s="13">
        <f>IF(AND(C$4&gt;=10_Assumptions!$B$6,C$4&lt;=10_Assumptions!$B$7),1,0)</f>
        <v/>
      </c>
      <c r="D5" s="13">
        <f>IF(AND(D$4&gt;=10_Assumptions!$B$6,D$4&lt;=10_Assumptions!$B$7),1,0)</f>
        <v/>
      </c>
      <c r="E5" s="13">
        <f>IF(AND(E$4&gt;=10_Assumptions!$B$6,E$4&lt;=10_Assumptions!$B$7),1,0)</f>
        <v/>
      </c>
      <c r="F5" s="13">
        <f>IF(AND(F$4&gt;=10_Assumptions!$B$6,F$4&lt;=10_Assumptions!$B$7),1,0)</f>
        <v/>
      </c>
      <c r="G5" s="13">
        <f>IF(AND(G$4&gt;=10_Assumptions!$B$6,G$4&lt;=10_Assumptions!$B$7),1,0)</f>
        <v/>
      </c>
      <c r="H5" s="13">
        <f>IF(AND(H$4&gt;=10_Assumptions!$B$6,H$4&lt;=10_Assumptions!$B$7),1,0)</f>
        <v/>
      </c>
      <c r="I5" s="13">
        <f>IF(AND(I$4&gt;=10_Assumptions!$B$6,I$4&lt;=10_Assumptions!$B$7),1,0)</f>
        <v/>
      </c>
      <c r="J5" s="13">
        <f>IF(AND(J$4&gt;=10_Assumptions!$B$6,J$4&lt;=10_Assumptions!$B$7),1,0)</f>
        <v/>
      </c>
      <c r="K5" s="13">
        <f>IF(AND(K$4&gt;=10_Assumptions!$B$6,K$4&lt;=10_Assumptions!$B$7),1,0)</f>
        <v/>
      </c>
      <c r="L5" s="13">
        <f>IF(AND(L$4&gt;=10_Assumptions!$B$6,L$4&lt;=10_Assumptions!$B$7),1,0)</f>
        <v/>
      </c>
      <c r="M5" s="13">
        <f>IF(AND(M$4&gt;=10_Assumptions!$B$6,M$4&lt;=10_Assumptions!$B$7),1,0)</f>
        <v/>
      </c>
      <c r="N5" s="13">
        <f>IF(AND(N$4&gt;=10_Assumptions!$B$6,N$4&lt;=10_Assumptions!$B$7),1,0)</f>
        <v/>
      </c>
      <c r="O5" s="13">
        <f>IF(AND(O$4&gt;=10_Assumptions!$B$6,O$4&lt;=10_Assumptions!$B$7),1,0)</f>
        <v/>
      </c>
    </row>
    <row r="6">
      <c r="A6" s="3" t="inlineStr">
        <is>
          <t>Operations flag</t>
        </is>
      </c>
      <c r="B6" s="13">
        <f>IF(B$4&gt;=10_Assumptions!$B$8,1,0)</f>
        <v/>
      </c>
      <c r="C6" s="13">
        <f>IF(C$4&gt;=10_Assumptions!$B$8,1,0)</f>
        <v/>
      </c>
      <c r="D6" s="13">
        <f>IF(D$4&gt;=10_Assumptions!$B$8,1,0)</f>
        <v/>
      </c>
      <c r="E6" s="13">
        <f>IF(E$4&gt;=10_Assumptions!$B$8,1,0)</f>
        <v/>
      </c>
      <c r="F6" s="13">
        <f>IF(F$4&gt;=10_Assumptions!$B$8,1,0)</f>
        <v/>
      </c>
      <c r="G6" s="13">
        <f>IF(G$4&gt;=10_Assumptions!$B$8,1,0)</f>
        <v/>
      </c>
      <c r="H6" s="13">
        <f>IF(H$4&gt;=10_Assumptions!$B$8,1,0)</f>
        <v/>
      </c>
      <c r="I6" s="13">
        <f>IF(I$4&gt;=10_Assumptions!$B$8,1,0)</f>
        <v/>
      </c>
      <c r="J6" s="13">
        <f>IF(J$4&gt;=10_Assumptions!$B$8,1,0)</f>
        <v/>
      </c>
      <c r="K6" s="13">
        <f>IF(K$4&gt;=10_Assumptions!$B$8,1,0)</f>
        <v/>
      </c>
      <c r="L6" s="13">
        <f>IF(L$4&gt;=10_Assumptions!$B$8,1,0)</f>
        <v/>
      </c>
      <c r="M6" s="13">
        <f>IF(M$4&gt;=10_Assumptions!$B$8,1,0)</f>
        <v/>
      </c>
      <c r="N6" s="13">
        <f>IF(N$4&gt;=10_Assumptions!$B$8,1,0)</f>
        <v/>
      </c>
      <c r="O6" s="13">
        <f>IF(O$4&gt;=10_Assumptions!$B$8,1,0)</f>
        <v/>
      </c>
    </row>
    <row r="7">
      <c r="A7" s="3" t="inlineStr">
        <is>
          <t>Debt repayment flag</t>
        </is>
      </c>
      <c r="B7" s="13">
        <f>IF(AND(B$4&gt;=10_Assumptions!$B$16,B$4&lt;10_Assumptions!$B$16+10_Assumptions!$B$15),1,0)</f>
        <v/>
      </c>
      <c r="C7" s="13">
        <f>IF(AND(C$4&gt;=10_Assumptions!$B$16,C$4&lt;10_Assumptions!$B$16+10_Assumptions!$B$15),1,0)</f>
        <v/>
      </c>
      <c r="D7" s="13">
        <f>IF(AND(D$4&gt;=10_Assumptions!$B$16,D$4&lt;10_Assumptions!$B$16+10_Assumptions!$B$15),1,0)</f>
        <v/>
      </c>
      <c r="E7" s="13">
        <f>IF(AND(E$4&gt;=10_Assumptions!$B$16,E$4&lt;10_Assumptions!$B$16+10_Assumptions!$B$15),1,0)</f>
        <v/>
      </c>
      <c r="F7" s="13">
        <f>IF(AND(F$4&gt;=10_Assumptions!$B$16,F$4&lt;10_Assumptions!$B$16+10_Assumptions!$B$15),1,0)</f>
        <v/>
      </c>
      <c r="G7" s="13">
        <f>IF(AND(G$4&gt;=10_Assumptions!$B$16,G$4&lt;10_Assumptions!$B$16+10_Assumptions!$B$15),1,0)</f>
        <v/>
      </c>
      <c r="H7" s="13">
        <f>IF(AND(H$4&gt;=10_Assumptions!$B$16,H$4&lt;10_Assumptions!$B$16+10_Assumptions!$B$15),1,0)</f>
        <v/>
      </c>
      <c r="I7" s="13">
        <f>IF(AND(I$4&gt;=10_Assumptions!$B$16,I$4&lt;10_Assumptions!$B$16+10_Assumptions!$B$15),1,0)</f>
        <v/>
      </c>
      <c r="J7" s="13">
        <f>IF(AND(J$4&gt;=10_Assumptions!$B$16,J$4&lt;10_Assumptions!$B$16+10_Assumptions!$B$15),1,0)</f>
        <v/>
      </c>
      <c r="K7" s="13">
        <f>IF(AND(K$4&gt;=10_Assumptions!$B$16,K$4&lt;10_Assumptions!$B$16+10_Assumptions!$B$15),1,0)</f>
        <v/>
      </c>
      <c r="L7" s="13">
        <f>IF(AND(L$4&gt;=10_Assumptions!$B$16,L$4&lt;10_Assumptions!$B$16+10_Assumptions!$B$15),1,0)</f>
        <v/>
      </c>
      <c r="M7" s="13">
        <f>IF(AND(M$4&gt;=10_Assumptions!$B$16,M$4&lt;10_Assumptions!$B$16+10_Assumptions!$B$15),1,0)</f>
        <v/>
      </c>
      <c r="N7" s="13">
        <f>IF(AND(N$4&gt;=10_Assumptions!$B$16,N$4&lt;10_Assumptions!$B$16+10_Assumptions!$B$15),1,0)</f>
        <v/>
      </c>
      <c r="O7" s="13">
        <f>IF(AND(O$4&gt;=10_Assumptions!$B$16,O$4&lt;10_Assumptions!$B$16+10_Assumptions!$B$15),1,0)</f>
        <v/>
      </c>
    </row>
    <row r="8">
      <c r="A8" s="3" t="inlineStr">
        <is>
          <t>Grant eligible flag</t>
        </is>
      </c>
      <c r="B8" s="13">
        <f>IF(B$4&lt;=10_Assumptions!$B$7,1,0)</f>
        <v/>
      </c>
      <c r="C8" s="13">
        <f>IF(C$4&lt;=10_Assumptions!$B$7,1,0)</f>
        <v/>
      </c>
      <c r="D8" s="13">
        <f>IF(D$4&lt;=10_Assumptions!$B$7,1,0)</f>
        <v/>
      </c>
      <c r="E8" s="13">
        <f>IF(E$4&lt;=10_Assumptions!$B$7,1,0)</f>
        <v/>
      </c>
      <c r="F8" s="13">
        <f>IF(F$4&lt;=10_Assumptions!$B$7,1,0)</f>
        <v/>
      </c>
      <c r="G8" s="13">
        <f>IF(G$4&lt;=10_Assumptions!$B$7,1,0)</f>
        <v/>
      </c>
      <c r="H8" s="13">
        <f>IF(H$4&lt;=10_Assumptions!$B$7,1,0)</f>
        <v/>
      </c>
      <c r="I8" s="13">
        <f>IF(I$4&lt;=10_Assumptions!$B$7,1,0)</f>
        <v/>
      </c>
      <c r="J8" s="13">
        <f>IF(J$4&lt;=10_Assumptions!$B$7,1,0)</f>
        <v/>
      </c>
      <c r="K8" s="13">
        <f>IF(K$4&lt;=10_Assumptions!$B$7,1,0)</f>
        <v/>
      </c>
      <c r="L8" s="13">
        <f>IF(L$4&lt;=10_Assumptions!$B$7,1,0)</f>
        <v/>
      </c>
      <c r="M8" s="13">
        <f>IF(M$4&lt;=10_Assumptions!$B$7,1,0)</f>
        <v/>
      </c>
      <c r="N8" s="13">
        <f>IF(N$4&lt;=10_Assumptions!$B$7,1,0)</f>
        <v/>
      </c>
      <c r="O8" s="13">
        <f>IF(O$4&lt;=10_Assumptions!$B$7,1,0)</f>
        <v/>
      </c>
    </row>
    <row r="9">
      <c r="A9" s="3" t="inlineStr">
        <is>
          <t>Depreciation active flag</t>
        </is>
      </c>
      <c r="B9" s="13">
        <f>IF(B$4&gt;=10_Assumptions!$B$37,1,0)</f>
        <v/>
      </c>
      <c r="C9" s="13">
        <f>IF(C$4&gt;=10_Assumptions!$B$37,1,0)</f>
        <v/>
      </c>
      <c r="D9" s="13">
        <f>IF(D$4&gt;=10_Assumptions!$B$37,1,0)</f>
        <v/>
      </c>
      <c r="E9" s="13">
        <f>IF(E$4&gt;=10_Assumptions!$B$37,1,0)</f>
        <v/>
      </c>
      <c r="F9" s="13">
        <f>IF(F$4&gt;=10_Assumptions!$B$37,1,0)</f>
        <v/>
      </c>
      <c r="G9" s="13">
        <f>IF(G$4&gt;=10_Assumptions!$B$37,1,0)</f>
        <v/>
      </c>
      <c r="H9" s="13">
        <f>IF(H$4&gt;=10_Assumptions!$B$37,1,0)</f>
        <v/>
      </c>
      <c r="I9" s="13">
        <f>IF(I$4&gt;=10_Assumptions!$B$37,1,0)</f>
        <v/>
      </c>
      <c r="J9" s="13">
        <f>IF(J$4&gt;=10_Assumptions!$B$37,1,0)</f>
        <v/>
      </c>
      <c r="K9" s="13">
        <f>IF(K$4&gt;=10_Assumptions!$B$37,1,0)</f>
        <v/>
      </c>
      <c r="L9" s="13">
        <f>IF(L$4&gt;=10_Assumptions!$B$37,1,0)</f>
        <v/>
      </c>
      <c r="M9" s="13">
        <f>IF(M$4&gt;=10_Assumptions!$B$37,1,0)</f>
        <v/>
      </c>
      <c r="N9" s="13">
        <f>IF(N$4&gt;=10_Assumptions!$B$37,1,0)</f>
        <v/>
      </c>
      <c r="O9" s="13">
        <f>IF(O$4&gt;=10_Assumptions!$B$37,1,0)</f>
        <v/>
      </c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6" customWidth="1" min="4" max="4"/>
    <col width="16" customWidth="1" min="5" max="5"/>
    <col width="18" customWidth="1" min="6" max="6"/>
    <col width="40" customWidth="1" min="7" max="7"/>
  </cols>
  <sheetData>
    <row r="1" ht="24" customHeight="1">
      <c r="A1" s="1" t="inlineStr">
        <is>
          <t>12_CAPEX_Input</t>
        </is>
      </c>
    </row>
    <row r="2"/>
    <row r="3"/>
    <row r="4">
      <c r="A4" s="5" t="inlineStr">
        <is>
          <t>CAPEX Code</t>
        </is>
      </c>
      <c r="B4" s="5" t="inlineStr">
        <is>
          <t>Description</t>
        </is>
      </c>
      <c r="C4" s="5" t="inlineStr">
        <is>
          <t>Category</t>
        </is>
      </c>
      <c r="D4" s="5" t="inlineStr">
        <is>
          <t>Total CAPEX</t>
        </is>
      </c>
      <c r="E4" s="5" t="inlineStr">
        <is>
          <t>Eligible %</t>
        </is>
      </c>
      <c r="F4" s="5" t="inlineStr">
        <is>
          <t>Depn Class</t>
        </is>
      </c>
      <c r="G4" s="5" t="inlineStr">
        <is>
          <t>Notes</t>
        </is>
      </c>
    </row>
    <row r="5">
      <c r="A5" s="3" t="inlineStr">
        <is>
          <t>CIVIL-001</t>
        </is>
      </c>
      <c r="B5" s="3" t="inlineStr">
        <is>
          <t>Civil Works</t>
        </is>
      </c>
      <c r="C5" s="3" t="inlineStr">
        <is>
          <t>Civil</t>
        </is>
      </c>
      <c r="D5" s="9" t="n">
        <v>20000000</v>
      </c>
      <c r="E5" s="10" t="n">
        <v>1</v>
      </c>
      <c r="F5" s="3" t="inlineStr">
        <is>
          <t>Building</t>
        </is>
      </c>
      <c r="G5" s="3" t="inlineStr">
        <is>
          <t>Industrial building and floors</t>
        </is>
      </c>
    </row>
    <row r="6">
      <c r="A6" s="3" t="inlineStr">
        <is>
          <t>PROD-001</t>
        </is>
      </c>
      <c r="B6" s="3" t="inlineStr">
        <is>
          <t>Production Equipment</t>
        </is>
      </c>
      <c r="C6" s="3" t="inlineStr">
        <is>
          <t>Machinery</t>
        </is>
      </c>
      <c r="D6" s="9" t="n">
        <v>12500000</v>
      </c>
      <c r="E6" s="10" t="n">
        <v>1</v>
      </c>
      <c r="F6" s="3" t="inlineStr">
        <is>
          <t>Equipment</t>
        </is>
      </c>
      <c r="G6" s="3" t="inlineStr">
        <is>
          <t>Core stacking, winding, assembly</t>
        </is>
      </c>
    </row>
    <row r="7">
      <c r="A7" s="3" t="inlineStr">
        <is>
          <t>TEST-001</t>
        </is>
      </c>
      <c r="B7" s="3" t="inlineStr">
        <is>
          <t>Testing Hall</t>
        </is>
      </c>
      <c r="C7" s="3" t="inlineStr">
        <is>
          <t>Machinery</t>
        </is>
      </c>
      <c r="D7" s="9" t="n">
        <v>5500000</v>
      </c>
      <c r="E7" s="10" t="n">
        <v>1</v>
      </c>
      <c r="F7" s="3" t="inlineStr">
        <is>
          <t>Equipment</t>
        </is>
      </c>
      <c r="G7" s="3" t="inlineStr">
        <is>
          <t>HV test systems</t>
        </is>
      </c>
    </row>
    <row r="8">
      <c r="A8" s="3" t="inlineStr">
        <is>
          <t>DRY-001</t>
        </is>
      </c>
      <c r="B8" s="3" t="inlineStr">
        <is>
          <t>Drying Systems</t>
        </is>
      </c>
      <c r="C8" s="3" t="inlineStr">
        <is>
          <t>Machinery</t>
        </is>
      </c>
      <c r="D8" s="9" t="n">
        <v>3000000</v>
      </c>
      <c r="E8" s="10" t="n">
        <v>1</v>
      </c>
      <c r="F8" s="3" t="inlineStr">
        <is>
          <t>Equipment</t>
        </is>
      </c>
      <c r="G8" s="3" t="inlineStr">
        <is>
          <t>Vacuum ovens</t>
        </is>
      </c>
    </row>
    <row r="9">
      <c r="A9" s="3" t="inlineStr">
        <is>
          <t>UTIL-001</t>
        </is>
      </c>
      <c r="B9" s="3" t="inlineStr">
        <is>
          <t>Utilities</t>
        </is>
      </c>
      <c r="C9" s="3" t="inlineStr">
        <is>
          <t>Other</t>
        </is>
      </c>
      <c r="D9" s="9" t="n">
        <v>6000000</v>
      </c>
      <c r="E9" s="10" t="n">
        <v>0.8</v>
      </c>
      <c r="F9" s="3" t="inlineStr">
        <is>
          <t>Other</t>
        </is>
      </c>
      <c r="G9" s="3" t="inlineStr">
        <is>
          <t>Electrical / HVAC / compressed air</t>
        </is>
      </c>
    </row>
    <row r="10">
      <c r="A10" s="3" t="inlineStr">
        <is>
          <t>LOG-001</t>
        </is>
      </c>
      <c r="B10" s="3" t="inlineStr">
        <is>
          <t>Logistics Automation</t>
        </is>
      </c>
      <c r="C10" s="3" t="inlineStr">
        <is>
          <t>Equipment</t>
        </is>
      </c>
      <c r="D10" s="9" t="n">
        <v>14000000</v>
      </c>
      <c r="E10" s="10" t="n">
        <v>0.8</v>
      </c>
      <c r="F10" s="3" t="inlineStr">
        <is>
          <t>Equipment</t>
        </is>
      </c>
      <c r="G10" s="3" t="inlineStr">
        <is>
          <t>Cranes, AGV, forklifts</t>
        </is>
      </c>
    </row>
    <row r="11">
      <c r="A11" s="3" t="inlineStr">
        <is>
          <t>IT40-001</t>
        </is>
      </c>
      <c r="B11" s="3" t="inlineStr">
        <is>
          <t>IT / Industry 4.0</t>
        </is>
      </c>
      <c r="C11" s="3" t="inlineStr">
        <is>
          <t>Other</t>
        </is>
      </c>
      <c r="D11" s="9" t="n">
        <v>2000000</v>
      </c>
      <c r="E11" s="10" t="n">
        <v>0.8</v>
      </c>
      <c r="F11" s="3" t="inlineStr">
        <is>
          <t>Other</t>
        </is>
      </c>
      <c r="G11" s="3" t="inlineStr">
        <is>
          <t>ERP, MES, IoT</t>
        </is>
      </c>
    </row>
    <row r="12">
      <c r="A12" s="3" t="inlineStr">
        <is>
          <t>ENG-001</t>
        </is>
      </c>
      <c r="B12" s="3" t="inlineStr">
        <is>
          <t>Engineering / FEED</t>
        </is>
      </c>
      <c r="C12" s="3" t="inlineStr">
        <is>
          <t>Other</t>
        </is>
      </c>
      <c r="D12" s="9" t="n">
        <v>1000000</v>
      </c>
      <c r="E12" s="10" t="n">
        <v>0</v>
      </c>
      <c r="F12" s="3" t="inlineStr">
        <is>
          <t>Other</t>
        </is>
      </c>
      <c r="G12" s="3" t="inlineStr">
        <is>
          <t>Design and permits</t>
        </is>
      </c>
    </row>
    <row r="13">
      <c r="A13" s="3" t="inlineStr">
        <is>
          <t>PM-001</t>
        </is>
      </c>
      <c r="B13" s="3" t="inlineStr">
        <is>
          <t>Project Management</t>
        </is>
      </c>
      <c r="C13" s="3" t="inlineStr">
        <is>
          <t>Other</t>
        </is>
      </c>
      <c r="D13" s="9" t="n">
        <v>2500000</v>
      </c>
      <c r="E13" s="10" t="n">
        <v>0</v>
      </c>
      <c r="F13" s="3" t="inlineStr">
        <is>
          <t>Other</t>
        </is>
      </c>
      <c r="G13" s="3" t="inlineStr">
        <is>
          <t>Supervision and training</t>
        </is>
      </c>
    </row>
    <row r="14">
      <c r="A14" s="3" t="inlineStr">
        <is>
          <t>REN-001</t>
        </is>
      </c>
      <c r="B14" s="3" t="inlineStr">
        <is>
          <t>Solar PV</t>
        </is>
      </c>
      <c r="C14" s="3" t="inlineStr">
        <is>
          <t>Other</t>
        </is>
      </c>
      <c r="D14" s="9" t="n">
        <v>1200000</v>
      </c>
      <c r="E14" s="10" t="n">
        <v>1</v>
      </c>
      <c r="F14" s="3" t="inlineStr">
        <is>
          <t>Other</t>
        </is>
      </c>
      <c r="G14" s="3" t="inlineStr">
        <is>
          <t>Renewables</t>
        </is>
      </c>
    </row>
    <row r="15">
      <c r="A15" s="3" t="inlineStr">
        <is>
          <t>QA-001</t>
        </is>
      </c>
      <c r="B15" s="3" t="inlineStr">
        <is>
          <t>QA / Security / Transport</t>
        </is>
      </c>
      <c r="C15" s="3" t="inlineStr">
        <is>
          <t>Other</t>
        </is>
      </c>
      <c r="D15" s="9" t="n">
        <v>2500000</v>
      </c>
      <c r="E15" s="10" t="n">
        <v>0.5</v>
      </c>
      <c r="F15" s="3" t="inlineStr">
        <is>
          <t>Other</t>
        </is>
      </c>
      <c r="G15" s="3" t="inlineStr">
        <is>
          <t>QA systems, CCTV, access</t>
        </is>
      </c>
    </row>
    <row r="16"/>
    <row r="17">
      <c r="C17" s="3" t="inlineStr">
        <is>
          <t>Total</t>
        </is>
      </c>
      <c r="D17" s="14">
        <f>SUM(D5:D15)</f>
        <v/>
      </c>
      <c r="E17" s="3" t="inlineStr"/>
      <c r="G17" s="3" t="inlineStr">
        <is>
          <t>Must reconcile to Total CAPEX</t>
        </is>
      </c>
    </row>
    <row r="18">
      <c r="C18" s="3" t="inlineStr">
        <is>
          <t>Variance vs assumptions</t>
        </is>
      </c>
      <c r="D18" s="14">
        <f>D17-10_Assumptions!B9</f>
        <v/>
      </c>
      <c r="E18" s="3">
        <f>IF(ABS(D18)&lt;1,"OK","ERROR")</f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14_Operations_Input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Capacity factor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0.5</v>
      </c>
      <c r="G5" s="10" t="n">
        <v>0.7</v>
      </c>
      <c r="H5" s="10" t="n">
        <v>0.85</v>
      </c>
      <c r="I5" s="10" t="n">
        <v>0.95</v>
      </c>
      <c r="J5" s="10" t="n">
        <v>1</v>
      </c>
      <c r="K5" s="10" t="n">
        <v>1</v>
      </c>
      <c r="L5" s="10" t="n">
        <v>1</v>
      </c>
      <c r="M5" s="10" t="n">
        <v>1</v>
      </c>
      <c r="N5" s="10" t="n">
        <v>1</v>
      </c>
      <c r="O5" s="10" t="n">
        <v>1</v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</cols>
  <sheetData>
    <row r="1" ht="24" customHeight="1">
      <c r="A1" s="1" t="inlineStr">
        <is>
          <t>20_CAPEX_Phasing</t>
        </is>
      </c>
    </row>
    <row r="2"/>
    <row r="3"/>
    <row r="4">
      <c r="A4" s="5" t="inlineStr">
        <is>
          <t>Code</t>
        </is>
      </c>
      <c r="B4" s="5" t="inlineStr">
        <is>
          <t>Description</t>
        </is>
      </c>
      <c r="C4" s="5" t="n">
        <v>2026</v>
      </c>
      <c r="D4" s="5" t="n">
        <v>2027</v>
      </c>
      <c r="E4" s="5" t="n">
        <v>2028</v>
      </c>
      <c r="F4" s="5" t="n">
        <v>2029</v>
      </c>
      <c r="G4" s="5" t="n">
        <v>2030</v>
      </c>
      <c r="H4" s="5" t="n">
        <v>2031</v>
      </c>
      <c r="I4" s="5" t="n">
        <v>2032</v>
      </c>
      <c r="J4" s="5" t="n">
        <v>2033</v>
      </c>
      <c r="K4" s="5" t="n">
        <v>2034</v>
      </c>
      <c r="L4" s="5" t="n">
        <v>2035</v>
      </c>
      <c r="M4" s="5" t="n">
        <v>2036</v>
      </c>
      <c r="N4" s="5" t="n">
        <v>2037</v>
      </c>
      <c r="O4" s="5" t="n">
        <v>2038</v>
      </c>
      <c r="P4" s="5" t="n">
        <v>2039</v>
      </c>
      <c r="Q4" s="5" t="inlineStr">
        <is>
          <t>Total</t>
        </is>
      </c>
    </row>
    <row r="5">
      <c r="A5" s="3" t="inlineStr">
        <is>
          <t>CIVIL-001</t>
        </is>
      </c>
      <c r="B5" s="14">
        <f>12_CAPEX_Input!D5*0.2</f>
        <v/>
      </c>
      <c r="C5" s="14">
        <f>12_CAPEX_Input!D5*0.35</f>
        <v/>
      </c>
      <c r="D5" s="14">
        <f>12_CAPEX_Input!D5*0.25</f>
        <v/>
      </c>
      <c r="E5" s="14">
        <f>12_CAPEX_Input!D5*0.15</f>
        <v/>
      </c>
      <c r="F5" s="14">
        <f>12_CAPEX_Input!D5*0.05</f>
        <v/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Q5" s="15">
        <f>SUM(C5:P5)</f>
        <v/>
      </c>
    </row>
    <row r="6">
      <c r="A6" s="3" t="inlineStr">
        <is>
          <t>PROD-001</t>
        </is>
      </c>
      <c r="B6" s="14">
        <f>12_CAPEX_Input!D6*0.0</f>
        <v/>
      </c>
      <c r="C6" s="14">
        <f>12_CAPEX_Input!D6*0.1</f>
        <v/>
      </c>
      <c r="D6" s="14">
        <f>12_CAPEX_Input!D6*0.25</f>
        <v/>
      </c>
      <c r="E6" s="14">
        <f>12_CAPEX_Input!D6*0.45</f>
        <v/>
      </c>
      <c r="F6" s="14">
        <f>12_CAPEX_Input!D6*0.2</f>
        <v/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Q6" s="15">
        <f>SUM(C6:P6)</f>
        <v/>
      </c>
    </row>
    <row r="7">
      <c r="A7" s="3" t="inlineStr">
        <is>
          <t>TEST-001</t>
        </is>
      </c>
      <c r="B7" s="14">
        <f>12_CAPEX_Input!D7*0.0</f>
        <v/>
      </c>
      <c r="C7" s="14">
        <f>12_CAPEX_Input!D7*0.0</f>
        <v/>
      </c>
      <c r="D7" s="14">
        <f>12_CAPEX_Input!D7*0.2</f>
        <v/>
      </c>
      <c r="E7" s="14">
        <f>12_CAPEX_Input!D7*0.5</f>
        <v/>
      </c>
      <c r="F7" s="14">
        <f>12_CAPEX_Input!D7*0.3</f>
        <v/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Q7" s="15">
        <f>SUM(C7:P7)</f>
        <v/>
      </c>
    </row>
    <row r="8">
      <c r="A8" s="3" t="inlineStr">
        <is>
          <t>DRY-001</t>
        </is>
      </c>
      <c r="B8" s="14">
        <f>12_CAPEX_Input!D8*0.0</f>
        <v/>
      </c>
      <c r="C8" s="14">
        <f>12_CAPEX_Input!D8*0.05</f>
        <v/>
      </c>
      <c r="D8" s="14">
        <f>12_CAPEX_Input!D8*0.25</f>
        <v/>
      </c>
      <c r="E8" s="14">
        <f>12_CAPEX_Input!D8*0.45</f>
        <v/>
      </c>
      <c r="F8" s="14">
        <f>12_CAPEX_Input!D8*0.25</f>
        <v/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Q8" s="15">
        <f>SUM(C8:P8)</f>
        <v/>
      </c>
    </row>
    <row r="9">
      <c r="A9" s="3" t="inlineStr">
        <is>
          <t>UTIL-001</t>
        </is>
      </c>
      <c r="B9" s="14">
        <f>12_CAPEX_Input!D9*0.1</f>
        <v/>
      </c>
      <c r="C9" s="14">
        <f>12_CAPEX_Input!D9*0.25</f>
        <v/>
      </c>
      <c r="D9" s="14">
        <f>12_CAPEX_Input!D9*0.3</f>
        <v/>
      </c>
      <c r="E9" s="14">
        <f>12_CAPEX_Input!D9*0.25</f>
        <v/>
      </c>
      <c r="F9" s="14">
        <f>12_CAPEX_Input!D9*0.1</f>
        <v/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Q9" s="15">
        <f>SUM(C9:P9)</f>
        <v/>
      </c>
    </row>
    <row r="10">
      <c r="A10" s="3" t="inlineStr">
        <is>
          <t>LOG-001</t>
        </is>
      </c>
      <c r="B10" s="14">
        <f>12_CAPEX_Input!D10*0.0</f>
        <v/>
      </c>
      <c r="C10" s="14">
        <f>12_CAPEX_Input!D10*0.1</f>
        <v/>
      </c>
      <c r="D10" s="14">
        <f>12_CAPEX_Input!D10*0.2</f>
        <v/>
      </c>
      <c r="E10" s="14">
        <f>12_CAPEX_Input!D10*0.45</f>
        <v/>
      </c>
      <c r="F10" s="14">
        <f>12_CAPEX_Input!D10*0.25</f>
        <v/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Q10" s="15">
        <f>SUM(C10:P10)</f>
        <v/>
      </c>
    </row>
    <row r="11">
      <c r="A11" s="3" t="inlineStr">
        <is>
          <t>IT40-001</t>
        </is>
      </c>
      <c r="B11" s="14">
        <f>12_CAPEX_Input!D11*0.05</f>
        <v/>
      </c>
      <c r="C11" s="14">
        <f>12_CAPEX_Input!D11*0.15</f>
        <v/>
      </c>
      <c r="D11" s="14">
        <f>12_CAPEX_Input!D11*0.3</f>
        <v/>
      </c>
      <c r="E11" s="14">
        <f>12_CAPEX_Input!D11*0.3</f>
        <v/>
      </c>
      <c r="F11" s="14">
        <f>12_CAPEX_Input!D11*0.2</f>
        <v/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Q11" s="15">
        <f>SUM(C11:P11)</f>
        <v/>
      </c>
    </row>
    <row r="12">
      <c r="A12" s="3" t="inlineStr">
        <is>
          <t>ENG-001</t>
        </is>
      </c>
      <c r="B12" s="14">
        <f>12_CAPEX_Input!D12*0.4</f>
        <v/>
      </c>
      <c r="C12" s="14">
        <f>12_CAPEX_Input!D12*0.4</f>
        <v/>
      </c>
      <c r="D12" s="14">
        <f>12_CAPEX_Input!D12*0.2</f>
        <v/>
      </c>
      <c r="E12" s="14">
        <f>12_CAPEX_Input!D12*0.0</f>
        <v/>
      </c>
      <c r="F12" s="14">
        <f>12_CAPEX_Input!D12*0.0</f>
        <v/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Q12" s="15">
        <f>SUM(C12:P12)</f>
        <v/>
      </c>
    </row>
    <row r="13">
      <c r="A13" s="3" t="inlineStr">
        <is>
          <t>PM-001</t>
        </is>
      </c>
      <c r="B13" s="14">
        <f>12_CAPEX_Input!D13*0.2</f>
        <v/>
      </c>
      <c r="C13" s="14">
        <f>12_CAPEX_Input!D13*0.2</f>
        <v/>
      </c>
      <c r="D13" s="14">
        <f>12_CAPEX_Input!D13*0.2</f>
        <v/>
      </c>
      <c r="E13" s="14">
        <f>12_CAPEX_Input!D13*0.2</f>
        <v/>
      </c>
      <c r="F13" s="14">
        <f>12_CAPEX_Input!D13*0.2</f>
        <v/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Q13" s="15">
        <f>SUM(C13:P13)</f>
        <v/>
      </c>
    </row>
    <row r="14">
      <c r="A14" s="3" t="inlineStr">
        <is>
          <t>REN-001</t>
        </is>
      </c>
      <c r="B14" s="14">
        <f>12_CAPEX_Input!D14*0.0</f>
        <v/>
      </c>
      <c r="C14" s="14">
        <f>12_CAPEX_Input!D14*0.0</f>
        <v/>
      </c>
      <c r="D14" s="14">
        <f>12_CAPEX_Input!D14*0.1</f>
        <v/>
      </c>
      <c r="E14" s="14">
        <f>12_CAPEX_Input!D14*0.4</f>
        <v/>
      </c>
      <c r="F14" s="14">
        <f>12_CAPEX_Input!D14*0.5</f>
        <v/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Q14" s="15">
        <f>SUM(C14:P14)</f>
        <v/>
      </c>
    </row>
    <row r="15">
      <c r="A15" s="3" t="inlineStr">
        <is>
          <t>QA-001</t>
        </is>
      </c>
      <c r="B15" s="14">
        <f>12_CAPEX_Input!D15*0.05</f>
        <v/>
      </c>
      <c r="C15" s="14">
        <f>12_CAPEX_Input!D15*0.1</f>
        <v/>
      </c>
      <c r="D15" s="14">
        <f>12_CAPEX_Input!D15*0.2</f>
        <v/>
      </c>
      <c r="E15" s="14">
        <f>12_CAPEX_Input!D15*0.35</f>
        <v/>
      </c>
      <c r="F15" s="14">
        <f>12_CAPEX_Input!D15*0.3</f>
        <v/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Q15" s="15">
        <f>SUM(C15:P15)</f>
        <v/>
      </c>
    </row>
    <row r="16"/>
    <row r="17">
      <c r="B17" s="3" t="inlineStr">
        <is>
          <t>Annual CAPEX total</t>
        </is>
      </c>
      <c r="C17" s="15">
        <f>SUM(C5:C15)</f>
        <v/>
      </c>
      <c r="D17" s="15">
        <f>SUM(D5:D15)</f>
        <v/>
      </c>
      <c r="E17" s="15">
        <f>SUM(E5:E15)</f>
        <v/>
      </c>
      <c r="F17" s="15">
        <f>SUM(F5:F15)</f>
        <v/>
      </c>
      <c r="G17" s="15">
        <f>SUM(G5:G15)</f>
        <v/>
      </c>
      <c r="H17" s="15">
        <f>SUM(H5:H15)</f>
        <v/>
      </c>
      <c r="I17" s="15">
        <f>SUM(I5:I15)</f>
        <v/>
      </c>
      <c r="J17" s="15">
        <f>SUM(J5:J15)</f>
        <v/>
      </c>
      <c r="K17" s="15">
        <f>SUM(K5:K15)</f>
        <v/>
      </c>
      <c r="L17" s="15">
        <f>SUM(L5:L15)</f>
        <v/>
      </c>
      <c r="M17" s="15">
        <f>SUM(M5:M15)</f>
        <v/>
      </c>
      <c r="N17" s="15">
        <f>SUM(N5:N15)</f>
        <v/>
      </c>
      <c r="O17" s="15">
        <f>SUM(O5:O15)</f>
        <v/>
      </c>
      <c r="P17" s="15">
        <f>SUM(P5:P15)</f>
        <v/>
      </c>
      <c r="Q17" s="15">
        <f>SUM(C17:P17)</f>
        <v/>
      </c>
    </row>
    <row r="18">
      <c r="B18" s="3" t="inlineStr">
        <is>
          <t>Cumulative CAPEX</t>
        </is>
      </c>
      <c r="C18" s="15">
        <f>C17</f>
        <v/>
      </c>
      <c r="D18" s="15">
        <f>C18+D17</f>
        <v/>
      </c>
      <c r="E18" s="15">
        <f>D18+E17</f>
        <v/>
      </c>
      <c r="F18" s="15">
        <f>E18+F17</f>
        <v/>
      </c>
      <c r="G18" s="15">
        <f>F18+G17</f>
        <v/>
      </c>
      <c r="H18" s="15">
        <f>G18+H17</f>
        <v/>
      </c>
      <c r="I18" s="15">
        <f>H18+I17</f>
        <v/>
      </c>
      <c r="J18" s="15">
        <f>I18+J17</f>
        <v/>
      </c>
      <c r="K18" s="15">
        <f>J18+K17</f>
        <v/>
      </c>
      <c r="L18" s="15">
        <f>K18+L17</f>
        <v/>
      </c>
      <c r="M18" s="15">
        <f>L18+M17</f>
        <v/>
      </c>
      <c r="N18" s="15">
        <f>M18+N17</f>
        <v/>
      </c>
      <c r="O18" s="15">
        <f>N18+O17</f>
        <v/>
      </c>
      <c r="P18" s="15">
        <f>O18+P17</f>
        <v/>
      </c>
      <c r="Q18" s="15">
        <f>P18</f>
        <v/>
      </c>
    </row>
    <row r="19">
      <c r="B19" s="3" t="inlineStr">
        <is>
          <t>Grant-eligible CAPEX</t>
        </is>
      </c>
      <c r="C19" s="15">
        <f>C5*12_CAPEX_Input!E5+C6*12_CAPEX_Input!E6+C7*12_CAPEX_Input!E7+C8*12_CAPEX_Input!E8+C9*12_CAPEX_Input!E9+C10*12_CAPEX_Input!E10+C11*12_CAPEX_Input!E11+C12*12_CAPEX_Input!E12+C13*12_CAPEX_Input!E13+C14*12_CAPEX_Input!E14+C15*12_CAPEX_Input!E15</f>
        <v/>
      </c>
      <c r="D19" s="15">
        <f>D5*12_CAPEX_Input!E5+D6*12_CAPEX_Input!E6+D7*12_CAPEX_Input!E7+D8*12_CAPEX_Input!E8+D9*12_CAPEX_Input!E9+D10*12_CAPEX_Input!E10+D11*12_CAPEX_Input!E11+D12*12_CAPEX_Input!E12+D13*12_CAPEX_Input!E13+D14*12_CAPEX_Input!E14+D15*12_CAPEX_Input!E15</f>
        <v/>
      </c>
      <c r="E19" s="15">
        <f>E5*12_CAPEX_Input!E5+E6*12_CAPEX_Input!E6+E7*12_CAPEX_Input!E7+E8*12_CAPEX_Input!E8+E9*12_CAPEX_Input!E9+E10*12_CAPEX_Input!E10+E11*12_CAPEX_Input!E11+E12*12_CAPEX_Input!E12+E13*12_CAPEX_Input!E13+E14*12_CAPEX_Input!E14+E15*12_CAPEX_Input!E15</f>
        <v/>
      </c>
      <c r="F19" s="15">
        <f>F5*12_CAPEX_Input!E5+F6*12_CAPEX_Input!E6+F7*12_CAPEX_Input!E7+F8*12_CAPEX_Input!E8+F9*12_CAPEX_Input!E9+F10*12_CAPEX_Input!E10+F11*12_CAPEX_Input!E11+F12*12_CAPEX_Input!E12+F13*12_CAPEX_Input!E13+F14*12_CAPEX_Input!E14+F15*12_CAPEX_Input!E15</f>
        <v/>
      </c>
      <c r="G19" s="15">
        <f>G5*12_CAPEX_Input!E5+G6*12_CAPEX_Input!E6+G7*12_CAPEX_Input!E7+G8*12_CAPEX_Input!E8+G9*12_CAPEX_Input!E9+G10*12_CAPEX_Input!E10+G11*12_CAPEX_Input!E11+G12*12_CAPEX_Input!E12+G13*12_CAPEX_Input!E13+G14*12_CAPEX_Input!E14+G15*12_CAPEX_Input!E15</f>
        <v/>
      </c>
      <c r="H19" s="15">
        <f>H5*12_CAPEX_Input!E5+H6*12_CAPEX_Input!E6+H7*12_CAPEX_Input!E7+H8*12_CAPEX_Input!E8+H9*12_CAPEX_Input!E9+H10*12_CAPEX_Input!E10+H11*12_CAPEX_Input!E11+H12*12_CAPEX_Input!E12+H13*12_CAPEX_Input!E13+H14*12_CAPEX_Input!E14+H15*12_CAPEX_Input!E15</f>
        <v/>
      </c>
      <c r="I19" s="15">
        <f>I5*12_CAPEX_Input!E5+I6*12_CAPEX_Input!E6+I7*12_CAPEX_Input!E7+I8*12_CAPEX_Input!E8+I9*12_CAPEX_Input!E9+I10*12_CAPEX_Input!E10+I11*12_CAPEX_Input!E11+I12*12_CAPEX_Input!E12+I13*12_CAPEX_Input!E13+I14*12_CAPEX_Input!E14+I15*12_CAPEX_Input!E15</f>
        <v/>
      </c>
      <c r="J19" s="15">
        <f>J5*12_CAPEX_Input!E5+J6*12_CAPEX_Input!E6+J7*12_CAPEX_Input!E7+J8*12_CAPEX_Input!E8+J9*12_CAPEX_Input!E9+J10*12_CAPEX_Input!E10+J11*12_CAPEX_Input!E11+J12*12_CAPEX_Input!E12+J13*12_CAPEX_Input!E13+J14*12_CAPEX_Input!E14+J15*12_CAPEX_Input!E15</f>
        <v/>
      </c>
      <c r="K19" s="15">
        <f>K5*12_CAPEX_Input!E5+K6*12_CAPEX_Input!E6+K7*12_CAPEX_Input!E7+K8*12_CAPEX_Input!E8+K9*12_CAPEX_Input!E9+K10*12_CAPEX_Input!E10+K11*12_CAPEX_Input!E11+K12*12_CAPEX_Input!E12+K13*12_CAPEX_Input!E13+K14*12_CAPEX_Input!E14+K15*12_CAPEX_Input!E15</f>
        <v/>
      </c>
      <c r="L19" s="15">
        <f>L5*12_CAPEX_Input!E5+L6*12_CAPEX_Input!E6+L7*12_CAPEX_Input!E7+L8*12_CAPEX_Input!E8+L9*12_CAPEX_Input!E9+L10*12_CAPEX_Input!E10+L11*12_CAPEX_Input!E11+L12*12_CAPEX_Input!E12+L13*12_CAPEX_Input!E13+L14*12_CAPEX_Input!E14+L15*12_CAPEX_Input!E15</f>
        <v/>
      </c>
      <c r="M19" s="15">
        <f>M5*12_CAPEX_Input!E5+M6*12_CAPEX_Input!E6+M7*12_CAPEX_Input!E7+M8*12_CAPEX_Input!E8+M9*12_CAPEX_Input!E9+M10*12_CAPEX_Input!E10+M11*12_CAPEX_Input!E11+M12*12_CAPEX_Input!E12+M13*12_CAPEX_Input!E13+M14*12_CAPEX_Input!E14+M15*12_CAPEX_Input!E15</f>
        <v/>
      </c>
      <c r="N19" s="15">
        <f>N5*12_CAPEX_Input!E5+N6*12_CAPEX_Input!E6+N7*12_CAPEX_Input!E7+N8*12_CAPEX_Input!E8+N9*12_CAPEX_Input!E9+N10*12_CAPEX_Input!E10+N11*12_CAPEX_Input!E11+N12*12_CAPEX_Input!E12+N13*12_CAPEX_Input!E13+N14*12_CAPEX_Input!E14+N15*12_CAPEX_Input!E15</f>
        <v/>
      </c>
      <c r="O19" s="15">
        <f>O5*12_CAPEX_Input!E5+O6*12_CAPEX_Input!E6+O7*12_CAPEX_Input!E7+O8*12_CAPEX_Input!E8+O9*12_CAPEX_Input!E9+O10*12_CAPEX_Input!E10+O11*12_CAPEX_Input!E11+O12*12_CAPEX_Input!E12+O13*12_CAPEX_Input!E13+O14*12_CAPEX_Input!E14+O15*12_CAPEX_Input!E15</f>
        <v/>
      </c>
      <c r="P19" s="15">
        <f>P5*12_CAPEX_Input!E5+P6*12_CAPEX_Input!E6+P7*12_CAPEX_Input!E7+P8*12_CAPEX_Input!E8+P9*12_CAPEX_Input!E9+P10*12_CAPEX_Input!E10+P11*12_CAPEX_Input!E11+P12*12_CAPEX_Input!E12+P13*12_CAPEX_Input!E13+P14*12_CAPEX_Input!E14+P15*12_CAPEX_Input!E15</f>
        <v/>
      </c>
      <c r="Q19" s="15">
        <f>SUM(C19:P19)</f>
        <v/>
      </c>
    </row>
  </sheetData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</cols>
  <sheetData>
    <row r="1" ht="24" customHeight="1">
      <c r="A1" s="1" t="inlineStr">
        <is>
          <t>21_Sources_Uses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  <c r="Q4" s="5" t="inlineStr">
        <is>
          <t>Total</t>
        </is>
      </c>
    </row>
    <row r="5">
      <c r="A5" s="3" t="inlineStr">
        <is>
          <t>Annual CAPEX spend</t>
        </is>
      </c>
      <c r="B5" s="14">
        <f>20_CAPEX_Phasing!C17</f>
        <v/>
      </c>
      <c r="C5" s="14">
        <f>20_CAPEX_Phasing!D17</f>
        <v/>
      </c>
      <c r="D5" s="14">
        <f>20_CAPEX_Phasing!E17</f>
        <v/>
      </c>
      <c r="E5" s="14">
        <f>20_CAPEX_Phasing!F17</f>
        <v/>
      </c>
      <c r="F5" s="14">
        <f>20_CAPEX_Phasing!G17</f>
        <v/>
      </c>
      <c r="G5" s="14">
        <f>20_CAPEX_Phasing!H17</f>
        <v/>
      </c>
      <c r="H5" s="14">
        <f>20_CAPEX_Phasing!I17</f>
        <v/>
      </c>
      <c r="I5" s="14">
        <f>20_CAPEX_Phasing!J17</f>
        <v/>
      </c>
      <c r="J5" s="14">
        <f>20_CAPEX_Phasing!K17</f>
        <v/>
      </c>
      <c r="K5" s="14">
        <f>20_CAPEX_Phasing!L17</f>
        <v/>
      </c>
      <c r="L5" s="14">
        <f>20_CAPEX_Phasing!M17</f>
        <v/>
      </c>
      <c r="M5" s="14">
        <f>20_CAPEX_Phasing!N17</f>
        <v/>
      </c>
      <c r="N5" s="14">
        <f>20_CAPEX_Phasing!O17</f>
        <v/>
      </c>
      <c r="O5" s="14">
        <f>20_CAPEX_Phasing!P17</f>
        <v/>
      </c>
      <c r="Q5" s="15">
        <f>SUM(B5:O5)</f>
        <v/>
      </c>
    </row>
    <row r="6">
      <c r="A6" s="3" t="inlineStr">
        <is>
          <t>Equity funding</t>
        </is>
      </c>
      <c r="B6" s="14">
        <f>B5*10_Assumptions!$B$10</f>
        <v/>
      </c>
      <c r="C6" s="14">
        <f>C5*10_Assumptions!$B$10</f>
        <v/>
      </c>
      <c r="D6" s="14">
        <f>D5*10_Assumptions!$B$10</f>
        <v/>
      </c>
      <c r="E6" s="14">
        <f>E5*10_Assumptions!$B$10</f>
        <v/>
      </c>
      <c r="F6" s="14">
        <f>F5*10_Assumptions!$B$10</f>
        <v/>
      </c>
      <c r="G6" s="14">
        <f>G5*10_Assumptions!$B$10</f>
        <v/>
      </c>
      <c r="H6" s="14">
        <f>H5*10_Assumptions!$B$10</f>
        <v/>
      </c>
      <c r="I6" s="14">
        <f>I5*10_Assumptions!$B$10</f>
        <v/>
      </c>
      <c r="J6" s="14">
        <f>J5*10_Assumptions!$B$10</f>
        <v/>
      </c>
      <c r="K6" s="14">
        <f>K5*10_Assumptions!$B$10</f>
        <v/>
      </c>
      <c r="L6" s="14">
        <f>L5*10_Assumptions!$B$10</f>
        <v/>
      </c>
      <c r="M6" s="14">
        <f>M5*10_Assumptions!$B$10</f>
        <v/>
      </c>
      <c r="N6" s="14">
        <f>N5*10_Assumptions!$B$10</f>
        <v/>
      </c>
      <c r="O6" s="14">
        <f>O5*10_Assumptions!$B$10</f>
        <v/>
      </c>
      <c r="Q6" s="15">
        <f>SUM(B6:O6)</f>
        <v/>
      </c>
    </row>
    <row r="7">
      <c r="A7" s="3" t="inlineStr">
        <is>
          <t>Debt funding</t>
        </is>
      </c>
      <c r="B7" s="14">
        <f>B5*10_Assumptions!$B$12</f>
        <v/>
      </c>
      <c r="C7" s="14">
        <f>C5*10_Assumptions!$B$12</f>
        <v/>
      </c>
      <c r="D7" s="14">
        <f>D5*10_Assumptions!$B$12</f>
        <v/>
      </c>
      <c r="E7" s="14">
        <f>E5*10_Assumptions!$B$12</f>
        <v/>
      </c>
      <c r="F7" s="14">
        <f>F5*10_Assumptions!$B$12</f>
        <v/>
      </c>
      <c r="G7" s="14">
        <f>G5*10_Assumptions!$B$12</f>
        <v/>
      </c>
      <c r="H7" s="14">
        <f>H5*10_Assumptions!$B$12</f>
        <v/>
      </c>
      <c r="I7" s="14">
        <f>I5*10_Assumptions!$B$12</f>
        <v/>
      </c>
      <c r="J7" s="14">
        <f>J5*10_Assumptions!$B$12</f>
        <v/>
      </c>
      <c r="K7" s="14">
        <f>K5*10_Assumptions!$B$12</f>
        <v/>
      </c>
      <c r="L7" s="14">
        <f>L5*10_Assumptions!$B$12</f>
        <v/>
      </c>
      <c r="M7" s="14">
        <f>M5*10_Assumptions!$B$12</f>
        <v/>
      </c>
      <c r="N7" s="14">
        <f>N5*10_Assumptions!$B$12</f>
        <v/>
      </c>
      <c r="O7" s="14">
        <f>O5*10_Assumptions!$B$12</f>
        <v/>
      </c>
      <c r="Q7" s="15">
        <f>SUM(B7:O7)</f>
        <v/>
      </c>
    </row>
    <row r="8">
      <c r="A8" s="3" t="inlineStr">
        <is>
          <t>Construction sources subtotal</t>
        </is>
      </c>
      <c r="B8" s="14">
        <f>B6+B7</f>
        <v/>
      </c>
      <c r="C8" s="14">
        <f>C6+C7</f>
        <v/>
      </c>
      <c r="D8" s="14">
        <f>D6+D7</f>
        <v/>
      </c>
      <c r="E8" s="14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  <c r="J8" s="14">
        <f>J6+J7</f>
        <v/>
      </c>
      <c r="K8" s="14">
        <f>K6+K7</f>
        <v/>
      </c>
      <c r="L8" s="14">
        <f>L6+L7</f>
        <v/>
      </c>
      <c r="M8" s="14">
        <f>M6+M7</f>
        <v/>
      </c>
      <c r="N8" s="14">
        <f>N6+N7</f>
        <v/>
      </c>
      <c r="O8" s="14">
        <f>O6+O7</f>
        <v/>
      </c>
      <c r="Q8" s="15">
        <f>SUM(B8:O8)</f>
        <v/>
      </c>
    </row>
    <row r="9">
      <c r="A9" s="3" t="inlineStr">
        <is>
          <t>Funding gap / (surplus)</t>
        </is>
      </c>
      <c r="B9" s="14">
        <f>B8-B5</f>
        <v/>
      </c>
      <c r="C9" s="14">
        <f>C8-C5</f>
        <v/>
      </c>
      <c r="D9" s="14">
        <f>D8-D5</f>
        <v/>
      </c>
      <c r="E9" s="14">
        <f>E8-E5</f>
        <v/>
      </c>
      <c r="F9" s="14">
        <f>F8-F5</f>
        <v/>
      </c>
      <c r="G9" s="14">
        <f>G8-G5</f>
        <v/>
      </c>
      <c r="H9" s="14">
        <f>H8-H5</f>
        <v/>
      </c>
      <c r="I9" s="14">
        <f>I8-I5</f>
        <v/>
      </c>
      <c r="J9" s="14">
        <f>J8-J5</f>
        <v/>
      </c>
      <c r="K9" s="14">
        <f>K8-K5</f>
        <v/>
      </c>
      <c r="L9" s="14">
        <f>L8-L5</f>
        <v/>
      </c>
      <c r="M9" s="14">
        <f>M8-M5</f>
        <v/>
      </c>
      <c r="N9" s="14">
        <f>N8-N5</f>
        <v/>
      </c>
      <c r="O9" s="14">
        <f>O8-O5</f>
        <v/>
      </c>
      <c r="Q9" s="15">
        <f>SUM(B9:O9)</f>
        <v/>
      </c>
    </row>
    <row r="10">
      <c r="A10" s="3" t="inlineStr">
        <is>
          <t>Grant-eligible CAPEX</t>
        </is>
      </c>
      <c r="B10" s="14">
        <f>20_CAPEX_Phasing!C19</f>
        <v/>
      </c>
      <c r="C10" s="14">
        <f>20_CAPEX_Phasing!D19</f>
        <v/>
      </c>
      <c r="D10" s="14">
        <f>20_CAPEX_Phasing!E19</f>
        <v/>
      </c>
      <c r="E10" s="14">
        <f>20_CAPEX_Phasing!F19</f>
        <v/>
      </c>
      <c r="F10" s="14">
        <f>20_CAPEX_Phasing!G19</f>
        <v/>
      </c>
      <c r="G10" s="14">
        <f>20_CAPEX_Phasing!H19</f>
        <v/>
      </c>
      <c r="H10" s="14">
        <f>20_CAPEX_Phasing!I19</f>
        <v/>
      </c>
      <c r="I10" s="14">
        <f>20_CAPEX_Phasing!J19</f>
        <v/>
      </c>
      <c r="J10" s="14">
        <f>20_CAPEX_Phasing!K19</f>
        <v/>
      </c>
      <c r="K10" s="14">
        <f>20_CAPEX_Phasing!L19</f>
        <v/>
      </c>
      <c r="L10" s="14">
        <f>20_CAPEX_Phasing!M19</f>
        <v/>
      </c>
      <c r="M10" s="14">
        <f>20_CAPEX_Phasing!N19</f>
        <v/>
      </c>
      <c r="N10" s="14">
        <f>20_CAPEX_Phasing!O19</f>
        <v/>
      </c>
      <c r="O10" s="14">
        <f>20_CAPEX_Phasing!P19</f>
        <v/>
      </c>
      <c r="Q10" s="15">
        <f>SUM(B10:O10)</f>
        <v/>
      </c>
    </row>
    <row r="11">
      <c r="A11" s="3" t="inlineStr">
        <is>
          <t>Grant reimbursement memo</t>
        </is>
      </c>
      <c r="B11" s="14" t="n">
        <v>0</v>
      </c>
      <c r="C11" s="14">
        <f>B10*10_Assumptions!$B$21</f>
        <v/>
      </c>
      <c r="D11" s="14">
        <f>C10*10_Assumptions!$B$21</f>
        <v/>
      </c>
      <c r="E11" s="14">
        <f>D10*10_Assumptions!$B$21</f>
        <v/>
      </c>
      <c r="F11" s="14">
        <f>E10*10_Assumptions!$B$21</f>
        <v/>
      </c>
      <c r="G11" s="14">
        <f>F10*10_Assumptions!$B$21</f>
        <v/>
      </c>
      <c r="H11" s="14">
        <f>G10*10_Assumptions!$B$21</f>
        <v/>
      </c>
      <c r="I11" s="14">
        <f>H10*10_Assumptions!$B$21</f>
        <v/>
      </c>
      <c r="J11" s="14">
        <f>I10*10_Assumptions!$B$21</f>
        <v/>
      </c>
      <c r="K11" s="14">
        <f>J10*10_Assumptions!$B$21</f>
        <v/>
      </c>
      <c r="L11" s="14">
        <f>K10*10_Assumptions!$B$21</f>
        <v/>
      </c>
      <c r="M11" s="14">
        <f>L10*10_Assumptions!$B$21</f>
        <v/>
      </c>
      <c r="N11" s="14">
        <f>M10*10_Assumptions!$B$21</f>
        <v/>
      </c>
      <c r="O11" s="14">
        <f>N10*10_Assumptions!$B$21</f>
        <v/>
      </c>
      <c r="Q11" s="15">
        <f>SUM(B11:O11)</f>
        <v/>
      </c>
    </row>
  </sheetData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</cols>
  <sheetData>
    <row r="1" ht="24" customHeight="1">
      <c r="A1" s="1" t="inlineStr">
        <is>
          <t>22_Grant_Module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  <c r="Q4" s="5" t="inlineStr">
        <is>
          <t>Total</t>
        </is>
      </c>
    </row>
    <row r="5">
      <c r="A5" s="3" t="inlineStr">
        <is>
          <t>Eligible CAPEX incurred</t>
        </is>
      </c>
      <c r="B5" s="15">
        <f>21_Sources_Uses!B10</f>
        <v/>
      </c>
      <c r="C5" s="15">
        <f>21_Sources_Uses!C10</f>
        <v/>
      </c>
      <c r="D5" s="15">
        <f>21_Sources_Uses!D10</f>
        <v/>
      </c>
      <c r="E5" s="15">
        <f>21_Sources_Uses!E10</f>
        <v/>
      </c>
      <c r="F5" s="15">
        <f>21_Sources_Uses!F10</f>
        <v/>
      </c>
      <c r="G5" s="15">
        <f>21_Sources_Uses!G10</f>
        <v/>
      </c>
      <c r="H5" s="15">
        <f>21_Sources_Uses!H10</f>
        <v/>
      </c>
      <c r="I5" s="15">
        <f>21_Sources_Uses!I10</f>
        <v/>
      </c>
      <c r="J5" s="15">
        <f>21_Sources_Uses!J10</f>
        <v/>
      </c>
      <c r="K5" s="15">
        <f>21_Sources_Uses!K10</f>
        <v/>
      </c>
      <c r="L5" s="15">
        <f>21_Sources_Uses!L10</f>
        <v/>
      </c>
      <c r="M5" s="15">
        <f>21_Sources_Uses!M10</f>
        <v/>
      </c>
      <c r="N5" s="15">
        <f>21_Sources_Uses!N10</f>
        <v/>
      </c>
      <c r="O5" s="15">
        <f>21_Sources_Uses!O10</f>
        <v/>
      </c>
      <c r="Q5" s="15">
        <f>SUM(B5:O5)</f>
        <v/>
      </c>
    </row>
    <row r="6">
      <c r="A6" s="3" t="inlineStr">
        <is>
          <t>Reimbursement rate</t>
        </is>
      </c>
      <c r="B6" s="16">
        <f>10_Assumptions!$B$21</f>
        <v/>
      </c>
      <c r="C6" s="16">
        <f>10_Assumptions!$B$21</f>
        <v/>
      </c>
      <c r="D6" s="16">
        <f>10_Assumptions!$B$21</f>
        <v/>
      </c>
      <c r="E6" s="16">
        <f>10_Assumptions!$B$21</f>
        <v/>
      </c>
      <c r="F6" s="16">
        <f>10_Assumptions!$B$21</f>
        <v/>
      </c>
      <c r="G6" s="16">
        <f>10_Assumptions!$B$21</f>
        <v/>
      </c>
      <c r="H6" s="16">
        <f>10_Assumptions!$B$21</f>
        <v/>
      </c>
      <c r="I6" s="16">
        <f>10_Assumptions!$B$21</f>
        <v/>
      </c>
      <c r="J6" s="16">
        <f>10_Assumptions!$B$21</f>
        <v/>
      </c>
      <c r="K6" s="16">
        <f>10_Assumptions!$B$21</f>
        <v/>
      </c>
      <c r="L6" s="16">
        <f>10_Assumptions!$B$21</f>
        <v/>
      </c>
      <c r="M6" s="16">
        <f>10_Assumptions!$B$21</f>
        <v/>
      </c>
      <c r="N6" s="16">
        <f>10_Assumptions!$B$21</f>
        <v/>
      </c>
      <c r="O6" s="16">
        <f>10_Assumptions!$B$21</f>
        <v/>
      </c>
    </row>
    <row r="7">
      <c r="A7" s="3" t="inlineStr">
        <is>
          <t>Grant inflow</t>
        </is>
      </c>
      <c r="B7" s="15" t="n">
        <v>0</v>
      </c>
      <c r="C7" s="15">
        <f>B5*C6</f>
        <v/>
      </c>
      <c r="D7" s="15">
        <f>C5*D6</f>
        <v/>
      </c>
      <c r="E7" s="15">
        <f>D5*E6</f>
        <v/>
      </c>
      <c r="F7" s="15">
        <f>E5*F6</f>
        <v/>
      </c>
      <c r="G7" s="15">
        <f>F5*G6</f>
        <v/>
      </c>
      <c r="H7" s="15">
        <f>G5*H6</f>
        <v/>
      </c>
      <c r="I7" s="15">
        <f>H5*I6</f>
        <v/>
      </c>
      <c r="J7" s="15">
        <f>I5*J6</f>
        <v/>
      </c>
      <c r="K7" s="15">
        <f>J5*K6</f>
        <v/>
      </c>
      <c r="L7" s="15">
        <f>K5*L6</f>
        <v/>
      </c>
      <c r="M7" s="15">
        <f>L5*M6</f>
        <v/>
      </c>
      <c r="N7" s="15">
        <f>M5*N6</f>
        <v/>
      </c>
      <c r="O7" s="15">
        <f>N5*O6</f>
        <v/>
      </c>
      <c r="Q7" s="15">
        <f>SUM(B7:O7)</f>
        <v/>
      </c>
    </row>
    <row r="8">
      <c r="A8" s="3" t="inlineStr">
        <is>
          <t>Cumulative grant inflow</t>
        </is>
      </c>
      <c r="B8" s="15">
        <f>B7</f>
        <v/>
      </c>
      <c r="C8" s="15">
        <f>B8+C7</f>
        <v/>
      </c>
      <c r="D8" s="15">
        <f>C8+D7</f>
        <v/>
      </c>
      <c r="E8" s="15">
        <f>D8+E7</f>
        <v/>
      </c>
      <c r="F8" s="15">
        <f>E8+F7</f>
        <v/>
      </c>
      <c r="G8" s="15">
        <f>F8+G7</f>
        <v/>
      </c>
      <c r="H8" s="15">
        <f>G8+H7</f>
        <v/>
      </c>
      <c r="I8" s="15">
        <f>H8+I7</f>
        <v/>
      </c>
      <c r="J8" s="15">
        <f>I8+J7</f>
        <v/>
      </c>
      <c r="K8" s="15">
        <f>J8+K7</f>
        <v/>
      </c>
      <c r="L8" s="15">
        <f>K8+L7</f>
        <v/>
      </c>
      <c r="M8" s="15">
        <f>L8+M7</f>
        <v/>
      </c>
      <c r="N8" s="15">
        <f>M8+N7</f>
        <v/>
      </c>
      <c r="O8" s="15">
        <f>N8+O7</f>
        <v/>
      </c>
      <c r="Q8" s="15">
        <f>SUM(B8:O8)</f>
        <v/>
      </c>
    </row>
    <row r="9">
      <c r="A9" s="3" t="inlineStr">
        <is>
          <t>Grant cap</t>
        </is>
      </c>
      <c r="B9" s="15">
        <f>10_Assumptions!$B$9*10_Assumptions!$B$11</f>
        <v/>
      </c>
      <c r="C9" s="15">
        <f>10_Assumptions!$B$9*10_Assumptions!$B$11</f>
        <v/>
      </c>
      <c r="D9" s="15">
        <f>10_Assumptions!$B$9*10_Assumptions!$B$11</f>
        <v/>
      </c>
      <c r="E9" s="15">
        <f>10_Assumptions!$B$9*10_Assumptions!$B$11</f>
        <v/>
      </c>
      <c r="F9" s="15">
        <f>10_Assumptions!$B$9*10_Assumptions!$B$11</f>
        <v/>
      </c>
      <c r="G9" s="15">
        <f>10_Assumptions!$B$9*10_Assumptions!$B$11</f>
        <v/>
      </c>
      <c r="H9" s="15">
        <f>10_Assumptions!$B$9*10_Assumptions!$B$11</f>
        <v/>
      </c>
      <c r="I9" s="15">
        <f>10_Assumptions!$B$9*10_Assumptions!$B$11</f>
        <v/>
      </c>
      <c r="J9" s="15">
        <f>10_Assumptions!$B$9*10_Assumptions!$B$11</f>
        <v/>
      </c>
      <c r="K9" s="15">
        <f>10_Assumptions!$B$9*10_Assumptions!$B$11</f>
        <v/>
      </c>
      <c r="L9" s="15">
        <f>10_Assumptions!$B$9*10_Assumptions!$B$11</f>
        <v/>
      </c>
      <c r="M9" s="15">
        <f>10_Assumptions!$B$9*10_Assumptions!$B$11</f>
        <v/>
      </c>
      <c r="N9" s="15">
        <f>10_Assumptions!$B$9*10_Assumptions!$B$11</f>
        <v/>
      </c>
      <c r="O9" s="15">
        <f>10_Assumptions!$B$9*10_Assumptions!$B$11</f>
        <v/>
      </c>
    </row>
    <row r="10">
      <c r="A10" s="3" t="inlineStr">
        <is>
          <t>Remaining grant headroom</t>
        </is>
      </c>
      <c r="B10" s="15">
        <f>B9-B8</f>
        <v/>
      </c>
      <c r="C10" s="15">
        <f>C9-C8</f>
        <v/>
      </c>
      <c r="D10" s="15">
        <f>D9-D8</f>
        <v/>
      </c>
      <c r="E10" s="15">
        <f>E9-E8</f>
        <v/>
      </c>
      <c r="F10" s="15">
        <f>F9-F8</f>
        <v/>
      </c>
      <c r="G10" s="15">
        <f>G9-G8</f>
        <v/>
      </c>
      <c r="H10" s="15">
        <f>H9-H8</f>
        <v/>
      </c>
      <c r="I10" s="15">
        <f>I9-I8</f>
        <v/>
      </c>
      <c r="J10" s="15">
        <f>J9-J8</f>
        <v/>
      </c>
      <c r="K10" s="15">
        <f>K9-K8</f>
        <v/>
      </c>
      <c r="L10" s="15">
        <f>L9-L8</f>
        <v/>
      </c>
      <c r="M10" s="15">
        <f>M9-M8</f>
        <v/>
      </c>
      <c r="N10" s="15">
        <f>N9-N8</f>
        <v/>
      </c>
      <c r="O10" s="15">
        <f>O9-O8</f>
        <v/>
      </c>
    </row>
  </sheetData>
  <mergeCells count="1"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</cols>
  <sheetData>
    <row r="1" ht="24" customHeight="1">
      <c r="A1" s="1" t="inlineStr">
        <is>
          <t>23_Debt_Drawdown_IDC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  <c r="Q4" s="5" t="inlineStr">
        <is>
          <t>Total</t>
        </is>
      </c>
    </row>
    <row r="5">
      <c r="A5" s="3" t="inlineStr">
        <is>
          <t>Opening construction debt</t>
        </is>
      </c>
      <c r="B5" s="15" t="n">
        <v>0</v>
      </c>
      <c r="C5" s="15">
        <f>B11</f>
        <v/>
      </c>
      <c r="D5" s="15">
        <f>C11</f>
        <v/>
      </c>
      <c r="E5" s="15">
        <f>D11</f>
        <v/>
      </c>
      <c r="F5" s="15">
        <f>E11</f>
        <v/>
      </c>
      <c r="G5" s="15">
        <f>F11</f>
        <v/>
      </c>
      <c r="H5" s="15">
        <f>G11</f>
        <v/>
      </c>
      <c r="I5" s="15">
        <f>H11</f>
        <v/>
      </c>
      <c r="J5" s="15">
        <f>I11</f>
        <v/>
      </c>
      <c r="K5" s="15">
        <f>J11</f>
        <v/>
      </c>
      <c r="L5" s="15">
        <f>K11</f>
        <v/>
      </c>
      <c r="M5" s="15">
        <f>L11</f>
        <v/>
      </c>
      <c r="N5" s="15">
        <f>M11</f>
        <v/>
      </c>
      <c r="O5" s="15">
        <f>N11</f>
        <v/>
      </c>
      <c r="Q5" s="15">
        <f>SUM(B5:O5)</f>
        <v/>
      </c>
    </row>
    <row r="6">
      <c r="A6" s="3" t="inlineStr">
        <is>
          <t>Debt draw</t>
        </is>
      </c>
      <c r="B6" s="15">
        <f>21_Sources_Uses!B7</f>
        <v/>
      </c>
      <c r="C6" s="15">
        <f>21_Sources_Uses!C7</f>
        <v/>
      </c>
      <c r="D6" s="15">
        <f>21_Sources_Uses!D7</f>
        <v/>
      </c>
      <c r="E6" s="15">
        <f>21_Sources_Uses!E7</f>
        <v/>
      </c>
      <c r="F6" s="15">
        <f>21_Sources_Uses!F7</f>
        <v/>
      </c>
      <c r="G6" s="15">
        <f>21_Sources_Uses!G7</f>
        <v/>
      </c>
      <c r="H6" s="15">
        <f>21_Sources_Uses!H7</f>
        <v/>
      </c>
      <c r="I6" s="15">
        <f>21_Sources_Uses!I7</f>
        <v/>
      </c>
      <c r="J6" s="15">
        <f>21_Sources_Uses!J7</f>
        <v/>
      </c>
      <c r="K6" s="15">
        <f>21_Sources_Uses!K7</f>
        <v/>
      </c>
      <c r="L6" s="15">
        <f>21_Sources_Uses!L7</f>
        <v/>
      </c>
      <c r="M6" s="15">
        <f>21_Sources_Uses!M7</f>
        <v/>
      </c>
      <c r="N6" s="15">
        <f>21_Sources_Uses!N7</f>
        <v/>
      </c>
      <c r="O6" s="15">
        <f>21_Sources_Uses!O7</f>
        <v/>
      </c>
      <c r="Q6" s="15">
        <f>SUM(B6:O6)</f>
        <v/>
      </c>
    </row>
    <row r="7">
      <c r="A7" s="3" t="inlineStr">
        <is>
          <t>Average debt during year</t>
        </is>
      </c>
      <c r="B7" s="15">
        <f>B5+B6/2</f>
        <v/>
      </c>
      <c r="C7" s="15">
        <f>C5+C6/2</f>
        <v/>
      </c>
      <c r="D7" s="15">
        <f>D5+D6/2</f>
        <v/>
      </c>
      <c r="E7" s="15">
        <f>E5+E6/2</f>
        <v/>
      </c>
      <c r="F7" s="15">
        <f>F5+F6/2</f>
        <v/>
      </c>
      <c r="G7" s="15">
        <f>G5+G6/2</f>
        <v/>
      </c>
      <c r="H7" s="15">
        <f>H5+H6/2</f>
        <v/>
      </c>
      <c r="I7" s="15">
        <f>I5+I6/2</f>
        <v/>
      </c>
      <c r="J7" s="15">
        <f>J5+J6/2</f>
        <v/>
      </c>
      <c r="K7" s="15">
        <f>K5+K6/2</f>
        <v/>
      </c>
      <c r="L7" s="15">
        <f>L5+L6/2</f>
        <v/>
      </c>
      <c r="M7" s="15">
        <f>M5+M6/2</f>
        <v/>
      </c>
      <c r="N7" s="15">
        <f>N5+N6/2</f>
        <v/>
      </c>
      <c r="O7" s="15">
        <f>O5+O6/2</f>
        <v/>
      </c>
      <c r="Q7" s="15">
        <f>SUM(B7:O7)</f>
        <v/>
      </c>
    </row>
    <row r="8">
      <c r="A8" s="3" t="inlineStr">
        <is>
          <t>IDC</t>
        </is>
      </c>
      <c r="B8" s="15">
        <f>IF(11_Timeline!B5=1,B7*10_Assumptions!$B$14,0)</f>
        <v/>
      </c>
      <c r="C8" s="15">
        <f>IF(11_Timeline!C5=1,C7*10_Assumptions!$B$14,0)</f>
        <v/>
      </c>
      <c r="D8" s="15">
        <f>IF(11_Timeline!D5=1,D7*10_Assumptions!$B$14,0)</f>
        <v/>
      </c>
      <c r="E8" s="15">
        <f>IF(11_Timeline!E5=1,E7*10_Assumptions!$B$14,0)</f>
        <v/>
      </c>
      <c r="F8" s="15">
        <f>IF(11_Timeline!F5=1,F7*10_Assumptions!$B$14,0)</f>
        <v/>
      </c>
      <c r="G8" s="15">
        <f>IF(11_Timeline!G5=1,G7*10_Assumptions!$B$14,0)</f>
        <v/>
      </c>
      <c r="H8" s="15">
        <f>IF(11_Timeline!H5=1,H7*10_Assumptions!$B$14,0)</f>
        <v/>
      </c>
      <c r="I8" s="15">
        <f>IF(11_Timeline!I5=1,I7*10_Assumptions!$B$14,0)</f>
        <v/>
      </c>
      <c r="J8" s="15">
        <f>IF(11_Timeline!J5=1,J7*10_Assumptions!$B$14,0)</f>
        <v/>
      </c>
      <c r="K8" s="15">
        <f>IF(11_Timeline!K5=1,K7*10_Assumptions!$B$14,0)</f>
        <v/>
      </c>
      <c r="L8" s="15">
        <f>IF(11_Timeline!L5=1,L7*10_Assumptions!$B$14,0)</f>
        <v/>
      </c>
      <c r="M8" s="15">
        <f>IF(11_Timeline!M5=1,M7*10_Assumptions!$B$14,0)</f>
        <v/>
      </c>
      <c r="N8" s="15">
        <f>IF(11_Timeline!N5=1,N7*10_Assumptions!$B$14,0)</f>
        <v/>
      </c>
      <c r="O8" s="15">
        <f>IF(11_Timeline!O5=1,O7*10_Assumptions!$B$14,0)</f>
        <v/>
      </c>
      <c r="Q8" s="15">
        <f>SUM(B8:O8)</f>
        <v/>
      </c>
    </row>
    <row r="9">
      <c r="A9" s="3" t="inlineStr">
        <is>
          <t>Commitment fee</t>
        </is>
      </c>
      <c r="B9" s="15">
        <f>IF(11_Timeline!B5=1,MAX(0,10_Assumptions!$B$9*10_Assumptions!$B$12-SUM($B$6:B6))*10_Assumptions!$B$18,0)</f>
        <v/>
      </c>
      <c r="C9" s="15">
        <f>IF(11_Timeline!C5=1,MAX(0,10_Assumptions!$B$9*10_Assumptions!$B$12-SUM($B$6:C6))*10_Assumptions!$B$18,0)</f>
        <v/>
      </c>
      <c r="D9" s="15">
        <f>IF(11_Timeline!D5=1,MAX(0,10_Assumptions!$B$9*10_Assumptions!$B$12-SUM($B$6:D6))*10_Assumptions!$B$18,0)</f>
        <v/>
      </c>
      <c r="E9" s="15">
        <f>IF(11_Timeline!E5=1,MAX(0,10_Assumptions!$B$9*10_Assumptions!$B$12-SUM($B$6:E6))*10_Assumptions!$B$18,0)</f>
        <v/>
      </c>
      <c r="F9" s="15">
        <f>IF(11_Timeline!F5=1,MAX(0,10_Assumptions!$B$9*10_Assumptions!$B$12-SUM($B$6:F6))*10_Assumptions!$B$18,0)</f>
        <v/>
      </c>
      <c r="G9" s="15">
        <f>IF(11_Timeline!G5=1,MAX(0,10_Assumptions!$B$9*10_Assumptions!$B$12-SUM($B$6:G6))*10_Assumptions!$B$18,0)</f>
        <v/>
      </c>
      <c r="H9" s="15">
        <f>IF(11_Timeline!H5=1,MAX(0,10_Assumptions!$B$9*10_Assumptions!$B$12-SUM($B$6:H6))*10_Assumptions!$B$18,0)</f>
        <v/>
      </c>
      <c r="I9" s="15">
        <f>IF(11_Timeline!I5=1,MAX(0,10_Assumptions!$B$9*10_Assumptions!$B$12-SUM($B$6:I6))*10_Assumptions!$B$18,0)</f>
        <v/>
      </c>
      <c r="J9" s="15">
        <f>IF(11_Timeline!J5=1,MAX(0,10_Assumptions!$B$9*10_Assumptions!$B$12-SUM($B$6:J6))*10_Assumptions!$B$18,0)</f>
        <v/>
      </c>
      <c r="K9" s="15">
        <f>IF(11_Timeline!K5=1,MAX(0,10_Assumptions!$B$9*10_Assumptions!$B$12-SUM($B$6:K6))*10_Assumptions!$B$18,0)</f>
        <v/>
      </c>
      <c r="L9" s="15">
        <f>IF(11_Timeline!L5=1,MAX(0,10_Assumptions!$B$9*10_Assumptions!$B$12-SUM($B$6:L6))*10_Assumptions!$B$18,0)</f>
        <v/>
      </c>
      <c r="M9" s="15">
        <f>IF(11_Timeline!M5=1,MAX(0,10_Assumptions!$B$9*10_Assumptions!$B$12-SUM($B$6:M6))*10_Assumptions!$B$18,0)</f>
        <v/>
      </c>
      <c r="N9" s="15">
        <f>IF(11_Timeline!N5=1,MAX(0,10_Assumptions!$B$9*10_Assumptions!$B$12-SUM($B$6:N6))*10_Assumptions!$B$18,0)</f>
        <v/>
      </c>
      <c r="O9" s="15">
        <f>IF(11_Timeline!O5=1,MAX(0,10_Assumptions!$B$9*10_Assumptions!$B$12-SUM($B$6:O6))*10_Assumptions!$B$18,0)</f>
        <v/>
      </c>
      <c r="Q9" s="15">
        <f>SUM(B9:O9)</f>
        <v/>
      </c>
    </row>
    <row r="10">
      <c r="A10" s="3" t="inlineStr">
        <is>
          <t>Upfront fee</t>
        </is>
      </c>
      <c r="B10" s="15">
        <f>IF(B6&gt;0,10_Assumptions!$B$9*10_Assumptions!$B$12*10_Assumptions!$B$19,0)</f>
        <v/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Q10" s="15">
        <f>SUM(B10:O10)</f>
        <v/>
      </c>
    </row>
    <row r="11">
      <c r="A11" s="3" t="inlineStr">
        <is>
          <t>Closing construction debt</t>
        </is>
      </c>
      <c r="B11" s="15">
        <f>B5+B6+B8+B9+B10</f>
        <v/>
      </c>
      <c r="C11" s="15">
        <f>C5+C6+C8+C9+C10</f>
        <v/>
      </c>
      <c r="D11" s="15">
        <f>D5+D6+D8+D9+D10</f>
        <v/>
      </c>
      <c r="E11" s="15">
        <f>E5+E6+E8+E9+E10</f>
        <v/>
      </c>
      <c r="F11" s="15">
        <f>F5+F6+F8+F9+F10</f>
        <v/>
      </c>
      <c r="G11" s="15">
        <f>G5+G6+G8+G9+G10</f>
        <v/>
      </c>
      <c r="H11" s="15">
        <f>H5+H6+H8+H9+H10</f>
        <v/>
      </c>
      <c r="I11" s="15">
        <f>I5+I6+I8+I9+I10</f>
        <v/>
      </c>
      <c r="J11" s="15">
        <f>J5+J6+J8+J9+J10</f>
        <v/>
      </c>
      <c r="K11" s="15">
        <f>K5+K6+K8+K9+K10</f>
        <v/>
      </c>
      <c r="L11" s="15">
        <f>L5+L6+L8+L9+L10</f>
        <v/>
      </c>
      <c r="M11" s="15">
        <f>M5+M6+M8+M9+M10</f>
        <v/>
      </c>
      <c r="N11" s="15">
        <f>N5+N6+N8+N9+N10</f>
        <v/>
      </c>
      <c r="O11" s="15">
        <f>O5+O6+O8+O9+O10</f>
        <v/>
      </c>
      <c r="Q11" s="15">
        <f>SUM(B11:O11)</f>
        <v/>
      </c>
    </row>
  </sheetData>
  <mergeCells count="1"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30_Revenue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Capacity factor</t>
        </is>
      </c>
      <c r="B5" s="16">
        <f>14_Operations_Input!B5</f>
        <v/>
      </c>
      <c r="C5" s="16">
        <f>14_Operations_Input!C5</f>
        <v/>
      </c>
      <c r="D5" s="16">
        <f>14_Operations_Input!D5</f>
        <v/>
      </c>
      <c r="E5" s="16">
        <f>14_Operations_Input!E5</f>
        <v/>
      </c>
      <c r="F5" s="16">
        <f>14_Operations_Input!F5</f>
        <v/>
      </c>
      <c r="G5" s="16">
        <f>14_Operations_Input!G5</f>
        <v/>
      </c>
      <c r="H5" s="16">
        <f>14_Operations_Input!H5</f>
        <v/>
      </c>
      <c r="I5" s="16">
        <f>14_Operations_Input!I5</f>
        <v/>
      </c>
      <c r="J5" s="16">
        <f>14_Operations_Input!J5</f>
        <v/>
      </c>
      <c r="K5" s="16">
        <f>14_Operations_Input!K5</f>
        <v/>
      </c>
      <c r="L5" s="16">
        <f>14_Operations_Input!L5</f>
        <v/>
      </c>
      <c r="M5" s="16">
        <f>14_Operations_Input!M5</f>
        <v/>
      </c>
      <c r="N5" s="16">
        <f>14_Operations_Input!N5</f>
        <v/>
      </c>
      <c r="O5" s="16">
        <f>14_Operations_Input!O5</f>
        <v/>
      </c>
    </row>
    <row r="6">
      <c r="A6" s="3" t="inlineStr">
        <is>
          <t>Revenue @ 100%</t>
        </is>
      </c>
      <c r="B6" s="15">
        <f>10_Assumptions!$B$24</f>
        <v/>
      </c>
      <c r="C6" s="15">
        <f>10_Assumptions!$B$24</f>
        <v/>
      </c>
      <c r="D6" s="15">
        <f>10_Assumptions!$B$24</f>
        <v/>
      </c>
      <c r="E6" s="15">
        <f>10_Assumptions!$B$24</f>
        <v/>
      </c>
      <c r="F6" s="15">
        <f>10_Assumptions!$B$24</f>
        <v/>
      </c>
      <c r="G6" s="15">
        <f>10_Assumptions!$B$24</f>
        <v/>
      </c>
      <c r="H6" s="15">
        <f>10_Assumptions!$B$24</f>
        <v/>
      </c>
      <c r="I6" s="15">
        <f>10_Assumptions!$B$24</f>
        <v/>
      </c>
      <c r="J6" s="15">
        <f>10_Assumptions!$B$24</f>
        <v/>
      </c>
      <c r="K6" s="15">
        <f>10_Assumptions!$B$24</f>
        <v/>
      </c>
      <c r="L6" s="15">
        <f>10_Assumptions!$B$24</f>
        <v/>
      </c>
      <c r="M6" s="15">
        <f>10_Assumptions!$B$24</f>
        <v/>
      </c>
      <c r="N6" s="15">
        <f>10_Assumptions!$B$24</f>
        <v/>
      </c>
      <c r="O6" s="15">
        <f>10_Assumptions!$B$24</f>
        <v/>
      </c>
    </row>
    <row r="7">
      <c r="A7" s="3" t="inlineStr">
        <is>
          <t>Actual revenue</t>
        </is>
      </c>
      <c r="B7" s="15">
        <f>B5*B6</f>
        <v/>
      </c>
      <c r="C7" s="15">
        <f>C5*C6</f>
        <v/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  <c r="I7" s="15">
        <f>I5*I6</f>
        <v/>
      </c>
      <c r="J7" s="15">
        <f>J5*J6</f>
        <v/>
      </c>
      <c r="K7" s="15">
        <f>K5*K6</f>
        <v/>
      </c>
      <c r="L7" s="15">
        <f>L5*L6</f>
        <v/>
      </c>
      <c r="M7" s="15">
        <f>M5*M6</f>
        <v/>
      </c>
      <c r="N7" s="15">
        <f>N5*N6</f>
        <v/>
      </c>
      <c r="O7" s="15">
        <f>O5*O6</f>
        <v/>
      </c>
    </row>
  </sheetData>
  <mergeCells count="1"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31_OPEX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Capacity factor</t>
        </is>
      </c>
      <c r="B5" s="16">
        <f>14_Operations_Input!B5</f>
        <v/>
      </c>
      <c r="C5" s="16">
        <f>14_Operations_Input!C5</f>
        <v/>
      </c>
      <c r="D5" s="16">
        <f>14_Operations_Input!D5</f>
        <v/>
      </c>
      <c r="E5" s="16">
        <f>14_Operations_Input!E5</f>
        <v/>
      </c>
      <c r="F5" s="16">
        <f>14_Operations_Input!F5</f>
        <v/>
      </c>
      <c r="G5" s="16">
        <f>14_Operations_Input!G5</f>
        <v/>
      </c>
      <c r="H5" s="16">
        <f>14_Operations_Input!H5</f>
        <v/>
      </c>
      <c r="I5" s="16">
        <f>14_Operations_Input!I5</f>
        <v/>
      </c>
      <c r="J5" s="16">
        <f>14_Operations_Input!J5</f>
        <v/>
      </c>
      <c r="K5" s="16">
        <f>14_Operations_Input!K5</f>
        <v/>
      </c>
      <c r="L5" s="16">
        <f>14_Operations_Input!L5</f>
        <v/>
      </c>
      <c r="M5" s="16">
        <f>14_Operations_Input!M5</f>
        <v/>
      </c>
      <c r="N5" s="16">
        <f>14_Operations_Input!N5</f>
        <v/>
      </c>
      <c r="O5" s="16">
        <f>14_Operations_Input!O5</f>
        <v/>
      </c>
    </row>
    <row r="6">
      <c r="A6" s="3" t="inlineStr">
        <is>
          <t>OPEX @ 100%</t>
        </is>
      </c>
      <c r="B6" s="15">
        <f>10_Assumptions!$B$25</f>
        <v/>
      </c>
      <c r="C6" s="15">
        <f>10_Assumptions!$B$25</f>
        <v/>
      </c>
      <c r="D6" s="15">
        <f>10_Assumptions!$B$25</f>
        <v/>
      </c>
      <c r="E6" s="15">
        <f>10_Assumptions!$B$25</f>
        <v/>
      </c>
      <c r="F6" s="15">
        <f>10_Assumptions!$B$25</f>
        <v/>
      </c>
      <c r="G6" s="15">
        <f>10_Assumptions!$B$25</f>
        <v/>
      </c>
      <c r="H6" s="15">
        <f>10_Assumptions!$B$25</f>
        <v/>
      </c>
      <c r="I6" s="15">
        <f>10_Assumptions!$B$25</f>
        <v/>
      </c>
      <c r="J6" s="15">
        <f>10_Assumptions!$B$25</f>
        <v/>
      </c>
      <c r="K6" s="15">
        <f>10_Assumptions!$B$25</f>
        <v/>
      </c>
      <c r="L6" s="15">
        <f>10_Assumptions!$B$25</f>
        <v/>
      </c>
      <c r="M6" s="15">
        <f>10_Assumptions!$B$25</f>
        <v/>
      </c>
      <c r="N6" s="15">
        <f>10_Assumptions!$B$25</f>
        <v/>
      </c>
      <c r="O6" s="15">
        <f>10_Assumptions!$B$25</f>
        <v/>
      </c>
    </row>
    <row r="7">
      <c r="A7" s="3" t="inlineStr">
        <is>
          <t>Actual OPEX</t>
        </is>
      </c>
      <c r="B7" s="15">
        <f>B5*B6</f>
        <v/>
      </c>
      <c r="C7" s="15">
        <f>C5*C6</f>
        <v/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  <c r="I7" s="15">
        <f>I5*I6</f>
        <v/>
      </c>
      <c r="J7" s="15">
        <f>J5*J6</f>
        <v/>
      </c>
      <c r="K7" s="15">
        <f>K5*K6</f>
        <v/>
      </c>
      <c r="L7" s="15">
        <f>L5*L6</f>
        <v/>
      </c>
      <c r="M7" s="15">
        <f>M5*M6</f>
        <v/>
      </c>
      <c r="N7" s="15">
        <f>N5*N6</f>
        <v/>
      </c>
      <c r="O7" s="15">
        <f>O5*O6</f>
        <v/>
      </c>
    </row>
  </sheetData>
  <mergeCells count="1"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32_MaintCapex_WC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Revenue</t>
        </is>
      </c>
      <c r="B5" s="15">
        <f>30_Revenue!B7</f>
        <v/>
      </c>
      <c r="C5" s="15">
        <f>30_Revenue!C7</f>
        <v/>
      </c>
      <c r="D5" s="15">
        <f>30_Revenue!D7</f>
        <v/>
      </c>
      <c r="E5" s="15">
        <f>30_Revenue!E7</f>
        <v/>
      </c>
      <c r="F5" s="15">
        <f>30_Revenue!F7</f>
        <v/>
      </c>
      <c r="G5" s="15">
        <f>30_Revenue!G7</f>
        <v/>
      </c>
      <c r="H5" s="15">
        <f>30_Revenue!H7</f>
        <v/>
      </c>
      <c r="I5" s="15">
        <f>30_Revenue!I7</f>
        <v/>
      </c>
      <c r="J5" s="15">
        <f>30_Revenue!J7</f>
        <v/>
      </c>
      <c r="K5" s="15">
        <f>30_Revenue!K7</f>
        <v/>
      </c>
      <c r="L5" s="15">
        <f>30_Revenue!L7</f>
        <v/>
      </c>
      <c r="M5" s="15">
        <f>30_Revenue!M7</f>
        <v/>
      </c>
      <c r="N5" s="15">
        <f>30_Revenue!N7</f>
        <v/>
      </c>
      <c r="O5" s="15">
        <f>30_Revenue!O7</f>
        <v/>
      </c>
    </row>
    <row r="6">
      <c r="A6" s="3" t="inlineStr">
        <is>
          <t>Maintenance CAPEX</t>
        </is>
      </c>
      <c r="B6" s="15">
        <f>14_Operations_Input!B5*10_Assumptions!$B$26</f>
        <v/>
      </c>
      <c r="C6" s="15">
        <f>14_Operations_Input!C5*10_Assumptions!$B$26</f>
        <v/>
      </c>
      <c r="D6" s="15">
        <f>14_Operations_Input!D5*10_Assumptions!$B$26</f>
        <v/>
      </c>
      <c r="E6" s="15">
        <f>14_Operations_Input!E5*10_Assumptions!$B$26</f>
        <v/>
      </c>
      <c r="F6" s="15">
        <f>14_Operations_Input!F5*10_Assumptions!$B$26</f>
        <v/>
      </c>
      <c r="G6" s="15">
        <f>14_Operations_Input!G5*10_Assumptions!$B$26</f>
        <v/>
      </c>
      <c r="H6" s="15">
        <f>14_Operations_Input!H5*10_Assumptions!$B$26</f>
        <v/>
      </c>
      <c r="I6" s="15">
        <f>14_Operations_Input!I5*10_Assumptions!$B$26</f>
        <v/>
      </c>
      <c r="J6" s="15">
        <f>14_Operations_Input!J5*10_Assumptions!$B$26</f>
        <v/>
      </c>
      <c r="K6" s="15">
        <f>14_Operations_Input!K5*10_Assumptions!$B$26</f>
        <v/>
      </c>
      <c r="L6" s="15">
        <f>14_Operations_Input!L5*10_Assumptions!$B$26</f>
        <v/>
      </c>
      <c r="M6" s="15">
        <f>14_Operations_Input!M5*10_Assumptions!$B$26</f>
        <v/>
      </c>
      <c r="N6" s="15">
        <f>14_Operations_Input!N5*10_Assumptions!$B$26</f>
        <v/>
      </c>
      <c r="O6" s="15">
        <f>14_Operations_Input!O5*10_Assumptions!$B$26</f>
        <v/>
      </c>
    </row>
    <row r="7">
      <c r="A7" s="3" t="inlineStr">
        <is>
          <t>Working capital % revenue</t>
        </is>
      </c>
      <c r="B7" s="16">
        <f>10_Assumptions!$B$27</f>
        <v/>
      </c>
      <c r="C7" s="16">
        <f>10_Assumptions!$B$27</f>
        <v/>
      </c>
      <c r="D7" s="16">
        <f>10_Assumptions!$B$27</f>
        <v/>
      </c>
      <c r="E7" s="16">
        <f>10_Assumptions!$B$27</f>
        <v/>
      </c>
      <c r="F7" s="16">
        <f>10_Assumptions!$B$27</f>
        <v/>
      </c>
      <c r="G7" s="16">
        <f>10_Assumptions!$B$27</f>
        <v/>
      </c>
      <c r="H7" s="16">
        <f>10_Assumptions!$B$27</f>
        <v/>
      </c>
      <c r="I7" s="16">
        <f>10_Assumptions!$B$27</f>
        <v/>
      </c>
      <c r="J7" s="16">
        <f>10_Assumptions!$B$27</f>
        <v/>
      </c>
      <c r="K7" s="16">
        <f>10_Assumptions!$B$27</f>
        <v/>
      </c>
      <c r="L7" s="16">
        <f>10_Assumptions!$B$27</f>
        <v/>
      </c>
      <c r="M7" s="16">
        <f>10_Assumptions!$B$27</f>
        <v/>
      </c>
      <c r="N7" s="16">
        <f>10_Assumptions!$B$27</f>
        <v/>
      </c>
      <c r="O7" s="16">
        <f>10_Assumptions!$B$27</f>
        <v/>
      </c>
    </row>
    <row r="8">
      <c r="A8" s="3" t="inlineStr">
        <is>
          <t>Working capital balance</t>
        </is>
      </c>
      <c r="B8" s="15">
        <f>B5*B7</f>
        <v/>
      </c>
      <c r="C8" s="15">
        <f>C5*C7</f>
        <v/>
      </c>
      <c r="D8" s="15">
        <f>D5*D7</f>
        <v/>
      </c>
      <c r="E8" s="15">
        <f>E5*E7</f>
        <v/>
      </c>
      <c r="F8" s="15">
        <f>F5*F7</f>
        <v/>
      </c>
      <c r="G8" s="15">
        <f>G5*G7</f>
        <v/>
      </c>
      <c r="H8" s="15">
        <f>H5*H7</f>
        <v/>
      </c>
      <c r="I8" s="15">
        <f>I5*I7</f>
        <v/>
      </c>
      <c r="J8" s="15">
        <f>J5*J7</f>
        <v/>
      </c>
      <c r="K8" s="15">
        <f>K5*K7</f>
        <v/>
      </c>
      <c r="L8" s="15">
        <f>L5*L7</f>
        <v/>
      </c>
      <c r="M8" s="15">
        <f>M5*M7</f>
        <v/>
      </c>
      <c r="N8" s="15">
        <f>N5*N7</f>
        <v/>
      </c>
      <c r="O8" s="15">
        <f>O5*O7</f>
        <v/>
      </c>
    </row>
    <row r="9">
      <c r="A9" s="3" t="inlineStr">
        <is>
          <t>Change in working capital</t>
        </is>
      </c>
      <c r="B9" s="15">
        <f>B8</f>
        <v/>
      </c>
      <c r="C9" s="15">
        <f>C8-B8</f>
        <v/>
      </c>
      <c r="D9" s="15">
        <f>D8-C8</f>
        <v/>
      </c>
      <c r="E9" s="15">
        <f>E8-D8</f>
        <v/>
      </c>
      <c r="F9" s="15">
        <f>F8-E8</f>
        <v/>
      </c>
      <c r="G9" s="15">
        <f>G8-F8</f>
        <v/>
      </c>
      <c r="H9" s="15">
        <f>H8-G8</f>
        <v/>
      </c>
      <c r="I9" s="15">
        <f>I8-H8</f>
        <v/>
      </c>
      <c r="J9" s="15">
        <f>J8-I8</f>
        <v/>
      </c>
      <c r="K9" s="15">
        <f>K8-J8</f>
        <v/>
      </c>
      <c r="L9" s="15">
        <f>L8-K8</f>
        <v/>
      </c>
      <c r="M9" s="15">
        <f>M8-L8</f>
        <v/>
      </c>
      <c r="N9" s="15">
        <f>N8-M8</f>
        <v/>
      </c>
      <c r="O9" s="15">
        <f>O8-N8</f>
        <v/>
      </c>
    </row>
  </sheetData>
  <mergeCells count="1"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33_Depreciation_Tax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Building CAPEX</t>
        </is>
      </c>
      <c r="B5" s="15">
        <f>20_CAPEX_Phasing!C5</f>
        <v/>
      </c>
      <c r="C5" s="15">
        <f>20_CAPEX_Phasing!D5</f>
        <v/>
      </c>
      <c r="D5" s="15">
        <f>20_CAPEX_Phasing!E5</f>
        <v/>
      </c>
      <c r="E5" s="15">
        <f>20_CAPEX_Phasing!F5</f>
        <v/>
      </c>
      <c r="F5" s="15">
        <f>20_CAPEX_Phasing!G5</f>
        <v/>
      </c>
      <c r="G5" s="15">
        <f>20_CAPEX_Phasing!H5</f>
        <v/>
      </c>
      <c r="H5" s="15">
        <f>20_CAPEX_Phasing!I5</f>
        <v/>
      </c>
      <c r="I5" s="15">
        <f>20_CAPEX_Phasing!J5</f>
        <v/>
      </c>
      <c r="J5" s="15">
        <f>20_CAPEX_Phasing!K5</f>
        <v/>
      </c>
      <c r="K5" s="15">
        <f>20_CAPEX_Phasing!L5</f>
        <v/>
      </c>
      <c r="L5" s="15">
        <f>20_CAPEX_Phasing!M5</f>
        <v/>
      </c>
      <c r="M5" s="15">
        <f>20_CAPEX_Phasing!N5</f>
        <v/>
      </c>
      <c r="N5" s="15">
        <f>20_CAPEX_Phasing!O5</f>
        <v/>
      </c>
      <c r="O5" s="15">
        <f>20_CAPEX_Phasing!P5</f>
        <v/>
      </c>
    </row>
    <row r="6">
      <c r="A6" s="3" t="inlineStr">
        <is>
          <t>Equipment CAPEX</t>
        </is>
      </c>
      <c r="B6" s="15">
        <f>SUM(20_CAPEX_Phasing!C6:20_CAPEX_Phasing!C8,20_CAPEX_Phasing!C10)</f>
        <v/>
      </c>
      <c r="C6" s="15">
        <f>SUM(20_CAPEX_Phasing!D6:20_CAPEX_Phasing!D8,20_CAPEX_Phasing!D10)</f>
        <v/>
      </c>
      <c r="D6" s="15">
        <f>SUM(20_CAPEX_Phasing!E6:20_CAPEX_Phasing!E8,20_CAPEX_Phasing!E10)</f>
        <v/>
      </c>
      <c r="E6" s="15">
        <f>SUM(20_CAPEX_Phasing!F6:20_CAPEX_Phasing!F8,20_CAPEX_Phasing!F10)</f>
        <v/>
      </c>
      <c r="F6" s="15">
        <f>SUM(20_CAPEX_Phasing!G6:20_CAPEX_Phasing!G8,20_CAPEX_Phasing!G10)</f>
        <v/>
      </c>
      <c r="G6" s="15">
        <f>SUM(20_CAPEX_Phasing!H6:20_CAPEX_Phasing!H8,20_CAPEX_Phasing!H10)</f>
        <v/>
      </c>
      <c r="H6" s="15">
        <f>SUM(20_CAPEX_Phasing!I6:20_CAPEX_Phasing!I8,20_CAPEX_Phasing!I10)</f>
        <v/>
      </c>
      <c r="I6" s="15">
        <f>SUM(20_CAPEX_Phasing!J6:20_CAPEX_Phasing!J8,20_CAPEX_Phasing!J10)</f>
        <v/>
      </c>
      <c r="J6" s="15">
        <f>SUM(20_CAPEX_Phasing!K6:20_CAPEX_Phasing!K8,20_CAPEX_Phasing!K10)</f>
        <v/>
      </c>
      <c r="K6" s="15">
        <f>SUM(20_CAPEX_Phasing!L6:20_CAPEX_Phasing!L8,20_CAPEX_Phasing!L10)</f>
        <v/>
      </c>
      <c r="L6" s="15">
        <f>SUM(20_CAPEX_Phasing!M6:20_CAPEX_Phasing!M8,20_CAPEX_Phasing!M10)</f>
        <v/>
      </c>
      <c r="M6" s="15">
        <f>SUM(20_CAPEX_Phasing!N6:20_CAPEX_Phasing!N8,20_CAPEX_Phasing!N10)</f>
        <v/>
      </c>
      <c r="N6" s="15">
        <f>SUM(20_CAPEX_Phasing!O6:20_CAPEX_Phasing!O8,20_CAPEX_Phasing!O10)</f>
        <v/>
      </c>
      <c r="O6" s="15">
        <f>SUM(20_CAPEX_Phasing!P6:20_CAPEX_Phasing!P8,20_CAPEX_Phasing!P10)</f>
        <v/>
      </c>
    </row>
    <row r="7">
      <c r="A7" s="3" t="inlineStr">
        <is>
          <t>Other CAPEX</t>
        </is>
      </c>
      <c r="B7" s="15">
        <f>20_CAPEX_Phasing!C9+20_CAPEX_Phasing!C11+20_CAPEX_Phasing!C12+20_CAPEX_Phasing!C13+20_CAPEX_Phasing!C14+20_CAPEX_Phasing!C15</f>
        <v/>
      </c>
      <c r="C7" s="15">
        <f>20_CAPEX_Phasing!D9+20_CAPEX_Phasing!D11+20_CAPEX_Phasing!D12+20_CAPEX_Phasing!D13+20_CAPEX_Phasing!D14+20_CAPEX_Phasing!D15</f>
        <v/>
      </c>
      <c r="D7" s="15">
        <f>20_CAPEX_Phasing!E9+20_CAPEX_Phasing!E11+20_CAPEX_Phasing!E12+20_CAPEX_Phasing!E13+20_CAPEX_Phasing!E14+20_CAPEX_Phasing!E15</f>
        <v/>
      </c>
      <c r="E7" s="15">
        <f>20_CAPEX_Phasing!F9+20_CAPEX_Phasing!F11+20_CAPEX_Phasing!F12+20_CAPEX_Phasing!F13+20_CAPEX_Phasing!F14+20_CAPEX_Phasing!F15</f>
        <v/>
      </c>
      <c r="F7" s="15">
        <f>20_CAPEX_Phasing!G9+20_CAPEX_Phasing!G11+20_CAPEX_Phasing!G12+20_CAPEX_Phasing!G13+20_CAPEX_Phasing!G14+20_CAPEX_Phasing!G15</f>
        <v/>
      </c>
      <c r="G7" s="15">
        <f>20_CAPEX_Phasing!H9+20_CAPEX_Phasing!H11+20_CAPEX_Phasing!H12+20_CAPEX_Phasing!H13+20_CAPEX_Phasing!H14+20_CAPEX_Phasing!H15</f>
        <v/>
      </c>
      <c r="H7" s="15">
        <f>20_CAPEX_Phasing!I9+20_CAPEX_Phasing!I11+20_CAPEX_Phasing!I12+20_CAPEX_Phasing!I13+20_CAPEX_Phasing!I14+20_CAPEX_Phasing!I15</f>
        <v/>
      </c>
      <c r="I7" s="15">
        <f>20_CAPEX_Phasing!J9+20_CAPEX_Phasing!J11+20_CAPEX_Phasing!J12+20_CAPEX_Phasing!J13+20_CAPEX_Phasing!J14+20_CAPEX_Phasing!J15</f>
        <v/>
      </c>
      <c r="J7" s="15">
        <f>20_CAPEX_Phasing!K9+20_CAPEX_Phasing!K11+20_CAPEX_Phasing!K12+20_CAPEX_Phasing!K13+20_CAPEX_Phasing!K14+20_CAPEX_Phasing!K15</f>
        <v/>
      </c>
      <c r="K7" s="15">
        <f>20_CAPEX_Phasing!L9+20_CAPEX_Phasing!L11+20_CAPEX_Phasing!L12+20_CAPEX_Phasing!L13+20_CAPEX_Phasing!L14+20_CAPEX_Phasing!L15</f>
        <v/>
      </c>
      <c r="L7" s="15">
        <f>20_CAPEX_Phasing!M9+20_CAPEX_Phasing!M11+20_CAPEX_Phasing!M12+20_CAPEX_Phasing!M13+20_CAPEX_Phasing!M14+20_CAPEX_Phasing!M15</f>
        <v/>
      </c>
      <c r="M7" s="15">
        <f>20_CAPEX_Phasing!N9+20_CAPEX_Phasing!N11+20_CAPEX_Phasing!N12+20_CAPEX_Phasing!N13+20_CAPEX_Phasing!N14+20_CAPEX_Phasing!N15</f>
        <v/>
      </c>
      <c r="N7" s="15">
        <f>20_CAPEX_Phasing!O9+20_CAPEX_Phasing!O11+20_CAPEX_Phasing!O12+20_CAPEX_Phasing!O13+20_CAPEX_Phasing!O14+20_CAPEX_Phasing!O15</f>
        <v/>
      </c>
      <c r="O7" s="15">
        <f>20_CAPEX_Phasing!P9+20_CAPEX_Phasing!P11+20_CAPEX_Phasing!P12+20_CAPEX_Phasing!P13+20_CAPEX_Phasing!P14+20_CAPEX_Phasing!P15</f>
        <v/>
      </c>
    </row>
    <row r="8">
      <c r="A8" s="3" t="inlineStr">
        <is>
          <t>Depreciation - Building</t>
        </is>
      </c>
      <c r="B8" s="15" t="n">
        <v>0</v>
      </c>
      <c r="C8" s="15" t="n">
        <v>0</v>
      </c>
      <c r="D8" s="15" t="n">
        <v>0</v>
      </c>
      <c r="E8" s="15" t="n">
        <v>0</v>
      </c>
      <c r="F8" s="15">
        <f>SUM($B$5:F5)/10_Assumptions!$B$34</f>
        <v/>
      </c>
      <c r="G8" s="15">
        <f>SUM($B$5:G5)/10_Assumptions!$B$34</f>
        <v/>
      </c>
      <c r="H8" s="15">
        <f>SUM($B$5:H5)/10_Assumptions!$B$34</f>
        <v/>
      </c>
      <c r="I8" s="15">
        <f>SUM($B$5:I5)/10_Assumptions!$B$34</f>
        <v/>
      </c>
      <c r="J8" s="15">
        <f>SUM($B$5:J5)/10_Assumptions!$B$34</f>
        <v/>
      </c>
      <c r="K8" s="15">
        <f>SUM($B$5:K5)/10_Assumptions!$B$34</f>
        <v/>
      </c>
      <c r="L8" s="15">
        <f>SUM($B$5:L5)/10_Assumptions!$B$34</f>
        <v/>
      </c>
      <c r="M8" s="15">
        <f>SUM($B$5:M5)/10_Assumptions!$B$34</f>
        <v/>
      </c>
      <c r="N8" s="15">
        <f>SUM($B$5:N5)/10_Assumptions!$B$34</f>
        <v/>
      </c>
      <c r="O8" s="15">
        <f>SUM($B$5:O5)/10_Assumptions!$B$34</f>
        <v/>
      </c>
    </row>
    <row r="9">
      <c r="A9" s="3" t="inlineStr">
        <is>
          <t>Depreciation - Equipment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>
        <f>SUM($B$6:F6)/10_Assumptions!$B$35</f>
        <v/>
      </c>
      <c r="G9" s="15">
        <f>SUM($B$6:G6)/10_Assumptions!$B$35</f>
        <v/>
      </c>
      <c r="H9" s="15">
        <f>SUM($B$6:H6)/10_Assumptions!$B$35</f>
        <v/>
      </c>
      <c r="I9" s="15">
        <f>SUM($B$6:I6)/10_Assumptions!$B$35</f>
        <v/>
      </c>
      <c r="J9" s="15">
        <f>SUM($B$6:J6)/10_Assumptions!$B$35</f>
        <v/>
      </c>
      <c r="K9" s="15">
        <f>SUM($B$6:K6)/10_Assumptions!$B$35</f>
        <v/>
      </c>
      <c r="L9" s="15">
        <f>SUM($B$6:L6)/10_Assumptions!$B$35</f>
        <v/>
      </c>
      <c r="M9" s="15">
        <f>SUM($B$6:M6)/10_Assumptions!$B$35</f>
        <v/>
      </c>
      <c r="N9" s="15">
        <f>SUM($B$6:N6)/10_Assumptions!$B$35</f>
        <v/>
      </c>
      <c r="O9" s="15">
        <f>SUM($B$6:O6)/10_Assumptions!$B$35</f>
        <v/>
      </c>
    </row>
    <row r="10">
      <c r="A10" s="3" t="inlineStr">
        <is>
          <t>Depreciation - Other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>
        <f>SUM($B$7:F7)/10_Assumptions!$B$36</f>
        <v/>
      </c>
      <c r="G10" s="15">
        <f>SUM($B$7:G7)/10_Assumptions!$B$36</f>
        <v/>
      </c>
      <c r="H10" s="15">
        <f>SUM($B$7:H7)/10_Assumptions!$B$36</f>
        <v/>
      </c>
      <c r="I10" s="15">
        <f>SUM($B$7:I7)/10_Assumptions!$B$36</f>
        <v/>
      </c>
      <c r="J10" s="15">
        <f>SUM($B$7:J7)/10_Assumptions!$B$36</f>
        <v/>
      </c>
      <c r="K10" s="15">
        <f>SUM($B$7:K7)/10_Assumptions!$B$36</f>
        <v/>
      </c>
      <c r="L10" s="15">
        <f>SUM($B$7:L7)/10_Assumptions!$B$36</f>
        <v/>
      </c>
      <c r="M10" s="15">
        <f>SUM($B$7:M7)/10_Assumptions!$B$36</f>
        <v/>
      </c>
      <c r="N10" s="15">
        <f>SUM($B$7:N7)/10_Assumptions!$B$36</f>
        <v/>
      </c>
      <c r="O10" s="15">
        <f>SUM($B$7:O7)/10_Assumptions!$B$36</f>
        <v/>
      </c>
    </row>
    <row r="11">
      <c r="A11" s="3" t="inlineStr">
        <is>
          <t>Total depreciation</t>
        </is>
      </c>
      <c r="B11" s="15">
        <f>B8+B9+B10</f>
        <v/>
      </c>
      <c r="C11" s="15">
        <f>C8+C9+C10</f>
        <v/>
      </c>
      <c r="D11" s="15">
        <f>D8+D9+D10</f>
        <v/>
      </c>
      <c r="E11" s="15">
        <f>E8+E9+E10</f>
        <v/>
      </c>
      <c r="F11" s="15">
        <f>F8+F9+F10</f>
        <v/>
      </c>
      <c r="G11" s="15">
        <f>G8+G9+G10</f>
        <v/>
      </c>
      <c r="H11" s="15">
        <f>H8+H9+H10</f>
        <v/>
      </c>
      <c r="I11" s="15">
        <f>I8+I9+I10</f>
        <v/>
      </c>
      <c r="J11" s="15">
        <f>J8+J9+J10</f>
        <v/>
      </c>
      <c r="K11" s="15">
        <f>K8+K9+K10</f>
        <v/>
      </c>
      <c r="L11" s="15">
        <f>L8+L9+L10</f>
        <v/>
      </c>
      <c r="M11" s="15">
        <f>M8+M9+M10</f>
        <v/>
      </c>
      <c r="N11" s="15">
        <f>N8+N9+N10</f>
        <v/>
      </c>
      <c r="O11" s="15">
        <f>O8+O9+O10</f>
        <v/>
      </c>
    </row>
    <row r="12">
      <c r="A12" s="3" t="inlineStr">
        <is>
          <t>EBITDA</t>
        </is>
      </c>
      <c r="B12" s="15">
        <f>30_Revenue!B7-31_OPEX!B7</f>
        <v/>
      </c>
      <c r="C12" s="15">
        <f>30_Revenue!C7-31_OPEX!C7</f>
        <v/>
      </c>
      <c r="D12" s="15">
        <f>30_Revenue!D7-31_OPEX!D7</f>
        <v/>
      </c>
      <c r="E12" s="15">
        <f>30_Revenue!E7-31_OPEX!E7</f>
        <v/>
      </c>
      <c r="F12" s="15">
        <f>30_Revenue!F7-31_OPEX!F7</f>
        <v/>
      </c>
      <c r="G12" s="15">
        <f>30_Revenue!G7-31_OPEX!G7</f>
        <v/>
      </c>
      <c r="H12" s="15">
        <f>30_Revenue!H7-31_OPEX!H7</f>
        <v/>
      </c>
      <c r="I12" s="15">
        <f>30_Revenue!I7-31_OPEX!I7</f>
        <v/>
      </c>
      <c r="J12" s="15">
        <f>30_Revenue!J7-31_OPEX!J7</f>
        <v/>
      </c>
      <c r="K12" s="15">
        <f>30_Revenue!K7-31_OPEX!K7</f>
        <v/>
      </c>
      <c r="L12" s="15">
        <f>30_Revenue!L7-31_OPEX!L7</f>
        <v/>
      </c>
      <c r="M12" s="15">
        <f>30_Revenue!M7-31_OPEX!M7</f>
        <v/>
      </c>
      <c r="N12" s="15">
        <f>30_Revenue!N7-31_OPEX!N7</f>
        <v/>
      </c>
      <c r="O12" s="15">
        <f>30_Revenue!O7-31_OPEX!O7</f>
        <v/>
      </c>
    </row>
    <row r="13">
      <c r="A13" s="3" t="inlineStr">
        <is>
          <t>Interest expense</t>
        </is>
      </c>
      <c r="B13" s="15">
        <f>40_Debt_Schedule!B7</f>
        <v/>
      </c>
      <c r="C13" s="15">
        <f>40_Debt_Schedule!C7</f>
        <v/>
      </c>
      <c r="D13" s="15">
        <f>40_Debt_Schedule!D7</f>
        <v/>
      </c>
      <c r="E13" s="15">
        <f>40_Debt_Schedule!E7</f>
        <v/>
      </c>
      <c r="F13" s="15">
        <f>40_Debt_Schedule!F7</f>
        <v/>
      </c>
      <c r="G13" s="15">
        <f>40_Debt_Schedule!G7</f>
        <v/>
      </c>
      <c r="H13" s="15">
        <f>40_Debt_Schedule!H7</f>
        <v/>
      </c>
      <c r="I13" s="15">
        <f>40_Debt_Schedule!I7</f>
        <v/>
      </c>
      <c r="J13" s="15">
        <f>40_Debt_Schedule!J7</f>
        <v/>
      </c>
      <c r="K13" s="15">
        <f>40_Debt_Schedule!K7</f>
        <v/>
      </c>
      <c r="L13" s="15">
        <f>40_Debt_Schedule!L7</f>
        <v/>
      </c>
      <c r="M13" s="15">
        <f>40_Debt_Schedule!M7</f>
        <v/>
      </c>
      <c r="N13" s="15">
        <f>40_Debt_Schedule!N7</f>
        <v/>
      </c>
      <c r="O13" s="15">
        <f>40_Debt_Schedule!O7</f>
        <v/>
      </c>
    </row>
    <row r="14">
      <c r="A14" s="3" t="inlineStr">
        <is>
          <t>PBT</t>
        </is>
      </c>
      <c r="B14" s="15">
        <f>B12-B11-B13</f>
        <v/>
      </c>
      <c r="C14" s="15">
        <f>C12-C11-C13</f>
        <v/>
      </c>
      <c r="D14" s="15">
        <f>D12-D11-D13</f>
        <v/>
      </c>
      <c r="E14" s="15">
        <f>E12-E11-E13</f>
        <v/>
      </c>
      <c r="F14" s="15">
        <f>F12-F11-F13</f>
        <v/>
      </c>
      <c r="G14" s="15">
        <f>G12-G11-G13</f>
        <v/>
      </c>
      <c r="H14" s="15">
        <f>H12-H11-H13</f>
        <v/>
      </c>
      <c r="I14" s="15">
        <f>I12-I11-I13</f>
        <v/>
      </c>
      <c r="J14" s="15">
        <f>J12-J11-J13</f>
        <v/>
      </c>
      <c r="K14" s="15">
        <f>K12-K11-K13</f>
        <v/>
      </c>
      <c r="L14" s="15">
        <f>L12-L11-L13</f>
        <v/>
      </c>
      <c r="M14" s="15">
        <f>M12-M11-M13</f>
        <v/>
      </c>
      <c r="N14" s="15">
        <f>N12-N11-N13</f>
        <v/>
      </c>
      <c r="O14" s="15">
        <f>O12-O11-O13</f>
        <v/>
      </c>
    </row>
    <row r="15">
      <c r="A15" s="3" t="inlineStr">
        <is>
          <t>Taxable income</t>
        </is>
      </c>
      <c r="B15" s="15">
        <f>MAX(0,B14)</f>
        <v/>
      </c>
      <c r="C15" s="15">
        <f>MAX(0,C14)</f>
        <v/>
      </c>
      <c r="D15" s="15">
        <f>MAX(0,D14)</f>
        <v/>
      </c>
      <c r="E15" s="15">
        <f>MAX(0,E14)</f>
        <v/>
      </c>
      <c r="F15" s="15">
        <f>MAX(0,F14)</f>
        <v/>
      </c>
      <c r="G15" s="15">
        <f>MAX(0,G14)</f>
        <v/>
      </c>
      <c r="H15" s="15">
        <f>MAX(0,H14)</f>
        <v/>
      </c>
      <c r="I15" s="15">
        <f>MAX(0,I14)</f>
        <v/>
      </c>
      <c r="J15" s="15">
        <f>MAX(0,J14)</f>
        <v/>
      </c>
      <c r="K15" s="15">
        <f>MAX(0,K14)</f>
        <v/>
      </c>
      <c r="L15" s="15">
        <f>MAX(0,L14)</f>
        <v/>
      </c>
      <c r="M15" s="15">
        <f>MAX(0,M14)</f>
        <v/>
      </c>
      <c r="N15" s="15">
        <f>MAX(0,N14)</f>
        <v/>
      </c>
      <c r="O15" s="15">
        <f>MAX(0,O14)</f>
        <v/>
      </c>
    </row>
    <row r="16">
      <c r="A16" s="3" t="inlineStr">
        <is>
          <t>Cash tax</t>
        </is>
      </c>
      <c r="B16" s="15">
        <f>B15*10_Assumptions!$B$29</f>
        <v/>
      </c>
      <c r="C16" s="15">
        <f>C15*10_Assumptions!$B$29</f>
        <v/>
      </c>
      <c r="D16" s="15">
        <f>D15*10_Assumptions!$B$29</f>
        <v/>
      </c>
      <c r="E16" s="15">
        <f>E15*10_Assumptions!$B$29</f>
        <v/>
      </c>
      <c r="F16" s="15">
        <f>F15*10_Assumptions!$B$29</f>
        <v/>
      </c>
      <c r="G16" s="15">
        <f>G15*10_Assumptions!$B$29</f>
        <v/>
      </c>
      <c r="H16" s="15">
        <f>H15*10_Assumptions!$B$29</f>
        <v/>
      </c>
      <c r="I16" s="15">
        <f>I15*10_Assumptions!$B$29</f>
        <v/>
      </c>
      <c r="J16" s="15">
        <f>J15*10_Assumptions!$B$29</f>
        <v/>
      </c>
      <c r="K16" s="15">
        <f>K15*10_Assumptions!$B$29</f>
        <v/>
      </c>
      <c r="L16" s="15">
        <f>L15*10_Assumptions!$B$29</f>
        <v/>
      </c>
      <c r="M16" s="15">
        <f>M15*10_Assumptions!$B$29</f>
        <v/>
      </c>
      <c r="N16" s="15">
        <f>N15*10_Assumptions!$B$29</f>
        <v/>
      </c>
      <c r="O16" s="15">
        <f>O15*10_Assumptions!$B$29</f>
        <v/>
      </c>
    </row>
  </sheetData>
  <mergeCells count="1"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34_CFADS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Revenue</t>
        </is>
      </c>
      <c r="B5" s="15">
        <f>30_Revenue!B7</f>
        <v/>
      </c>
      <c r="C5" s="15">
        <f>30_Revenue!C7</f>
        <v/>
      </c>
      <c r="D5" s="15">
        <f>30_Revenue!D7</f>
        <v/>
      </c>
      <c r="E5" s="15">
        <f>30_Revenue!E7</f>
        <v/>
      </c>
      <c r="F5" s="15">
        <f>30_Revenue!F7</f>
        <v/>
      </c>
      <c r="G5" s="15">
        <f>30_Revenue!G7</f>
        <v/>
      </c>
      <c r="H5" s="15">
        <f>30_Revenue!H7</f>
        <v/>
      </c>
      <c r="I5" s="15">
        <f>30_Revenue!I7</f>
        <v/>
      </c>
      <c r="J5" s="15">
        <f>30_Revenue!J7</f>
        <v/>
      </c>
      <c r="K5" s="15">
        <f>30_Revenue!K7</f>
        <v/>
      </c>
      <c r="L5" s="15">
        <f>30_Revenue!L7</f>
        <v/>
      </c>
      <c r="M5" s="15">
        <f>30_Revenue!M7</f>
        <v/>
      </c>
      <c r="N5" s="15">
        <f>30_Revenue!N7</f>
        <v/>
      </c>
      <c r="O5" s="15">
        <f>30_Revenue!O7</f>
        <v/>
      </c>
    </row>
    <row r="6">
      <c r="A6" s="3" t="inlineStr">
        <is>
          <t>OPEX</t>
        </is>
      </c>
      <c r="B6" s="15">
        <f>31_OPEX!B7</f>
        <v/>
      </c>
      <c r="C6" s="15">
        <f>31_OPEX!C7</f>
        <v/>
      </c>
      <c r="D6" s="15">
        <f>31_OPEX!D7</f>
        <v/>
      </c>
      <c r="E6" s="15">
        <f>31_OPEX!E7</f>
        <v/>
      </c>
      <c r="F6" s="15">
        <f>31_OPEX!F7</f>
        <v/>
      </c>
      <c r="G6" s="15">
        <f>31_OPEX!G7</f>
        <v/>
      </c>
      <c r="H6" s="15">
        <f>31_OPEX!H7</f>
        <v/>
      </c>
      <c r="I6" s="15">
        <f>31_OPEX!I7</f>
        <v/>
      </c>
      <c r="J6" s="15">
        <f>31_OPEX!J7</f>
        <v/>
      </c>
      <c r="K6" s="15">
        <f>31_OPEX!K7</f>
        <v/>
      </c>
      <c r="L6" s="15">
        <f>31_OPEX!L7</f>
        <v/>
      </c>
      <c r="M6" s="15">
        <f>31_OPEX!M7</f>
        <v/>
      </c>
      <c r="N6" s="15">
        <f>31_OPEX!N7</f>
        <v/>
      </c>
      <c r="O6" s="15">
        <f>31_OPEX!O7</f>
        <v/>
      </c>
    </row>
    <row r="7">
      <c r="A7" s="3" t="inlineStr">
        <is>
          <t>EBITDA</t>
        </is>
      </c>
      <c r="B7" s="15">
        <f>B5-B6</f>
        <v/>
      </c>
      <c r="C7" s="15">
        <f>C5-C6</f>
        <v/>
      </c>
      <c r="D7" s="15">
        <f>D5-D6</f>
        <v/>
      </c>
      <c r="E7" s="15">
        <f>E5-E6</f>
        <v/>
      </c>
      <c r="F7" s="15">
        <f>F5-F6</f>
        <v/>
      </c>
      <c r="G7" s="15">
        <f>G5-G6</f>
        <v/>
      </c>
      <c r="H7" s="15">
        <f>H5-H6</f>
        <v/>
      </c>
      <c r="I7" s="15">
        <f>I5-I6</f>
        <v/>
      </c>
      <c r="J7" s="15">
        <f>J5-J6</f>
        <v/>
      </c>
      <c r="K7" s="15">
        <f>K5-K6</f>
        <v/>
      </c>
      <c r="L7" s="15">
        <f>L5-L6</f>
        <v/>
      </c>
      <c r="M7" s="15">
        <f>M5-M6</f>
        <v/>
      </c>
      <c r="N7" s="15">
        <f>N5-N6</f>
        <v/>
      </c>
      <c r="O7" s="15">
        <f>O5-O6</f>
        <v/>
      </c>
    </row>
    <row r="8">
      <c r="A8" s="3" t="inlineStr">
        <is>
          <t>Maintenance CAPEX</t>
        </is>
      </c>
      <c r="B8" s="15">
        <f>32_MaintCapex_WC!B6</f>
        <v/>
      </c>
      <c r="C8" s="15">
        <f>32_MaintCapex_WC!C6</f>
        <v/>
      </c>
      <c r="D8" s="15">
        <f>32_MaintCapex_WC!D6</f>
        <v/>
      </c>
      <c r="E8" s="15">
        <f>32_MaintCapex_WC!E6</f>
        <v/>
      </c>
      <c r="F8" s="15">
        <f>32_MaintCapex_WC!F6</f>
        <v/>
      </c>
      <c r="G8" s="15">
        <f>32_MaintCapex_WC!G6</f>
        <v/>
      </c>
      <c r="H8" s="15">
        <f>32_MaintCapex_WC!H6</f>
        <v/>
      </c>
      <c r="I8" s="15">
        <f>32_MaintCapex_WC!I6</f>
        <v/>
      </c>
      <c r="J8" s="15">
        <f>32_MaintCapex_WC!J6</f>
        <v/>
      </c>
      <c r="K8" s="15">
        <f>32_MaintCapex_WC!K6</f>
        <v/>
      </c>
      <c r="L8" s="15">
        <f>32_MaintCapex_WC!L6</f>
        <v/>
      </c>
      <c r="M8" s="15">
        <f>32_MaintCapex_WC!M6</f>
        <v/>
      </c>
      <c r="N8" s="15">
        <f>32_MaintCapex_WC!N6</f>
        <v/>
      </c>
      <c r="O8" s="15">
        <f>32_MaintCapex_WC!O6</f>
        <v/>
      </c>
    </row>
    <row r="9">
      <c r="A9" s="3" t="inlineStr">
        <is>
          <t>Change in working capital</t>
        </is>
      </c>
      <c r="B9" s="15">
        <f>32_MaintCapex_WC!B9</f>
        <v/>
      </c>
      <c r="C9" s="15">
        <f>32_MaintCapex_WC!C9</f>
        <v/>
      </c>
      <c r="D9" s="15">
        <f>32_MaintCapex_WC!D9</f>
        <v/>
      </c>
      <c r="E9" s="15">
        <f>32_MaintCapex_WC!E9</f>
        <v/>
      </c>
      <c r="F9" s="15">
        <f>32_MaintCapex_WC!F9</f>
        <v/>
      </c>
      <c r="G9" s="15">
        <f>32_MaintCapex_WC!G9</f>
        <v/>
      </c>
      <c r="H9" s="15">
        <f>32_MaintCapex_WC!H9</f>
        <v/>
      </c>
      <c r="I9" s="15">
        <f>32_MaintCapex_WC!I9</f>
        <v/>
      </c>
      <c r="J9" s="15">
        <f>32_MaintCapex_WC!J9</f>
        <v/>
      </c>
      <c r="K9" s="15">
        <f>32_MaintCapex_WC!K9</f>
        <v/>
      </c>
      <c r="L9" s="15">
        <f>32_MaintCapex_WC!L9</f>
        <v/>
      </c>
      <c r="M9" s="15">
        <f>32_MaintCapex_WC!M9</f>
        <v/>
      </c>
      <c r="N9" s="15">
        <f>32_MaintCapex_WC!N9</f>
        <v/>
      </c>
      <c r="O9" s="15">
        <f>32_MaintCapex_WC!O9</f>
        <v/>
      </c>
    </row>
    <row r="10">
      <c r="A10" s="3" t="inlineStr">
        <is>
          <t>Cash tax</t>
        </is>
      </c>
      <c r="B10" s="15">
        <f>33_Depreciation_Tax!B16</f>
        <v/>
      </c>
      <c r="C10" s="15">
        <f>33_Depreciation_Tax!C16</f>
        <v/>
      </c>
      <c r="D10" s="15">
        <f>33_Depreciation_Tax!D16</f>
        <v/>
      </c>
      <c r="E10" s="15">
        <f>33_Depreciation_Tax!E16</f>
        <v/>
      </c>
      <c r="F10" s="15">
        <f>33_Depreciation_Tax!F16</f>
        <v/>
      </c>
      <c r="G10" s="15">
        <f>33_Depreciation_Tax!G16</f>
        <v/>
      </c>
      <c r="H10" s="15">
        <f>33_Depreciation_Tax!H16</f>
        <v/>
      </c>
      <c r="I10" s="15">
        <f>33_Depreciation_Tax!I16</f>
        <v/>
      </c>
      <c r="J10" s="15">
        <f>33_Depreciation_Tax!J16</f>
        <v/>
      </c>
      <c r="K10" s="15">
        <f>33_Depreciation_Tax!K16</f>
        <v/>
      </c>
      <c r="L10" s="15">
        <f>33_Depreciation_Tax!L16</f>
        <v/>
      </c>
      <c r="M10" s="15">
        <f>33_Depreciation_Tax!M16</f>
        <v/>
      </c>
      <c r="N10" s="15">
        <f>33_Depreciation_Tax!N16</f>
        <v/>
      </c>
      <c r="O10" s="15">
        <f>33_Depreciation_Tax!O16</f>
        <v/>
      </c>
    </row>
    <row r="11">
      <c r="A11" s="3" t="inlineStr">
        <is>
          <t>CFADS pre-grant</t>
        </is>
      </c>
      <c r="B11" s="15">
        <f>B7-B8-B9-B10</f>
        <v/>
      </c>
      <c r="C11" s="15">
        <f>C7-C8-C9-C10</f>
        <v/>
      </c>
      <c r="D11" s="15">
        <f>D7-D8-D9-D10</f>
        <v/>
      </c>
      <c r="E11" s="15">
        <f>E7-E8-E9-E10</f>
        <v/>
      </c>
      <c r="F11" s="15">
        <f>F7-F8-F9-F10</f>
        <v/>
      </c>
      <c r="G11" s="15">
        <f>G7-G8-G9-G10</f>
        <v/>
      </c>
      <c r="H11" s="15">
        <f>H7-H8-H9-H10</f>
        <v/>
      </c>
      <c r="I11" s="15">
        <f>I7-I8-I9-I10</f>
        <v/>
      </c>
      <c r="J11" s="15">
        <f>J7-J8-J9-J10</f>
        <v/>
      </c>
      <c r="K11" s="15">
        <f>K7-K8-K9-K10</f>
        <v/>
      </c>
      <c r="L11" s="15">
        <f>L7-L8-L9-L10</f>
        <v/>
      </c>
      <c r="M11" s="15">
        <f>M7-M8-M9-M10</f>
        <v/>
      </c>
      <c r="N11" s="15">
        <f>N7-N8-N9-N10</f>
        <v/>
      </c>
      <c r="O11" s="15">
        <f>O7-O8-O9-O10</f>
        <v/>
      </c>
    </row>
    <row r="12">
      <c r="A12" s="3" t="inlineStr">
        <is>
          <t>Grant reimbursement</t>
        </is>
      </c>
      <c r="B12" s="15">
        <f>22_Grant_Module!B7</f>
        <v/>
      </c>
      <c r="C12" s="15">
        <f>22_Grant_Module!C7</f>
        <v/>
      </c>
      <c r="D12" s="15">
        <f>22_Grant_Module!D7</f>
        <v/>
      </c>
      <c r="E12" s="15">
        <f>22_Grant_Module!E7</f>
        <v/>
      </c>
      <c r="F12" s="15">
        <f>22_Grant_Module!F7</f>
        <v/>
      </c>
      <c r="G12" s="15">
        <f>22_Grant_Module!G7</f>
        <v/>
      </c>
      <c r="H12" s="15">
        <f>22_Grant_Module!H7</f>
        <v/>
      </c>
      <c r="I12" s="15">
        <f>22_Grant_Module!I7</f>
        <v/>
      </c>
      <c r="J12" s="15">
        <f>22_Grant_Module!J7</f>
        <v/>
      </c>
      <c r="K12" s="15">
        <f>22_Grant_Module!K7</f>
        <v/>
      </c>
      <c r="L12" s="15">
        <f>22_Grant_Module!L7</f>
        <v/>
      </c>
      <c r="M12" s="15">
        <f>22_Grant_Module!M7</f>
        <v/>
      </c>
      <c r="N12" s="15">
        <f>22_Grant_Module!N7</f>
        <v/>
      </c>
      <c r="O12" s="15">
        <f>22_Grant_Module!O7</f>
        <v/>
      </c>
    </row>
    <row r="13">
      <c r="A13" s="3" t="inlineStr">
        <is>
          <t>CFADS post-grant</t>
        </is>
      </c>
      <c r="B13" s="15">
        <f>B11+B12</f>
        <v/>
      </c>
      <c r="C13" s="15">
        <f>C11+C12</f>
        <v/>
      </c>
      <c r="D13" s="15">
        <f>D11+D12</f>
        <v/>
      </c>
      <c r="E13" s="15">
        <f>E11+E12</f>
        <v/>
      </c>
      <c r="F13" s="15">
        <f>F11+F12</f>
        <v/>
      </c>
      <c r="G13" s="15">
        <f>G11+G12</f>
        <v/>
      </c>
      <c r="H13" s="15">
        <f>H11+H12</f>
        <v/>
      </c>
      <c r="I13" s="15">
        <f>I11+I12</f>
        <v/>
      </c>
      <c r="J13" s="15">
        <f>J11+J12</f>
        <v/>
      </c>
      <c r="K13" s="15">
        <f>K11+K12</f>
        <v/>
      </c>
      <c r="L13" s="15">
        <f>L11+L12</f>
        <v/>
      </c>
      <c r="M13" s="15">
        <f>M11+M12</f>
        <v/>
      </c>
      <c r="N13" s="15">
        <f>N11+N12</f>
        <v/>
      </c>
      <c r="O13" s="15">
        <f>O11+O12</f>
        <v/>
      </c>
    </row>
  </sheetData>
  <mergeCells count="1">
    <mergeCell ref="A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40_Debt_Schedule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Opening debt</t>
        </is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  <c r="G5" s="15">
        <f>23_Debt_Drawdown_IDC!F11</f>
        <v/>
      </c>
      <c r="H5" s="15">
        <f>G10</f>
        <v/>
      </c>
      <c r="I5" s="15">
        <f>H10</f>
        <v/>
      </c>
      <c r="J5" s="15">
        <f>I10</f>
        <v/>
      </c>
      <c r="K5" s="15">
        <f>J10</f>
        <v/>
      </c>
      <c r="L5" s="15">
        <f>K10</f>
        <v/>
      </c>
      <c r="M5" s="15">
        <f>L10</f>
        <v/>
      </c>
      <c r="N5" s="15">
        <f>M10</f>
        <v/>
      </c>
      <c r="O5" s="15">
        <f>N10</f>
        <v/>
      </c>
    </row>
    <row r="6">
      <c r="A6" s="3" t="inlineStr">
        <is>
          <t>New draw</t>
        </is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</row>
    <row r="7">
      <c r="A7" s="3" t="inlineStr">
        <is>
          <t>Interest expense</t>
        </is>
      </c>
      <c r="B7" s="15">
        <f>(( B5 + B10 )/2)*10_Assumptions!$B$14</f>
        <v/>
      </c>
      <c r="C7" s="15">
        <f>(( C5 + C10 )/2)*10_Assumptions!$B$14</f>
        <v/>
      </c>
      <c r="D7" s="15">
        <f>(( D5 + D10 )/2)*10_Assumptions!$B$14</f>
        <v/>
      </c>
      <c r="E7" s="15">
        <f>(( E5 + E10 )/2)*10_Assumptions!$B$14</f>
        <v/>
      </c>
      <c r="F7" s="15">
        <f>(( F5 + F10 )/2)*10_Assumptions!$B$14</f>
        <v/>
      </c>
      <c r="G7" s="15">
        <f>(( G5 + G10 )/2)*10_Assumptions!$B$14</f>
        <v/>
      </c>
      <c r="H7" s="15">
        <f>(( H5 + H10 )/2)*10_Assumptions!$B$14</f>
        <v/>
      </c>
      <c r="I7" s="15">
        <f>(( I5 + I10 )/2)*10_Assumptions!$B$14</f>
        <v/>
      </c>
      <c r="J7" s="15">
        <f>(( J5 + J10 )/2)*10_Assumptions!$B$14</f>
        <v/>
      </c>
      <c r="K7" s="15">
        <f>(( K5 + K10 )/2)*10_Assumptions!$B$14</f>
        <v/>
      </c>
      <c r="L7" s="15">
        <f>(( L5 + L10 )/2)*10_Assumptions!$B$14</f>
        <v/>
      </c>
      <c r="M7" s="15">
        <f>(( M5 + M10 )/2)*10_Assumptions!$B$14</f>
        <v/>
      </c>
      <c r="N7" s="15">
        <f>(( N5 + N10 )/2)*10_Assumptions!$B$14</f>
        <v/>
      </c>
      <c r="O7" s="15">
        <f>(( O5 + O10 )/2)*10_Assumptions!$B$14</f>
        <v/>
      </c>
    </row>
    <row r="8">
      <c r="A8" s="3" t="inlineStr">
        <is>
          <t>Principal repayment</t>
        </is>
      </c>
      <c r="B8" s="15">
        <f>IF(11_Timeline!B7=1,MIN(B5,23_Debt_Drawdown_IDC!F11/10_Assumptions!$B$15),0)</f>
        <v/>
      </c>
      <c r="C8" s="15">
        <f>IF(11_Timeline!C7=1,MIN(C5,23_Debt_Drawdown_IDC!F11/10_Assumptions!$B$15),0)</f>
        <v/>
      </c>
      <c r="D8" s="15">
        <f>IF(11_Timeline!D7=1,MIN(D5,23_Debt_Drawdown_IDC!F11/10_Assumptions!$B$15),0)</f>
        <v/>
      </c>
      <c r="E8" s="15">
        <f>IF(11_Timeline!E7=1,MIN(E5,23_Debt_Drawdown_IDC!F11/10_Assumptions!$B$15),0)</f>
        <v/>
      </c>
      <c r="F8" s="15">
        <f>IF(11_Timeline!F7=1,MIN(F5,23_Debt_Drawdown_IDC!F11/10_Assumptions!$B$15),0)</f>
        <v/>
      </c>
      <c r="G8" s="15">
        <f>IF(11_Timeline!G7=1,MIN(G5,23_Debt_Drawdown_IDC!F11/10_Assumptions!$B$15),0)</f>
        <v/>
      </c>
      <c r="H8" s="15">
        <f>IF(11_Timeline!H7=1,MIN(H5,23_Debt_Drawdown_IDC!F11/10_Assumptions!$B$15),0)</f>
        <v/>
      </c>
      <c r="I8" s="15">
        <f>IF(11_Timeline!I7=1,MIN(I5,23_Debt_Drawdown_IDC!F11/10_Assumptions!$B$15),0)</f>
        <v/>
      </c>
      <c r="J8" s="15">
        <f>IF(11_Timeline!J7=1,MIN(J5,23_Debt_Drawdown_IDC!F11/10_Assumptions!$B$15),0)</f>
        <v/>
      </c>
      <c r="K8" s="15">
        <f>IF(11_Timeline!K7=1,MIN(K5,23_Debt_Drawdown_IDC!F11/10_Assumptions!$B$15),0)</f>
        <v/>
      </c>
      <c r="L8" s="15">
        <f>IF(11_Timeline!L7=1,MIN(L5,23_Debt_Drawdown_IDC!F11/10_Assumptions!$B$15),0)</f>
        <v/>
      </c>
      <c r="M8" s="15">
        <f>IF(11_Timeline!M7=1,MIN(M5,23_Debt_Drawdown_IDC!F11/10_Assumptions!$B$15),0)</f>
        <v/>
      </c>
      <c r="N8" s="15">
        <f>IF(11_Timeline!N7=1,MIN(N5,23_Debt_Drawdown_IDC!F11/10_Assumptions!$B$15),0)</f>
        <v/>
      </c>
      <c r="O8" s="15">
        <f>IF(11_Timeline!O7=1,MIN(O5,23_Debt_Drawdown_IDC!F11/10_Assumptions!$B$15),0)</f>
        <v/>
      </c>
    </row>
    <row r="9">
      <c r="A9" s="3" t="inlineStr">
        <is>
          <t>Debt service</t>
        </is>
      </c>
      <c r="B9" s="15">
        <f>B7+B8</f>
        <v/>
      </c>
      <c r="C9" s="15">
        <f>C7+C8</f>
        <v/>
      </c>
      <c r="D9" s="15">
        <f>D7+D8</f>
        <v/>
      </c>
      <c r="E9" s="15">
        <f>E7+E8</f>
        <v/>
      </c>
      <c r="F9" s="15">
        <f>F7+F8</f>
        <v/>
      </c>
      <c r="G9" s="15">
        <f>G7+G8</f>
        <v/>
      </c>
      <c r="H9" s="15">
        <f>H7+H8</f>
        <v/>
      </c>
      <c r="I9" s="15">
        <f>I7+I8</f>
        <v/>
      </c>
      <c r="J9" s="15">
        <f>J7+J8</f>
        <v/>
      </c>
      <c r="K9" s="15">
        <f>K7+K8</f>
        <v/>
      </c>
      <c r="L9" s="15">
        <f>L7+L8</f>
        <v/>
      </c>
      <c r="M9" s="15">
        <f>M7+M8</f>
        <v/>
      </c>
      <c r="N9" s="15">
        <f>N7+N8</f>
        <v/>
      </c>
      <c r="O9" s="15">
        <f>O7+O8</f>
        <v/>
      </c>
    </row>
    <row r="10">
      <c r="A10" s="3" t="inlineStr">
        <is>
          <t>Closing debt</t>
        </is>
      </c>
      <c r="B10" s="15">
        <f>B5+B6-B8</f>
        <v/>
      </c>
      <c r="C10" s="15">
        <f>C5+C6-C8</f>
        <v/>
      </c>
      <c r="D10" s="15">
        <f>D5+D6-D8</f>
        <v/>
      </c>
      <c r="E10" s="15">
        <f>E5+E6-E8</f>
        <v/>
      </c>
      <c r="F10" s="15">
        <f>F5+F6-F8</f>
        <v/>
      </c>
      <c r="G10" s="15">
        <f>G5+G6-G8</f>
        <v/>
      </c>
      <c r="H10" s="15">
        <f>H5+H6-H8</f>
        <v/>
      </c>
      <c r="I10" s="15">
        <f>I5+I6-I8</f>
        <v/>
      </c>
      <c r="J10" s="15">
        <f>J5+J6-J8</f>
        <v/>
      </c>
      <c r="K10" s="15">
        <f>K5+K6-K8</f>
        <v/>
      </c>
      <c r="L10" s="15">
        <f>L5+L6-L8</f>
        <v/>
      </c>
      <c r="M10" s="15">
        <f>M5+M6-M8</f>
        <v/>
      </c>
      <c r="N10" s="15">
        <f>N5+N6-N8</f>
        <v/>
      </c>
      <c r="O10" s="15">
        <f>O5+O6-O8</f>
        <v/>
      </c>
    </row>
  </sheetData>
  <mergeCells count="1"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41_DSRA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Opening DSRA</t>
        </is>
      </c>
      <c r="B5" s="15" t="n">
        <v>0</v>
      </c>
      <c r="C5" s="15">
        <f>B8</f>
        <v/>
      </c>
      <c r="D5" s="15">
        <f>C8</f>
        <v/>
      </c>
      <c r="E5" s="15">
        <f>D8</f>
        <v/>
      </c>
      <c r="F5" s="15">
        <f>E8</f>
        <v/>
      </c>
      <c r="G5" s="15">
        <f>F8</f>
        <v/>
      </c>
      <c r="H5" s="15">
        <f>G8</f>
        <v/>
      </c>
      <c r="I5" s="15">
        <f>H8</f>
        <v/>
      </c>
      <c r="J5" s="15">
        <f>I8</f>
        <v/>
      </c>
      <c r="K5" s="15">
        <f>J8</f>
        <v/>
      </c>
      <c r="L5" s="15">
        <f>K8</f>
        <v/>
      </c>
      <c r="M5" s="15">
        <f>L8</f>
        <v/>
      </c>
      <c r="N5" s="15">
        <f>M8</f>
        <v/>
      </c>
      <c r="O5" s="15">
        <f>N8</f>
        <v/>
      </c>
    </row>
    <row r="6">
      <c r="A6" s="3" t="inlineStr">
        <is>
          <t>Target DSRA</t>
        </is>
      </c>
      <c r="B6" s="15">
        <f>40_Debt_Schedule!B9*10_Assumptions!$B$17/12</f>
        <v/>
      </c>
      <c r="C6" s="15">
        <f>40_Debt_Schedule!C9*10_Assumptions!$B$17/12</f>
        <v/>
      </c>
      <c r="D6" s="15">
        <f>40_Debt_Schedule!D9*10_Assumptions!$B$17/12</f>
        <v/>
      </c>
      <c r="E6" s="15">
        <f>40_Debt_Schedule!E9*10_Assumptions!$B$17/12</f>
        <v/>
      </c>
      <c r="F6" s="15">
        <f>40_Debt_Schedule!F9*10_Assumptions!$B$17/12</f>
        <v/>
      </c>
      <c r="G6" s="15">
        <f>40_Debt_Schedule!G9*10_Assumptions!$B$17/12</f>
        <v/>
      </c>
      <c r="H6" s="15">
        <f>40_Debt_Schedule!H9*10_Assumptions!$B$17/12</f>
        <v/>
      </c>
      <c r="I6" s="15">
        <f>40_Debt_Schedule!I9*10_Assumptions!$B$17/12</f>
        <v/>
      </c>
      <c r="J6" s="15">
        <f>40_Debt_Schedule!J9*10_Assumptions!$B$17/12</f>
        <v/>
      </c>
      <c r="K6" s="15">
        <f>40_Debt_Schedule!K9*10_Assumptions!$B$17/12</f>
        <v/>
      </c>
      <c r="L6" s="15">
        <f>40_Debt_Schedule!L9*10_Assumptions!$B$17/12</f>
        <v/>
      </c>
      <c r="M6" s="15">
        <f>40_Debt_Schedule!M9*10_Assumptions!$B$17/12</f>
        <v/>
      </c>
      <c r="N6" s="15">
        <f>40_Debt_Schedule!N9*10_Assumptions!$B$17/12</f>
        <v/>
      </c>
      <c r="O6" s="15">
        <f>40_Debt_Schedule!O9*10_Assumptions!$B$17/12</f>
        <v/>
      </c>
    </row>
    <row r="7">
      <c r="A7" s="3" t="inlineStr">
        <is>
          <t>Funding / (release)</t>
        </is>
      </c>
      <c r="B7" s="15">
        <f>B6-B5</f>
        <v/>
      </c>
      <c r="C7" s="15">
        <f>C6-C5</f>
        <v/>
      </c>
      <c r="D7" s="15">
        <f>D6-D5</f>
        <v/>
      </c>
      <c r="E7" s="15">
        <f>E6-E5</f>
        <v/>
      </c>
      <c r="F7" s="15">
        <f>F6-F5</f>
        <v/>
      </c>
      <c r="G7" s="15">
        <f>G6-G5</f>
        <v/>
      </c>
      <c r="H7" s="15">
        <f>H6-H5</f>
        <v/>
      </c>
      <c r="I7" s="15">
        <f>I6-I5</f>
        <v/>
      </c>
      <c r="J7" s="15">
        <f>J6-J5</f>
        <v/>
      </c>
      <c r="K7" s="15">
        <f>K6-K5</f>
        <v/>
      </c>
      <c r="L7" s="15">
        <f>L6-L5</f>
        <v/>
      </c>
      <c r="M7" s="15">
        <f>M6-M5</f>
        <v/>
      </c>
      <c r="N7" s="15">
        <f>N6-N5</f>
        <v/>
      </c>
      <c r="O7" s="15">
        <f>O6-O5</f>
        <v/>
      </c>
    </row>
    <row r="8">
      <c r="A8" s="3" t="inlineStr">
        <is>
          <t>Closing DSRA</t>
        </is>
      </c>
      <c r="B8" s="15">
        <f>B5+B7</f>
        <v/>
      </c>
      <c r="C8" s="15">
        <f>C5+C7</f>
        <v/>
      </c>
      <c r="D8" s="15">
        <f>D5+D7</f>
        <v/>
      </c>
      <c r="E8" s="15">
        <f>E5+E7</f>
        <v/>
      </c>
      <c r="F8" s="15">
        <f>F5+F7</f>
        <v/>
      </c>
      <c r="G8" s="15">
        <f>G5+G7</f>
        <v/>
      </c>
      <c r="H8" s="15">
        <f>H5+H7</f>
        <v/>
      </c>
      <c r="I8" s="15">
        <f>I5+I7</f>
        <v/>
      </c>
      <c r="J8" s="15">
        <f>J5+J7</f>
        <v/>
      </c>
      <c r="K8" s="15">
        <f>K5+K7</f>
        <v/>
      </c>
      <c r="L8" s="15">
        <f>L5+L7</f>
        <v/>
      </c>
      <c r="M8" s="15">
        <f>M5+M7</f>
        <v/>
      </c>
      <c r="N8" s="15">
        <f>N5+N7</f>
        <v/>
      </c>
      <c r="O8" s="15">
        <f>O5+O7</f>
        <v/>
      </c>
    </row>
  </sheetData>
  <mergeCells count="1"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</cols>
  <sheetData>
    <row r="1" ht="24" customHeight="1">
      <c r="A1" s="1" t="inlineStr">
        <is>
          <t>42_Coverage_Ratios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CFADS post-grant</t>
        </is>
      </c>
      <c r="B5" s="15">
        <f>34_CFADS!B13</f>
        <v/>
      </c>
      <c r="C5" s="15">
        <f>34_CFADS!C13</f>
        <v/>
      </c>
      <c r="D5" s="15">
        <f>34_CFADS!D13</f>
        <v/>
      </c>
      <c r="E5" s="15">
        <f>34_CFADS!E13</f>
        <v/>
      </c>
      <c r="F5" s="15">
        <f>34_CFADS!F13</f>
        <v/>
      </c>
      <c r="G5" s="15">
        <f>34_CFADS!G13</f>
        <v/>
      </c>
      <c r="H5" s="15">
        <f>34_CFADS!H13</f>
        <v/>
      </c>
      <c r="I5" s="15">
        <f>34_CFADS!I13</f>
        <v/>
      </c>
      <c r="J5" s="15">
        <f>34_CFADS!J13</f>
        <v/>
      </c>
      <c r="K5" s="15">
        <f>34_CFADS!K13</f>
        <v/>
      </c>
      <c r="L5" s="15">
        <f>34_CFADS!L13</f>
        <v/>
      </c>
      <c r="M5" s="15">
        <f>34_CFADS!M13</f>
        <v/>
      </c>
      <c r="N5" s="15">
        <f>34_CFADS!N13</f>
        <v/>
      </c>
      <c r="O5" s="15">
        <f>34_CFADS!O13</f>
        <v/>
      </c>
    </row>
    <row r="6">
      <c r="A6" s="3" t="inlineStr">
        <is>
          <t>Debt service</t>
        </is>
      </c>
      <c r="B6" s="15">
        <f>40_Debt_Schedule!B9</f>
        <v/>
      </c>
      <c r="C6" s="15">
        <f>40_Debt_Schedule!C9</f>
        <v/>
      </c>
      <c r="D6" s="15">
        <f>40_Debt_Schedule!D9</f>
        <v/>
      </c>
      <c r="E6" s="15">
        <f>40_Debt_Schedule!E9</f>
        <v/>
      </c>
      <c r="F6" s="15">
        <f>40_Debt_Schedule!F9</f>
        <v/>
      </c>
      <c r="G6" s="15">
        <f>40_Debt_Schedule!G9</f>
        <v/>
      </c>
      <c r="H6" s="15">
        <f>40_Debt_Schedule!H9</f>
        <v/>
      </c>
      <c r="I6" s="15">
        <f>40_Debt_Schedule!I9</f>
        <v/>
      </c>
      <c r="J6" s="15">
        <f>40_Debt_Schedule!J9</f>
        <v/>
      </c>
      <c r="K6" s="15">
        <f>40_Debt_Schedule!K9</f>
        <v/>
      </c>
      <c r="L6" s="15">
        <f>40_Debt_Schedule!L9</f>
        <v/>
      </c>
      <c r="M6" s="15">
        <f>40_Debt_Schedule!M9</f>
        <v/>
      </c>
      <c r="N6" s="15">
        <f>40_Debt_Schedule!N9</f>
        <v/>
      </c>
      <c r="O6" s="15">
        <f>40_Debt_Schedule!O9</f>
        <v/>
      </c>
    </row>
    <row r="7">
      <c r="A7" s="3" t="inlineStr">
        <is>
          <t>DSCR</t>
        </is>
      </c>
      <c r="B7" s="17">
        <f>IF(B6=0,"",B5/B6)</f>
        <v/>
      </c>
      <c r="C7" s="17">
        <f>IF(C6=0,"",C5/C6)</f>
        <v/>
      </c>
      <c r="D7" s="17">
        <f>IF(D6=0,"",D5/D6)</f>
        <v/>
      </c>
      <c r="E7" s="17">
        <f>IF(E6=0,"",E5/E6)</f>
        <v/>
      </c>
      <c r="F7" s="17">
        <f>IF(F6=0,"",F5/F6)</f>
        <v/>
      </c>
      <c r="G7" s="17">
        <f>IF(G6=0,"",G5/G6)</f>
        <v/>
      </c>
      <c r="H7" s="17">
        <f>IF(H6=0,"",H5/H6)</f>
        <v/>
      </c>
      <c r="I7" s="17">
        <f>IF(I6=0,"",I5/I6)</f>
        <v/>
      </c>
      <c r="J7" s="17">
        <f>IF(J6=0,"",J5/J6)</f>
        <v/>
      </c>
      <c r="K7" s="17">
        <f>IF(K6=0,"",K5/K6)</f>
        <v/>
      </c>
      <c r="L7" s="17">
        <f>IF(L6=0,"",L5/L6)</f>
        <v/>
      </c>
      <c r="M7" s="17">
        <f>IF(M6=0,"",M5/M6)</f>
        <v/>
      </c>
      <c r="N7" s="17">
        <f>IF(N6=0,"",N5/N6)</f>
        <v/>
      </c>
      <c r="O7" s="17">
        <f>IF(O6=0,"",O5/O6)</f>
        <v/>
      </c>
    </row>
    <row r="8">
      <c r="A8" s="3" t="inlineStr">
        <is>
          <t>Opening debt</t>
        </is>
      </c>
      <c r="B8" s="15">
        <f>40_Debt_Schedule!B5</f>
        <v/>
      </c>
      <c r="C8" s="15">
        <f>40_Debt_Schedule!C5</f>
        <v/>
      </c>
      <c r="D8" s="15">
        <f>40_Debt_Schedule!D5</f>
        <v/>
      </c>
      <c r="E8" s="15">
        <f>40_Debt_Schedule!E5</f>
        <v/>
      </c>
      <c r="F8" s="15">
        <f>40_Debt_Schedule!F5</f>
        <v/>
      </c>
      <c r="G8" s="15">
        <f>40_Debt_Schedule!G5</f>
        <v/>
      </c>
      <c r="H8" s="15">
        <f>40_Debt_Schedule!H5</f>
        <v/>
      </c>
      <c r="I8" s="15">
        <f>40_Debt_Schedule!I5</f>
        <v/>
      </c>
      <c r="J8" s="15">
        <f>40_Debt_Schedule!J5</f>
        <v/>
      </c>
      <c r="K8" s="15">
        <f>40_Debt_Schedule!K5</f>
        <v/>
      </c>
      <c r="L8" s="15">
        <f>40_Debt_Schedule!L5</f>
        <v/>
      </c>
      <c r="M8" s="15">
        <f>40_Debt_Schedule!M5</f>
        <v/>
      </c>
      <c r="N8" s="15">
        <f>40_Debt_Schedule!N5</f>
        <v/>
      </c>
      <c r="O8" s="15">
        <f>40_Debt_Schedule!O5</f>
        <v/>
      </c>
    </row>
    <row r="9">
      <c r="A9" s="3" t="inlineStr">
        <is>
          <t>LLCR discount factor</t>
        </is>
      </c>
      <c r="B9" s="18">
        <f>1/(1+10_Assumptions!$B$30)^0</f>
        <v/>
      </c>
      <c r="C9" s="18">
        <f>1/(1+10_Assumptions!$B$30)^0</f>
        <v/>
      </c>
      <c r="D9" s="18">
        <f>1/(1+10_Assumptions!$B$30)^0</f>
        <v/>
      </c>
      <c r="E9" s="18">
        <f>1/(1+10_Assumptions!$B$30)^0</f>
        <v/>
      </c>
      <c r="F9" s="18">
        <f>1/(1+10_Assumptions!$B$30)^0</f>
        <v/>
      </c>
      <c r="G9" s="18">
        <f>1/(1+10_Assumptions!$B$30)^1</f>
        <v/>
      </c>
      <c r="H9" s="18">
        <f>1/(1+10_Assumptions!$B$30)^2</f>
        <v/>
      </c>
      <c r="I9" s="18">
        <f>1/(1+10_Assumptions!$B$30)^3</f>
        <v/>
      </c>
      <c r="J9" s="18">
        <f>1/(1+10_Assumptions!$B$30)^4</f>
        <v/>
      </c>
      <c r="K9" s="18">
        <f>1/(1+10_Assumptions!$B$30)^5</f>
        <v/>
      </c>
      <c r="L9" s="18">
        <f>1/(1+10_Assumptions!$B$30)^6</f>
        <v/>
      </c>
      <c r="M9" s="18">
        <f>1/(1+10_Assumptions!$B$30)^7</f>
        <v/>
      </c>
      <c r="N9" s="18">
        <f>1/(1+10_Assumptions!$B$30)^8</f>
        <v/>
      </c>
      <c r="O9" s="18">
        <f>1/(1+10_Assumptions!$B$30)^9</f>
        <v/>
      </c>
    </row>
    <row r="10">
      <c r="A10" s="3" t="inlineStr">
        <is>
          <t>PV CFADS loan life</t>
        </is>
      </c>
      <c r="B10" s="15">
        <f>IF(AND(B$4&gt;=10_Assumptions!$B$16,B$4&lt;=10_Assumptions!$B$16+10_Assumptions!$B$15-1),B5*B9,0)</f>
        <v/>
      </c>
      <c r="C10" s="15">
        <f>IF(AND(C$4&gt;=10_Assumptions!$B$16,C$4&lt;=10_Assumptions!$B$16+10_Assumptions!$B$15-1),C5*C9,0)</f>
        <v/>
      </c>
      <c r="D10" s="15">
        <f>IF(AND(D$4&gt;=10_Assumptions!$B$16,D$4&lt;=10_Assumptions!$B$16+10_Assumptions!$B$15-1),D5*D9,0)</f>
        <v/>
      </c>
      <c r="E10" s="15">
        <f>IF(AND(E$4&gt;=10_Assumptions!$B$16,E$4&lt;=10_Assumptions!$B$16+10_Assumptions!$B$15-1),E5*E9,0)</f>
        <v/>
      </c>
      <c r="F10" s="15">
        <f>IF(AND(F$4&gt;=10_Assumptions!$B$16,F$4&lt;=10_Assumptions!$B$16+10_Assumptions!$B$15-1),F5*F9,0)</f>
        <v/>
      </c>
      <c r="G10" s="15">
        <f>IF(AND(G$4&gt;=10_Assumptions!$B$16,G$4&lt;=10_Assumptions!$B$16+10_Assumptions!$B$15-1),G5*G9,0)</f>
        <v/>
      </c>
      <c r="H10" s="15">
        <f>IF(AND(H$4&gt;=10_Assumptions!$B$16,H$4&lt;=10_Assumptions!$B$16+10_Assumptions!$B$15-1),H5*H9,0)</f>
        <v/>
      </c>
      <c r="I10" s="15">
        <f>IF(AND(I$4&gt;=10_Assumptions!$B$16,I$4&lt;=10_Assumptions!$B$16+10_Assumptions!$B$15-1),I5*I9,0)</f>
        <v/>
      </c>
      <c r="J10" s="15">
        <f>IF(AND(J$4&gt;=10_Assumptions!$B$16,J$4&lt;=10_Assumptions!$B$16+10_Assumptions!$B$15-1),J5*J9,0)</f>
        <v/>
      </c>
      <c r="K10" s="15">
        <f>IF(AND(K$4&gt;=10_Assumptions!$B$16,K$4&lt;=10_Assumptions!$B$16+10_Assumptions!$B$15-1),K5*K9,0)</f>
        <v/>
      </c>
      <c r="L10" s="15">
        <f>IF(AND(L$4&gt;=10_Assumptions!$B$16,L$4&lt;=10_Assumptions!$B$16+10_Assumptions!$B$15-1),L5*L9,0)</f>
        <v/>
      </c>
      <c r="M10" s="15">
        <f>IF(AND(M$4&gt;=10_Assumptions!$B$16,M$4&lt;=10_Assumptions!$B$16+10_Assumptions!$B$15-1),M5*M9,0)</f>
        <v/>
      </c>
      <c r="N10" s="15">
        <f>IF(AND(N$4&gt;=10_Assumptions!$B$16,N$4&lt;=10_Assumptions!$B$16+10_Assumptions!$B$15-1),N5*N9,0)</f>
        <v/>
      </c>
      <c r="O10" s="15">
        <f>IF(AND(O$4&gt;=10_Assumptions!$B$16,O$4&lt;=10_Assumptions!$B$16+10_Assumptions!$B$15-1),O5*O9,0)</f>
        <v/>
      </c>
    </row>
    <row r="11">
      <c r="A11" s="3" t="inlineStr">
        <is>
          <t>LLCR</t>
        </is>
      </c>
      <c r="B11" s="17">
        <f>IF(B8=0,"",SUM(B10:N10)/B8)</f>
        <v/>
      </c>
      <c r="C11" s="17">
        <f>IF(C8=0,"",SUM(C10:N10)/C8)</f>
        <v/>
      </c>
      <c r="D11" s="17">
        <f>IF(D8=0,"",SUM(D10:N10)/D8)</f>
        <v/>
      </c>
      <c r="E11" s="17">
        <f>IF(E8=0,"",SUM(E10:N10)/E8)</f>
        <v/>
      </c>
      <c r="F11" s="17">
        <f>IF(F8=0,"",SUM(F10:N10)/F8)</f>
        <v/>
      </c>
      <c r="G11" s="17">
        <f>IF(G8=0,"",SUM(G10:N10)/G8)</f>
        <v/>
      </c>
      <c r="H11" s="17">
        <f>IF(H8=0,"",SUM(H10:N10)/H8)</f>
        <v/>
      </c>
      <c r="I11" s="17">
        <f>IF(I8=0,"",SUM(I10:N10)/I8)</f>
        <v/>
      </c>
      <c r="J11" s="17">
        <f>IF(J8=0,"",SUM(J10:N10)/J8)</f>
        <v/>
      </c>
      <c r="K11" s="17">
        <f>IF(K8=0,"",SUM(K10:N10)/K8)</f>
        <v/>
      </c>
      <c r="L11" s="17">
        <f>IF(L8=0,"",SUM(L10:N10)/L8)</f>
        <v/>
      </c>
      <c r="M11" s="17">
        <f>IF(M8=0,"",SUM(M10:N10)/M8)</f>
        <v/>
      </c>
      <c r="N11" s="17">
        <f>IF(N8=0,"",SUM(N10:N10)/N8)</f>
        <v/>
      </c>
      <c r="O11" s="17">
        <f>IF(O8=0,"",SUM(O10:N10)/O8)</f>
        <v/>
      </c>
    </row>
    <row r="12">
      <c r="A12" s="3" t="inlineStr">
        <is>
          <t>PLCR discount factor</t>
        </is>
      </c>
      <c r="B12" s="18">
        <f>1/(1+10_Assumptions!$B$31)^0</f>
        <v/>
      </c>
      <c r="C12" s="18">
        <f>1/(1+10_Assumptions!$B$31)^0</f>
        <v/>
      </c>
      <c r="D12" s="18">
        <f>1/(1+10_Assumptions!$B$31)^0</f>
        <v/>
      </c>
      <c r="E12" s="18">
        <f>1/(1+10_Assumptions!$B$31)^0</f>
        <v/>
      </c>
      <c r="F12" s="18">
        <f>1/(1+10_Assumptions!$B$31)^0</f>
        <v/>
      </c>
      <c r="G12" s="18">
        <f>1/(1+10_Assumptions!$B$31)^1</f>
        <v/>
      </c>
      <c r="H12" s="18">
        <f>1/(1+10_Assumptions!$B$31)^2</f>
        <v/>
      </c>
      <c r="I12" s="18">
        <f>1/(1+10_Assumptions!$B$31)^3</f>
        <v/>
      </c>
      <c r="J12" s="18">
        <f>1/(1+10_Assumptions!$B$31)^4</f>
        <v/>
      </c>
      <c r="K12" s="18">
        <f>1/(1+10_Assumptions!$B$31)^5</f>
        <v/>
      </c>
      <c r="L12" s="18">
        <f>1/(1+10_Assumptions!$B$31)^6</f>
        <v/>
      </c>
      <c r="M12" s="18">
        <f>1/(1+10_Assumptions!$B$31)^7</f>
        <v/>
      </c>
      <c r="N12" s="18">
        <f>1/(1+10_Assumptions!$B$31)^8</f>
        <v/>
      </c>
      <c r="O12" s="18">
        <f>1/(1+10_Assumptions!$B$31)^9</f>
        <v/>
      </c>
    </row>
    <row r="13">
      <c r="A13" s="3" t="inlineStr">
        <is>
          <t>PV CFADS project life</t>
        </is>
      </c>
      <c r="B13" s="15">
        <f>IF(B$4&gt;=10_Assumptions!$B$16,B5*B12,0)</f>
        <v/>
      </c>
      <c r="C13" s="15">
        <f>IF(C$4&gt;=10_Assumptions!$B$16,C5*C12,0)</f>
        <v/>
      </c>
      <c r="D13" s="15">
        <f>IF(D$4&gt;=10_Assumptions!$B$16,D5*D12,0)</f>
        <v/>
      </c>
      <c r="E13" s="15">
        <f>IF(E$4&gt;=10_Assumptions!$B$16,E5*E12,0)</f>
        <v/>
      </c>
      <c r="F13" s="15">
        <f>IF(F$4&gt;=10_Assumptions!$B$16,F5*F12,0)</f>
        <v/>
      </c>
      <c r="G13" s="15">
        <f>IF(G$4&gt;=10_Assumptions!$B$16,G5*G12,0)</f>
        <v/>
      </c>
      <c r="H13" s="15">
        <f>IF(H$4&gt;=10_Assumptions!$B$16,H5*H12,0)</f>
        <v/>
      </c>
      <c r="I13" s="15">
        <f>IF(I$4&gt;=10_Assumptions!$B$16,I5*I12,0)</f>
        <v/>
      </c>
      <c r="J13" s="15">
        <f>IF(J$4&gt;=10_Assumptions!$B$16,J5*J12,0)</f>
        <v/>
      </c>
      <c r="K13" s="15">
        <f>IF(K$4&gt;=10_Assumptions!$B$16,K5*K12,0)</f>
        <v/>
      </c>
      <c r="L13" s="15">
        <f>IF(L$4&gt;=10_Assumptions!$B$16,L5*L12,0)</f>
        <v/>
      </c>
      <c r="M13" s="15">
        <f>IF(M$4&gt;=10_Assumptions!$B$16,M5*M12,0)</f>
        <v/>
      </c>
      <c r="N13" s="15">
        <f>IF(N$4&gt;=10_Assumptions!$B$16,N5*N12,0)</f>
        <v/>
      </c>
      <c r="O13" s="15">
        <f>IF(O$4&gt;=10_Assumptions!$B$16,O5*O12,0)</f>
        <v/>
      </c>
    </row>
    <row r="14">
      <c r="A14" s="3" t="inlineStr">
        <is>
          <t>PLCR</t>
        </is>
      </c>
      <c r="B14" s="17">
        <f>IF(B8=0,"",SUM(B13:O13)/B8)</f>
        <v/>
      </c>
      <c r="C14" s="17">
        <f>IF(C8=0,"",SUM(C13:O13)/C8)</f>
        <v/>
      </c>
      <c r="D14" s="17">
        <f>IF(D8=0,"",SUM(D13:O13)/D8)</f>
        <v/>
      </c>
      <c r="E14" s="17">
        <f>IF(E8=0,"",SUM(E13:O13)/E8)</f>
        <v/>
      </c>
      <c r="F14" s="17">
        <f>IF(F8=0,"",SUM(F13:O13)/F8)</f>
        <v/>
      </c>
      <c r="G14" s="17">
        <f>IF(G8=0,"",SUM(G13:O13)/G8)</f>
        <v/>
      </c>
      <c r="H14" s="17">
        <f>IF(H8=0,"",SUM(H13:O13)/H8)</f>
        <v/>
      </c>
      <c r="I14" s="17">
        <f>IF(I8=0,"",SUM(I13:O13)/I8)</f>
        <v/>
      </c>
      <c r="J14" s="17">
        <f>IF(J8=0,"",SUM(J13:O13)/J8)</f>
        <v/>
      </c>
      <c r="K14" s="17">
        <f>IF(K8=0,"",SUM(K13:O13)/K8)</f>
        <v/>
      </c>
      <c r="L14" s="17">
        <f>IF(L8=0,"",SUM(L13:O13)/L8)</f>
        <v/>
      </c>
      <c r="M14" s="17">
        <f>IF(M8=0,"",SUM(M13:O13)/M8)</f>
        <v/>
      </c>
      <c r="N14" s="17">
        <f>IF(N8=0,"",SUM(N13:O13)/N8)</f>
        <v/>
      </c>
      <c r="O14" s="17">
        <f>IF(O8=0,"",SUM(O13:O13)/O8)</f>
        <v/>
      </c>
    </row>
  </sheetData>
  <mergeCells count="1"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</cols>
  <sheetData>
    <row r="1" ht="24" customHeight="1">
      <c r="A1" s="1" t="inlineStr">
        <is>
          <t>43_Investor_Returns</t>
        </is>
      </c>
    </row>
    <row r="2"/>
    <row r="3"/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Equity contribution</t>
        </is>
      </c>
      <c r="B5" s="15">
        <f>-21_Sources_Uses!B6</f>
        <v/>
      </c>
      <c r="C5" s="15">
        <f>-21_Sources_Uses!C6</f>
        <v/>
      </c>
      <c r="D5" s="15">
        <f>-21_Sources_Uses!D6</f>
        <v/>
      </c>
      <c r="E5" s="15">
        <f>-21_Sources_Uses!E6</f>
        <v/>
      </c>
      <c r="F5" s="15">
        <f>-21_Sources_Uses!F6</f>
        <v/>
      </c>
      <c r="G5" s="15">
        <f>-21_Sources_Uses!G6</f>
        <v/>
      </c>
      <c r="H5" s="15">
        <f>-21_Sources_Uses!H6</f>
        <v/>
      </c>
      <c r="I5" s="15">
        <f>-21_Sources_Uses!I6</f>
        <v/>
      </c>
      <c r="J5" s="15">
        <f>-21_Sources_Uses!J6</f>
        <v/>
      </c>
      <c r="K5" s="15">
        <f>-21_Sources_Uses!K6</f>
        <v/>
      </c>
      <c r="L5" s="15">
        <f>-21_Sources_Uses!L6</f>
        <v/>
      </c>
      <c r="M5" s="15">
        <f>-21_Sources_Uses!M6</f>
        <v/>
      </c>
      <c r="N5" s="15">
        <f>-21_Sources_Uses!N6</f>
        <v/>
      </c>
      <c r="O5" s="15">
        <f>-21_Sources_Uses!O6</f>
        <v/>
      </c>
    </row>
    <row r="6">
      <c r="A6" s="3" t="inlineStr">
        <is>
          <t>Cash available to equity pre lock-up</t>
        </is>
      </c>
      <c r="B6" s="15">
        <f>34_CFADS!B13-40_Debt_Schedule!B9-41_DSRA!B7</f>
        <v/>
      </c>
      <c r="C6" s="15">
        <f>34_CFADS!C13-40_Debt_Schedule!C9-41_DSRA!C7</f>
        <v/>
      </c>
      <c r="D6" s="15">
        <f>34_CFADS!D13-40_Debt_Schedule!D9-41_DSRA!D7</f>
        <v/>
      </c>
      <c r="E6" s="15">
        <f>34_CFADS!E13-40_Debt_Schedule!E9-41_DSRA!E7</f>
        <v/>
      </c>
      <c r="F6" s="15">
        <f>34_CFADS!F13-40_Debt_Schedule!F9-41_DSRA!F7</f>
        <v/>
      </c>
      <c r="G6" s="15">
        <f>34_CFADS!G13-40_Debt_Schedule!G9-41_DSRA!G7</f>
        <v/>
      </c>
      <c r="H6" s="15">
        <f>34_CFADS!H13-40_Debt_Schedule!H9-41_DSRA!H7</f>
        <v/>
      </c>
      <c r="I6" s="15">
        <f>34_CFADS!I13-40_Debt_Schedule!I9-41_DSRA!I7</f>
        <v/>
      </c>
      <c r="J6" s="15">
        <f>34_CFADS!J13-40_Debt_Schedule!J9-41_DSRA!J7</f>
        <v/>
      </c>
      <c r="K6" s="15">
        <f>34_CFADS!K13-40_Debt_Schedule!K9-41_DSRA!K7</f>
        <v/>
      </c>
      <c r="L6" s="15">
        <f>34_CFADS!L13-40_Debt_Schedule!L9-41_DSRA!L7</f>
        <v/>
      </c>
      <c r="M6" s="15">
        <f>34_CFADS!M13-40_Debt_Schedule!M9-41_DSRA!M7</f>
        <v/>
      </c>
      <c r="N6" s="15">
        <f>34_CFADS!N13-40_Debt_Schedule!N9-41_DSRA!N7</f>
        <v/>
      </c>
      <c r="O6" s="15">
        <f>34_CFADS!O13-40_Debt_Schedule!O9-41_DSRA!O7</f>
        <v/>
      </c>
    </row>
    <row r="7">
      <c r="A7" s="3" t="inlineStr">
        <is>
          <t>Dividend lock-up adjustment</t>
        </is>
      </c>
      <c r="B7" s="15">
        <f>IF(OR(42_Coverage_Ratios!B7="",42_Coverage_Ratios!B7&gt;=10_Assumptions!$B$42),0,-MAX(0,B6))</f>
        <v/>
      </c>
      <c r="C7" s="15">
        <f>IF(OR(42_Coverage_Ratios!C7="",42_Coverage_Ratios!C7&gt;=10_Assumptions!$B$42),0,-MAX(0,C6))</f>
        <v/>
      </c>
      <c r="D7" s="15">
        <f>IF(OR(42_Coverage_Ratios!D7="",42_Coverage_Ratios!D7&gt;=10_Assumptions!$B$42),0,-MAX(0,D6))</f>
        <v/>
      </c>
      <c r="E7" s="15">
        <f>IF(OR(42_Coverage_Ratios!E7="",42_Coverage_Ratios!E7&gt;=10_Assumptions!$B$42),0,-MAX(0,E6))</f>
        <v/>
      </c>
      <c r="F7" s="15">
        <f>IF(OR(42_Coverage_Ratios!F7="",42_Coverage_Ratios!F7&gt;=10_Assumptions!$B$42),0,-MAX(0,F6))</f>
        <v/>
      </c>
      <c r="G7" s="15">
        <f>IF(OR(42_Coverage_Ratios!G7="",42_Coverage_Ratios!G7&gt;=10_Assumptions!$B$42),0,-MAX(0,G6))</f>
        <v/>
      </c>
      <c r="H7" s="15">
        <f>IF(OR(42_Coverage_Ratios!H7="",42_Coverage_Ratios!H7&gt;=10_Assumptions!$B$42),0,-MAX(0,H6))</f>
        <v/>
      </c>
      <c r="I7" s="15">
        <f>IF(OR(42_Coverage_Ratios!I7="",42_Coverage_Ratios!I7&gt;=10_Assumptions!$B$42),0,-MAX(0,I6))</f>
        <v/>
      </c>
      <c r="J7" s="15">
        <f>IF(OR(42_Coverage_Ratios!J7="",42_Coverage_Ratios!J7&gt;=10_Assumptions!$B$42),0,-MAX(0,J6))</f>
        <v/>
      </c>
      <c r="K7" s="15">
        <f>IF(OR(42_Coverage_Ratios!K7="",42_Coverage_Ratios!K7&gt;=10_Assumptions!$B$42),0,-MAX(0,K6))</f>
        <v/>
      </c>
      <c r="L7" s="15">
        <f>IF(OR(42_Coverage_Ratios!L7="",42_Coverage_Ratios!L7&gt;=10_Assumptions!$B$42),0,-MAX(0,L6))</f>
        <v/>
      </c>
      <c r="M7" s="15">
        <f>IF(OR(42_Coverage_Ratios!M7="",42_Coverage_Ratios!M7&gt;=10_Assumptions!$B$42),0,-MAX(0,M6))</f>
        <v/>
      </c>
      <c r="N7" s="15">
        <f>IF(OR(42_Coverage_Ratios!N7="",42_Coverage_Ratios!N7&gt;=10_Assumptions!$B$42),0,-MAX(0,N6))</f>
        <v/>
      </c>
      <c r="O7" s="15">
        <f>IF(OR(42_Coverage_Ratios!O7="",42_Coverage_Ratios!O7&gt;=10_Assumptions!$B$42),0,-MAX(0,O6))</f>
        <v/>
      </c>
    </row>
    <row r="8">
      <c r="A8" s="3" t="inlineStr">
        <is>
          <t>Distribution to equity</t>
        </is>
      </c>
      <c r="B8" s="15">
        <f>B6+B7</f>
        <v/>
      </c>
      <c r="C8" s="15">
        <f>C6+C7</f>
        <v/>
      </c>
      <c r="D8" s="15">
        <f>D6+D7</f>
        <v/>
      </c>
      <c r="E8" s="15">
        <f>E6+E7</f>
        <v/>
      </c>
      <c r="F8" s="15">
        <f>F6+F7</f>
        <v/>
      </c>
      <c r="G8" s="15">
        <f>G6+G7</f>
        <v/>
      </c>
      <c r="H8" s="15">
        <f>H6+H7</f>
        <v/>
      </c>
      <c r="I8" s="15">
        <f>I6+I7</f>
        <v/>
      </c>
      <c r="J8" s="15">
        <f>J6+J7</f>
        <v/>
      </c>
      <c r="K8" s="15">
        <f>K6+K7</f>
        <v/>
      </c>
      <c r="L8" s="15">
        <f>L6+L7</f>
        <v/>
      </c>
      <c r="M8" s="15">
        <f>M6+M7</f>
        <v/>
      </c>
      <c r="N8" s="15">
        <f>N6+N7</f>
        <v/>
      </c>
      <c r="O8" s="15">
        <f>O6+O7</f>
        <v/>
      </c>
    </row>
    <row r="9">
      <c r="A9" s="3" t="inlineStr">
        <is>
          <t>Net equity cash flow</t>
        </is>
      </c>
      <c r="B9" s="15">
        <f>B5+B8</f>
        <v/>
      </c>
      <c r="C9" s="15">
        <f>C5+C8</f>
        <v/>
      </c>
      <c r="D9" s="15">
        <f>D5+D8</f>
        <v/>
      </c>
      <c r="E9" s="15">
        <f>E5+E8</f>
        <v/>
      </c>
      <c r="F9" s="15">
        <f>F5+F8</f>
        <v/>
      </c>
      <c r="G9" s="15">
        <f>G5+G8</f>
        <v/>
      </c>
      <c r="H9" s="15">
        <f>H5+H8</f>
        <v/>
      </c>
      <c r="I9" s="15">
        <f>I5+I8</f>
        <v/>
      </c>
      <c r="J9" s="15">
        <f>J5+J8</f>
        <v/>
      </c>
      <c r="K9" s="15">
        <f>K5+K8</f>
        <v/>
      </c>
      <c r="L9" s="15">
        <f>L5+L8</f>
        <v/>
      </c>
      <c r="M9" s="15">
        <f>M5+M8</f>
        <v/>
      </c>
      <c r="N9" s="15">
        <f>N5+N8</f>
        <v/>
      </c>
      <c r="O9" s="15">
        <f>O5+O8</f>
        <v/>
      </c>
    </row>
    <row r="10">
      <c r="A10" s="3" t="inlineStr">
        <is>
          <t>Cumulative net cash flow</t>
        </is>
      </c>
      <c r="B10" s="15">
        <f>B9</f>
        <v/>
      </c>
      <c r="C10" s="15">
        <f>B10+C9</f>
        <v/>
      </c>
      <c r="D10" s="15">
        <f>C10+D9</f>
        <v/>
      </c>
      <c r="E10" s="15">
        <f>D10+E9</f>
        <v/>
      </c>
      <c r="F10" s="15">
        <f>E10+F9</f>
        <v/>
      </c>
      <c r="G10" s="15">
        <f>F10+G9</f>
        <v/>
      </c>
      <c r="H10" s="15">
        <f>G10+H9</f>
        <v/>
      </c>
      <c r="I10" s="15">
        <f>H10+I9</f>
        <v/>
      </c>
      <c r="J10" s="15">
        <f>I10+J9</f>
        <v/>
      </c>
      <c r="K10" s="15">
        <f>J10+K9</f>
        <v/>
      </c>
      <c r="L10" s="15">
        <f>K10+L9</f>
        <v/>
      </c>
      <c r="M10" s="15">
        <f>L10+M9</f>
        <v/>
      </c>
      <c r="N10" s="15">
        <f>M10+N9</f>
        <v/>
      </c>
      <c r="O10" s="15">
        <f>N10+O9</f>
        <v/>
      </c>
    </row>
    <row r="11"/>
    <row r="12">
      <c r="B12" s="19" t="n">
        <v>46387</v>
      </c>
      <c r="C12" s="19" t="n">
        <v>46752</v>
      </c>
      <c r="D12" s="19" t="n">
        <v>47118</v>
      </c>
      <c r="E12" s="19" t="n">
        <v>47483</v>
      </c>
      <c r="F12" s="19" t="n">
        <v>47848</v>
      </c>
      <c r="G12" s="19" t="n">
        <v>48213</v>
      </c>
      <c r="H12" s="19" t="n">
        <v>48579</v>
      </c>
      <c r="I12" s="19" t="n">
        <v>48944</v>
      </c>
      <c r="J12" s="19" t="n">
        <v>49309</v>
      </c>
      <c r="K12" s="19" t="n">
        <v>49674</v>
      </c>
      <c r="L12" s="19" t="n">
        <v>50040</v>
      </c>
      <c r="M12" s="19" t="n">
        <v>50405</v>
      </c>
      <c r="N12" s="19" t="n">
        <v>50770</v>
      </c>
      <c r="O12" s="19" t="n">
        <v>51135</v>
      </c>
    </row>
    <row r="13">
      <c r="A13" s="3" t="inlineStr">
        <is>
          <t>Total equity invested</t>
        </is>
      </c>
      <c r="B13" s="15">
        <f>-SUM(B5:O5)</f>
        <v/>
      </c>
    </row>
    <row r="14">
      <c r="A14" s="3" t="inlineStr">
        <is>
          <t>Total distributions</t>
        </is>
      </c>
      <c r="B14" s="15">
        <f>SUM(B8:O8)</f>
        <v/>
      </c>
    </row>
    <row r="15">
      <c r="A15" s="3" t="inlineStr">
        <is>
          <t>MOIC</t>
        </is>
      </c>
      <c r="B15" s="17">
        <f>IFERROR(B14/B13,0)</f>
        <v/>
      </c>
    </row>
    <row r="16">
      <c r="A16" s="3" t="inlineStr">
        <is>
          <t>Equity XIRR</t>
        </is>
      </c>
      <c r="B16" s="16">
        <f>IFERROR(XIRR(B9:O9,B12:O12),0)</f>
        <v/>
      </c>
    </row>
  </sheetData>
  <mergeCells count="1">
    <mergeCell ref="A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4" customWidth="1" min="5" max="5"/>
    <col width="12" customWidth="1" min="6" max="6"/>
    <col width="42" customWidth="1" min="7" max="7"/>
  </cols>
  <sheetData>
    <row r="1" ht="24" customHeight="1">
      <c r="A1" s="1" t="inlineStr">
        <is>
          <t>90_Checks</t>
        </is>
      </c>
    </row>
    <row r="2"/>
    <row r="3">
      <c r="A3" s="5" t="inlineStr">
        <is>
          <t>Check ID</t>
        </is>
      </c>
      <c r="B3" s="5" t="inlineStr">
        <is>
          <t>Description</t>
        </is>
      </c>
      <c r="C3" s="5" t="inlineStr">
        <is>
          <t>Actual</t>
        </is>
      </c>
      <c r="D3" s="5" t="inlineStr">
        <is>
          <t>Threshold</t>
        </is>
      </c>
      <c r="E3" s="5" t="inlineStr">
        <is>
          <t>Status</t>
        </is>
      </c>
      <c r="F3" s="5" t="inlineStr">
        <is>
          <t>Severity</t>
        </is>
      </c>
      <c r="G3" s="5" t="inlineStr">
        <is>
          <t>Comment</t>
        </is>
      </c>
    </row>
    <row r="4">
      <c r="A4" s="3" t="inlineStr">
        <is>
          <t>CHK-01</t>
        </is>
      </c>
      <c r="B4" s="3" t="inlineStr">
        <is>
          <t>Capital structure sums to 100%</t>
        </is>
      </c>
      <c r="C4" s="16">
        <f>10_Assumptions!B45</f>
        <v/>
      </c>
      <c r="D4" s="16" t="n">
        <v>1</v>
      </c>
      <c r="E4" s="3">
        <f>IF(ABS(C4-D4)&lt;0.000001,"OK","ERROR")</f>
        <v/>
      </c>
      <c r="F4" s="3" t="inlineStr">
        <is>
          <t>Critical</t>
        </is>
      </c>
      <c r="G4" s="3" t="inlineStr">
        <is>
          <t>Must equal 100%</t>
        </is>
      </c>
    </row>
    <row r="5">
      <c r="A5" s="3" t="inlineStr">
        <is>
          <t>CHK-02</t>
        </is>
      </c>
      <c r="B5" s="3" t="inlineStr">
        <is>
          <t>Total CAPEX reconciles to assumption</t>
        </is>
      </c>
      <c r="C5" s="15">
        <f>12_CAPEX_Input!D18</f>
        <v/>
      </c>
      <c r="D5" s="3" t="n">
        <v>0</v>
      </c>
      <c r="E5" s="3">
        <f>IF(ABS(C5-D5)&lt;1,"OK","ERROR")</f>
        <v/>
      </c>
      <c r="F5" s="3" t="inlineStr">
        <is>
          <t>Critical</t>
        </is>
      </c>
      <c r="G5" s="3" t="inlineStr">
        <is>
          <t>Variance vs assumptions</t>
        </is>
      </c>
    </row>
    <row r="6">
      <c r="A6" s="3" t="inlineStr">
        <is>
          <t>CHK-03</t>
        </is>
      </c>
      <c r="B6" s="3" t="inlineStr">
        <is>
          <t>Annual funding gap closes (sum)</t>
        </is>
      </c>
      <c r="C6" s="15">
        <f>SUM(21_Sources_Uses!B9:O9)</f>
        <v/>
      </c>
      <c r="D6" s="3" t="n">
        <v>0</v>
      </c>
      <c r="E6" s="3">
        <f>IF(ABS(C6-D6)&lt;1,"OK","ERROR")</f>
        <v/>
      </c>
      <c r="F6" s="3" t="inlineStr">
        <is>
          <t>Critical</t>
        </is>
      </c>
      <c r="G6" s="3" t="inlineStr">
        <is>
          <t>Sources must equal uses</t>
        </is>
      </c>
    </row>
    <row r="7">
      <c r="A7" s="3" t="inlineStr">
        <is>
          <t>CHK-04</t>
        </is>
      </c>
      <c r="B7" s="3" t="inlineStr">
        <is>
          <t>Grant inflow does not exceed grant cap</t>
        </is>
      </c>
      <c r="C7" s="15">
        <f>MIN(22_Grant_Module!B10:O10)</f>
        <v/>
      </c>
      <c r="D7" s="3" t="n">
        <v>0</v>
      </c>
      <c r="E7" s="3">
        <f>IF(C7&gt;=D7,"OK","BREACH")</f>
        <v/>
      </c>
      <c r="F7" s="3" t="inlineStr">
        <is>
          <t>Critical</t>
        </is>
      </c>
      <c r="G7" s="3" t="inlineStr">
        <is>
          <t>Remaining grant headroom non-negative</t>
        </is>
      </c>
    </row>
    <row r="8">
      <c r="A8" s="3" t="inlineStr">
        <is>
          <t>CHK-05</t>
        </is>
      </c>
      <c r="B8" s="3" t="inlineStr">
        <is>
          <t>Debt closes to zero by maturity</t>
        </is>
      </c>
      <c r="C8" s="15">
        <f>40_Debt_Schedule!O10</f>
        <v/>
      </c>
      <c r="D8" s="3" t="n">
        <v>0</v>
      </c>
      <c r="E8" s="3">
        <f>IF(ABS(C8-D8)&lt;1,"OK","ERROR")</f>
        <v/>
      </c>
      <c r="F8" s="3" t="inlineStr">
        <is>
          <t>Critical</t>
        </is>
      </c>
      <c r="G8" s="3" t="inlineStr">
        <is>
          <t>No residual debt at end</t>
        </is>
      </c>
    </row>
    <row r="9">
      <c r="A9" s="3" t="inlineStr">
        <is>
          <t>CHK-06</t>
        </is>
      </c>
      <c r="B9" s="3" t="inlineStr">
        <is>
          <t>Minimum valid DSCR vs threshold</t>
        </is>
      </c>
      <c r="C9" s="17">
        <f>MINIFS(42_Coverage_Ratios!B7:O7,42_Coverage_Ratios!B7:O7,"&gt;0")</f>
        <v/>
      </c>
      <c r="D9" s="17">
        <f>10_Assumptions!B39</f>
        <v/>
      </c>
      <c r="E9" s="3">
        <f>IF(C9&gt;=D9,"OK","BREACH")</f>
        <v/>
      </c>
      <c r="F9" s="3" t="inlineStr">
        <is>
          <t>Critical</t>
        </is>
      </c>
      <c r="G9" s="3" t="inlineStr">
        <is>
          <t>Only valid debt-service years</t>
        </is>
      </c>
    </row>
    <row r="10">
      <c r="A10" s="3" t="inlineStr">
        <is>
          <t>CHK-07</t>
        </is>
      </c>
      <c r="B10" s="3" t="inlineStr">
        <is>
          <t>Minimum LLCR vs threshold</t>
        </is>
      </c>
      <c r="C10" s="17">
        <f>MINIFS(42_Coverage_Ratios!B11:O11,42_Coverage_Ratios!B11:O11,"&gt;0")</f>
        <v/>
      </c>
      <c r="D10" s="17">
        <f>10_Assumptions!B40</f>
        <v/>
      </c>
      <c r="E10" s="3">
        <f>IF(C10&gt;=D10,"OK","BREACH")</f>
        <v/>
      </c>
      <c r="F10" s="3" t="inlineStr">
        <is>
          <t>Critical</t>
        </is>
      </c>
      <c r="G10" s="3" t="inlineStr">
        <is>
          <t>Loan life cover</t>
        </is>
      </c>
    </row>
    <row r="11">
      <c r="A11" s="3" t="inlineStr">
        <is>
          <t>CHK-08</t>
        </is>
      </c>
      <c r="B11" s="3" t="inlineStr">
        <is>
          <t>Minimum PLCR vs threshold</t>
        </is>
      </c>
      <c r="C11" s="17">
        <f>MINIFS(42_Coverage_Ratios!B14:O14,42_Coverage_Ratios!B14:O14,"&gt;0")</f>
        <v/>
      </c>
      <c r="D11" s="17">
        <f>10_Assumptions!B41</f>
        <v/>
      </c>
      <c r="E11" s="3">
        <f>IF(C11&gt;=D11,"OK","BREACH")</f>
        <v/>
      </c>
      <c r="F11" s="3" t="inlineStr">
        <is>
          <t>Critical</t>
        </is>
      </c>
      <c r="G11" s="3" t="inlineStr">
        <is>
          <t>Project life cover</t>
        </is>
      </c>
    </row>
    <row r="12">
      <c r="A12" s="3" t="inlineStr">
        <is>
          <t>CHK-09</t>
        </is>
      </c>
      <c r="B12" s="3" t="inlineStr">
        <is>
          <t>No negative debt balances</t>
        </is>
      </c>
      <c r="C12" s="15">
        <f>MIN(40_Debt_Schedule!B10:O10)</f>
        <v/>
      </c>
      <c r="D12" s="3" t="n">
        <v>0</v>
      </c>
      <c r="E12" s="3">
        <f>IF(C12&gt;=D12,"OK","BREACH")</f>
        <v/>
      </c>
      <c r="F12" s="3" t="inlineStr">
        <is>
          <t>Critical</t>
        </is>
      </c>
      <c r="G12" s="3" t="inlineStr">
        <is>
          <t>Debt cannot be negative</t>
        </is>
      </c>
    </row>
    <row r="13">
      <c r="A13" s="3" t="inlineStr">
        <is>
          <t>CHK-10</t>
        </is>
      </c>
      <c r="B13" s="3" t="inlineStr">
        <is>
          <t>No negative DSRA balances</t>
        </is>
      </c>
      <c r="C13" s="15">
        <f>MIN(41_DSRA!B8:O8)</f>
        <v/>
      </c>
      <c r="D13" s="3" t="n">
        <v>0</v>
      </c>
      <c r="E13" s="3">
        <f>IF(C13&gt;=D13,"OK","BREACH")</f>
        <v/>
      </c>
      <c r="F13" s="3" t="inlineStr">
        <is>
          <t>Medium</t>
        </is>
      </c>
      <c r="G13" s="3" t="inlineStr">
        <is>
          <t>Reserve cannot be negative</t>
        </is>
      </c>
    </row>
    <row r="14">
      <c r="A14" s="3" t="inlineStr">
        <is>
          <t>CHK-11</t>
        </is>
      </c>
      <c r="B14" s="3" t="inlineStr">
        <is>
          <t>Equity contributions are non-positive</t>
        </is>
      </c>
      <c r="C14" s="15">
        <f>MAX(43_Investor_Returns!B5:O5)</f>
        <v/>
      </c>
      <c r="D14" s="3" t="n">
        <v>0</v>
      </c>
      <c r="E14" s="3">
        <f>IF(C14&lt;=D14,"OK","ERROR")</f>
        <v/>
      </c>
      <c r="F14" s="3" t="inlineStr">
        <is>
          <t>Medium</t>
        </is>
      </c>
      <c r="G14" s="3" t="inlineStr">
        <is>
          <t>Contributions should be negative or zero</t>
        </is>
      </c>
    </row>
    <row r="15">
      <c r="A15" s="3" t="inlineStr">
        <is>
          <t>CHK-12</t>
        </is>
      </c>
      <c r="B15" s="3" t="inlineStr">
        <is>
          <t>Distribution starts no earlier than COD</t>
        </is>
      </c>
      <c r="C15" s="15">
        <f>SUM(43_Investor_Returns!B8:E8)</f>
        <v/>
      </c>
      <c r="D15" s="3" t="n">
        <v>0</v>
      </c>
      <c r="E15" s="3">
        <f>IF(ABS(C15-D15)&lt;1,"OK","ERROR")</f>
        <v/>
      </c>
      <c r="F15" s="3" t="inlineStr">
        <is>
          <t>Medium</t>
        </is>
      </c>
      <c r="G15" s="3" t="inlineStr">
        <is>
          <t>No pre-COD distributions</t>
        </is>
      </c>
    </row>
  </sheetData>
  <mergeCells count="1">
    <mergeCell ref="A1:L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4" customHeight="1">
      <c r="A1" s="1" t="inlineStr">
        <is>
          <t>50_Dashboard</t>
        </is>
      </c>
    </row>
    <row r="2"/>
    <row r="3">
      <c r="A3" s="20" t="inlineStr">
        <is>
          <t>Total CAPEX</t>
        </is>
      </c>
      <c r="B3" s="15">
        <f>10_Assumptions!B9</f>
        <v/>
      </c>
      <c r="D3" s="5" t="inlineStr">
        <is>
          <t>Year</t>
        </is>
      </c>
      <c r="E3" s="5" t="inlineStr">
        <is>
          <t>Debt Outstanding</t>
        </is>
      </c>
      <c r="F3" s="5" t="inlineStr">
        <is>
          <t>CFADS</t>
        </is>
      </c>
      <c r="G3" s="5" t="inlineStr">
        <is>
          <t>DSCR</t>
        </is>
      </c>
      <c r="I3" s="5" t="inlineStr">
        <is>
          <t>Layer</t>
        </is>
      </c>
      <c r="J3" s="5" t="inlineStr">
        <is>
          <t>Amount</t>
        </is>
      </c>
    </row>
    <row r="4">
      <c r="A4" s="20" t="inlineStr">
        <is>
          <t>Equity</t>
        </is>
      </c>
      <c r="B4" s="15">
        <f>10_Assumptions!B9*10_Assumptions!B10</f>
        <v/>
      </c>
      <c r="D4" s="3" t="n">
        <v>2026</v>
      </c>
      <c r="E4" s="15">
        <f>40_Debt_Schedule!B10</f>
        <v/>
      </c>
      <c r="F4" s="15">
        <f>34_CFADS!B13</f>
        <v/>
      </c>
      <c r="G4" s="17">
        <f>42_Coverage_Ratios!B7</f>
        <v/>
      </c>
      <c r="I4" s="3" t="inlineStr">
        <is>
          <t>Equity</t>
        </is>
      </c>
      <c r="J4" s="15">
        <f>10_Assumptions!B9*10_Assumptions!B10</f>
        <v/>
      </c>
    </row>
    <row r="5">
      <c r="A5" s="20" t="inlineStr">
        <is>
          <t>Grant</t>
        </is>
      </c>
      <c r="B5" s="15">
        <f>10_Assumptions!B9*10_Assumptions!B11</f>
        <v/>
      </c>
      <c r="D5" s="3" t="n">
        <v>2027</v>
      </c>
      <c r="E5" s="15">
        <f>40_Debt_Schedule!C10</f>
        <v/>
      </c>
      <c r="F5" s="15">
        <f>34_CFADS!C13</f>
        <v/>
      </c>
      <c r="G5" s="17">
        <f>42_Coverage_Ratios!C7</f>
        <v/>
      </c>
      <c r="I5" s="3" t="inlineStr">
        <is>
          <t>Grant</t>
        </is>
      </c>
      <c r="J5" s="15">
        <f>10_Assumptions!B9*10_Assumptions!B11</f>
        <v/>
      </c>
    </row>
    <row r="6">
      <c r="A6" s="20" t="inlineStr">
        <is>
          <t>Debt</t>
        </is>
      </c>
      <c r="B6" s="15">
        <f>10_Assumptions!B9*10_Assumptions!B12</f>
        <v/>
      </c>
      <c r="D6" s="3" t="n">
        <v>2028</v>
      </c>
      <c r="E6" s="15">
        <f>40_Debt_Schedule!D10</f>
        <v/>
      </c>
      <c r="F6" s="15">
        <f>34_CFADS!D13</f>
        <v/>
      </c>
      <c r="G6" s="17">
        <f>42_Coverage_Ratios!D7</f>
        <v/>
      </c>
      <c r="I6" s="3" t="inlineStr">
        <is>
          <t>Debt</t>
        </is>
      </c>
      <c r="J6" s="15">
        <f>10_Assumptions!B9*10_Assumptions!B12</f>
        <v/>
      </c>
    </row>
    <row r="7">
      <c r="A7" s="20" t="inlineStr">
        <is>
          <t>COD Debt</t>
        </is>
      </c>
      <c r="B7" s="15">
        <f>23_Debt_Drawdown_IDC!F11</f>
        <v/>
      </c>
      <c r="D7" s="3" t="n">
        <v>2029</v>
      </c>
      <c r="E7" s="15">
        <f>40_Debt_Schedule!E10</f>
        <v/>
      </c>
      <c r="F7" s="15">
        <f>34_CFADS!E13</f>
        <v/>
      </c>
      <c r="G7" s="17">
        <f>42_Coverage_Ratios!E7</f>
        <v/>
      </c>
    </row>
    <row r="8">
      <c r="A8" s="20" t="inlineStr">
        <is>
          <t>Min DSCR</t>
        </is>
      </c>
      <c r="B8" s="17">
        <f>MINIFS(42_Coverage_Ratios!B7:O7,42_Coverage_Ratios!B7:O7,"&gt;0")</f>
        <v/>
      </c>
      <c r="D8" s="3" t="n">
        <v>2030</v>
      </c>
      <c r="E8" s="15">
        <f>40_Debt_Schedule!F10</f>
        <v/>
      </c>
      <c r="F8" s="15">
        <f>34_CFADS!F13</f>
        <v/>
      </c>
      <c r="G8" s="17">
        <f>42_Coverage_Ratios!F7</f>
        <v/>
      </c>
    </row>
    <row r="9">
      <c r="A9" s="20" t="inlineStr">
        <is>
          <t>Min LLCR</t>
        </is>
      </c>
      <c r="B9" s="17">
        <f>MINIFS(42_Coverage_Ratios!B11:O11,42_Coverage_Ratios!B11:O11,"&gt;0")</f>
        <v/>
      </c>
      <c r="D9" s="3" t="n">
        <v>2031</v>
      </c>
      <c r="E9" s="15">
        <f>40_Debt_Schedule!G10</f>
        <v/>
      </c>
      <c r="F9" s="15">
        <f>34_CFADS!G13</f>
        <v/>
      </c>
      <c r="G9" s="17">
        <f>42_Coverage_Ratios!G7</f>
        <v/>
      </c>
    </row>
    <row r="10">
      <c r="A10" s="20" t="inlineStr">
        <is>
          <t>Min PLCR</t>
        </is>
      </c>
      <c r="B10" s="17">
        <f>MINIFS(42_Coverage_Ratios!B14:O14,42_Coverage_Ratios!B14:O14,"&gt;0")</f>
        <v/>
      </c>
      <c r="D10" s="3" t="n">
        <v>2032</v>
      </c>
      <c r="E10" s="15">
        <f>40_Debt_Schedule!H10</f>
        <v/>
      </c>
      <c r="F10" s="15">
        <f>34_CFADS!H13</f>
        <v/>
      </c>
      <c r="G10" s="17">
        <f>42_Coverage_Ratios!H7</f>
        <v/>
      </c>
    </row>
    <row r="11">
      <c r="A11" s="20" t="inlineStr">
        <is>
          <t>MOIC</t>
        </is>
      </c>
      <c r="B11" s="17">
        <f>43_Investor_Returns!B15</f>
        <v/>
      </c>
      <c r="D11" s="3" t="n">
        <v>2033</v>
      </c>
      <c r="E11" s="15">
        <f>40_Debt_Schedule!I10</f>
        <v/>
      </c>
      <c r="F11" s="15">
        <f>34_CFADS!I13</f>
        <v/>
      </c>
      <c r="G11" s="17">
        <f>42_Coverage_Ratios!I7</f>
        <v/>
      </c>
    </row>
    <row r="12">
      <c r="A12" s="20" t="inlineStr">
        <is>
          <t>Equity XIRR</t>
        </is>
      </c>
      <c r="B12" s="16">
        <f>43_Investor_Returns!B16</f>
        <v/>
      </c>
      <c r="D12" s="3" t="n">
        <v>2034</v>
      </c>
      <c r="E12" s="15">
        <f>40_Debt_Schedule!J10</f>
        <v/>
      </c>
      <c r="F12" s="15">
        <f>34_CFADS!J13</f>
        <v/>
      </c>
      <c r="G12" s="17">
        <f>42_Coverage_Ratios!J7</f>
        <v/>
      </c>
    </row>
    <row r="13">
      <c r="D13" s="3" t="n">
        <v>2035</v>
      </c>
      <c r="E13" s="15">
        <f>40_Debt_Schedule!K10</f>
        <v/>
      </c>
      <c r="F13" s="15">
        <f>34_CFADS!K13</f>
        <v/>
      </c>
      <c r="G13" s="17">
        <f>42_Coverage_Ratios!K7</f>
        <v/>
      </c>
    </row>
    <row r="14">
      <c r="D14" s="3" t="n">
        <v>2036</v>
      </c>
      <c r="E14" s="15">
        <f>40_Debt_Schedule!L10</f>
        <v/>
      </c>
      <c r="F14" s="15">
        <f>34_CFADS!L13</f>
        <v/>
      </c>
      <c r="G14" s="17">
        <f>42_Coverage_Ratios!L7</f>
        <v/>
      </c>
    </row>
    <row r="15">
      <c r="D15" s="3" t="n">
        <v>2037</v>
      </c>
      <c r="E15" s="15">
        <f>40_Debt_Schedule!M10</f>
        <v/>
      </c>
      <c r="F15" s="15">
        <f>34_CFADS!M13</f>
        <v/>
      </c>
      <c r="G15" s="17">
        <f>42_Coverage_Ratios!M7</f>
        <v/>
      </c>
    </row>
    <row r="16">
      <c r="D16" s="3" t="n">
        <v>2038</v>
      </c>
      <c r="E16" s="15">
        <f>40_Debt_Schedule!N10</f>
        <v/>
      </c>
      <c r="F16" s="15">
        <f>34_CFADS!N13</f>
        <v/>
      </c>
      <c r="G16" s="17">
        <f>42_Coverage_Ratios!N7</f>
        <v/>
      </c>
    </row>
    <row r="17">
      <c r="D17" s="3" t="n">
        <v>2039</v>
      </c>
      <c r="E17" s="15">
        <f>40_Debt_Schedule!O10</f>
        <v/>
      </c>
      <c r="F17" s="15">
        <f>34_CFADS!O13</f>
        <v/>
      </c>
      <c r="G17" s="17">
        <f>42_Coverage_Ratios!O7</f>
        <v/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2026-03-23T05:03:48Z</dcterms:created>
  <dcterms:modified xmlns:dcterms="http://purl.org/dc/terms/" xmlns:xsi="http://www.w3.org/2001/XMLSchema-instance" xsi:type="dcterms:W3CDTF">2026-03-23T05:03:48Z</dcterms:modified>
</cp:coreProperties>
</file>