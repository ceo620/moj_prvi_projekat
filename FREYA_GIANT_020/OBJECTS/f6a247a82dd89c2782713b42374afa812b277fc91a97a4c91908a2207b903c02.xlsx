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_Control" sheetId="1" state="visible" r:id="rId3"/>
    <sheet name="Master_Lista" sheetId="2" state="visible" r:id="rId4"/>
    <sheet name="Pozicije" sheetId="3" state="visible" r:id="rId5"/>
    <sheet name="Sheet27_Projekti" sheetId="4" state="visible" r:id="rId6"/>
    <sheet name="Lists" sheetId="5" state="visible" r:id="rId7"/>
    <sheet name="Sheet11_Zarade" sheetId="6" state="visible" r:id="rId8"/>
    <sheet name="Sheet3_Sati" sheetId="7" state="visible" r:id="rId9"/>
    <sheet name="Sheet31_Analitika" sheetId="8" state="visible" r:id="rId10"/>
    <sheet name="Sheet35_Dashboard" sheetId="9" state="visible" r:id="rId11"/>
    <sheet name="Error_Checks" sheetId="10" state="visible" r:id="rId12"/>
    <sheet name="Project_Profitability" sheetId="11" state="visible" r:id="rId13"/>
    <sheet name="OPEX_Plan" sheetId="12" state="visible" r:id="rId14"/>
    <sheet name="CAPEX_Plan" sheetId="13" state="visible" r:id="rId15"/>
    <sheet name="Capacity_Planning" sheetId="14" state="visible" r:id="rId16"/>
    <sheet name="Board_Dashboard" sheetId="15" state="visible" r:id="rId17"/>
    <sheet name="Finance_Document_Assumptions" sheetId="16" state="visible" r:id="rId18"/>
    <sheet name="Base_Case_Finance" sheetId="17" state="visible" r:id="rId19"/>
    <sheet name="Lender_Case_Finance" sheetId="18" state="visible" r:id="rId20"/>
    <sheet name="Covenant_Matrix" sheetId="19" state="visible" r:id="rId21"/>
    <sheet name="Default_Event_Register" sheetId="20" state="visible" r:id="rId22"/>
    <sheet name="DSRA_Test" sheetId="21" state="visible" r:id="rId23"/>
    <sheet name="Cash_Sweep_Register" sheetId="22" state="visible" r:id="rId24"/>
    <sheet name="Equity_Cure_Register" sheetId="23" state="visible" r:id="rId25"/>
    <sheet name="Waiver_Log" sheetId="24" state="visible" r:id="rId26"/>
    <sheet name="Red_Flag_Register" sheetId="25" state="visible" r:id="rId27"/>
    <sheet name="Lender_Compliance_Dashboard" sheetId="26" state="visible" r:id="rId28"/>
  </sheets>
  <definedNames>
    <definedName function="false" hidden="false" name="Active_Projects" vbProcedure="false">Lists!$B$2:$B$5</definedName>
    <definedName function="false" hidden="false" name="Employee_IDs" vbProcedure="false">Lists!$A$2:$A$13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4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Model assumption. Update only if policy or tax rules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2</xdr:row>
                <xdr:rowOff>32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4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5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Primary employee key used in all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4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Internal deterministic test dataset for model QA.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2</xdr:row>
                <xdr:rowOff>32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F4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Formula-driven monthly gross salary = rate * standard monthly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K3" authorId="0">
      <text>
        <r>
          <rPr>
            <sz val="10"/>
            <rFont val="Arial"/>
            <family val="2"/>
          </rPr>
          <t xml:space="preserve">Employee lookup control. Formula must return OK for valid rows.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L3" authorId="0">
      <text>
        <r>
          <rPr>
            <sz val="10"/>
            <rFont val="Arial"/>
            <family val="2"/>
          </rPr>
          <t xml:space="preserve">Project validation control uses active-project dropdown list.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  <comment ref="N3" authorId="0">
      <text>
        <r>
          <rPr>
            <sz val="10"/>
            <rFont val="Arial"/>
            <family val="2"/>
          </rPr>
          <t xml:space="preserve">Duplicate test uses Employee_ID + Projekat + Datum composite key.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119</xdr:colOff>
                <xdr:row>2</xdr:row>
                <xdr:rowOff>32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<sst xmlns="http://schemas.openxmlformats.org/spreadsheetml/2006/main" count="1195" uniqueCount="487">
  <si>
    <t xml:space="preserve">v3.2 CLEAN INVESTOR / AUDIT MODEL - CONTROL INPUTS</t>
  </si>
  <si>
    <t xml:space="preserve">Parameter</t>
  </si>
  <si>
    <t xml:space="preserve">Value</t>
  </si>
  <si>
    <t xml:space="preserve">Unit</t>
  </si>
  <si>
    <t xml:space="preserve">Comment</t>
  </si>
  <si>
    <t xml:space="preserve">Standard monthly hours</t>
  </si>
  <si>
    <t xml:space="preserve">hours</t>
  </si>
  <si>
    <t xml:space="preserve">Payroll monthly gross base</t>
  </si>
  <si>
    <t xml:space="preserve">Employee contribution rate</t>
  </si>
  <si>
    <t xml:space="preserve">%</t>
  </si>
  <si>
    <t xml:space="preserve">User input / assumed</t>
  </si>
  <si>
    <t xml:space="preserve">PIT threshold</t>
  </si>
  <si>
    <t xml:space="preserve">€</t>
  </si>
  <si>
    <t xml:space="preserve">PIT rate - lower band</t>
  </si>
  <si>
    <t xml:space="preserve">PIT rate - upper band</t>
  </si>
  <si>
    <t xml:space="preserve">Surtax rate</t>
  </si>
  <si>
    <t xml:space="preserve">Employer contribution rate</t>
  </si>
  <si>
    <t xml:space="preserve">Overtime review threshold</t>
  </si>
  <si>
    <t xml:space="preserve">Rows above threshold flagged</t>
  </si>
  <si>
    <t xml:space="preserve">Suspicious hours threshold</t>
  </si>
  <si>
    <t xml:space="preserve">Rows above threshold flagged red</t>
  </si>
  <si>
    <t xml:space="preserve">Working days / month</t>
  </si>
  <si>
    <t xml:space="preserve">days</t>
  </si>
  <si>
    <t xml:space="preserve">Board planning assumption</t>
  </si>
  <si>
    <t xml:space="preserve">Shifts / day</t>
  </si>
  <si>
    <t xml:space="preserve">count</t>
  </si>
  <si>
    <t xml:space="preserve">Factory shift plan</t>
  </si>
  <si>
    <t xml:space="preserve">Hours / shift</t>
  </si>
  <si>
    <t xml:space="preserve">Standard shift length</t>
  </si>
  <si>
    <t xml:space="preserve">Utilization factor</t>
  </si>
  <si>
    <t xml:space="preserve">Applied to theoretical hours</t>
  </si>
  <si>
    <t xml:space="preserve">Operating days / year</t>
  </si>
  <si>
    <t xml:space="preserve">Average selling price / unit</t>
  </si>
  <si>
    <t xml:space="preserve">Deterministic board planning input</t>
  </si>
  <si>
    <t xml:space="preserve">Material cost ratio</t>
  </si>
  <si>
    <t xml:space="preserve">% revenue</t>
  </si>
  <si>
    <t xml:space="preserve">COGS assumption</t>
  </si>
  <si>
    <t xml:space="preserve">Factory overhead / month</t>
  </si>
  <si>
    <t xml:space="preserve">Utilities, admin, maintenance</t>
  </si>
  <si>
    <t xml:space="preserve">Sales &amp; admin / month</t>
  </si>
  <si>
    <t xml:space="preserve">Non-factory SG&amp;A</t>
  </si>
  <si>
    <t xml:space="preserve">Maintenance reserve / month</t>
  </si>
  <si>
    <t xml:space="preserve">Planned maintenance</t>
  </si>
  <si>
    <t xml:space="preserve">Target gross margin</t>
  </si>
  <si>
    <t xml:space="preserve">Board target</t>
  </si>
  <si>
    <t xml:space="preserve">Target EBITDA margin</t>
  </si>
  <si>
    <t xml:space="preserve">Effective annual capacity hours</t>
  </si>
  <si>
    <t xml:space="preserve">Theoretical annual productive hours</t>
  </si>
  <si>
    <t xml:space="preserve">Loaded labor cost / hour</t>
  </si>
  <si>
    <t xml:space="preserve">€/h</t>
  </si>
  <si>
    <t xml:space="preserve">Payroll fully loaded hourly cost</t>
  </si>
  <si>
    <t xml:space="preserve">Annual payroll base</t>
  </si>
  <si>
    <t xml:space="preserve">Loaded payroll annualized</t>
  </si>
  <si>
    <t xml:space="preserve">Master employee list</t>
  </si>
  <si>
    <t xml:space="preserve">Employee_ID</t>
  </si>
  <si>
    <t xml:space="preserve">Ime Radnika</t>
  </si>
  <si>
    <t xml:space="preserve">Pozicija</t>
  </si>
  <si>
    <t xml:space="preserve">Department</t>
  </si>
  <si>
    <t xml:space="preserve">Status</t>
  </si>
  <si>
    <t xml:space="preserve">EMP001</t>
  </si>
  <si>
    <t xml:space="preserve">Branko Vasic</t>
  </si>
  <si>
    <t xml:space="preserve">Elektromonter</t>
  </si>
  <si>
    <t xml:space="preserve">Assembly</t>
  </si>
  <si>
    <t xml:space="preserve">Active</t>
  </si>
  <si>
    <t xml:space="preserve">EMP002</t>
  </si>
  <si>
    <t xml:space="preserve">Filip Antic</t>
  </si>
  <si>
    <t xml:space="preserve">Winding Specialist</t>
  </si>
  <si>
    <t xml:space="preserve">Winding</t>
  </si>
  <si>
    <t xml:space="preserve">EMP003</t>
  </si>
  <si>
    <t xml:space="preserve">Luka Filipovic</t>
  </si>
  <si>
    <t xml:space="preserve">Bravar</t>
  </si>
  <si>
    <t xml:space="preserve">Tank</t>
  </si>
  <si>
    <t xml:space="preserve">EMP004</t>
  </si>
  <si>
    <t xml:space="preserve">Tomas Obradovic</t>
  </si>
  <si>
    <t xml:space="preserve">Zavarivač</t>
  </si>
  <si>
    <t xml:space="preserve">EMP005</t>
  </si>
  <si>
    <t xml:space="preserve">Jelena Nikolic</t>
  </si>
  <si>
    <t xml:space="preserve">Kontrola kvaliteta</t>
  </si>
  <si>
    <t xml:space="preserve">QA</t>
  </si>
  <si>
    <t xml:space="preserve">EMP006</t>
  </si>
  <si>
    <t xml:space="preserve">Goran Zivkovic</t>
  </si>
  <si>
    <t xml:space="preserve">CNC operater</t>
  </si>
  <si>
    <t xml:space="preserve">Core</t>
  </si>
  <si>
    <t xml:space="preserve">EMP007</t>
  </si>
  <si>
    <t xml:space="preserve">Filip Kostic</t>
  </si>
  <si>
    <t xml:space="preserve">Oil Filling Operator</t>
  </si>
  <si>
    <t xml:space="preserve">Testing</t>
  </si>
  <si>
    <t xml:space="preserve">EMP008</t>
  </si>
  <si>
    <t xml:space="preserve">Lidija Tomic</t>
  </si>
  <si>
    <t xml:space="preserve">Administrator</t>
  </si>
  <si>
    <t xml:space="preserve">Admin</t>
  </si>
  <si>
    <t xml:space="preserve">EMP009</t>
  </si>
  <si>
    <t xml:space="preserve">Petar Lazic</t>
  </si>
  <si>
    <t xml:space="preserve">Magacioner</t>
  </si>
  <si>
    <t xml:space="preserve">Warehouse</t>
  </si>
  <si>
    <t xml:space="preserve">EMP010</t>
  </si>
  <si>
    <t xml:space="preserve">Branko Babic</t>
  </si>
  <si>
    <t xml:space="preserve">Tehničar održavanja</t>
  </si>
  <si>
    <t xml:space="preserve">Maintenance</t>
  </si>
  <si>
    <t xml:space="preserve">EMP011</t>
  </si>
  <si>
    <t xml:space="preserve">Uros Djordjevic</t>
  </si>
  <si>
    <t xml:space="preserve">Elektro inženjer</t>
  </si>
  <si>
    <t xml:space="preserve">Engineering</t>
  </si>
  <si>
    <t xml:space="preserve">EMP012</t>
  </si>
  <si>
    <t xml:space="preserve">Sanja Grujic</t>
  </si>
  <si>
    <t xml:space="preserve">Finansijski analitičar</t>
  </si>
  <si>
    <t xml:space="preserve">Finance</t>
  </si>
  <si>
    <t xml:space="preserve">Position rate card</t>
  </si>
  <si>
    <t xml:space="preserve">Satnica (€ / h)</t>
  </si>
  <si>
    <t xml:space="preserve">Source note</t>
  </si>
  <si>
    <t xml:space="preserve">Internal test rate card</t>
  </si>
  <si>
    <t xml:space="preserve">Vodeći monter</t>
  </si>
  <si>
    <t xml:space="preserve">Inženjer na gradilištu</t>
  </si>
  <si>
    <t xml:space="preserve">Projekt menadžer</t>
  </si>
  <si>
    <t xml:space="preserve">Mašinski inženjer</t>
  </si>
  <si>
    <t xml:space="preserve">Operater prese</t>
  </si>
  <si>
    <t xml:space="preserve">Slikar</t>
  </si>
  <si>
    <t xml:space="preserve">Menadžer kvaliteta</t>
  </si>
  <si>
    <t xml:space="preserve">Logističar</t>
  </si>
  <si>
    <t xml:space="preserve">Project master</t>
  </si>
  <si>
    <t xml:space="preserve">Sifra Projekta</t>
  </si>
  <si>
    <t xml:space="preserve">Naziv Projekta</t>
  </si>
  <si>
    <t xml:space="preserve">In Dropdown</t>
  </si>
  <si>
    <t xml:space="preserve">P001</t>
  </si>
  <si>
    <t xml:space="preserve">Oil Trafo 5MVA Assembly</t>
  </si>
  <si>
    <t xml:space="preserve">Aktivan</t>
  </si>
  <si>
    <t xml:space="preserve">YES</t>
  </si>
  <si>
    <t xml:space="preserve">P002</t>
  </si>
  <si>
    <t xml:space="preserve">Winding Production</t>
  </si>
  <si>
    <t xml:space="preserve">P003</t>
  </si>
  <si>
    <t xml:space="preserve">Core Stacking</t>
  </si>
  <si>
    <t xml:space="preserve">Planirano</t>
  </si>
  <si>
    <t xml:space="preserve">NO</t>
  </si>
  <si>
    <t xml:space="preserve">P004</t>
  </si>
  <si>
    <t xml:space="preserve">Tank Fabrication</t>
  </si>
  <si>
    <t xml:space="preserve">P005</t>
  </si>
  <si>
    <t xml:space="preserve">Oil Filling &amp; Testing</t>
  </si>
  <si>
    <t xml:space="preserve">Employee_IDs</t>
  </si>
  <si>
    <t xml:space="preserve">Active_Projects</t>
  </si>
  <si>
    <t xml:space="preserve">Monthly payroll model</t>
  </si>
  <si>
    <t xml:space="preserve">Norm Hours</t>
  </si>
  <si>
    <t xml:space="preserve">Bruto Plata (€ / mj.)</t>
  </si>
  <si>
    <t xml:space="preserve">Napomena</t>
  </si>
  <si>
    <t xml:space="preserve">Employee Contrib</t>
  </si>
  <si>
    <t xml:space="preserve">Taxable</t>
  </si>
  <si>
    <t xml:space="preserve">PIT</t>
  </si>
  <si>
    <t xml:space="preserve">Surtax</t>
  </si>
  <si>
    <t xml:space="preserve">Neto Plata</t>
  </si>
  <si>
    <t xml:space="preserve">Employer Contrib</t>
  </si>
  <si>
    <t xml:space="preserve">Total Cost</t>
  </si>
  <si>
    <t xml:space="preserve">TOTAL</t>
  </si>
  <si>
    <t xml:space="preserve">Daily labor booking sheet</t>
  </si>
  <si>
    <t xml:space="preserve">Projekat</t>
  </si>
  <si>
    <t xml:space="preserve">Datum</t>
  </si>
  <si>
    <t xml:space="preserve">Sati</t>
  </si>
  <si>
    <t xml:space="preserve">Bruto Teret</t>
  </si>
  <si>
    <t xml:space="preserve">Finansijski Teret</t>
  </si>
  <si>
    <t xml:space="preserve">Lookup Status</t>
  </si>
  <si>
    <t xml:space="preserve">Project Status</t>
  </si>
  <si>
    <t xml:space="preserve">Status kontrole</t>
  </si>
  <si>
    <t xml:space="preserve">Duplikat dnevnog unosa</t>
  </si>
  <si>
    <t xml:space="preserve">Analytics and aggregation</t>
  </si>
  <si>
    <t xml:space="preserve">Ukupni Sati</t>
  </si>
  <si>
    <t xml:space="preserve">Ukupan Trošak</t>
  </si>
  <si>
    <t xml:space="preserve">Prosječan Trošak / h</t>
  </si>
  <si>
    <t xml:space="preserve">Broj Unosa</t>
  </si>
  <si>
    <t xml:space="preserve">Efikasnost</t>
  </si>
  <si>
    <t xml:space="preserve">Naziv</t>
  </si>
  <si>
    <t xml:space="preserve">Prosjek po Unosu</t>
  </si>
  <si>
    <t xml:space="preserve">EXECUTIVE SUMMARY - EFIKASNOST 2026 (v3.2 clean investor/audit)</t>
  </si>
  <si>
    <t xml:space="preserve">Ukupan Trošak Rada</t>
  </si>
  <si>
    <t xml:space="preserve">Ukupno Evidentiranih Sati</t>
  </si>
  <si>
    <t xml:space="preserve">Prosječan Trošak po Satu</t>
  </si>
  <si>
    <t xml:space="preserve">Broj Evidentiranih Unosa</t>
  </si>
  <si>
    <t xml:space="preserve">Najskuplji Projekat</t>
  </si>
  <si>
    <t xml:space="preserve">Najopterećeniji Radnik (ID)</t>
  </si>
  <si>
    <t xml:space="preserve">Overtime Unosi</t>
  </si>
  <si>
    <t xml:space="preserve">Sumnjivi Unosi (&gt;12h)</t>
  </si>
  <si>
    <t xml:space="preserve">Duplikat Redovi</t>
  </si>
  <si>
    <t xml:space="preserve">Invalid Employee Lookup</t>
  </si>
  <si>
    <t xml:space="preserve">Invalid / Inactive Project</t>
  </si>
  <si>
    <t xml:space="preserve">Payroll Total Cost</t>
  </si>
  <si>
    <t xml:space="preserve">Control item</t>
  </si>
  <si>
    <t xml:space="preserve">Payroll employees</t>
  </si>
  <si>
    <t xml:space="preserve">Board-ready view</t>
  </si>
  <si>
    <t xml:space="preserve">Active projects in dropdown</t>
  </si>
  <si>
    <t xml:space="preserve">Open Board_Dashboard</t>
  </si>
  <si>
    <t xml:space="preserve">Rows prepared in timesheet</t>
  </si>
  <si>
    <t xml:space="preserve">60</t>
  </si>
  <si>
    <t xml:space="preserve">Model status</t>
  </si>
  <si>
    <t xml:space="preserve">Audit control checks (formula-driven)</t>
  </si>
  <si>
    <t xml:space="preserve">Check</t>
  </si>
  <si>
    <t xml:space="preserve">Target</t>
  </si>
  <si>
    <t xml:space="preserve">Result</t>
  </si>
  <si>
    <t xml:space="preserve">Ukupni sati &gt; 0</t>
  </si>
  <si>
    <t xml:space="preserve">&gt;0</t>
  </si>
  <si>
    <t xml:space="preserve">Ukupan trošak &gt; 0</t>
  </si>
  <si>
    <t xml:space="preserve">Sumnjivi unosi (&gt;12h)</t>
  </si>
  <si>
    <t xml:space="preserve">0</t>
  </si>
  <si>
    <t xml:space="preserve">Duplikati ID+Datum+Projekat</t>
  </si>
  <si>
    <t xml:space="preserve">Nevalidni Employee_ID lookup</t>
  </si>
  <si>
    <t xml:space="preserve">Nevalidan ili neaktivan projekat</t>
  </si>
  <si>
    <t xml:space="preserve">Payroll employee count = master count</t>
  </si>
  <si>
    <t xml:space="preserve">Board revenue &gt; 0</t>
  </si>
  <si>
    <t xml:space="preserve">Gross margin &gt;= target</t>
  </si>
  <si>
    <t xml:space="preserve">EBITDA margin &gt;= target</t>
  </si>
  <si>
    <t xml:space="preserve">CAPEX base case &lt;= limit</t>
  </si>
  <si>
    <t xml:space="preserve">&lt;=9000000</t>
  </si>
  <si>
    <t xml:space="preserve">Capacity base MVA &gt; 0</t>
  </si>
  <si>
    <t xml:space="preserve">v3.3 BOARD-READY - PROJECT / PRODUCT PROFITABILITY</t>
  </si>
  <si>
    <t xml:space="preserve">Project Code</t>
  </si>
  <si>
    <t xml:space="preserve">Project Name</t>
  </si>
  <si>
    <t xml:space="preserve">Transformer Type</t>
  </si>
  <si>
    <t xml:space="preserve">Units / Year</t>
  </si>
  <si>
    <t xml:space="preserve">MVA / Unit</t>
  </si>
  <si>
    <t xml:space="preserve">Revenue / Unit</t>
  </si>
  <si>
    <t xml:space="preserve">Annual Revenue</t>
  </si>
  <si>
    <t xml:space="preserve">Material Ratio</t>
  </si>
  <si>
    <t xml:space="preserve">Material Cost</t>
  </si>
  <si>
    <t xml:space="preserve">Direct Labor Cost</t>
  </si>
  <si>
    <t xml:space="preserve">Gross Profit</t>
  </si>
  <si>
    <t xml:space="preserve">Gross Margin</t>
  </si>
  <si>
    <t xml:space="preserve">5 MVA Oil Transformer</t>
  </si>
  <si>
    <t xml:space="preserve">2.5 MVA Transformer</t>
  </si>
  <si>
    <t xml:space="preserve">1.6 MVA Tank Package</t>
  </si>
  <si>
    <t xml:space="preserve">1.0 MVA Final Test Unit</t>
  </si>
  <si>
    <t xml:space="preserve">v3.3 BOARD-READY - OPEX PLAN</t>
  </si>
  <si>
    <t xml:space="preserve">Category</t>
  </si>
  <si>
    <t xml:space="preserve">Driver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</si>
  <si>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</si>
  <si>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</si>
  <si>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</si>
  <si>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</si>
  <si>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</si>
  <si>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</si>
  <si>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</si>
  <si>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</si>
  <si>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</si>
  <si>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</si>
  <si>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</si>
  <si>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</si>
  <si>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</t>
  </si>
  <si>
    <t xml:space="preserve">Loaded payroll</t>
  </si>
  <si>
    <t xml:space="preserve">Factory overhead</t>
  </si>
  <si>
    <t xml:space="preserve">Sales &amp; admin</t>
  </si>
  <si>
    <t xml:space="preserve">Maintenance reserve</t>
  </si>
  <si>
    <t xml:space="preserve">TOTAL OPEX</t>
  </si>
  <si>
    <t xml:space="preserve">v3.3 BOARD-READY - CAPEX PLAN</t>
  </si>
  <si>
    <t xml:space="preserve">CAPEX Category</t>
  </si>
  <si>
    <t xml:space="preserve">Low Case</t>
  </si>
  <si>
    <t xml:space="preserve">Base Case</t>
  </si>
  <si>
    <t xml:space="preserve">High Case</t>
  </si>
  <si>
    <t xml:space="preserve">2026</t>
  </si>
  <si>
    <t xml:space="preserve">2027</t>
  </si>
  <si>
    <t xml:space="preserve">2028</t>
  </si>
  <si>
    <t xml:space="preserve">2029</t>
  </si>
  <si>
    <t xml:space="preserve">Land &amp; site development</t>
  </si>
  <si>
    <t xml:space="preserve">Planned</t>
  </si>
  <si>
    <t xml:space="preserve">Site prep and utilities</t>
  </si>
  <si>
    <t xml:space="preserve">Building &amp; civil works</t>
  </si>
  <si>
    <t xml:space="preserve">Main hall and offices</t>
  </si>
  <si>
    <t xml:space="preserve">Process machinery</t>
  </si>
  <si>
    <t xml:space="preserve">Winding, core, tank, testing</t>
  </si>
  <si>
    <t xml:space="preserve">Utilities &amp; infrastructure</t>
  </si>
  <si>
    <t xml:space="preserve">Compressed air, cranes, power</t>
  </si>
  <si>
    <t xml:space="preserve">IT / MES / QA systems</t>
  </si>
  <si>
    <t xml:space="preserve">MES, traceability, QA</t>
  </si>
  <si>
    <t xml:space="preserve">Contingency</t>
  </si>
  <si>
    <t xml:space="preserve">Board contingency</t>
  </si>
  <si>
    <t xml:space="preserve">TOTAL CAPEX</t>
  </si>
  <si>
    <t xml:space="preserve">v3.3 BOARD-READY - CAPACITY PLANNING</t>
  </si>
  <si>
    <t xml:space="preserve">Scenario</t>
  </si>
  <si>
    <t xml:space="preserve">Shifts / Day</t>
  </si>
  <si>
    <t xml:space="preserve">Hours / Shift</t>
  </si>
  <si>
    <t xml:space="preserve">Operating Days</t>
  </si>
  <si>
    <t xml:space="preserve">Utilization</t>
  </si>
  <si>
    <t xml:space="preserve">Annual Productive Hours</t>
  </si>
  <si>
    <t xml:space="preserve">Equivalent Units</t>
  </si>
  <si>
    <t xml:space="preserve">Average MVA / Unit</t>
  </si>
  <si>
    <t xml:space="preserve">Annual MVA Output</t>
  </si>
  <si>
    <t xml:space="preserve">Implied Revenue</t>
  </si>
  <si>
    <t xml:space="preserve">Base</t>
  </si>
  <si>
    <t xml:space="preserve">Board plan</t>
  </si>
  <si>
    <t xml:space="preserve">Upside</t>
  </si>
  <si>
    <t xml:space="preserve">3-shift run</t>
  </si>
  <si>
    <t xml:space="preserve">Downside</t>
  </si>
  <si>
    <t xml:space="preserve">Lower utilization</t>
  </si>
  <si>
    <t xml:space="preserve">v3.3 BOARD DASHBOARD</t>
  </si>
  <si>
    <t xml:space="preserve">Total Revenue</t>
  </si>
  <si>
    <t xml:space="preserve">Annual OPEX</t>
  </si>
  <si>
    <t xml:space="preserve">EBITDA</t>
  </si>
  <si>
    <t xml:space="preserve">EBITDA Margin</t>
  </si>
  <si>
    <t xml:space="preserve">Base Capacity MVA</t>
  </si>
  <si>
    <t xml:space="preserve">Base Units</t>
  </si>
  <si>
    <t xml:space="preserve">Board Summary</t>
  </si>
  <si>
    <t xml:space="preserve">Metric</t>
  </si>
  <si>
    <t xml:space="preserve">Navigation</t>
  </si>
  <si>
    <t xml:space="preserve">Linked Sheet</t>
  </si>
  <si>
    <t xml:space="preserve">Purpose</t>
  </si>
  <si>
    <t xml:space="preserve">Open profitability</t>
  </si>
  <si>
    <t xml:space="preserve">Project_Profitability</t>
  </si>
  <si>
    <t xml:space="preserve">Revenue / gross profit by transformer type</t>
  </si>
  <si>
    <t xml:space="preserve">Open OPEX plan</t>
  </si>
  <si>
    <t xml:space="preserve">OPEX_Plan</t>
  </si>
  <si>
    <t xml:space="preserve">Monthly and annual operating expenditure</t>
  </si>
  <si>
    <t xml:space="preserve">Base Capacity Utilization</t>
  </si>
  <si>
    <t xml:space="preserve">Open CAPEX plan</t>
  </si>
  <si>
    <t xml:space="preserve">CAPEX_Plan</t>
  </si>
  <si>
    <t xml:space="preserve">Base / low / high capex envelope</t>
  </si>
  <si>
    <t xml:space="preserve">CAPEX Base Case</t>
  </si>
  <si>
    <t xml:space="preserve">Open capacity plan</t>
  </si>
  <si>
    <t xml:space="preserve">Capacity_Planning</t>
  </si>
  <si>
    <t xml:space="preserve">Shift-based unit and MVA planning</t>
  </si>
  <si>
    <t xml:space="preserve">Suspicious labor entries</t>
  </si>
  <si>
    <t xml:space="preserve">v4.3 FINANCE DOCUMENT LOGIC ENGINE - ASSUMPTIONS</t>
  </si>
  <si>
    <t xml:space="preserve">Assumption</t>
  </si>
  <si>
    <t xml:space="preserve">Debt Ratio</t>
  </si>
  <si>
    <t xml:space="preserve">x</t>
  </si>
  <si>
    <t xml:space="preserve">Senior debt as % of base CAPEX</t>
  </si>
  <si>
    <t xml:space="preserve">Interest Rate</t>
  </si>
  <si>
    <t xml:space="preserve">Base case annual interest</t>
  </si>
  <si>
    <t xml:space="preserve">Lender Case Interest Rate</t>
  </si>
  <si>
    <t xml:space="preserve">Credit case annual interest</t>
  </si>
  <si>
    <t xml:space="preserve">Tenor (years)</t>
  </si>
  <si>
    <t xml:space="preserve">years</t>
  </si>
  <si>
    <t xml:space="preserve">Straight-line principal assumption</t>
  </si>
  <si>
    <t xml:space="preserve">CFADS Conversion</t>
  </si>
  <si>
    <t xml:space="preserve">EBITDA to CFADS after tax/WC drag</t>
  </si>
  <si>
    <t xml:space="preserve">DSRA Months Required</t>
  </si>
  <si>
    <t xml:space="preserve">months</t>
  </si>
  <si>
    <t xml:space="preserve">Target DSRA coverage</t>
  </si>
  <si>
    <t xml:space="preserve">DSCR Lock-up Threshold</t>
  </si>
  <si>
    <t xml:space="preserve">Restricted payment trigger</t>
  </si>
  <si>
    <t xml:space="preserve">DSCR Default Threshold</t>
  </si>
  <si>
    <t xml:space="preserve">Event of default threshold</t>
  </si>
  <si>
    <t xml:space="preserve">LLCR Threshold</t>
  </si>
  <si>
    <t xml:space="preserve">Loan life cover threshold</t>
  </si>
  <si>
    <t xml:space="preserve">PLCR Threshold</t>
  </si>
  <si>
    <t xml:space="preserve">Project life cover threshold</t>
  </si>
  <si>
    <t xml:space="preserve">Cash Sweep Trigger</t>
  </si>
  <si>
    <t xml:space="preserve">Minimum DSCR to permit sweep</t>
  </si>
  <si>
    <t xml:space="preserve">Cash Sweep Percentage</t>
  </si>
  <si>
    <t xml:space="preserve">Applied to post-debt excess cash</t>
  </si>
  <si>
    <t xml:space="preserve">Lender Case Revenue Haircut</t>
  </si>
  <si>
    <t xml:space="preserve">Downside haircut vs base</t>
  </si>
  <si>
    <t xml:space="preserve">Lender Case EBITDA Margin Haircut</t>
  </si>
  <si>
    <t xml:space="preserve">Downside haircut to EBITDA margin</t>
  </si>
  <si>
    <t xml:space="preserve">Waiver Days</t>
  </si>
  <si>
    <t xml:space="preserve">Indicative waiver cure period</t>
  </si>
  <si>
    <t xml:space="preserve">Max Equity Cure Uses</t>
  </si>
  <si>
    <t xml:space="preserve">Indicative cure count limit</t>
  </si>
  <si>
    <t xml:space="preserve">Base Revenue 2029</t>
  </si>
  <si>
    <t xml:space="preserve">EUR</t>
  </si>
  <si>
    <t xml:space="preserve">Linked from Board Dashboard</t>
  </si>
  <si>
    <t xml:space="preserve">Base EBITDA Margin</t>
  </si>
  <si>
    <t xml:space="preserve">Base CAPEX</t>
  </si>
  <si>
    <t xml:space="preserve">Linked from CAPEX plan</t>
  </si>
  <si>
    <t xml:space="preserve">Debt Amount</t>
  </si>
  <si>
    <t xml:space="preserve">Debt ratio x base capex</t>
  </si>
  <si>
    <t xml:space="preserve">Ramp 2026</t>
  </si>
  <si>
    <t xml:space="preserve">Construction/ramp assumption</t>
  </si>
  <si>
    <t xml:space="preserve">Ramp 2027</t>
  </si>
  <si>
    <t xml:space="preserve">Ramp assumption</t>
  </si>
  <si>
    <t xml:space="preserve">Ramp 2028</t>
  </si>
  <si>
    <t xml:space="preserve">Ramp 2029</t>
  </si>
  <si>
    <t xml:space="preserve">Steady state assumption</t>
  </si>
  <si>
    <t xml:space="preserve">v4.3 BASE CASE FINANCE LOGIC</t>
  </si>
  <si>
    <t xml:space="preserve">Formula / Driver</t>
  </si>
  <si>
    <t xml:space="preserve">Revenue</t>
  </si>
  <si>
    <t xml:space="preserve">Board revenue x ramp</t>
  </si>
  <si>
    <t xml:space="preserve">Board EBITDA margin</t>
  </si>
  <si>
    <t xml:space="preserve">Revenue x EBITDA margin</t>
  </si>
  <si>
    <t xml:space="preserve">CFADS</t>
  </si>
  <si>
    <t xml:space="preserve">EBITDA x conversion</t>
  </si>
  <si>
    <t xml:space="preserve">CAPEX</t>
  </si>
  <si>
    <t xml:space="preserve">Phasing from CAPEX_Plan</t>
  </si>
  <si>
    <t xml:space="preserve">Debt Drawdown</t>
  </si>
  <si>
    <t xml:space="preserve">CAPEX x debt ratio</t>
  </si>
  <si>
    <t xml:space="preserve">Opening Debt</t>
  </si>
  <si>
    <t xml:space="preserve">Roll-forward</t>
  </si>
  <si>
    <t xml:space="preserve">Interest</t>
  </si>
  <si>
    <t xml:space="preserve">Opening debt x rate</t>
  </si>
  <si>
    <t xml:space="preserve">Principal</t>
  </si>
  <si>
    <t xml:space="preserve">Straight-line from 2028</t>
  </si>
  <si>
    <t xml:space="preserve">Debt Service</t>
  </si>
  <si>
    <t xml:space="preserve">Interest + principal</t>
  </si>
  <si>
    <t xml:space="preserve">DSCR</t>
  </si>
  <si>
    <t xml:space="preserve">CFADS / Debt Service</t>
  </si>
  <si>
    <t xml:space="preserve">Closing Debt</t>
  </si>
  <si>
    <t xml:space="preserve">Opening + draw - principal</t>
  </si>
  <si>
    <t xml:space="preserve">LLCR</t>
  </si>
  <si>
    <t xml:space="preserve">Remaining CFADS / Opening Debt</t>
  </si>
  <si>
    <t xml:space="preserve">PLCR</t>
  </si>
  <si>
    <t xml:space="preserve">Remaining EBITDA / Opening Debt</t>
  </si>
  <si>
    <t xml:space="preserve">DSRA Required</t>
  </si>
  <si>
    <t xml:space="preserve">Debt service x months/12</t>
  </si>
  <si>
    <t xml:space="preserve">DSRA Balance</t>
  </si>
  <si>
    <t xml:space="preserve">Assumed funded to requirement</t>
  </si>
  <si>
    <t xml:space="preserve">DSRA Adequacy</t>
  </si>
  <si>
    <t xml:space="preserve">DSRA / required</t>
  </si>
  <si>
    <t xml:space="preserve">Cash Balance Pre Sweep</t>
  </si>
  <si>
    <t xml:space="preserve">CFADS - debt service</t>
  </si>
  <si>
    <t xml:space="preserve">Cash Sweep</t>
  </si>
  <si>
    <t xml:space="preserve">If DSCR &gt;= trigger</t>
  </si>
  <si>
    <t xml:space="preserve">Cash Balance Post Sweep</t>
  </si>
  <si>
    <t xml:space="preserve">Pre sweep - sweep</t>
  </si>
  <si>
    <t xml:space="preserve">Distribution</t>
  </si>
  <si>
    <t xml:space="preserve">If allowed, 30% of post-sweep cash</t>
  </si>
  <si>
    <t xml:space="preserve">Distribution Allowed?</t>
  </si>
  <si>
    <t xml:space="preserve">DSCR + DSRA gate</t>
  </si>
  <si>
    <t xml:space="preserve">Equity Cure Needed?</t>
  </si>
  <si>
    <t xml:space="preserve">If DSCR below lock-up</t>
  </si>
  <si>
    <t xml:space="preserve">Waiver Required?</t>
  </si>
  <si>
    <t xml:space="preserve">If default / lock-up</t>
  </si>
  <si>
    <t xml:space="preserve">v4.3 LENDER CASE FINANCE LOGIC</t>
  </si>
  <si>
    <t xml:space="preserve">COVENANT MATRIX</t>
  </si>
  <si>
    <t xml:space="preserve">Case</t>
  </si>
  <si>
    <t xml:space="preserve">Period</t>
  </si>
  <si>
    <t xml:space="preserve">Actual</t>
  </si>
  <si>
    <t xml:space="preserve">Threshold</t>
  </si>
  <si>
    <t xml:space="preserve">Headroom</t>
  </si>
  <si>
    <t xml:space="preserve">Sheet</t>
  </si>
  <si>
    <t xml:space="preserve">Ref</t>
  </si>
  <si>
    <t xml:space="preserve">Base_Case_Finance</t>
  </si>
  <si>
    <t xml:space="preserve">C15</t>
  </si>
  <si>
    <t xml:space="preserve">C17</t>
  </si>
  <si>
    <t xml:space="preserve">C18</t>
  </si>
  <si>
    <t xml:space="preserve">Cash Balance</t>
  </si>
  <si>
    <t xml:space="preserve">C24</t>
  </si>
  <si>
    <t xml:space="preserve">D15</t>
  </si>
  <si>
    <t xml:space="preserve">D17</t>
  </si>
  <si>
    <t xml:space="preserve">D18</t>
  </si>
  <si>
    <t xml:space="preserve">D24</t>
  </si>
  <si>
    <t xml:space="preserve">E15</t>
  </si>
  <si>
    <t xml:space="preserve">E17</t>
  </si>
  <si>
    <t xml:space="preserve">E18</t>
  </si>
  <si>
    <t xml:space="preserve">E24</t>
  </si>
  <si>
    <t xml:space="preserve">F15</t>
  </si>
  <si>
    <t xml:space="preserve">F17</t>
  </si>
  <si>
    <t xml:space="preserve">F18</t>
  </si>
  <si>
    <t xml:space="preserve">F24</t>
  </si>
  <si>
    <t xml:space="preserve">Lender Case</t>
  </si>
  <si>
    <t xml:space="preserve">Lender_Case_Finance</t>
  </si>
  <si>
    <t xml:space="preserve">DEFAULT EVENT REGISTER</t>
  </si>
  <si>
    <t xml:space="preserve">DSRA TEST</t>
  </si>
  <si>
    <t xml:space="preserve">Actual DSRA</t>
  </si>
  <si>
    <t xml:space="preserve">Required DSRA</t>
  </si>
  <si>
    <t xml:space="preserve">Adequacy Ratio</t>
  </si>
  <si>
    <t xml:space="preserve">C20</t>
  </si>
  <si>
    <t xml:space="preserve">D20</t>
  </si>
  <si>
    <t xml:space="preserve">E20</t>
  </si>
  <si>
    <t xml:space="preserve">F20</t>
  </si>
  <si>
    <t xml:space="preserve">CASH SWEEP REGISTER</t>
  </si>
  <si>
    <t xml:space="preserve">Excess Cash</t>
  </si>
  <si>
    <t xml:space="preserve">Sweep Amount</t>
  </si>
  <si>
    <t xml:space="preserve">Sweep %</t>
  </si>
  <si>
    <t xml:space="preserve">C23</t>
  </si>
  <si>
    <t xml:space="preserve">D23</t>
  </si>
  <si>
    <t xml:space="preserve">E23</t>
  </si>
  <si>
    <t xml:space="preserve">F23</t>
  </si>
  <si>
    <t xml:space="preserve">EQUITY CURE REGISTER</t>
  </si>
  <si>
    <t xml:space="preserve">DSCR Before</t>
  </si>
  <si>
    <t xml:space="preserve">DSCR After</t>
  </si>
  <si>
    <t xml:space="preserve">Cure Amount</t>
  </si>
  <si>
    <t xml:space="preserve">Cure Applied</t>
  </si>
  <si>
    <t xml:space="preserve">WAIVER LOG</t>
  </si>
  <si>
    <t xml:space="preserve">Breach Metric</t>
  </si>
  <si>
    <t xml:space="preserve">Breach Status</t>
  </si>
  <si>
    <t xml:space="preserve">Waiver Granted</t>
  </si>
  <si>
    <t xml:space="preserve">RED FLAG REGISTER</t>
  </si>
  <si>
    <t xml:space="preserve">Issue</t>
  </si>
  <si>
    <t xml:space="preserve">Severity</t>
  </si>
  <si>
    <t xml:space="preserve">Flag Status</t>
  </si>
  <si>
    <t xml:space="preserve">DSCR Breach</t>
  </si>
  <si>
    <t xml:space="preserve">v4.3 LENDER COMPLIANCE DASHBOARD</t>
  </si>
  <si>
    <t xml:space="preserve">Target / Note</t>
  </si>
  <si>
    <t xml:space="preserve">Base Case Min DSCR</t>
  </si>
  <si>
    <t xml:space="preserve">Lender Case Min DSCR</t>
  </si>
  <si>
    <t xml:space="preserve">Base Case Min LLCR</t>
  </si>
  <si>
    <t xml:space="preserve">Lender Case Min LLCR</t>
  </si>
  <si>
    <t xml:space="preserve">Base Case DSRA Deficiencies</t>
  </si>
  <si>
    <t xml:space="preserve">Lender Case DSRA Deficiencies</t>
  </si>
  <si>
    <t xml:space="preserve">Cash Sweep Periods</t>
  </si>
  <si>
    <t xml:space="preserve">Informational</t>
  </si>
  <si>
    <t xml:space="preserve">INFO</t>
  </si>
  <si>
    <t xml:space="preserve">Equity Cures Applied</t>
  </si>
  <si>
    <t xml:space="preserve">Active Red Flags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</si>
</sst>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[RED]\(#,##0\);\-"/>
    <numFmt numFmtId="166" formatCode="0.0%"/>
    <numFmt numFmtId="167" formatCode="\€#,##0.00;[RED]&quot;(€&quot;#,##0.00\);\-"/>
    <numFmt numFmtId="168" formatCode="0.00;[RED]\(0.00\);\-"/>
    <numFmt numFmtId="169" formatCode="dd\-mmm\-yyyy"/>
    <numFmt numFmtId="170" formatCode="#,##0.00;[RED]\(#,##0.00\);\-"/>
    <numFmt numFmtId="171" formatCode="0.00\x"/>
    <numFmt numFmtId="172" formatCode="#,##0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theme="1"/>
      <name val="Calibri"/>
      <family val="2"/>
      <charset val="1"/>
    </font>
    <font>
      <sz val="11"/>
      <color rgb="FF008000"/>
      <name val="Cambria"/>
      <family val="0"/>
      <charset val="1"/>
    </font>
    <font>
      <sz val="10"/>
      <name val="Arial"/>
      <family val="2"/>
    </font>
    <font>
      <sz val="10"/>
      <color rgb="FF008000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9"/>
      <color rgb="FF1F1F1F"/>
      <name val="Cambria"/>
      <family val="0"/>
      <charset val="1"/>
    </font>
    <font>
      <b val="true"/>
      <sz val="16"/>
      <color rgb="FF1F1F1F"/>
      <name val="Cambria"/>
      <family val="0"/>
      <charset val="1"/>
    </font>
    <font>
      <sz val="12"/>
      <color theme="10"/>
      <name val="Calibri"/>
      <family val="2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sz val="11"/>
      <color rgb="FF00000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E4DFEC"/>
      </patternFill>
    </fill>
    <fill>
      <patternFill patternType="solid">
        <fgColor rgb="FFFFF2CC"/>
        <bgColor rgb="FFFDE9E7"/>
      </patternFill>
    </fill>
    <fill>
      <patternFill patternType="solid">
        <fgColor rgb="FFE2F0D9"/>
        <bgColor rgb="FFE7E6E6"/>
      </patternFill>
    </fill>
    <fill>
      <patternFill patternType="solid">
        <fgColor rgb="FFFCE4D6"/>
        <bgColor rgb="FFFDE9E7"/>
      </patternFill>
    </fill>
    <fill>
      <patternFill patternType="solid">
        <fgColor rgb="FFDDEBF7"/>
        <bgColor rgb="FFD9EAF7"/>
      </patternFill>
    </fill>
    <fill>
      <patternFill patternType="solid">
        <fgColor rgb="FFFDE9E7"/>
        <bgColor rgb="FFFCE4D6"/>
      </patternFill>
    </fill>
    <fill>
      <patternFill patternType="solid">
        <fgColor rgb="FFE4DFEC"/>
        <bgColor rgb="FFE7E6E6"/>
      </patternFill>
    </fill>
    <fill>
      <patternFill patternType="solid">
        <fgColor rgb="FFD9EAF7"/>
        <bgColor rgb="FFDDEB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4E78"/>
      </top>
      <bottom/>
      <diagonal/>
    </border>
    <border diagonalUp="false" diagonalDown="false">
      <left/>
      <right/>
      <top style="medium">
        <color rgb="FF1F4E78"/>
      </top>
      <bottom style="medium">
        <color rgb="FF1F4E78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DE9E7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E2F0D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E2F0D9"/>
      <rgbColor rgb="FFE7E6E6"/>
      <rgbColor rgb="FFFCE4D6"/>
      <rgbColor rgb="FFFDE9E7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../../small_transformer_factory_v3_3_board_ready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../../small_transformer_factory_v3_3_board_ready.xlsx" TargetMode="External"/><Relationship Id="rId2" Type="http://schemas.openxmlformats.org/officeDocument/2006/relationships/hyperlink" Target="../../small_transformer_factory_v3_3_board_ready.xlsx" TargetMode="External"/><Relationship Id="rId3" Type="http://schemas.openxmlformats.org/officeDocument/2006/relationships/hyperlink" Target="../../small_transformer_factory_v3_3_board_ready.xlsx" TargetMode="External"/><Relationship Id="rId4" Type="http://schemas.openxmlformats.org/officeDocument/2006/relationships/hyperlink" Target="../../small_transformer_factory_v3_3_board_ready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v>160</v>
      </c>
      <c r="C4" s="6" t="s">
        <v>6</v>
      </c>
      <c r="D4" s="6" t="s">
        <v>7</v>
      </c>
    </row>
    <row r="5" customFormat="false" ht="15" hidden="false" customHeight="true" outlineLevel="0" collapsed="false">
      <c r="A5" s="4" t="s">
        <v>8</v>
      </c>
      <c r="B5" s="7" t="n">
        <v>0.105</v>
      </c>
      <c r="C5" s="6" t="s">
        <v>9</v>
      </c>
      <c r="D5" s="6" t="s">
        <v>10</v>
      </c>
    </row>
    <row r="6" customFormat="false" ht="15" hidden="false" customHeight="true" outlineLevel="0" collapsed="false">
      <c r="A6" s="4" t="s">
        <v>11</v>
      </c>
      <c r="B6" s="8" t="n">
        <v>700</v>
      </c>
      <c r="C6" s="6" t="s">
        <v>12</v>
      </c>
      <c r="D6" s="6" t="s">
        <v>10</v>
      </c>
    </row>
    <row r="7" customFormat="false" ht="15" hidden="false" customHeight="true" outlineLevel="0" collapsed="false">
      <c r="A7" s="4" t="s">
        <v>13</v>
      </c>
      <c r="B7" s="7" t="n">
        <v>0.09</v>
      </c>
      <c r="C7" s="6" t="s">
        <v>9</v>
      </c>
      <c r="D7" s="6" t="s">
        <v>10</v>
      </c>
    </row>
    <row r="8" customFormat="false" ht="15" hidden="false" customHeight="true" outlineLevel="0" collapsed="false">
      <c r="A8" s="4" t="s">
        <v>14</v>
      </c>
      <c r="B8" s="7" t="n">
        <v>0.15</v>
      </c>
      <c r="C8" s="6" t="s">
        <v>9</v>
      </c>
      <c r="D8" s="6" t="s">
        <v>10</v>
      </c>
    </row>
    <row r="9" customFormat="false" ht="15" hidden="false" customHeight="true" outlineLevel="0" collapsed="false">
      <c r="A9" s="4" t="s">
        <v>15</v>
      </c>
      <c r="B9" s="7" t="n">
        <v>0.15</v>
      </c>
      <c r="C9" s="6" t="s">
        <v>9</v>
      </c>
      <c r="D9" s="6" t="s">
        <v>10</v>
      </c>
    </row>
    <row r="10" customFormat="false" ht="15" hidden="false" customHeight="true" outlineLevel="0" collapsed="false">
      <c r="A10" s="4" t="s">
        <v>16</v>
      </c>
      <c r="B10" s="7" t="n">
        <v>0.005</v>
      </c>
      <c r="C10" s="6" t="s">
        <v>9</v>
      </c>
      <c r="D10" s="6" t="s">
        <v>10</v>
      </c>
    </row>
    <row r="11" customFormat="false" ht="15" hidden="false" customHeight="true" outlineLevel="0" collapsed="false">
      <c r="A11" s="4" t="s">
        <v>17</v>
      </c>
      <c r="B11" s="5" t="n">
        <v>8</v>
      </c>
      <c r="C11" s="6" t="s">
        <v>6</v>
      </c>
      <c r="D11" s="6" t="s">
        <v>18</v>
      </c>
    </row>
    <row r="12" customFormat="false" ht="15" hidden="false" customHeight="true" outlineLevel="0" collapsed="false">
      <c r="A12" s="4" t="s">
        <v>19</v>
      </c>
      <c r="B12" s="5" t="n">
        <v>12</v>
      </c>
      <c r="C12" s="6" t="s">
        <v>6</v>
      </c>
      <c r="D12" s="6" t="s">
        <v>20</v>
      </c>
    </row>
    <row r="14" customFormat="false" ht="15" hidden="false" customHeight="true" outlineLevel="0" collapsed="false">
      <c r="A14" s="9" t="s">
        <v>21</v>
      </c>
      <c r="B14" s="10" t="n">
        <v>22</v>
      </c>
      <c r="C14" s="11" t="s">
        <v>22</v>
      </c>
      <c r="D14" s="11" t="s">
        <v>23</v>
      </c>
    </row>
    <row r="15" customFormat="false" ht="15" hidden="false" customHeight="true" outlineLevel="0" collapsed="false">
      <c r="A15" s="9" t="s">
        <v>24</v>
      </c>
      <c r="B15" s="10" t="n">
        <v>2</v>
      </c>
      <c r="C15" s="11" t="s">
        <v>25</v>
      </c>
      <c r="D15" s="11" t="s">
        <v>26</v>
      </c>
    </row>
    <row r="16" customFormat="false" ht="15" hidden="false" customHeight="true" outlineLevel="0" collapsed="false">
      <c r="A16" s="9" t="s">
        <v>27</v>
      </c>
      <c r="B16" s="10" t="n">
        <v>8</v>
      </c>
      <c r="C16" s="11" t="s">
        <v>6</v>
      </c>
      <c r="D16" s="11" t="s">
        <v>28</v>
      </c>
    </row>
    <row r="17" customFormat="false" ht="15" hidden="false" customHeight="true" outlineLevel="0" collapsed="false">
      <c r="A17" s="9" t="s">
        <v>29</v>
      </c>
      <c r="B17" s="12" t="n">
        <v>0.85</v>
      </c>
      <c r="C17" s="11" t="s">
        <v>9</v>
      </c>
      <c r="D17" s="11" t="s">
        <v>30</v>
      </c>
    </row>
    <row r="18" customFormat="false" ht="15" hidden="false" customHeight="true" outlineLevel="0" collapsed="false">
      <c r="A18" s="9" t="s">
        <v>31</v>
      </c>
      <c r="B18" s="10" t="n">
        <v>250</v>
      </c>
      <c r="C18" s="11" t="s">
        <v>22</v>
      </c>
      <c r="D18" s="11" t="s">
        <v>23</v>
      </c>
    </row>
    <row r="19" customFormat="false" ht="15" hidden="false" customHeight="true" outlineLevel="0" collapsed="false">
      <c r="A19" s="9" t="s">
        <v>32</v>
      </c>
      <c r="B19" s="13" t="n">
        <v>120000</v>
      </c>
      <c r="C19" s="11" t="s">
        <v>12</v>
      </c>
      <c r="D19" s="11" t="s">
        <v>33</v>
      </c>
    </row>
    <row r="20" customFormat="false" ht="15" hidden="false" customHeight="true" outlineLevel="0" collapsed="false">
      <c r="A20" s="9" t="s">
        <v>34</v>
      </c>
      <c r="B20" s="12" t="n">
        <v>0.62</v>
      </c>
      <c r="C20" s="11" t="s">
        <v>35</v>
      </c>
      <c r="D20" s="11" t="s">
        <v>36</v>
      </c>
    </row>
    <row r="21" customFormat="false" ht="15" hidden="false" customHeight="true" outlineLevel="0" collapsed="false">
      <c r="A21" s="9" t="s">
        <v>37</v>
      </c>
      <c r="B21" s="13" t="n">
        <v>45000</v>
      </c>
      <c r="C21" s="11" t="s">
        <v>12</v>
      </c>
      <c r="D21" s="11" t="s">
        <v>38</v>
      </c>
    </row>
    <row r="22" customFormat="false" ht="15" hidden="false" customHeight="true" outlineLevel="0" collapsed="false">
      <c r="A22" s="9" t="s">
        <v>39</v>
      </c>
      <c r="B22" s="13" t="n">
        <v>18000</v>
      </c>
      <c r="C22" s="11" t="s">
        <v>12</v>
      </c>
      <c r="D22" s="11" t="s">
        <v>40</v>
      </c>
    </row>
    <row r="23" customFormat="false" ht="15" hidden="false" customHeight="true" outlineLevel="0" collapsed="false">
      <c r="A23" s="9" t="s">
        <v>41</v>
      </c>
      <c r="B23" s="13" t="n">
        <v>7500</v>
      </c>
      <c r="C23" s="11" t="s">
        <v>12</v>
      </c>
      <c r="D23" s="11" t="s">
        <v>42</v>
      </c>
    </row>
    <row r="24" customFormat="false" ht="15" hidden="false" customHeight="true" outlineLevel="0" collapsed="false">
      <c r="A24" s="9" t="s">
        <v>43</v>
      </c>
      <c r="B24" s="12" t="n">
        <v>0.26</v>
      </c>
      <c r="C24" s="11" t="s">
        <v>9</v>
      </c>
      <c r="D24" s="11" t="s">
        <v>44</v>
      </c>
    </row>
    <row r="25" customFormat="false" ht="15" hidden="false" customHeight="true" outlineLevel="0" collapsed="false">
      <c r="A25" s="9" t="s">
        <v>45</v>
      </c>
      <c r="B25" s="12" t="n">
        <v>0.14</v>
      </c>
      <c r="C25" s="11" t="s">
        <v>9</v>
      </c>
      <c r="D25" s="11" t="s">
        <v>44</v>
      </c>
    </row>
    <row r="26" customFormat="false" ht="15" hidden="false" customHeight="true" outlineLevel="0" collapsed="false">
      <c r="A26" s="9" t="s">
        <v>46</v>
      </c>
      <c r="B26" s="14" t="n">
        <f aca="false">B15*B16*B17*B18</f>
        <v>3400</v>
      </c>
      <c r="C26" s="11" t="s">
        <v>6</v>
      </c>
      <c r="D26" s="11" t="s">
        <v>47</v>
      </c>
    </row>
    <row r="27" customFormat="false" ht="15" hidden="false" customHeight="true" outlineLevel="0" collapsed="false">
      <c r="A27" s="9" t="s">
        <v>48</v>
      </c>
      <c r="B27" s="15" t="n">
        <f aca="false">SUM(Sheet11_Zarade!$N$4:$N$15)/SUM(Sheet11_Zarade!$E$4:$E$15)</f>
        <v>11.8925</v>
      </c>
      <c r="C27" s="11" t="s">
        <v>49</v>
      </c>
      <c r="D27" s="11" t="s">
        <v>50</v>
      </c>
    </row>
    <row r="28" customFormat="false" ht="15" hidden="false" customHeight="true" outlineLevel="0" collapsed="false">
      <c r="A28" s="9" t="s">
        <v>51</v>
      </c>
      <c r="B28" s="15" t="n">
        <f aca="false">SUM(Sheet11_Zarade!$N$4:$N$15)*12</f>
        <v>274003.2</v>
      </c>
      <c r="C28" s="11" t="s">
        <v>12</v>
      </c>
      <c r="D28" s="11" t="s">
        <v>52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21.75" hidden="false" customHeight="true" outlineLevel="0" collapsed="false">
      <c r="A1" s="2" t="s">
        <v>53</v>
      </c>
      <c r="B1" s="2"/>
      <c r="C1" s="2"/>
      <c r="D1" s="2"/>
      <c r="E1" s="2"/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</row>
    <row r="4" customFormat="false" ht="15" hidden="false" customHeight="true" outlineLevel="0" collapsed="false">
      <c r="A4" s="16" t="s">
        <v>59</v>
      </c>
      <c r="B4" s="17" t="s">
        <v>60</v>
      </c>
      <c r="C4" s="16" t="s">
        <v>61</v>
      </c>
      <c r="D4" s="17" t="s">
        <v>62</v>
      </c>
      <c r="E4" s="18" t="s">
        <v>63</v>
      </c>
    </row>
    <row r="5" customFormat="false" ht="15" hidden="false" customHeight="true" outlineLevel="0" collapsed="false">
      <c r="A5" s="16" t="s">
        <v>64</v>
      </c>
      <c r="B5" s="17" t="s">
        <v>65</v>
      </c>
      <c r="C5" s="16" t="s">
        <v>66</v>
      </c>
      <c r="D5" s="17" t="s">
        <v>67</v>
      </c>
      <c r="E5" s="18" t="s">
        <v>63</v>
      </c>
    </row>
    <row r="6" customFormat="false" ht="15" hidden="false" customHeight="true" outlineLevel="0" collapsed="false">
      <c r="A6" s="16" t="s">
        <v>68</v>
      </c>
      <c r="B6" s="17" t="s">
        <v>69</v>
      </c>
      <c r="C6" s="16" t="s">
        <v>70</v>
      </c>
      <c r="D6" s="17" t="s">
        <v>71</v>
      </c>
      <c r="E6" s="18" t="s">
        <v>63</v>
      </c>
    </row>
    <row r="7" customFormat="false" ht="15" hidden="false" customHeight="true" outlineLevel="0" collapsed="false">
      <c r="A7" s="16" t="s">
        <v>72</v>
      </c>
      <c r="B7" s="17" t="s">
        <v>73</v>
      </c>
      <c r="C7" s="16" t="s">
        <v>74</v>
      </c>
      <c r="D7" s="17" t="s">
        <v>71</v>
      </c>
      <c r="E7" s="18" t="s">
        <v>63</v>
      </c>
    </row>
    <row r="8" customFormat="false" ht="15" hidden="false" customHeight="true" outlineLevel="0" collapsed="false">
      <c r="A8" s="16" t="s">
        <v>75</v>
      </c>
      <c r="B8" s="17" t="s">
        <v>76</v>
      </c>
      <c r="C8" s="16" t="s">
        <v>77</v>
      </c>
      <c r="D8" s="17" t="s">
        <v>78</v>
      </c>
      <c r="E8" s="18" t="s">
        <v>63</v>
      </c>
    </row>
    <row r="9" customFormat="false" ht="15" hidden="false" customHeight="true" outlineLevel="0" collapsed="false">
      <c r="A9" s="16" t="s">
        <v>79</v>
      </c>
      <c r="B9" s="17" t="s">
        <v>80</v>
      </c>
      <c r="C9" s="16" t="s">
        <v>81</v>
      </c>
      <c r="D9" s="17" t="s">
        <v>82</v>
      </c>
      <c r="E9" s="18" t="s">
        <v>63</v>
      </c>
    </row>
    <row r="10" customFormat="false" ht="15" hidden="false" customHeight="true" outlineLevel="0" collapsed="false">
      <c r="A10" s="16" t="s">
        <v>83</v>
      </c>
      <c r="B10" s="17" t="s">
        <v>84</v>
      </c>
      <c r="C10" s="16" t="s">
        <v>85</v>
      </c>
      <c r="D10" s="17" t="s">
        <v>86</v>
      </c>
      <c r="E10" s="18" t="s">
        <v>63</v>
      </c>
    </row>
    <row r="11" customFormat="false" ht="15" hidden="false" customHeight="true" outlineLevel="0" collapsed="false">
      <c r="A11" s="16" t="s">
        <v>87</v>
      </c>
      <c r="B11" s="17" t="s">
        <v>88</v>
      </c>
      <c r="C11" s="16" t="s">
        <v>89</v>
      </c>
      <c r="D11" s="17" t="s">
        <v>90</v>
      </c>
      <c r="E11" s="18" t="s">
        <v>63</v>
      </c>
    </row>
    <row r="12" customFormat="false" ht="15" hidden="false" customHeight="true" outlineLevel="0" collapsed="false">
      <c r="A12" s="16" t="s">
        <v>91</v>
      </c>
      <c r="B12" s="17" t="s">
        <v>92</v>
      </c>
      <c r="C12" s="16" t="s">
        <v>93</v>
      </c>
      <c r="D12" s="17" t="s">
        <v>94</v>
      </c>
      <c r="E12" s="18" t="s">
        <v>63</v>
      </c>
    </row>
    <row r="13" customFormat="false" ht="15" hidden="false" customHeight="true" outlineLevel="0" collapsed="false">
      <c r="A13" s="16" t="s">
        <v>95</v>
      </c>
      <c r="B13" s="17" t="s">
        <v>96</v>
      </c>
      <c r="C13" s="16" t="s">
        <v>97</v>
      </c>
      <c r="D13" s="17" t="s">
        <v>98</v>
      </c>
      <c r="E13" s="18" t="s">
        <v>63</v>
      </c>
    </row>
    <row r="14" customFormat="false" ht="15" hidden="false" customHeight="true" outlineLevel="0" collapsed="false">
      <c r="A14" s="16" t="s">
        <v>99</v>
      </c>
      <c r="B14" s="17" t="s">
        <v>100</v>
      </c>
      <c r="C14" s="16" t="s">
        <v>101</v>
      </c>
      <c r="D14" s="17" t="s">
        <v>102</v>
      </c>
      <c r="E14" s="18" t="s">
        <v>63</v>
      </c>
    </row>
    <row r="15" customFormat="false" ht="15" hidden="false" customHeight="true" outlineLevel="0" collapsed="false">
      <c r="A15" s="16" t="s">
        <v>103</v>
      </c>
      <c r="B15" s="17" t="s">
        <v>104</v>
      </c>
      <c r="C15" s="16" t="s">
        <v>105</v>
      </c>
      <c r="D15" s="17" t="s">
        <v>106</v>
      </c>
      <c r="E15" s="18" t="s">
        <v>63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24"/>
  </cols>
  <sheetData>
    <row r="1" customFormat="false" ht="21.75" hidden="false" customHeight="true" outlineLevel="0" collapsed="false">
      <c r="A1" s="2" t="s">
        <v>107</v>
      </c>
      <c r="B1" s="2"/>
      <c r="C1" s="2"/>
    </row>
    <row r="3" customFormat="false" ht="30" hidden="false" customHeight="true" outlineLevel="0" collapsed="false">
      <c r="A3" s="3" t="s">
        <v>56</v>
      </c>
      <c r="B3" s="3" t="s">
        <v>108</v>
      </c>
      <c r="C3" s="3" t="s">
        <v>109</v>
      </c>
    </row>
    <row r="4" customFormat="false" ht="15" hidden="false" customHeight="true" outlineLevel="0" collapsed="false">
      <c r="A4" s="19" t="s">
        <v>61</v>
      </c>
      <c r="B4" s="8" t="n">
        <v>8.5</v>
      </c>
      <c r="C4" s="19" t="s">
        <v>110</v>
      </c>
    </row>
    <row r="5" customFormat="false" ht="15" hidden="false" customHeight="true" outlineLevel="0" collapsed="false">
      <c r="A5" s="19" t="s">
        <v>111</v>
      </c>
      <c r="B5" s="8" t="n">
        <v>11</v>
      </c>
      <c r="C5" s="19" t="s">
        <v>110</v>
      </c>
    </row>
    <row r="6" customFormat="false" ht="15" hidden="false" customHeight="true" outlineLevel="0" collapsed="false">
      <c r="A6" s="19" t="s">
        <v>112</v>
      </c>
      <c r="B6" s="8" t="n">
        <v>18</v>
      </c>
      <c r="C6" s="19" t="s">
        <v>110</v>
      </c>
    </row>
    <row r="7" customFormat="false" ht="15" hidden="false" customHeight="true" outlineLevel="0" collapsed="false">
      <c r="A7" s="19" t="s">
        <v>113</v>
      </c>
      <c r="B7" s="8" t="n">
        <v>28</v>
      </c>
      <c r="C7" s="19" t="s">
        <v>110</v>
      </c>
    </row>
    <row r="8" customFormat="false" ht="15" hidden="false" customHeight="true" outlineLevel="0" collapsed="false">
      <c r="A8" s="19" t="s">
        <v>70</v>
      </c>
      <c r="B8" s="8" t="n">
        <v>9</v>
      </c>
      <c r="C8" s="19" t="s">
        <v>110</v>
      </c>
    </row>
    <row r="9" customFormat="false" ht="15" hidden="false" customHeight="true" outlineLevel="0" collapsed="false">
      <c r="A9" s="19" t="s">
        <v>74</v>
      </c>
      <c r="B9" s="8" t="n">
        <v>10</v>
      </c>
      <c r="C9" s="19" t="s">
        <v>110</v>
      </c>
    </row>
    <row r="10" customFormat="false" ht="15" hidden="false" customHeight="true" outlineLevel="0" collapsed="false">
      <c r="A10" s="19" t="s">
        <v>81</v>
      </c>
      <c r="B10" s="8" t="n">
        <v>12</v>
      </c>
      <c r="C10" s="19" t="s">
        <v>110</v>
      </c>
    </row>
    <row r="11" customFormat="false" ht="15" hidden="false" customHeight="true" outlineLevel="0" collapsed="false">
      <c r="A11" s="19" t="s">
        <v>77</v>
      </c>
      <c r="B11" s="8" t="n">
        <v>14</v>
      </c>
      <c r="C11" s="19" t="s">
        <v>110</v>
      </c>
    </row>
    <row r="12" customFormat="false" ht="15" hidden="false" customHeight="true" outlineLevel="0" collapsed="false">
      <c r="A12" s="19" t="s">
        <v>114</v>
      </c>
      <c r="B12" s="8" t="n">
        <v>20</v>
      </c>
      <c r="C12" s="19" t="s">
        <v>110</v>
      </c>
    </row>
    <row r="13" customFormat="false" ht="15" hidden="false" customHeight="true" outlineLevel="0" collapsed="false">
      <c r="A13" s="19" t="s">
        <v>101</v>
      </c>
      <c r="B13" s="8" t="n">
        <v>22</v>
      </c>
      <c r="C13" s="19" t="s">
        <v>110</v>
      </c>
    </row>
    <row r="14" customFormat="false" ht="15" hidden="false" customHeight="true" outlineLevel="0" collapsed="false">
      <c r="A14" s="19" t="s">
        <v>115</v>
      </c>
      <c r="B14" s="8" t="n">
        <v>9.5</v>
      </c>
      <c r="C14" s="19" t="s">
        <v>110</v>
      </c>
    </row>
    <row r="15" customFormat="false" ht="15" hidden="false" customHeight="true" outlineLevel="0" collapsed="false">
      <c r="A15" s="19" t="s">
        <v>116</v>
      </c>
      <c r="B15" s="8" t="n">
        <v>8</v>
      </c>
      <c r="C15" s="19" t="s">
        <v>110</v>
      </c>
    </row>
    <row r="16" customFormat="false" ht="15" hidden="false" customHeight="true" outlineLevel="0" collapsed="false">
      <c r="A16" s="19" t="s">
        <v>93</v>
      </c>
      <c r="B16" s="8" t="n">
        <v>7.5</v>
      </c>
      <c r="C16" s="19" t="s">
        <v>110</v>
      </c>
    </row>
    <row r="17" customFormat="false" ht="15" hidden="false" customHeight="true" outlineLevel="0" collapsed="false">
      <c r="A17" s="19" t="s">
        <v>97</v>
      </c>
      <c r="B17" s="8" t="n">
        <v>10.5</v>
      </c>
      <c r="C17" s="19" t="s">
        <v>110</v>
      </c>
    </row>
    <row r="18" customFormat="false" ht="15" hidden="false" customHeight="true" outlineLevel="0" collapsed="false">
      <c r="A18" s="19" t="s">
        <v>117</v>
      </c>
      <c r="B18" s="8" t="n">
        <v>25</v>
      </c>
      <c r="C18" s="19" t="s">
        <v>110</v>
      </c>
    </row>
    <row r="19" customFormat="false" ht="15" hidden="false" customHeight="true" outlineLevel="0" collapsed="false">
      <c r="A19" s="19" t="s">
        <v>118</v>
      </c>
      <c r="B19" s="8" t="n">
        <v>15</v>
      </c>
      <c r="C19" s="19" t="s">
        <v>110</v>
      </c>
    </row>
    <row r="20" customFormat="false" ht="15" hidden="false" customHeight="true" outlineLevel="0" collapsed="false">
      <c r="A20" s="19" t="s">
        <v>89</v>
      </c>
      <c r="B20" s="8" t="n">
        <v>12.5</v>
      </c>
      <c r="C20" s="19" t="s">
        <v>110</v>
      </c>
    </row>
    <row r="21" customFormat="false" ht="15" hidden="false" customHeight="true" outlineLevel="0" collapsed="false">
      <c r="A21" s="19" t="s">
        <v>105</v>
      </c>
      <c r="B21" s="8" t="n">
        <v>16</v>
      </c>
      <c r="C21" s="19" t="s">
        <v>110</v>
      </c>
    </row>
    <row r="22" customFormat="false" ht="15" hidden="false" customHeight="true" outlineLevel="0" collapsed="false">
      <c r="A22" s="19" t="s">
        <v>85</v>
      </c>
      <c r="B22" s="8" t="n">
        <v>9.5</v>
      </c>
      <c r="C22" s="19" t="s">
        <v>110</v>
      </c>
    </row>
    <row r="23" customFormat="false" ht="15" hidden="false" customHeight="true" outlineLevel="0" collapsed="false">
      <c r="A23" s="19" t="s">
        <v>66</v>
      </c>
      <c r="B23" s="8" t="n">
        <v>10.5</v>
      </c>
      <c r="C23" s="19" t="s">
        <v>110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21.75" hidden="false" customHeight="true" outlineLevel="0" collapsed="false">
      <c r="A1" s="2" t="s">
        <v>119</v>
      </c>
      <c r="B1" s="2"/>
      <c r="C1" s="2"/>
      <c r="D1" s="2"/>
    </row>
    <row r="3" customFormat="false" ht="30" hidden="false" customHeight="true" outlineLevel="0" collapsed="false">
      <c r="A3" s="3" t="s">
        <v>120</v>
      </c>
      <c r="B3" s="3" t="s">
        <v>121</v>
      </c>
      <c r="C3" s="3" t="s">
        <v>58</v>
      </c>
      <c r="D3" s="3" t="s">
        <v>122</v>
      </c>
    </row>
    <row r="4" customFormat="false" ht="15" hidden="false" customHeight="true" outlineLevel="0" collapsed="false">
      <c r="A4" s="20" t="s">
        <v>123</v>
      </c>
      <c r="B4" s="20" t="s">
        <v>124</v>
      </c>
      <c r="C4" s="21" t="s">
        <v>125</v>
      </c>
      <c r="D4" s="19" t="s">
        <v>126</v>
      </c>
    </row>
    <row r="5" customFormat="false" ht="15" hidden="false" customHeight="true" outlineLevel="0" collapsed="false">
      <c r="A5" s="20" t="s">
        <v>127</v>
      </c>
      <c r="B5" s="20" t="s">
        <v>128</v>
      </c>
      <c r="C5" s="21" t="s">
        <v>125</v>
      </c>
      <c r="D5" s="19" t="s">
        <v>126</v>
      </c>
    </row>
    <row r="6" customFormat="false" ht="15" hidden="false" customHeight="true" outlineLevel="0" collapsed="false">
      <c r="A6" s="20" t="s">
        <v>129</v>
      </c>
      <c r="B6" s="20" t="s">
        <v>130</v>
      </c>
      <c r="C6" s="22" t="s">
        <v>131</v>
      </c>
      <c r="D6" s="19" t="s">
        <v>132</v>
      </c>
    </row>
    <row r="7" customFormat="false" ht="15" hidden="false" customHeight="true" outlineLevel="0" collapsed="false">
      <c r="A7" s="20" t="s">
        <v>133</v>
      </c>
      <c r="B7" s="20" t="s">
        <v>134</v>
      </c>
      <c r="C7" s="21" t="s">
        <v>125</v>
      </c>
      <c r="D7" s="19" t="s">
        <v>126</v>
      </c>
    </row>
    <row r="8" customFormat="false" ht="15" hidden="false" customHeight="true" outlineLevel="0" collapsed="false">
      <c r="A8" s="20" t="s">
        <v>135</v>
      </c>
      <c r="B8" s="20" t="s">
        <v>136</v>
      </c>
      <c r="C8" s="21" t="s">
        <v>125</v>
      </c>
      <c r="D8" s="19" t="s">
        <v>126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true" outlineLevel="0" collapsed="false">
      <c r="A1" s="1" t="s">
        <v>137</v>
      </c>
      <c r="B1" s="1" t="s">
        <v>138</v>
      </c>
    </row>
    <row r="2" customFormat="false" ht="15" hidden="false" customHeight="true" outlineLevel="0" collapsed="false">
      <c r="A2" s="1" t="s">
        <v>59</v>
      </c>
      <c r="B2" s="1" t="s">
        <v>123</v>
      </c>
    </row>
    <row r="3" customFormat="false" ht="15" hidden="false" customHeight="true" outlineLevel="0" collapsed="false">
      <c r="A3" s="1" t="s">
        <v>64</v>
      </c>
      <c r="B3" s="1" t="s">
        <v>127</v>
      </c>
    </row>
    <row r="4" customFormat="false" ht="15" hidden="false" customHeight="true" outlineLevel="0" collapsed="false">
      <c r="A4" s="1" t="s">
        <v>68</v>
      </c>
      <c r="B4" s="1" t="s">
        <v>133</v>
      </c>
    </row>
    <row r="5" customFormat="false" ht="15" hidden="false" customHeight="true" outlineLevel="0" collapsed="false">
      <c r="A5" s="1" t="s">
        <v>72</v>
      </c>
      <c r="B5" s="1" t="s">
        <v>135</v>
      </c>
    </row>
    <row r="6" customFormat="false" ht="15" hidden="false" customHeight="true" outlineLevel="0" collapsed="false">
      <c r="A6" s="1" t="s">
        <v>75</v>
      </c>
    </row>
    <row r="7" customFormat="false" ht="15" hidden="false" customHeight="true" outlineLevel="0" collapsed="false">
      <c r="A7" s="1" t="s">
        <v>79</v>
      </c>
    </row>
    <row r="8" customFormat="false" ht="15" hidden="false" customHeight="true" outlineLevel="0" collapsed="false">
      <c r="A8" s="1" t="s">
        <v>83</v>
      </c>
    </row>
    <row r="9" customFormat="false" ht="15" hidden="false" customHeight="true" outlineLevel="0" collapsed="false">
      <c r="A9" s="1" t="s">
        <v>87</v>
      </c>
    </row>
    <row r="10" customFormat="false" ht="15" hidden="false" customHeight="true" outlineLevel="0" collapsed="false">
      <c r="A10" s="1" t="s">
        <v>91</v>
      </c>
    </row>
    <row r="11" customFormat="false" ht="15" hidden="false" customHeight="true" outlineLevel="0" collapsed="false">
      <c r="A11" s="1" t="s">
        <v>95</v>
      </c>
    </row>
    <row r="12" customFormat="false" ht="15" hidden="false" customHeight="true" outlineLevel="0" collapsed="false">
      <c r="A12" s="1" t="s">
        <v>99</v>
      </c>
    </row>
    <row r="13" customFormat="false" ht="15" hidden="false" customHeight="true" outlineLevel="0" collapsed="false">
      <c r="A13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</cols>
  <sheetData>
    <row r="1" customFormat="false" ht="21.7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108</v>
      </c>
      <c r="E3" s="3" t="s">
        <v>140</v>
      </c>
      <c r="F3" s="3" t="s">
        <v>141</v>
      </c>
      <c r="G3" s="3" t="s">
        <v>142</v>
      </c>
      <c r="H3" s="3" t="s">
        <v>143</v>
      </c>
      <c r="I3" s="3" t="s">
        <v>144</v>
      </c>
      <c r="J3" s="3" t="s">
        <v>145</v>
      </c>
      <c r="K3" s="3" t="s">
        <v>146</v>
      </c>
      <c r="L3" s="3" t="s">
        <v>147</v>
      </c>
      <c r="M3" s="3" t="s">
        <v>148</v>
      </c>
      <c r="N3" s="3" t="s">
        <v>149</v>
      </c>
    </row>
    <row r="4" customFormat="false" ht="15" hidden="false" customHeight="true" outlineLevel="0" collapsed="false">
      <c r="A4" s="23" t="s">
        <v>59</v>
      </c>
      <c r="B4" s="16" t="str">
        <f aca="false">IFERROR(VLOOKUP(A4,Master_Lista!$A$4:$E$15,2,FALSE()),"INVALID_ID")</f>
        <v>Branko Vasic</v>
      </c>
      <c r="C4" s="16" t="str">
        <f aca="false">IFERROR(VLOOKUP(A4,Master_Lista!$A$4:$E$15,3,FALSE()),"INVALID_ID")</f>
        <v>Elektromonter</v>
      </c>
      <c r="D4" s="24" t="n">
        <f aca="false">IFERROR(VLOOKUP(C4,Pozicije!$A$4:$B$23,2,FALSE()),0)</f>
        <v>8.5</v>
      </c>
      <c r="E4" s="25" t="n">
        <f aca="false">Inputs_Control!$B$4</f>
        <v>160</v>
      </c>
      <c r="F4" s="24" t="n">
        <f aca="false">D4*E4</f>
        <v>1360</v>
      </c>
      <c r="G4" s="18"/>
      <c r="H4" s="24" t="n">
        <f aca="false">F4*Inputs_Control!$B$5</f>
        <v>142.8</v>
      </c>
      <c r="I4" s="24" t="n">
        <f aca="false">F4-H4</f>
        <v>1217.2</v>
      </c>
      <c r="J4" s="24" t="n">
        <f aca="false">IF(I4&lt;Inputs_Control!$B$6,I4*Inputs_Control!$B$7,I4*Inputs_Control!$B$8)</f>
        <v>182.58</v>
      </c>
      <c r="K4" s="24" t="n">
        <f aca="false">J4*Inputs_Control!$B$9</f>
        <v>27.387</v>
      </c>
      <c r="L4" s="24" t="n">
        <f aca="false">I4-J4-K4</f>
        <v>1007.233</v>
      </c>
      <c r="M4" s="24" t="n">
        <f aca="false">F4*Inputs_Control!$B$10</f>
        <v>6.8</v>
      </c>
      <c r="N4" s="24" t="n">
        <f aca="false">F4+M4</f>
        <v>1366.8</v>
      </c>
    </row>
    <row r="5" customFormat="false" ht="15" hidden="false" customHeight="true" outlineLevel="0" collapsed="false">
      <c r="A5" s="23" t="s">
        <v>64</v>
      </c>
      <c r="B5" s="16" t="str">
        <f aca="false">IFERROR(VLOOKUP(A5,Master_Lista!$A$4:$E$15,2,FALSE()),"INVALID_ID")</f>
        <v>Filip Antic</v>
      </c>
      <c r="C5" s="16" t="str">
        <f aca="false">IFERROR(VLOOKUP(A5,Master_Lista!$A$4:$E$15,3,FALSE()),"INVALID_ID")</f>
        <v>Winding Specialist</v>
      </c>
      <c r="D5" s="24" t="n">
        <f aca="false">IFERROR(VLOOKUP(C5,Pozicije!$A$4:$B$23,2,FALSE()),0)</f>
        <v>10.5</v>
      </c>
      <c r="E5" s="25" t="n">
        <f aca="false">Inputs_Control!$B$4</f>
        <v>160</v>
      </c>
      <c r="F5" s="24" t="n">
        <f aca="false">D5*E5</f>
        <v>1680</v>
      </c>
      <c r="G5" s="18"/>
      <c r="H5" s="24" t="n">
        <f aca="false">F5*Inputs_Control!$B$5</f>
        <v>176.4</v>
      </c>
      <c r="I5" s="24" t="n">
        <f aca="false">F5-H5</f>
        <v>1503.6</v>
      </c>
      <c r="J5" s="24" t="n">
        <f aca="false">IF(I5&lt;Inputs_Control!$B$6,I5*Inputs_Control!$B$7,I5*Inputs_Control!$B$8)</f>
        <v>225.54</v>
      </c>
      <c r="K5" s="24" t="n">
        <f aca="false">J5*Inputs_Control!$B$9</f>
        <v>33.831</v>
      </c>
      <c r="L5" s="24" t="n">
        <f aca="false">I5-J5-K5</f>
        <v>1244.229</v>
      </c>
      <c r="M5" s="24" t="n">
        <f aca="false">F5*Inputs_Control!$B$10</f>
        <v>8.4</v>
      </c>
      <c r="N5" s="24" t="n">
        <f aca="false">F5+M5</f>
        <v>1688.4</v>
      </c>
    </row>
    <row r="6" customFormat="false" ht="15" hidden="false" customHeight="true" outlineLevel="0" collapsed="false">
      <c r="A6" s="23" t="s">
        <v>68</v>
      </c>
      <c r="B6" s="16" t="str">
        <f aca="false">IFERROR(VLOOKUP(A6,Master_Lista!$A$4:$E$15,2,FALSE()),"INVALID_ID")</f>
        <v>Luka Filipovic</v>
      </c>
      <c r="C6" s="16" t="str">
        <f aca="false">IFERROR(VLOOKUP(A6,Master_Lista!$A$4:$E$15,3,FALSE()),"INVALID_ID")</f>
        <v>Bravar</v>
      </c>
      <c r="D6" s="24" t="n">
        <f aca="false">IFERROR(VLOOKUP(C6,Pozicije!$A$4:$B$23,2,FALSE()),0)</f>
        <v>9</v>
      </c>
      <c r="E6" s="25" t="n">
        <f aca="false">Inputs_Control!$B$4</f>
        <v>160</v>
      </c>
      <c r="F6" s="24" t="n">
        <f aca="false">D6*E6</f>
        <v>1440</v>
      </c>
      <c r="G6" s="18"/>
      <c r="H6" s="24" t="n">
        <f aca="false">F6*Inputs_Control!$B$5</f>
        <v>151.2</v>
      </c>
      <c r="I6" s="24" t="n">
        <f aca="false">F6-H6</f>
        <v>1288.8</v>
      </c>
      <c r="J6" s="24" t="n">
        <f aca="false">IF(I6&lt;Inputs_Control!$B$6,I6*Inputs_Control!$B$7,I6*Inputs_Control!$B$8)</f>
        <v>193.32</v>
      </c>
      <c r="K6" s="24" t="n">
        <f aca="false">J6*Inputs_Control!$B$9</f>
        <v>28.998</v>
      </c>
      <c r="L6" s="24" t="n">
        <f aca="false">I6-J6-K6</f>
        <v>1066.482</v>
      </c>
      <c r="M6" s="24" t="n">
        <f aca="false">F6*Inputs_Control!$B$10</f>
        <v>7.2</v>
      </c>
      <c r="N6" s="24" t="n">
        <f aca="false">F6+M6</f>
        <v>1447.2</v>
      </c>
    </row>
    <row r="7" customFormat="false" ht="15" hidden="false" customHeight="true" outlineLevel="0" collapsed="false">
      <c r="A7" s="23" t="s">
        <v>72</v>
      </c>
      <c r="B7" s="16" t="str">
        <f aca="false">IFERROR(VLOOKUP(A7,Master_Lista!$A$4:$E$15,2,FALSE()),"INVALID_ID")</f>
        <v>Tomas Obradovic</v>
      </c>
      <c r="C7" s="16" t="str">
        <f aca="false">IFERROR(VLOOKUP(A7,Master_Lista!$A$4:$E$15,3,FALSE()),"INVALID_ID")</f>
        <v>Zavarivač</v>
      </c>
      <c r="D7" s="24" t="n">
        <f aca="false">IFERROR(VLOOKUP(C7,Pozicije!$A$4:$B$23,2,FALSE()),0)</f>
        <v>10</v>
      </c>
      <c r="E7" s="25" t="n">
        <f aca="false">Inputs_Control!$B$4</f>
        <v>160</v>
      </c>
      <c r="F7" s="24" t="n">
        <f aca="false">D7*E7</f>
        <v>1600</v>
      </c>
      <c r="G7" s="18"/>
      <c r="H7" s="24" t="n">
        <f aca="false">F7*Inputs_Control!$B$5</f>
        <v>168</v>
      </c>
      <c r="I7" s="24" t="n">
        <f aca="false">F7-H7</f>
        <v>1432</v>
      </c>
      <c r="J7" s="24" t="n">
        <f aca="false">IF(I7&lt;Inputs_Control!$B$6,I7*Inputs_Control!$B$7,I7*Inputs_Control!$B$8)</f>
        <v>214.8</v>
      </c>
      <c r="K7" s="24" t="n">
        <f aca="false">J7*Inputs_Control!$B$9</f>
        <v>32.22</v>
      </c>
      <c r="L7" s="24" t="n">
        <f aca="false">I7-J7-K7</f>
        <v>1184.98</v>
      </c>
      <c r="M7" s="24" t="n">
        <f aca="false">F7*Inputs_Control!$B$10</f>
        <v>8</v>
      </c>
      <c r="N7" s="24" t="n">
        <f aca="false">F7+M7</f>
        <v>1608</v>
      </c>
    </row>
    <row r="8" customFormat="false" ht="15" hidden="false" customHeight="true" outlineLevel="0" collapsed="false">
      <c r="A8" s="23" t="s">
        <v>75</v>
      </c>
      <c r="B8" s="16" t="str">
        <f aca="false">IFERROR(VLOOKUP(A8,Master_Lista!$A$4:$E$15,2,FALSE()),"INVALID_ID")</f>
        <v>Jelena Nikolic</v>
      </c>
      <c r="C8" s="16" t="str">
        <f aca="false">IFERROR(VLOOKUP(A8,Master_Lista!$A$4:$E$15,3,FALSE()),"INVALID_ID")</f>
        <v>Kontrola kvaliteta</v>
      </c>
      <c r="D8" s="24" t="n">
        <f aca="false">IFERROR(VLOOKUP(C8,Pozicije!$A$4:$B$23,2,FALSE()),0)</f>
        <v>14</v>
      </c>
      <c r="E8" s="25" t="n">
        <f aca="false">Inputs_Control!$B$4</f>
        <v>160</v>
      </c>
      <c r="F8" s="24" t="n">
        <f aca="false">D8*E8</f>
        <v>2240</v>
      </c>
      <c r="G8" s="18"/>
      <c r="H8" s="24" t="n">
        <f aca="false">F8*Inputs_Control!$B$5</f>
        <v>235.2</v>
      </c>
      <c r="I8" s="24" t="n">
        <f aca="false">F8-H8</f>
        <v>2004.8</v>
      </c>
      <c r="J8" s="24" t="n">
        <f aca="false">IF(I8&lt;Inputs_Control!$B$6,I8*Inputs_Control!$B$7,I8*Inputs_Control!$B$8)</f>
        <v>300.72</v>
      </c>
      <c r="K8" s="24" t="n">
        <f aca="false">J8*Inputs_Control!$B$9</f>
        <v>45.108</v>
      </c>
      <c r="L8" s="24" t="n">
        <f aca="false">I8-J8-K8</f>
        <v>1658.972</v>
      </c>
      <c r="M8" s="24" t="n">
        <f aca="false">F8*Inputs_Control!$B$10</f>
        <v>11.2</v>
      </c>
      <c r="N8" s="24" t="n">
        <f aca="false">F8+M8</f>
        <v>2251.2</v>
      </c>
    </row>
    <row r="9" customFormat="false" ht="15" hidden="false" customHeight="true" outlineLevel="0" collapsed="false">
      <c r="A9" s="23" t="s">
        <v>79</v>
      </c>
      <c r="B9" s="16" t="str">
        <f aca="false">IFERROR(VLOOKUP(A9,Master_Lista!$A$4:$E$15,2,FALSE()),"INVALID_ID")</f>
        <v>Goran Zivkovic</v>
      </c>
      <c r="C9" s="16" t="str">
        <f aca="false">IFERROR(VLOOKUP(A9,Master_Lista!$A$4:$E$15,3,FALSE()),"INVALID_ID")</f>
        <v>CNC operater</v>
      </c>
      <c r="D9" s="24" t="n">
        <f aca="false">IFERROR(VLOOKUP(C9,Pozicije!$A$4:$B$23,2,FALSE()),0)</f>
        <v>12</v>
      </c>
      <c r="E9" s="25" t="n">
        <f aca="false">Inputs_Control!$B$4</f>
        <v>160</v>
      </c>
      <c r="F9" s="24" t="n">
        <f aca="false">D9*E9</f>
        <v>1920</v>
      </c>
      <c r="G9" s="18"/>
      <c r="H9" s="24" t="n">
        <f aca="false">F9*Inputs_Control!$B$5</f>
        <v>201.6</v>
      </c>
      <c r="I9" s="24" t="n">
        <f aca="false">F9-H9</f>
        <v>1718.4</v>
      </c>
      <c r="J9" s="24" t="n">
        <f aca="false">IF(I9&lt;Inputs_Control!$B$6,I9*Inputs_Control!$B$7,I9*Inputs_Control!$B$8)</f>
        <v>257.76</v>
      </c>
      <c r="K9" s="24" t="n">
        <f aca="false">J9*Inputs_Control!$B$9</f>
        <v>38.664</v>
      </c>
      <c r="L9" s="24" t="n">
        <f aca="false">I9-J9-K9</f>
        <v>1421.976</v>
      </c>
      <c r="M9" s="24" t="n">
        <f aca="false">F9*Inputs_Control!$B$10</f>
        <v>9.6</v>
      </c>
      <c r="N9" s="24" t="n">
        <f aca="false">F9+M9</f>
        <v>1929.6</v>
      </c>
    </row>
    <row r="10" customFormat="false" ht="15" hidden="false" customHeight="true" outlineLevel="0" collapsed="false">
      <c r="A10" s="23" t="s">
        <v>83</v>
      </c>
      <c r="B10" s="16" t="str">
        <f aca="false">IFERROR(VLOOKUP(A10,Master_Lista!$A$4:$E$15,2,FALSE()),"INVALID_ID")</f>
        <v>Filip Kostic</v>
      </c>
      <c r="C10" s="16" t="str">
        <f aca="false">IFERROR(VLOOKUP(A10,Master_Lista!$A$4:$E$15,3,FALSE()),"INVALID_ID")</f>
        <v>Oil Filling Operator</v>
      </c>
      <c r="D10" s="24" t="n">
        <f aca="false">IFERROR(VLOOKUP(C10,Pozicije!$A$4:$B$23,2,FALSE()),0)</f>
        <v>9.5</v>
      </c>
      <c r="E10" s="25" t="n">
        <f aca="false">Inputs_Control!$B$4</f>
        <v>160</v>
      </c>
      <c r="F10" s="24" t="n">
        <f aca="false">D10*E10</f>
        <v>1520</v>
      </c>
      <c r="G10" s="18"/>
      <c r="H10" s="24" t="n">
        <f aca="false">F10*Inputs_Control!$B$5</f>
        <v>159.6</v>
      </c>
      <c r="I10" s="24" t="n">
        <f aca="false">F10-H10</f>
        <v>1360.4</v>
      </c>
      <c r="J10" s="24" t="n">
        <f aca="false">IF(I10&lt;Inputs_Control!$B$6,I10*Inputs_Control!$B$7,I10*Inputs_Control!$B$8)</f>
        <v>204.06</v>
      </c>
      <c r="K10" s="24" t="n">
        <f aca="false">J10*Inputs_Control!$B$9</f>
        <v>30.609</v>
      </c>
      <c r="L10" s="24" t="n">
        <f aca="false">I10-J10-K10</f>
        <v>1125.731</v>
      </c>
      <c r="M10" s="24" t="n">
        <f aca="false">F10*Inputs_Control!$B$10</f>
        <v>7.6</v>
      </c>
      <c r="N10" s="24" t="n">
        <f aca="false">F10+M10</f>
        <v>1527.6</v>
      </c>
    </row>
    <row r="11" customFormat="false" ht="15" hidden="false" customHeight="true" outlineLevel="0" collapsed="false">
      <c r="A11" s="23" t="s">
        <v>87</v>
      </c>
      <c r="B11" s="16" t="str">
        <f aca="false">IFERROR(VLOOKUP(A11,Master_Lista!$A$4:$E$15,2,FALSE()),"INVALID_ID")</f>
        <v>Lidija Tomic</v>
      </c>
      <c r="C11" s="16" t="str">
        <f aca="false">IFERROR(VLOOKUP(A11,Master_Lista!$A$4:$E$15,3,FALSE()),"INVALID_ID")</f>
        <v>Administrator</v>
      </c>
      <c r="D11" s="24" t="n">
        <f aca="false">IFERROR(VLOOKUP(C11,Pozicije!$A$4:$B$23,2,FALSE()),0)</f>
        <v>12.5</v>
      </c>
      <c r="E11" s="25" t="n">
        <f aca="false">Inputs_Control!$B$4</f>
        <v>160</v>
      </c>
      <c r="F11" s="24" t="n">
        <f aca="false">D11*E11</f>
        <v>2000</v>
      </c>
      <c r="G11" s="18"/>
      <c r="H11" s="24" t="n">
        <f aca="false">F11*Inputs_Control!$B$5</f>
        <v>210</v>
      </c>
      <c r="I11" s="24" t="n">
        <f aca="false">F11-H11</f>
        <v>1790</v>
      </c>
      <c r="J11" s="24" t="n">
        <f aca="false">IF(I11&lt;Inputs_Control!$B$6,I11*Inputs_Control!$B$7,I11*Inputs_Control!$B$8)</f>
        <v>268.5</v>
      </c>
      <c r="K11" s="24" t="n">
        <f aca="false">J11*Inputs_Control!$B$9</f>
        <v>40.275</v>
      </c>
      <c r="L11" s="24" t="n">
        <f aca="false">I11-J11-K11</f>
        <v>1481.225</v>
      </c>
      <c r="M11" s="24" t="n">
        <f aca="false">F11*Inputs_Control!$B$10</f>
        <v>10</v>
      </c>
      <c r="N11" s="24" t="n">
        <f aca="false">F11+M11</f>
        <v>2010</v>
      </c>
    </row>
    <row r="12" customFormat="false" ht="15" hidden="false" customHeight="true" outlineLevel="0" collapsed="false">
      <c r="A12" s="23" t="s">
        <v>91</v>
      </c>
      <c r="B12" s="16" t="str">
        <f aca="false">IFERROR(VLOOKUP(A12,Master_Lista!$A$4:$E$15,2,FALSE()),"INVALID_ID")</f>
        <v>Petar Lazic</v>
      </c>
      <c r="C12" s="16" t="str">
        <f aca="false">IFERROR(VLOOKUP(A12,Master_Lista!$A$4:$E$15,3,FALSE()),"INVALID_ID")</f>
        <v>Magacioner</v>
      </c>
      <c r="D12" s="24" t="n">
        <f aca="false">IFERROR(VLOOKUP(C12,Pozicije!$A$4:$B$23,2,FALSE()),0)</f>
        <v>7.5</v>
      </c>
      <c r="E12" s="25" t="n">
        <f aca="false">Inputs_Control!$B$4</f>
        <v>160</v>
      </c>
      <c r="F12" s="24" t="n">
        <f aca="false">D12*E12</f>
        <v>1200</v>
      </c>
      <c r="G12" s="18"/>
      <c r="H12" s="24" t="n">
        <f aca="false">F12*Inputs_Control!$B$5</f>
        <v>126</v>
      </c>
      <c r="I12" s="24" t="n">
        <f aca="false">F12-H12</f>
        <v>1074</v>
      </c>
      <c r="J12" s="24" t="n">
        <f aca="false">IF(I12&lt;Inputs_Control!$B$6,I12*Inputs_Control!$B$7,I12*Inputs_Control!$B$8)</f>
        <v>161.1</v>
      </c>
      <c r="K12" s="24" t="n">
        <f aca="false">J12*Inputs_Control!$B$9</f>
        <v>24.165</v>
      </c>
      <c r="L12" s="24" t="n">
        <f aca="false">I12-J12-K12</f>
        <v>888.735</v>
      </c>
      <c r="M12" s="24" t="n">
        <f aca="false">F12*Inputs_Control!$B$10</f>
        <v>6</v>
      </c>
      <c r="N12" s="24" t="n">
        <f aca="false">F12+M12</f>
        <v>1206</v>
      </c>
    </row>
    <row r="13" customFormat="false" ht="15" hidden="false" customHeight="true" outlineLevel="0" collapsed="false">
      <c r="A13" s="23" t="s">
        <v>95</v>
      </c>
      <c r="B13" s="16" t="str">
        <f aca="false">IFERROR(VLOOKUP(A13,Master_Lista!$A$4:$E$15,2,FALSE()),"INVALID_ID")</f>
        <v>Branko Babic</v>
      </c>
      <c r="C13" s="16" t="str">
        <f aca="false">IFERROR(VLOOKUP(A13,Master_Lista!$A$4:$E$15,3,FALSE()),"INVALID_ID")</f>
        <v>Tehničar održavanja</v>
      </c>
      <c r="D13" s="24" t="n">
        <f aca="false">IFERROR(VLOOKUP(C13,Pozicije!$A$4:$B$23,2,FALSE()),0)</f>
        <v>10.5</v>
      </c>
      <c r="E13" s="25" t="n">
        <f aca="false">Inputs_Control!$B$4</f>
        <v>160</v>
      </c>
      <c r="F13" s="24" t="n">
        <f aca="false">D13*E13</f>
        <v>1680</v>
      </c>
      <c r="G13" s="18"/>
      <c r="H13" s="24" t="n">
        <f aca="false">F13*Inputs_Control!$B$5</f>
        <v>176.4</v>
      </c>
      <c r="I13" s="24" t="n">
        <f aca="false">F13-H13</f>
        <v>1503.6</v>
      </c>
      <c r="J13" s="24" t="n">
        <f aca="false">IF(I13&lt;Inputs_Control!$B$6,I13*Inputs_Control!$B$7,I13*Inputs_Control!$B$8)</f>
        <v>225.54</v>
      </c>
      <c r="K13" s="24" t="n">
        <f aca="false">J13*Inputs_Control!$B$9</f>
        <v>33.831</v>
      </c>
      <c r="L13" s="24" t="n">
        <f aca="false">I13-J13-K13</f>
        <v>1244.229</v>
      </c>
      <c r="M13" s="24" t="n">
        <f aca="false">F13*Inputs_Control!$B$10</f>
        <v>8.4</v>
      </c>
      <c r="N13" s="24" t="n">
        <f aca="false">F13+M13</f>
        <v>1688.4</v>
      </c>
    </row>
    <row r="14" customFormat="false" ht="15" hidden="false" customHeight="true" outlineLevel="0" collapsed="false">
      <c r="A14" s="23" t="s">
        <v>99</v>
      </c>
      <c r="B14" s="16" t="str">
        <f aca="false">IFERROR(VLOOKUP(A14,Master_Lista!$A$4:$E$15,2,FALSE()),"INVALID_ID")</f>
        <v>Uros Djordjevic</v>
      </c>
      <c r="C14" s="16" t="str">
        <f aca="false">IFERROR(VLOOKUP(A14,Master_Lista!$A$4:$E$15,3,FALSE()),"INVALID_ID")</f>
        <v>Elektro inženjer</v>
      </c>
      <c r="D14" s="24" t="n">
        <f aca="false">IFERROR(VLOOKUP(C14,Pozicije!$A$4:$B$23,2,FALSE()),0)</f>
        <v>22</v>
      </c>
      <c r="E14" s="25" t="n">
        <f aca="false">Inputs_Control!$B$4</f>
        <v>160</v>
      </c>
      <c r="F14" s="24" t="n">
        <f aca="false">D14*E14</f>
        <v>3520</v>
      </c>
      <c r="G14" s="18"/>
      <c r="H14" s="24" t="n">
        <f aca="false">F14*Inputs_Control!$B$5</f>
        <v>369.6</v>
      </c>
      <c r="I14" s="24" t="n">
        <f aca="false">F14-H14</f>
        <v>3150.4</v>
      </c>
      <c r="J14" s="24" t="n">
        <f aca="false">IF(I14&lt;Inputs_Control!$B$6,I14*Inputs_Control!$B$7,I14*Inputs_Control!$B$8)</f>
        <v>472.56</v>
      </c>
      <c r="K14" s="24" t="n">
        <f aca="false">J14*Inputs_Control!$B$9</f>
        <v>70.884</v>
      </c>
      <c r="L14" s="24" t="n">
        <f aca="false">I14-J14-K14</f>
        <v>2606.956</v>
      </c>
      <c r="M14" s="24" t="n">
        <f aca="false">F14*Inputs_Control!$B$10</f>
        <v>17.6</v>
      </c>
      <c r="N14" s="24" t="n">
        <f aca="false">F14+M14</f>
        <v>3537.6</v>
      </c>
    </row>
    <row r="15" customFormat="false" ht="15" hidden="false" customHeight="true" outlineLevel="0" collapsed="false">
      <c r="A15" s="23" t="s">
        <v>103</v>
      </c>
      <c r="B15" s="16" t="str">
        <f aca="false">IFERROR(VLOOKUP(A15,Master_Lista!$A$4:$E$15,2,FALSE()),"INVALID_ID")</f>
        <v>Sanja Grujic</v>
      </c>
      <c r="C15" s="16" t="str">
        <f aca="false">IFERROR(VLOOKUP(A15,Master_Lista!$A$4:$E$15,3,FALSE()),"INVALID_ID")</f>
        <v>Finansijski analitičar</v>
      </c>
      <c r="D15" s="24" t="n">
        <f aca="false">IFERROR(VLOOKUP(C15,Pozicije!$A$4:$B$23,2,FALSE()),0)</f>
        <v>16</v>
      </c>
      <c r="E15" s="25" t="n">
        <f aca="false">Inputs_Control!$B$4</f>
        <v>160</v>
      </c>
      <c r="F15" s="24" t="n">
        <f aca="false">D15*E15</f>
        <v>2560</v>
      </c>
      <c r="G15" s="18"/>
      <c r="H15" s="24" t="n">
        <f aca="false">F15*Inputs_Control!$B$5</f>
        <v>268.8</v>
      </c>
      <c r="I15" s="24" t="n">
        <f aca="false">F15-H15</f>
        <v>2291.2</v>
      </c>
      <c r="J15" s="24" t="n">
        <f aca="false">IF(I15&lt;Inputs_Control!$B$6,I15*Inputs_Control!$B$7,I15*Inputs_Control!$B$8)</f>
        <v>343.68</v>
      </c>
      <c r="K15" s="24" t="n">
        <f aca="false">J15*Inputs_Control!$B$9</f>
        <v>51.552</v>
      </c>
      <c r="L15" s="24" t="n">
        <f aca="false">I15-J15-K15</f>
        <v>1895.968</v>
      </c>
      <c r="M15" s="24" t="n">
        <f aca="false">F15*Inputs_Control!$B$10</f>
        <v>12.8</v>
      </c>
      <c r="N15" s="24" t="n">
        <f aca="false">F15+M15</f>
        <v>2572.8</v>
      </c>
    </row>
    <row r="17" customFormat="false" ht="15" hidden="false" customHeight="true" outlineLevel="0" collapsed="false">
      <c r="A17" s="26" t="s">
        <v>150</v>
      </c>
      <c r="E17" s="27" t="n">
        <f aca="false">SUM(E4:E15)</f>
        <v>1920</v>
      </c>
      <c r="F17" s="28" t="n">
        <f aca="false">SUM(F4:F15)</f>
        <v>22720</v>
      </c>
      <c r="H17" s="28" t="n">
        <f aca="false">SUM(H4:H15)</f>
        <v>2385.6</v>
      </c>
      <c r="I17" s="28" t="n">
        <f aca="false">SUM(I4:I15)</f>
        <v>20334.4</v>
      </c>
      <c r="J17" s="28" t="n">
        <f aca="false">SUM(J4:J15)</f>
        <v>3050.16</v>
      </c>
      <c r="K17" s="28" t="n">
        <f aca="false">SUM(K4:K15)</f>
        <v>457.524</v>
      </c>
      <c r="L17" s="28" t="n">
        <f aca="false">SUM(L4:L15)</f>
        <v>16826.716</v>
      </c>
      <c r="M17" s="28" t="n">
        <f aca="false">SUM(M4:M15)</f>
        <v>113.6</v>
      </c>
      <c r="N17" s="28" t="n">
        <f aca="false">SUM(N4:N15)</f>
        <v>22833.6</v>
      </c>
    </row>
  </sheetData>
  <mergeCells count="1">
    <mergeCell ref="A1:N1"/>
  </mergeCells>
  <dataValidations count="1">
    <dataValidation allowBlank="false" errorStyle="stop" operator="between" showDropDown="false" showErrorMessage="false" showInputMessage="false" sqref="A4:A15" type="list">
      <formula1>Employee_IDs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20"/>
  </cols>
  <sheetData>
    <row r="1" customFormat="false" ht="21.7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152</v>
      </c>
      <c r="D3" s="3" t="s">
        <v>153</v>
      </c>
      <c r="E3" s="3" t="s">
        <v>154</v>
      </c>
      <c r="F3" s="3" t="s">
        <v>56</v>
      </c>
      <c r="G3" s="3" t="s">
        <v>108</v>
      </c>
      <c r="H3" s="3" t="s">
        <v>155</v>
      </c>
      <c r="I3" s="3" t="s">
        <v>148</v>
      </c>
      <c r="J3" s="3" t="s">
        <v>156</v>
      </c>
      <c r="K3" s="3" t="s">
        <v>157</v>
      </c>
      <c r="L3" s="3" t="s">
        <v>158</v>
      </c>
      <c r="M3" s="3" t="s">
        <v>159</v>
      </c>
      <c r="N3" s="3" t="s">
        <v>160</v>
      </c>
    </row>
    <row r="4" customFormat="false" ht="15" hidden="false" customHeight="true" outlineLevel="0" collapsed="false">
      <c r="A4" s="23" t="s">
        <v>59</v>
      </c>
      <c r="B4" s="16" t="str">
        <f aca="false">IF(A4="","",IFERROR(VLOOKUP(A4,Master_Lista!$A$4:$E$15,2,FALSE()),"INVALID_ID"))</f>
        <v>Branko Vasic</v>
      </c>
      <c r="C4" s="23" t="s">
        <v>123</v>
      </c>
      <c r="D4" s="29" t="n">
        <v>46027</v>
      </c>
      <c r="E4" s="30" t="n">
        <v>8</v>
      </c>
      <c r="F4" s="16" t="str">
        <f aca="false">IF(A4="","",IFERROR(VLOOKUP(A4,Master_Lista!$A$4:$E$15,3,FALSE()),"INVALID_ID"))</f>
        <v>Elektromonter</v>
      </c>
      <c r="G4" s="31" t="n">
        <f aca="false">IF(F4="","",IFERROR(VLOOKUP(F4,Pozicije!$A$4:$B$23,2,FALSE()),0))</f>
        <v>8.5</v>
      </c>
      <c r="H4" s="24" t="n">
        <f aca="false">IF(OR(E4="",G4=""),"",E4*G4)</f>
        <v>68</v>
      </c>
      <c r="I4" s="24" t="n">
        <f aca="false">IF(H4="","",H4*Inputs_Control!$B$10)</f>
        <v>0.34</v>
      </c>
      <c r="J4" s="24" t="n">
        <f aca="false">IF(H4="","",H4+I4)</f>
        <v>68.34</v>
      </c>
      <c r="K4" s="17" t="str">
        <f aca="false">IF(OR(A4="",B4=""),"",IF(B4="INVALID_ID","INVALID_ID","OK"))</f>
        <v>OK</v>
      </c>
      <c r="L4" s="17" t="str">
        <f aca="false">IF(C4="","",IF(COUNTIF(Lists!$B$2:$B$5,C4)=0,"INVALID_OR_INACTIVE","OK"))</f>
        <v>OK</v>
      </c>
      <c r="M4" s="17" t="str">
        <f aca="false">IF(E4="","",IF(E4&gt;Inputs_Control!$B$12,"SUSPICIOUS",IF(E4&gt;Inputs_Control!$B$11,"OVERTIME","OK")))</f>
        <v>OK</v>
      </c>
      <c r="N4" s="17" t="str">
        <f aca="false">IF(OR(A4="",C4="",D4=""),"",IF(COUNTIFS($A:$A,A4,$C:$C,C4,$D:$D,D4)&gt;1,"DUPLICATE","OK"))</f>
        <v>OK</v>
      </c>
    </row>
    <row r="5" customFormat="false" ht="15" hidden="false" customHeight="true" outlineLevel="0" collapsed="false">
      <c r="A5" s="23" t="s">
        <v>64</v>
      </c>
      <c r="B5" s="16" t="str">
        <f aca="false">IF(A5="","",IFERROR(VLOOKUP(A5,Master_Lista!$A$4:$E$15,2,FALSE()),"INVALID_ID"))</f>
        <v>Filip Antic</v>
      </c>
      <c r="C5" s="23" t="s">
        <v>127</v>
      </c>
      <c r="D5" s="29" t="n">
        <v>46027</v>
      </c>
      <c r="E5" s="30" t="n">
        <v>8</v>
      </c>
      <c r="F5" s="16" t="str">
        <f aca="false">IF(A5="","",IFERROR(VLOOKUP(A5,Master_Lista!$A$4:$E$15,3,FALSE()),"INVALID_ID"))</f>
        <v>Winding Specialist</v>
      </c>
      <c r="G5" s="31" t="n">
        <f aca="false">IF(F5="","",IFERROR(VLOOKUP(F5,Pozicije!$A$4:$B$23,2,FALSE()),0))</f>
        <v>10.5</v>
      </c>
      <c r="H5" s="24" t="n">
        <f aca="false">IF(OR(E5="",G5=""),"",E5*G5)</f>
        <v>84</v>
      </c>
      <c r="I5" s="24" t="n">
        <f aca="false">IF(H5="","",H5*Inputs_Control!$B$10)</f>
        <v>0.42</v>
      </c>
      <c r="J5" s="24" t="n">
        <f aca="false">IF(H5="","",H5+I5)</f>
        <v>84.42</v>
      </c>
      <c r="K5" s="17" t="str">
        <f aca="false">IF(OR(A5="",B5=""),"",IF(B5="INVALID_ID","INVALID_ID","OK"))</f>
        <v>OK</v>
      </c>
      <c r="L5" s="17" t="str">
        <f aca="false">IF(C5="","",IF(COUNTIF(Lists!$B$2:$B$5,C5)=0,"INVALID_OR_INACTIVE","OK"))</f>
        <v>OK</v>
      </c>
      <c r="M5" s="17" t="str">
        <f aca="false">IF(E5="","",IF(E5&gt;Inputs_Control!$B$12,"SUSPICIOUS",IF(E5&gt;Inputs_Control!$B$11,"OVERTIME","OK")))</f>
        <v>OK</v>
      </c>
      <c r="N5" s="17" t="str">
        <f aca="false">IF(OR(A5="",C5="",D5=""),"",IF(COUNTIFS($A:$A,A5,$C:$C,C5,$D:$D,D5)&gt;1,"DUPLICATE","OK"))</f>
        <v>OK</v>
      </c>
    </row>
    <row r="6" customFormat="false" ht="15" hidden="false" customHeight="true" outlineLevel="0" collapsed="false">
      <c r="A6" s="23" t="s">
        <v>68</v>
      </c>
      <c r="B6" s="16" t="str">
        <f aca="false">IF(A6="","",IFERROR(VLOOKUP(A6,Master_Lista!$A$4:$E$15,2,FALSE()),"INVALID_ID"))</f>
        <v>Luka Filipovic</v>
      </c>
      <c r="C6" s="23" t="s">
        <v>133</v>
      </c>
      <c r="D6" s="29" t="n">
        <v>46027</v>
      </c>
      <c r="E6" s="30" t="n">
        <v>8</v>
      </c>
      <c r="F6" s="16" t="str">
        <f aca="false">IF(A6="","",IFERROR(VLOOKUP(A6,Master_Lista!$A$4:$E$15,3,FALSE()),"INVALID_ID"))</f>
        <v>Bravar</v>
      </c>
      <c r="G6" s="31" t="n">
        <f aca="false">IF(F6="","",IFERROR(VLOOKUP(F6,Pozicije!$A$4:$B$23,2,FALSE()),0))</f>
        <v>9</v>
      </c>
      <c r="H6" s="24" t="n">
        <f aca="false">IF(OR(E6="",G6=""),"",E6*G6)</f>
        <v>72</v>
      </c>
      <c r="I6" s="24" t="n">
        <f aca="false">IF(H6="","",H6*Inputs_Control!$B$10)</f>
        <v>0.36</v>
      </c>
      <c r="J6" s="24" t="n">
        <f aca="false">IF(H6="","",H6+I6)</f>
        <v>72.36</v>
      </c>
      <c r="K6" s="17" t="str">
        <f aca="false">IF(OR(A6="",B6=""),"",IF(B6="INVALID_ID","INVALID_ID","OK"))</f>
        <v>OK</v>
      </c>
      <c r="L6" s="17" t="str">
        <f aca="false">IF(C6="","",IF(COUNTIF(Lists!$B$2:$B$5,C6)=0,"INVALID_OR_INACTIVE","OK"))</f>
        <v>OK</v>
      </c>
      <c r="M6" s="17" t="str">
        <f aca="false">IF(E6="","",IF(E6&gt;Inputs_Control!$B$12,"SUSPICIOUS",IF(E6&gt;Inputs_Control!$B$11,"OVERTIME","OK")))</f>
        <v>OK</v>
      </c>
      <c r="N6" s="17" t="str">
        <f aca="false">IF(OR(A6="",C6="",D6=""),"",IF(COUNTIFS($A:$A,A6,$C:$C,C6,$D:$D,D6)&gt;1,"DUPLICATE","OK"))</f>
        <v>OK</v>
      </c>
    </row>
    <row r="7" customFormat="false" ht="15" hidden="false" customHeight="true" outlineLevel="0" collapsed="false">
      <c r="A7" s="23" t="s">
        <v>72</v>
      </c>
      <c r="B7" s="16" t="str">
        <f aca="false">IF(A7="","",IFERROR(VLOOKUP(A7,Master_Lista!$A$4:$E$15,2,FALSE()),"INVALID_ID"))</f>
        <v>Tomas Obradovic</v>
      </c>
      <c r="C7" s="23" t="s">
        <v>133</v>
      </c>
      <c r="D7" s="29" t="n">
        <v>46027</v>
      </c>
      <c r="E7" s="30" t="n">
        <v>8</v>
      </c>
      <c r="F7" s="16" t="str">
        <f aca="false">IF(A7="","",IFERROR(VLOOKUP(A7,Master_Lista!$A$4:$E$15,3,FALSE()),"INVALID_ID"))</f>
        <v>Zavarivač</v>
      </c>
      <c r="G7" s="31" t="n">
        <f aca="false">IF(F7="","",IFERROR(VLOOKUP(F7,Pozicije!$A$4:$B$23,2,FALSE()),0))</f>
        <v>10</v>
      </c>
      <c r="H7" s="24" t="n">
        <f aca="false">IF(OR(E7="",G7=""),"",E7*G7)</f>
        <v>80</v>
      </c>
      <c r="I7" s="24" t="n">
        <f aca="false">IF(H7="","",H7*Inputs_Control!$B$10)</f>
        <v>0.4</v>
      </c>
      <c r="J7" s="24" t="n">
        <f aca="false">IF(H7="","",H7+I7)</f>
        <v>80.4</v>
      </c>
      <c r="K7" s="17" t="str">
        <f aca="false">IF(OR(A7="",B7=""),"",IF(B7="INVALID_ID","INVALID_ID","OK"))</f>
        <v>OK</v>
      </c>
      <c r="L7" s="17" t="str">
        <f aca="false">IF(C7="","",IF(COUNTIF(Lists!$B$2:$B$5,C7)=0,"INVALID_OR_INACTIVE","OK"))</f>
        <v>OK</v>
      </c>
      <c r="M7" s="17" t="str">
        <f aca="false">IF(E7="","",IF(E7&gt;Inputs_Control!$B$12,"SUSPICIOUS",IF(E7&gt;Inputs_Control!$B$11,"OVERTIME","OK")))</f>
        <v>OK</v>
      </c>
      <c r="N7" s="17" t="str">
        <f aca="false">IF(OR(A7="",C7="",D7=""),"",IF(COUNTIFS($A:$A,A7,$C:$C,C7,$D:$D,D7)&gt;1,"DUPLICATE","OK"))</f>
        <v>OK</v>
      </c>
    </row>
    <row r="8" customFormat="false" ht="15" hidden="false" customHeight="true" outlineLevel="0" collapsed="false">
      <c r="A8" s="23" t="s">
        <v>75</v>
      </c>
      <c r="B8" s="16" t="str">
        <f aca="false">IF(A8="","",IFERROR(VLOOKUP(A8,Master_Lista!$A$4:$E$15,2,FALSE()),"INVALID_ID"))</f>
        <v>Jelena Nikolic</v>
      </c>
      <c r="C8" s="23" t="s">
        <v>135</v>
      </c>
      <c r="D8" s="29" t="n">
        <v>46027</v>
      </c>
      <c r="E8" s="30" t="n">
        <v>8</v>
      </c>
      <c r="F8" s="16" t="str">
        <f aca="false">IF(A8="","",IFERROR(VLOOKUP(A8,Master_Lista!$A$4:$E$15,3,FALSE()),"INVALID_ID"))</f>
        <v>Kontrola kvaliteta</v>
      </c>
      <c r="G8" s="31" t="n">
        <f aca="false">IF(F8="","",IFERROR(VLOOKUP(F8,Pozicije!$A$4:$B$23,2,FALSE()),0))</f>
        <v>14</v>
      </c>
      <c r="H8" s="24" t="n">
        <f aca="false">IF(OR(E8="",G8=""),"",E8*G8)</f>
        <v>112</v>
      </c>
      <c r="I8" s="24" t="n">
        <f aca="false">IF(H8="","",H8*Inputs_Control!$B$10)</f>
        <v>0.56</v>
      </c>
      <c r="J8" s="24" t="n">
        <f aca="false">IF(H8="","",H8+I8)</f>
        <v>112.56</v>
      </c>
      <c r="K8" s="17" t="str">
        <f aca="false">IF(OR(A8="",B8=""),"",IF(B8="INVALID_ID","INVALID_ID","OK"))</f>
        <v>OK</v>
      </c>
      <c r="L8" s="17" t="str">
        <f aca="false">IF(C8="","",IF(COUNTIF(Lists!$B$2:$B$5,C8)=0,"INVALID_OR_INACTIVE","OK"))</f>
        <v>OK</v>
      </c>
      <c r="M8" s="17" t="str">
        <f aca="false">IF(E8="","",IF(E8&gt;Inputs_Control!$B$12,"SUSPICIOUS",IF(E8&gt;Inputs_Control!$B$11,"OVERTIME","OK")))</f>
        <v>OK</v>
      </c>
      <c r="N8" s="17" t="str">
        <f aca="false">IF(OR(A8="",C8="",D8=""),"",IF(COUNTIFS($A:$A,A8,$C:$C,C8,$D:$D,D8)&gt;1,"DUPLICATE","OK"))</f>
        <v>OK</v>
      </c>
    </row>
    <row r="9" customFormat="false" ht="15" hidden="false" customHeight="true" outlineLevel="0" collapsed="false">
      <c r="A9" s="23" t="s">
        <v>79</v>
      </c>
      <c r="B9" s="16" t="str">
        <f aca="false">IF(A9="","",IFERROR(VLOOKUP(A9,Master_Lista!$A$4:$E$15,2,FALSE()),"INVALID_ID"))</f>
        <v>Goran Zivkovic</v>
      </c>
      <c r="C9" s="23" t="s">
        <v>127</v>
      </c>
      <c r="D9" s="29" t="n">
        <v>46027</v>
      </c>
      <c r="E9" s="30" t="n">
        <v>8</v>
      </c>
      <c r="F9" s="16" t="str">
        <f aca="false">IF(A9="","",IFERROR(VLOOKUP(A9,Master_Lista!$A$4:$E$15,3,FALSE()),"INVALID_ID"))</f>
        <v>CNC operater</v>
      </c>
      <c r="G9" s="31" t="n">
        <f aca="false">IF(F9="","",IFERROR(VLOOKUP(F9,Pozicije!$A$4:$B$23,2,FALSE()),0))</f>
        <v>12</v>
      </c>
      <c r="H9" s="24" t="n">
        <f aca="false">IF(OR(E9="",G9=""),"",E9*G9)</f>
        <v>96</v>
      </c>
      <c r="I9" s="24" t="n">
        <f aca="false">IF(H9="","",H9*Inputs_Control!$B$10)</f>
        <v>0.48</v>
      </c>
      <c r="J9" s="24" t="n">
        <f aca="false">IF(H9="","",H9+I9)</f>
        <v>96.48</v>
      </c>
      <c r="K9" s="17" t="str">
        <f aca="false">IF(OR(A9="",B9=""),"",IF(B9="INVALID_ID","INVALID_ID","OK"))</f>
        <v>OK</v>
      </c>
      <c r="L9" s="17" t="str">
        <f aca="false">IF(C9="","",IF(COUNTIF(Lists!$B$2:$B$5,C9)=0,"INVALID_OR_INACTIVE","OK"))</f>
        <v>OK</v>
      </c>
      <c r="M9" s="17" t="str">
        <f aca="false">IF(E9="","",IF(E9&gt;Inputs_Control!$B$12,"SUSPICIOUS",IF(E9&gt;Inputs_Control!$B$11,"OVERTIME","OK")))</f>
        <v>OK</v>
      </c>
      <c r="N9" s="17" t="str">
        <f aca="false">IF(OR(A9="",C9="",D9=""),"",IF(COUNTIFS($A:$A,A9,$C:$C,C9,$D:$D,D9)&gt;1,"DUPLICATE","OK"))</f>
        <v>OK</v>
      </c>
    </row>
    <row r="10" customFormat="false" ht="15" hidden="false" customHeight="true" outlineLevel="0" collapsed="false">
      <c r="A10" s="23" t="s">
        <v>83</v>
      </c>
      <c r="B10" s="16" t="str">
        <f aca="false">IF(A10="","",IFERROR(VLOOKUP(A10,Master_Lista!$A$4:$E$15,2,FALSE()),"INVALID_ID"))</f>
        <v>Filip Kostic</v>
      </c>
      <c r="C10" s="23" t="s">
        <v>135</v>
      </c>
      <c r="D10" s="29" t="n">
        <v>46028</v>
      </c>
      <c r="E10" s="30" t="n">
        <v>8</v>
      </c>
      <c r="F10" s="16" t="str">
        <f aca="false">IF(A10="","",IFERROR(VLOOKUP(A10,Master_Lista!$A$4:$E$15,3,FALSE()),"INVALID_ID"))</f>
        <v>Oil Filling Operator</v>
      </c>
      <c r="G10" s="31" t="n">
        <f aca="false">IF(F10="","",IFERROR(VLOOKUP(F10,Pozicije!$A$4:$B$23,2,FALSE()),0))</f>
        <v>9.5</v>
      </c>
      <c r="H10" s="24" t="n">
        <f aca="false">IF(OR(E10="",G10=""),"",E10*G10)</f>
        <v>76</v>
      </c>
      <c r="I10" s="24" t="n">
        <f aca="false">IF(H10="","",H10*Inputs_Control!$B$10)</f>
        <v>0.38</v>
      </c>
      <c r="J10" s="24" t="n">
        <f aca="false">IF(H10="","",H10+I10)</f>
        <v>76.38</v>
      </c>
      <c r="K10" s="17" t="str">
        <f aca="false">IF(OR(A10="",B10=""),"",IF(B10="INVALID_ID","INVALID_ID","OK"))</f>
        <v>OK</v>
      </c>
      <c r="L10" s="17" t="str">
        <f aca="false">IF(C10="","",IF(COUNTIF(Lists!$B$2:$B$5,C10)=0,"INVALID_OR_INACTIVE","OK"))</f>
        <v>OK</v>
      </c>
      <c r="M10" s="17" t="str">
        <f aca="false">IF(E10="","",IF(E10&gt;Inputs_Control!$B$12,"SUSPICIOUS",IF(E10&gt;Inputs_Control!$B$11,"OVERTIME","OK")))</f>
        <v>OK</v>
      </c>
      <c r="N10" s="17" t="str">
        <f aca="false">IF(OR(A10="",C10="",D10=""),"",IF(COUNTIFS($A:$A,A10,$C:$C,C10,$D:$D,D10)&gt;1,"DUPLICATE","OK"))</f>
        <v>OK</v>
      </c>
    </row>
    <row r="11" customFormat="false" ht="15" hidden="false" customHeight="true" outlineLevel="0" collapsed="false">
      <c r="A11" s="23" t="s">
        <v>91</v>
      </c>
      <c r="B11" s="16" t="str">
        <f aca="false">IF(A11="","",IFERROR(VLOOKUP(A11,Master_Lista!$A$4:$E$15,2,FALSE()),"INVALID_ID"))</f>
        <v>Petar Lazic</v>
      </c>
      <c r="C11" s="23" t="s">
        <v>123</v>
      </c>
      <c r="D11" s="29" t="n">
        <v>46028</v>
      </c>
      <c r="E11" s="30" t="n">
        <v>8</v>
      </c>
      <c r="F11" s="16" t="str">
        <f aca="false">IF(A11="","",IFERROR(VLOOKUP(A11,Master_Lista!$A$4:$E$15,3,FALSE()),"INVALID_ID"))</f>
        <v>Magacioner</v>
      </c>
      <c r="G11" s="31" t="n">
        <f aca="false">IF(F11="","",IFERROR(VLOOKUP(F11,Pozicije!$A$4:$B$23,2,FALSE()),0))</f>
        <v>7.5</v>
      </c>
      <c r="H11" s="24" t="n">
        <f aca="false">IF(OR(E11="",G11=""),"",E11*G11)</f>
        <v>60</v>
      </c>
      <c r="I11" s="24" t="n">
        <f aca="false">IF(H11="","",H11*Inputs_Control!$B$10)</f>
        <v>0.3</v>
      </c>
      <c r="J11" s="24" t="n">
        <f aca="false">IF(H11="","",H11+I11)</f>
        <v>60.3</v>
      </c>
      <c r="K11" s="17" t="str">
        <f aca="false">IF(OR(A11="",B11=""),"",IF(B11="INVALID_ID","INVALID_ID","OK"))</f>
        <v>OK</v>
      </c>
      <c r="L11" s="17" t="str">
        <f aca="false">IF(C11="","",IF(COUNTIF(Lists!$B$2:$B$5,C11)=0,"INVALID_OR_INACTIVE","OK"))</f>
        <v>OK</v>
      </c>
      <c r="M11" s="17" t="str">
        <f aca="false">IF(E11="","",IF(E11&gt;Inputs_Control!$B$12,"SUSPICIOUS",IF(E11&gt;Inputs_Control!$B$11,"OVERTIME","OK")))</f>
        <v>OK</v>
      </c>
      <c r="N11" s="17" t="str">
        <f aca="false">IF(OR(A11="",C11="",D11=""),"",IF(COUNTIFS($A:$A,A11,$C:$C,C11,$D:$D,D11)&gt;1,"DUPLICATE","OK"))</f>
        <v>OK</v>
      </c>
    </row>
    <row r="12" customFormat="false" ht="15" hidden="false" customHeight="true" outlineLevel="0" collapsed="false">
      <c r="A12" s="23" t="s">
        <v>95</v>
      </c>
      <c r="B12" s="16" t="str">
        <f aca="false">IF(A12="","",IFERROR(VLOOKUP(A12,Master_Lista!$A$4:$E$15,2,FALSE()),"INVALID_ID"))</f>
        <v>Branko Babic</v>
      </c>
      <c r="C12" s="23" t="s">
        <v>133</v>
      </c>
      <c r="D12" s="29" t="n">
        <v>46028</v>
      </c>
      <c r="E12" s="30" t="n">
        <v>8</v>
      </c>
      <c r="F12" s="16" t="str">
        <f aca="false">IF(A12="","",IFERROR(VLOOKUP(A12,Master_Lista!$A$4:$E$15,3,FALSE()),"INVALID_ID"))</f>
        <v>Tehničar održavanja</v>
      </c>
      <c r="G12" s="31" t="n">
        <f aca="false">IF(F12="","",IFERROR(VLOOKUP(F12,Pozicije!$A$4:$B$23,2,FALSE()),0))</f>
        <v>10.5</v>
      </c>
      <c r="H12" s="24" t="n">
        <f aca="false">IF(OR(E12="",G12=""),"",E12*G12)</f>
        <v>84</v>
      </c>
      <c r="I12" s="24" t="n">
        <f aca="false">IF(H12="","",H12*Inputs_Control!$B$10)</f>
        <v>0.42</v>
      </c>
      <c r="J12" s="24" t="n">
        <f aca="false">IF(H12="","",H12+I12)</f>
        <v>84.42</v>
      </c>
      <c r="K12" s="17" t="str">
        <f aca="false">IF(OR(A12="",B12=""),"",IF(B12="INVALID_ID","INVALID_ID","OK"))</f>
        <v>OK</v>
      </c>
      <c r="L12" s="17" t="str">
        <f aca="false">IF(C12="","",IF(COUNTIF(Lists!$B$2:$B$5,C12)=0,"INVALID_OR_INACTIVE","OK"))</f>
        <v>OK</v>
      </c>
      <c r="M12" s="17" t="str">
        <f aca="false">IF(E12="","",IF(E12&gt;Inputs_Control!$B$12,"SUSPICIOUS",IF(E12&gt;Inputs_Control!$B$11,"OVERTIME","OK")))</f>
        <v>OK</v>
      </c>
      <c r="N12" s="17" t="str">
        <f aca="false">IF(OR(A12="",C12="",D12=""),"",IF(COUNTIFS($A:$A,A12,$C:$C,C12,$D:$D,D12)&gt;1,"DUPLICATE","OK"))</f>
        <v>OK</v>
      </c>
    </row>
    <row r="13" customFormat="false" ht="15" hidden="false" customHeight="true" outlineLevel="0" collapsed="false">
      <c r="A13" s="23" t="s">
        <v>99</v>
      </c>
      <c r="B13" s="16" t="str">
        <f aca="false">IF(A13="","",IFERROR(VLOOKUP(A13,Master_Lista!$A$4:$E$15,2,FALSE()),"INVALID_ID"))</f>
        <v>Uros Djordjevic</v>
      </c>
      <c r="C13" s="23" t="s">
        <v>123</v>
      </c>
      <c r="D13" s="29" t="n">
        <v>46028</v>
      </c>
      <c r="E13" s="30" t="n">
        <v>8</v>
      </c>
      <c r="F13" s="16" t="str">
        <f aca="false">IF(A13="","",IFERROR(VLOOKUP(A13,Master_Lista!$A$4:$E$15,3,FALSE()),"INVALID_ID"))</f>
        <v>Elektro inženjer</v>
      </c>
      <c r="G13" s="31" t="n">
        <f aca="false">IF(F13="","",IFERROR(VLOOKUP(F13,Pozicije!$A$4:$B$23,2,FALSE()),0))</f>
        <v>22</v>
      </c>
      <c r="H13" s="24" t="n">
        <f aca="false">IF(OR(E13="",G13=""),"",E13*G13)</f>
        <v>176</v>
      </c>
      <c r="I13" s="24" t="n">
        <f aca="false">IF(H13="","",H13*Inputs_Control!$B$10)</f>
        <v>0.88</v>
      </c>
      <c r="J13" s="24" t="n">
        <f aca="false">IF(H13="","",H13+I13)</f>
        <v>176.88</v>
      </c>
      <c r="K13" s="17" t="str">
        <f aca="false">IF(OR(A13="",B13=""),"",IF(B13="INVALID_ID","INVALID_ID","OK"))</f>
        <v>OK</v>
      </c>
      <c r="L13" s="17" t="str">
        <f aca="false">IF(C13="","",IF(COUNTIF(Lists!$B$2:$B$5,C13)=0,"INVALID_OR_INACTIVE","OK"))</f>
        <v>OK</v>
      </c>
      <c r="M13" s="17" t="str">
        <f aca="false">IF(E13="","",IF(E13&gt;Inputs_Control!$B$12,"SUSPICIOUS",IF(E13&gt;Inputs_Control!$B$11,"OVERTIME","OK")))</f>
        <v>OK</v>
      </c>
      <c r="N13" s="17" t="str">
        <f aca="false">IF(OR(A13="",C13="",D13=""),"",IF(COUNTIFS($A:$A,A13,$C:$C,C13,$D:$D,D13)&gt;1,"DUPLICATE","OK"))</f>
        <v>OK</v>
      </c>
    </row>
    <row r="14" customFormat="false" ht="15" hidden="false" customHeight="true" outlineLevel="0" collapsed="false">
      <c r="A14" s="23" t="s">
        <v>59</v>
      </c>
      <c r="B14" s="16" t="str">
        <f aca="false">IF(A14="","",IFERROR(VLOOKUP(A14,Master_Lista!$A$4:$E$15,2,FALSE()),"INVALID_ID"))</f>
        <v>Branko Vasic</v>
      </c>
      <c r="C14" s="23" t="s">
        <v>123</v>
      </c>
      <c r="D14" s="29" t="n">
        <v>46029</v>
      </c>
      <c r="E14" s="30" t="n">
        <v>9.5</v>
      </c>
      <c r="F14" s="16" t="str">
        <f aca="false">IF(A14="","",IFERROR(VLOOKUP(A14,Master_Lista!$A$4:$E$15,3,FALSE()),"INVALID_ID"))</f>
        <v>Elektromonter</v>
      </c>
      <c r="G14" s="31" t="n">
        <f aca="false">IF(F14="","",IFERROR(VLOOKUP(F14,Pozicije!$A$4:$B$23,2,FALSE()),0))</f>
        <v>8.5</v>
      </c>
      <c r="H14" s="24" t="n">
        <f aca="false">IF(OR(E14="",G14=""),"",E14*G14)</f>
        <v>80.75</v>
      </c>
      <c r="I14" s="24" t="n">
        <f aca="false">IF(H14="","",H14*Inputs_Control!$B$10)</f>
        <v>0.40375</v>
      </c>
      <c r="J14" s="24" t="n">
        <f aca="false">IF(H14="","",H14+I14)</f>
        <v>81.15375</v>
      </c>
      <c r="K14" s="17" t="str">
        <f aca="false">IF(OR(A14="",B14=""),"",IF(B14="INVALID_ID","INVALID_ID","OK"))</f>
        <v>OK</v>
      </c>
      <c r="L14" s="17" t="str">
        <f aca="false">IF(C14="","",IF(COUNTIF(Lists!$B$2:$B$5,C14)=0,"INVALID_OR_INACTIVE","OK"))</f>
        <v>OK</v>
      </c>
      <c r="M14" s="17" t="str">
        <f aca="false">IF(E14="","",IF(E14&gt;Inputs_Control!$B$12,"SUSPICIOUS",IF(E14&gt;Inputs_Control!$B$11,"OVERTIME","OK")))</f>
        <v>OVERTIME</v>
      </c>
      <c r="N14" s="17" t="str">
        <f aca="false">IF(OR(A14="",C14="",D14=""),"",IF(COUNTIFS($A:$A,A14,$C:$C,C14,$D:$D,D14)&gt;1,"DUPLICATE","OK"))</f>
        <v>OK</v>
      </c>
    </row>
    <row r="15" customFormat="false" ht="15" hidden="false" customHeight="true" outlineLevel="0" collapsed="false">
      <c r="A15" s="23" t="s">
        <v>64</v>
      </c>
      <c r="B15" s="16" t="str">
        <f aca="false">IF(A15="","",IFERROR(VLOOKUP(A15,Master_Lista!$A$4:$E$15,2,FALSE()),"INVALID_ID"))</f>
        <v>Filip Antic</v>
      </c>
      <c r="C15" s="23" t="s">
        <v>127</v>
      </c>
      <c r="D15" s="29" t="n">
        <v>46029</v>
      </c>
      <c r="E15" s="30" t="n">
        <v>9</v>
      </c>
      <c r="F15" s="16" t="str">
        <f aca="false">IF(A15="","",IFERROR(VLOOKUP(A15,Master_Lista!$A$4:$E$15,3,FALSE()),"INVALID_ID"))</f>
        <v>Winding Specialist</v>
      </c>
      <c r="G15" s="31" t="n">
        <f aca="false">IF(F15="","",IFERROR(VLOOKUP(F15,Pozicije!$A$4:$B$23,2,FALSE()),0))</f>
        <v>10.5</v>
      </c>
      <c r="H15" s="24" t="n">
        <f aca="false">IF(OR(E15="",G15=""),"",E15*G15)</f>
        <v>94.5</v>
      </c>
      <c r="I15" s="24" t="n">
        <f aca="false">IF(H15="","",H15*Inputs_Control!$B$10)</f>
        <v>0.4725</v>
      </c>
      <c r="J15" s="24" t="n">
        <f aca="false">IF(H15="","",H15+I15)</f>
        <v>94.9725</v>
      </c>
      <c r="K15" s="17" t="str">
        <f aca="false">IF(OR(A15="",B15=""),"",IF(B15="INVALID_ID","INVALID_ID","OK"))</f>
        <v>OK</v>
      </c>
      <c r="L15" s="17" t="str">
        <f aca="false">IF(C15="","",IF(COUNTIF(Lists!$B$2:$B$5,C15)=0,"INVALID_OR_INACTIVE","OK"))</f>
        <v>OK</v>
      </c>
      <c r="M15" s="17" t="str">
        <f aca="false">IF(E15="","",IF(E15&gt;Inputs_Control!$B$12,"SUSPICIOUS",IF(E15&gt;Inputs_Control!$B$11,"OVERTIME","OK")))</f>
        <v>OVERTIME</v>
      </c>
      <c r="N15" s="17" t="str">
        <f aca="false">IF(OR(A15="",C15="",D15=""),"",IF(COUNTIFS($A:$A,A15,$C:$C,C15,$D:$D,D15)&gt;1,"DUPLICATE","OK"))</f>
        <v>OK</v>
      </c>
    </row>
    <row r="16" customFormat="false" ht="15" hidden="false" customHeight="true" outlineLevel="0" collapsed="false">
      <c r="A16" s="23" t="s">
        <v>68</v>
      </c>
      <c r="B16" s="16" t="str">
        <f aca="false">IF(A16="","",IFERROR(VLOOKUP(A16,Master_Lista!$A$4:$E$15,2,FALSE()),"INVALID_ID"))</f>
        <v>Luka Filipovic</v>
      </c>
      <c r="C16" s="23" t="s">
        <v>133</v>
      </c>
      <c r="D16" s="29" t="n">
        <v>46029</v>
      </c>
      <c r="E16" s="30" t="n">
        <v>8.5</v>
      </c>
      <c r="F16" s="16" t="str">
        <f aca="false">IF(A16="","",IFERROR(VLOOKUP(A16,Master_Lista!$A$4:$E$15,3,FALSE()),"INVALID_ID"))</f>
        <v>Bravar</v>
      </c>
      <c r="G16" s="31" t="n">
        <f aca="false">IF(F16="","",IFERROR(VLOOKUP(F16,Pozicije!$A$4:$B$23,2,FALSE()),0))</f>
        <v>9</v>
      </c>
      <c r="H16" s="24" t="n">
        <f aca="false">IF(OR(E16="",G16=""),"",E16*G16)</f>
        <v>76.5</v>
      </c>
      <c r="I16" s="24" t="n">
        <f aca="false">IF(H16="","",H16*Inputs_Control!$B$10)</f>
        <v>0.3825</v>
      </c>
      <c r="J16" s="24" t="n">
        <f aca="false">IF(H16="","",H16+I16)</f>
        <v>76.8825</v>
      </c>
      <c r="K16" s="17" t="str">
        <f aca="false">IF(OR(A16="",B16=""),"",IF(B16="INVALID_ID","INVALID_ID","OK"))</f>
        <v>OK</v>
      </c>
      <c r="L16" s="17" t="str">
        <f aca="false">IF(C16="","",IF(COUNTIF(Lists!$B$2:$B$5,C16)=0,"INVALID_OR_INACTIVE","OK"))</f>
        <v>OK</v>
      </c>
      <c r="M16" s="17" t="str">
        <f aca="false">IF(E16="","",IF(E16&gt;Inputs_Control!$B$12,"SUSPICIOUS",IF(E16&gt;Inputs_Control!$B$11,"OVERTIME","OK")))</f>
        <v>OVERTIME</v>
      </c>
      <c r="N16" s="17" t="str">
        <f aca="false">IF(OR(A16="",C16="",D16=""),"",IF(COUNTIFS($A:$A,A16,$C:$C,C16,$D:$D,D16)&gt;1,"DUPLICATE","OK"))</f>
        <v>OK</v>
      </c>
    </row>
    <row r="17" customFormat="false" ht="15" hidden="false" customHeight="true" outlineLevel="0" collapsed="false">
      <c r="A17" s="23" t="s">
        <v>72</v>
      </c>
      <c r="B17" s="16" t="str">
        <f aca="false">IF(A17="","",IFERROR(VLOOKUP(A17,Master_Lista!$A$4:$E$15,2,FALSE()),"INVALID_ID"))</f>
        <v>Tomas Obradovic</v>
      </c>
      <c r="C17" s="23" t="s">
        <v>133</v>
      </c>
      <c r="D17" s="29" t="n">
        <v>46029</v>
      </c>
      <c r="E17" s="30" t="n">
        <v>8</v>
      </c>
      <c r="F17" s="16" t="str">
        <f aca="false">IF(A17="","",IFERROR(VLOOKUP(A17,Master_Lista!$A$4:$E$15,3,FALSE()),"INVALID_ID"))</f>
        <v>Zavarivač</v>
      </c>
      <c r="G17" s="31" t="n">
        <f aca="false">IF(F17="","",IFERROR(VLOOKUP(F17,Pozicije!$A$4:$B$23,2,FALSE()),0))</f>
        <v>10</v>
      </c>
      <c r="H17" s="24" t="n">
        <f aca="false">IF(OR(E17="",G17=""),"",E17*G17)</f>
        <v>80</v>
      </c>
      <c r="I17" s="24" t="n">
        <f aca="false">IF(H17="","",H17*Inputs_Control!$B$10)</f>
        <v>0.4</v>
      </c>
      <c r="J17" s="24" t="n">
        <f aca="false">IF(H17="","",H17+I17)</f>
        <v>80.4</v>
      </c>
      <c r="K17" s="17" t="str">
        <f aca="false">IF(OR(A17="",B17=""),"",IF(B17="INVALID_ID","INVALID_ID","OK"))</f>
        <v>OK</v>
      </c>
      <c r="L17" s="17" t="str">
        <f aca="false">IF(C17="","",IF(COUNTIF(Lists!$B$2:$B$5,C17)=0,"INVALID_OR_INACTIVE","OK"))</f>
        <v>OK</v>
      </c>
      <c r="M17" s="17" t="str">
        <f aca="false">IF(E17="","",IF(E17&gt;Inputs_Control!$B$12,"SUSPICIOUS",IF(E17&gt;Inputs_Control!$B$11,"OVERTIME","OK")))</f>
        <v>OK</v>
      </c>
      <c r="N17" s="17" t="str">
        <f aca="false">IF(OR(A17="",C17="",D17=""),"",IF(COUNTIFS($A:$A,A17,$C:$C,C17,$D:$D,D17)&gt;1,"DUPLICATE","OK"))</f>
        <v>OK</v>
      </c>
    </row>
    <row r="18" customFormat="false" ht="15" hidden="false" customHeight="true" outlineLevel="0" collapsed="false">
      <c r="A18" s="23" t="s">
        <v>75</v>
      </c>
      <c r="B18" s="16" t="str">
        <f aca="false">IF(A18="","",IFERROR(VLOOKUP(A18,Master_Lista!$A$4:$E$15,2,FALSE()),"INVALID_ID"))</f>
        <v>Jelena Nikolic</v>
      </c>
      <c r="C18" s="23" t="s">
        <v>135</v>
      </c>
      <c r="D18" s="29" t="n">
        <v>46029</v>
      </c>
      <c r="E18" s="30" t="n">
        <v>8</v>
      </c>
      <c r="F18" s="16" t="str">
        <f aca="false">IF(A18="","",IFERROR(VLOOKUP(A18,Master_Lista!$A$4:$E$15,3,FALSE()),"INVALID_ID"))</f>
        <v>Kontrola kvaliteta</v>
      </c>
      <c r="G18" s="31" t="n">
        <f aca="false">IF(F18="","",IFERROR(VLOOKUP(F18,Pozicije!$A$4:$B$23,2,FALSE()),0))</f>
        <v>14</v>
      </c>
      <c r="H18" s="24" t="n">
        <f aca="false">IF(OR(E18="",G18=""),"",E18*G18)</f>
        <v>112</v>
      </c>
      <c r="I18" s="24" t="n">
        <f aca="false">IF(H18="","",H18*Inputs_Control!$B$10)</f>
        <v>0.56</v>
      </c>
      <c r="J18" s="24" t="n">
        <f aca="false">IF(H18="","",H18+I18)</f>
        <v>112.56</v>
      </c>
      <c r="K18" s="17" t="str">
        <f aca="false">IF(OR(A18="",B18=""),"",IF(B18="INVALID_ID","INVALID_ID","OK"))</f>
        <v>OK</v>
      </c>
      <c r="L18" s="17" t="str">
        <f aca="false">IF(C18="","",IF(COUNTIF(Lists!$B$2:$B$5,C18)=0,"INVALID_OR_INACTIVE","OK"))</f>
        <v>OK</v>
      </c>
      <c r="M18" s="17" t="str">
        <f aca="false">IF(E18="","",IF(E18&gt;Inputs_Control!$B$12,"SUSPICIOUS",IF(E18&gt;Inputs_Control!$B$11,"OVERTIME","OK")))</f>
        <v>OK</v>
      </c>
      <c r="N18" s="17" t="str">
        <f aca="false">IF(OR(A18="",C18="",D18=""),"",IF(COUNTIFS($A:$A,A18,$C:$C,C18,$D:$D,D18)&gt;1,"DUPLICATE","OK"))</f>
        <v>OK</v>
      </c>
    </row>
    <row r="19" customFormat="false" ht="15" hidden="false" customHeight="true" outlineLevel="0" collapsed="false">
      <c r="A19" s="23" t="s">
        <v>79</v>
      </c>
      <c r="B19" s="16" t="str">
        <f aca="false">IF(A19="","",IFERROR(VLOOKUP(A19,Master_Lista!$A$4:$E$15,2,FALSE()),"INVALID_ID"))</f>
        <v>Goran Zivkovic</v>
      </c>
      <c r="C19" s="23" t="s">
        <v>127</v>
      </c>
      <c r="D19" s="29" t="n">
        <v>46029</v>
      </c>
      <c r="E19" s="30" t="n">
        <v>8</v>
      </c>
      <c r="F19" s="16" t="str">
        <f aca="false">IF(A19="","",IFERROR(VLOOKUP(A19,Master_Lista!$A$4:$E$15,3,FALSE()),"INVALID_ID"))</f>
        <v>CNC operater</v>
      </c>
      <c r="G19" s="31" t="n">
        <f aca="false">IF(F19="","",IFERROR(VLOOKUP(F19,Pozicije!$A$4:$B$23,2,FALSE()),0))</f>
        <v>12</v>
      </c>
      <c r="H19" s="24" t="n">
        <f aca="false">IF(OR(E19="",G19=""),"",E19*G19)</f>
        <v>96</v>
      </c>
      <c r="I19" s="24" t="n">
        <f aca="false">IF(H19="","",H19*Inputs_Control!$B$10)</f>
        <v>0.48</v>
      </c>
      <c r="J19" s="24" t="n">
        <f aca="false">IF(H19="","",H19+I19)</f>
        <v>96.48</v>
      </c>
      <c r="K19" s="17" t="str">
        <f aca="false">IF(OR(A19="",B19=""),"",IF(B19="INVALID_ID","INVALID_ID","OK"))</f>
        <v>OK</v>
      </c>
      <c r="L19" s="17" t="str">
        <f aca="false">IF(C19="","",IF(COUNTIF(Lists!$B$2:$B$5,C19)=0,"INVALID_OR_INACTIVE","OK"))</f>
        <v>OK</v>
      </c>
      <c r="M19" s="17" t="str">
        <f aca="false">IF(E19="","",IF(E19&gt;Inputs_Control!$B$12,"SUSPICIOUS",IF(E19&gt;Inputs_Control!$B$11,"OVERTIME","OK")))</f>
        <v>OK</v>
      </c>
      <c r="N19" s="17" t="str">
        <f aca="false">IF(OR(A19="",C19="",D19=""),"",IF(COUNTIFS($A:$A,A19,$C:$C,C19,$D:$D,D19)&gt;1,"DUPLICATE","OK"))</f>
        <v>OK</v>
      </c>
    </row>
    <row r="20" customFormat="false" ht="15" hidden="false" customHeight="true" outlineLevel="0" collapsed="false">
      <c r="A20" s="23" t="s">
        <v>83</v>
      </c>
      <c r="B20" s="16" t="str">
        <f aca="false">IF(A20="","",IFERROR(VLOOKUP(A20,Master_Lista!$A$4:$E$15,2,FALSE()),"INVALID_ID"))</f>
        <v>Filip Kostic</v>
      </c>
      <c r="C20" s="23" t="s">
        <v>135</v>
      </c>
      <c r="D20" s="29" t="n">
        <v>46030</v>
      </c>
      <c r="E20" s="30" t="n">
        <v>8</v>
      </c>
      <c r="F20" s="16" t="str">
        <f aca="false">IF(A20="","",IFERROR(VLOOKUP(A20,Master_Lista!$A$4:$E$15,3,FALSE()),"INVALID_ID"))</f>
        <v>Oil Filling Operator</v>
      </c>
      <c r="G20" s="31" t="n">
        <f aca="false">IF(F20="","",IFERROR(VLOOKUP(F20,Pozicije!$A$4:$B$23,2,FALSE()),0))</f>
        <v>9.5</v>
      </c>
      <c r="H20" s="24" t="n">
        <f aca="false">IF(OR(E20="",G20=""),"",E20*G20)</f>
        <v>76</v>
      </c>
      <c r="I20" s="24" t="n">
        <f aca="false">IF(H20="","",H20*Inputs_Control!$B$10)</f>
        <v>0.38</v>
      </c>
      <c r="J20" s="24" t="n">
        <f aca="false">IF(H20="","",H20+I20)</f>
        <v>76.38</v>
      </c>
      <c r="K20" s="17" t="str">
        <f aca="false">IF(OR(A20="",B20=""),"",IF(B20="INVALID_ID","INVALID_ID","OK"))</f>
        <v>OK</v>
      </c>
      <c r="L20" s="17" t="str">
        <f aca="false">IF(C20="","",IF(COUNTIF(Lists!$B$2:$B$5,C20)=0,"INVALID_OR_INACTIVE","OK"))</f>
        <v>OK</v>
      </c>
      <c r="M20" s="17" t="str">
        <f aca="false">IF(E20="","",IF(E20&gt;Inputs_Control!$B$12,"SUSPICIOUS",IF(E20&gt;Inputs_Control!$B$11,"OVERTIME","OK")))</f>
        <v>OK</v>
      </c>
      <c r="N20" s="17" t="str">
        <f aca="false">IF(OR(A20="",C20="",D20=""),"",IF(COUNTIFS($A:$A,A20,$C:$C,C20,$D:$D,D20)&gt;1,"DUPLICATE","OK"))</f>
        <v>OK</v>
      </c>
    </row>
    <row r="21" customFormat="false" ht="15" hidden="false" customHeight="true" outlineLevel="0" collapsed="false">
      <c r="A21" s="23" t="s">
        <v>91</v>
      </c>
      <c r="B21" s="16" t="str">
        <f aca="false">IF(A21="","",IFERROR(VLOOKUP(A21,Master_Lista!$A$4:$E$15,2,FALSE()),"INVALID_ID"))</f>
        <v>Petar Lazic</v>
      </c>
      <c r="C21" s="23" t="s">
        <v>123</v>
      </c>
      <c r="D21" s="29" t="n">
        <v>46030</v>
      </c>
      <c r="E21" s="30" t="n">
        <v>8</v>
      </c>
      <c r="F21" s="16" t="str">
        <f aca="false">IF(A21="","",IFERROR(VLOOKUP(A21,Master_Lista!$A$4:$E$15,3,FALSE()),"INVALID_ID"))</f>
        <v>Magacioner</v>
      </c>
      <c r="G21" s="31" t="n">
        <f aca="false">IF(F21="","",IFERROR(VLOOKUP(F21,Pozicije!$A$4:$B$23,2,FALSE()),0))</f>
        <v>7.5</v>
      </c>
      <c r="H21" s="24" t="n">
        <f aca="false">IF(OR(E21="",G21=""),"",E21*G21)</f>
        <v>60</v>
      </c>
      <c r="I21" s="24" t="n">
        <f aca="false">IF(H21="","",H21*Inputs_Control!$B$10)</f>
        <v>0.3</v>
      </c>
      <c r="J21" s="24" t="n">
        <f aca="false">IF(H21="","",H21+I21)</f>
        <v>60.3</v>
      </c>
      <c r="K21" s="17" t="str">
        <f aca="false">IF(OR(A21="",B21=""),"",IF(B21="INVALID_ID","INVALID_ID","OK"))</f>
        <v>OK</v>
      </c>
      <c r="L21" s="17" t="str">
        <f aca="false">IF(C21="","",IF(COUNTIF(Lists!$B$2:$B$5,C21)=0,"INVALID_OR_INACTIVE","OK"))</f>
        <v>OK</v>
      </c>
      <c r="M21" s="17" t="str">
        <f aca="false">IF(E21="","",IF(E21&gt;Inputs_Control!$B$12,"SUSPICIOUS",IF(E21&gt;Inputs_Control!$B$11,"OVERTIME","OK")))</f>
        <v>OK</v>
      </c>
      <c r="N21" s="17" t="str">
        <f aca="false">IF(OR(A21="",C21="",D21=""),"",IF(COUNTIFS($A:$A,A21,$C:$C,C21,$D:$D,D21)&gt;1,"DUPLICATE","OK"))</f>
        <v>OK</v>
      </c>
    </row>
    <row r="22" customFormat="false" ht="15" hidden="false" customHeight="true" outlineLevel="0" collapsed="false">
      <c r="A22" s="23" t="s">
        <v>95</v>
      </c>
      <c r="B22" s="16" t="str">
        <f aca="false">IF(A22="","",IFERROR(VLOOKUP(A22,Master_Lista!$A$4:$E$15,2,FALSE()),"INVALID_ID"))</f>
        <v>Branko Babic</v>
      </c>
      <c r="C22" s="23" t="s">
        <v>133</v>
      </c>
      <c r="D22" s="29" t="n">
        <v>46030</v>
      </c>
      <c r="E22" s="30" t="n">
        <v>8</v>
      </c>
      <c r="F22" s="16" t="str">
        <f aca="false">IF(A22="","",IFERROR(VLOOKUP(A22,Master_Lista!$A$4:$E$15,3,FALSE()),"INVALID_ID"))</f>
        <v>Tehničar održavanja</v>
      </c>
      <c r="G22" s="31" t="n">
        <f aca="false">IF(F22="","",IFERROR(VLOOKUP(F22,Pozicije!$A$4:$B$23,2,FALSE()),0))</f>
        <v>10.5</v>
      </c>
      <c r="H22" s="24" t="n">
        <f aca="false">IF(OR(E22="",G22=""),"",E22*G22)</f>
        <v>84</v>
      </c>
      <c r="I22" s="24" t="n">
        <f aca="false">IF(H22="","",H22*Inputs_Control!$B$10)</f>
        <v>0.42</v>
      </c>
      <c r="J22" s="24" t="n">
        <f aca="false">IF(H22="","",H22+I22)</f>
        <v>84.42</v>
      </c>
      <c r="K22" s="17" t="str">
        <f aca="false">IF(OR(A22="",B22=""),"",IF(B22="INVALID_ID","INVALID_ID","OK"))</f>
        <v>OK</v>
      </c>
      <c r="L22" s="17" t="str">
        <f aca="false">IF(C22="","",IF(COUNTIF(Lists!$B$2:$B$5,C22)=0,"INVALID_OR_INACTIVE","OK"))</f>
        <v>OK</v>
      </c>
      <c r="M22" s="17" t="str">
        <f aca="false">IF(E22="","",IF(E22&gt;Inputs_Control!$B$12,"SUSPICIOUS",IF(E22&gt;Inputs_Control!$B$11,"OVERTIME","OK")))</f>
        <v>OK</v>
      </c>
      <c r="N22" s="17" t="str">
        <f aca="false">IF(OR(A22="",C22="",D22=""),"",IF(COUNTIFS($A:$A,A22,$C:$C,C22,$D:$D,D22)&gt;1,"DUPLICATE","OK"))</f>
        <v>OK</v>
      </c>
    </row>
    <row r="23" customFormat="false" ht="15" hidden="false" customHeight="true" outlineLevel="0" collapsed="false">
      <c r="A23" s="23" t="s">
        <v>99</v>
      </c>
      <c r="B23" s="16" t="str">
        <f aca="false">IF(A23="","",IFERROR(VLOOKUP(A23,Master_Lista!$A$4:$E$15,2,FALSE()),"INVALID_ID"))</f>
        <v>Uros Djordjevic</v>
      </c>
      <c r="C23" s="23" t="s">
        <v>123</v>
      </c>
      <c r="D23" s="29" t="n">
        <v>46030</v>
      </c>
      <c r="E23" s="30" t="n">
        <v>8</v>
      </c>
      <c r="F23" s="16" t="str">
        <f aca="false">IF(A23="","",IFERROR(VLOOKUP(A23,Master_Lista!$A$4:$E$15,3,FALSE()),"INVALID_ID"))</f>
        <v>Elektro inženjer</v>
      </c>
      <c r="G23" s="31" t="n">
        <f aca="false">IF(F23="","",IFERROR(VLOOKUP(F23,Pozicije!$A$4:$B$23,2,FALSE()),0))</f>
        <v>22</v>
      </c>
      <c r="H23" s="24" t="n">
        <f aca="false">IF(OR(E23="",G23=""),"",E23*G23)</f>
        <v>176</v>
      </c>
      <c r="I23" s="24" t="n">
        <f aca="false">IF(H23="","",H23*Inputs_Control!$B$10)</f>
        <v>0.88</v>
      </c>
      <c r="J23" s="24" t="n">
        <f aca="false">IF(H23="","",H23+I23)</f>
        <v>176.88</v>
      </c>
      <c r="K23" s="17" t="str">
        <f aca="false">IF(OR(A23="",B23=""),"",IF(B23="INVALID_ID","INVALID_ID","OK"))</f>
        <v>OK</v>
      </c>
      <c r="L23" s="17" t="str">
        <f aca="false">IF(C23="","",IF(COUNTIF(Lists!$B$2:$B$5,C23)=0,"INVALID_OR_INACTIVE","OK"))</f>
        <v>OK</v>
      </c>
      <c r="M23" s="17" t="str">
        <f aca="false">IF(E23="","",IF(E23&gt;Inputs_Control!$B$12,"SUSPICIOUS",IF(E23&gt;Inputs_Control!$B$11,"OVERTIME","OK")))</f>
        <v>OK</v>
      </c>
      <c r="N23" s="17" t="str">
        <f aca="false">IF(OR(A23="",C23="",D23=""),"",IF(COUNTIFS($A:$A,A23,$C:$C,C23,$D:$D,D23)&gt;1,"DUPLICATE","OK"))</f>
        <v>OK</v>
      </c>
    </row>
    <row r="24" customFormat="false" ht="15" hidden="false" customHeight="true" outlineLevel="0" collapsed="false">
      <c r="A24" s="23" t="s">
        <v>59</v>
      </c>
      <c r="B24" s="16" t="str">
        <f aca="false">IF(A24="","",IFERROR(VLOOKUP(A24,Master_Lista!$A$4:$E$15,2,FALSE()),"INVALID_ID"))</f>
        <v>Branko Vasic</v>
      </c>
      <c r="C24" s="23" t="s">
        <v>123</v>
      </c>
      <c r="D24" s="29" t="n">
        <v>46031</v>
      </c>
      <c r="E24" s="30" t="n">
        <v>8</v>
      </c>
      <c r="F24" s="16" t="str">
        <f aca="false">IF(A24="","",IFERROR(VLOOKUP(A24,Master_Lista!$A$4:$E$15,3,FALSE()),"INVALID_ID"))</f>
        <v>Elektromonter</v>
      </c>
      <c r="G24" s="31" t="n">
        <f aca="false">IF(F24="","",IFERROR(VLOOKUP(F24,Pozicije!$A$4:$B$23,2,FALSE()),0))</f>
        <v>8.5</v>
      </c>
      <c r="H24" s="24" t="n">
        <f aca="false">IF(OR(E24="",G24=""),"",E24*G24)</f>
        <v>68</v>
      </c>
      <c r="I24" s="24" t="n">
        <f aca="false">IF(H24="","",H24*Inputs_Control!$B$10)</f>
        <v>0.34</v>
      </c>
      <c r="J24" s="24" t="n">
        <f aca="false">IF(H24="","",H24+I24)</f>
        <v>68.34</v>
      </c>
      <c r="K24" s="17" t="str">
        <f aca="false">IF(OR(A24="",B24=""),"",IF(B24="INVALID_ID","INVALID_ID","OK"))</f>
        <v>OK</v>
      </c>
      <c r="L24" s="17" t="str">
        <f aca="false">IF(C24="","",IF(COUNTIF(Lists!$B$2:$B$5,C24)=0,"INVALID_OR_INACTIVE","OK"))</f>
        <v>OK</v>
      </c>
      <c r="M24" s="17" t="str">
        <f aca="false">IF(E24="","",IF(E24&gt;Inputs_Control!$B$12,"SUSPICIOUS",IF(E24&gt;Inputs_Control!$B$11,"OVERTIME","OK")))</f>
        <v>OK</v>
      </c>
      <c r="N24" s="17" t="str">
        <f aca="false">IF(OR(A24="",C24="",D24=""),"",IF(COUNTIFS($A:$A,A24,$C:$C,C24,$D:$D,D24)&gt;1,"DUPLICATE","OK"))</f>
        <v>OK</v>
      </c>
    </row>
    <row r="25" customFormat="false" ht="15" hidden="false" customHeight="true" outlineLevel="0" collapsed="false">
      <c r="A25" s="23" t="s">
        <v>64</v>
      </c>
      <c r="B25" s="16" t="str">
        <f aca="false">IF(A25="","",IFERROR(VLOOKUP(A25,Master_Lista!$A$4:$E$15,2,FALSE()),"INVALID_ID"))</f>
        <v>Filip Antic</v>
      </c>
      <c r="C25" s="23" t="s">
        <v>127</v>
      </c>
      <c r="D25" s="29" t="n">
        <v>46031</v>
      </c>
      <c r="E25" s="30" t="n">
        <v>8</v>
      </c>
      <c r="F25" s="16" t="str">
        <f aca="false">IF(A25="","",IFERROR(VLOOKUP(A25,Master_Lista!$A$4:$E$15,3,FALSE()),"INVALID_ID"))</f>
        <v>Winding Specialist</v>
      </c>
      <c r="G25" s="31" t="n">
        <f aca="false">IF(F25="","",IFERROR(VLOOKUP(F25,Pozicije!$A$4:$B$23,2,FALSE()),0))</f>
        <v>10.5</v>
      </c>
      <c r="H25" s="24" t="n">
        <f aca="false">IF(OR(E25="",G25=""),"",E25*G25)</f>
        <v>84</v>
      </c>
      <c r="I25" s="24" t="n">
        <f aca="false">IF(H25="","",H25*Inputs_Control!$B$10)</f>
        <v>0.42</v>
      </c>
      <c r="J25" s="24" t="n">
        <f aca="false">IF(H25="","",H25+I25)</f>
        <v>84.42</v>
      </c>
      <c r="K25" s="17" t="str">
        <f aca="false">IF(OR(A25="",B25=""),"",IF(B25="INVALID_ID","INVALID_ID","OK"))</f>
        <v>OK</v>
      </c>
      <c r="L25" s="17" t="str">
        <f aca="false">IF(C25="","",IF(COUNTIF(Lists!$B$2:$B$5,C25)=0,"INVALID_OR_INACTIVE","OK"))</f>
        <v>OK</v>
      </c>
      <c r="M25" s="17" t="str">
        <f aca="false">IF(E25="","",IF(E25&gt;Inputs_Control!$B$12,"SUSPICIOUS",IF(E25&gt;Inputs_Control!$B$11,"OVERTIME","OK")))</f>
        <v>OK</v>
      </c>
      <c r="N25" s="17" t="str">
        <f aca="false">IF(OR(A25="",C25="",D25=""),"",IF(COUNTIFS($A:$A,A25,$C:$C,C25,$D:$D,D25)&gt;1,"DUPLICATE","OK"))</f>
        <v>OK</v>
      </c>
    </row>
    <row r="26" customFormat="false" ht="15" hidden="false" customHeight="true" outlineLevel="0" collapsed="false">
      <c r="A26" s="23" t="s">
        <v>68</v>
      </c>
      <c r="B26" s="16" t="str">
        <f aca="false">IF(A26="","",IFERROR(VLOOKUP(A26,Master_Lista!$A$4:$E$15,2,FALSE()),"INVALID_ID"))</f>
        <v>Luka Filipovic</v>
      </c>
      <c r="C26" s="23" t="s">
        <v>133</v>
      </c>
      <c r="D26" s="29" t="n">
        <v>46031</v>
      </c>
      <c r="E26" s="30" t="n">
        <v>8</v>
      </c>
      <c r="F26" s="16" t="str">
        <f aca="false">IF(A26="","",IFERROR(VLOOKUP(A26,Master_Lista!$A$4:$E$15,3,FALSE()),"INVALID_ID"))</f>
        <v>Bravar</v>
      </c>
      <c r="G26" s="31" t="n">
        <f aca="false">IF(F26="","",IFERROR(VLOOKUP(F26,Pozicije!$A$4:$B$23,2,FALSE()),0))</f>
        <v>9</v>
      </c>
      <c r="H26" s="24" t="n">
        <f aca="false">IF(OR(E26="",G26=""),"",E26*G26)</f>
        <v>72</v>
      </c>
      <c r="I26" s="24" t="n">
        <f aca="false">IF(H26="","",H26*Inputs_Control!$B$10)</f>
        <v>0.36</v>
      </c>
      <c r="J26" s="24" t="n">
        <f aca="false">IF(H26="","",H26+I26)</f>
        <v>72.36</v>
      </c>
      <c r="K26" s="17" t="str">
        <f aca="false">IF(OR(A26="",B26=""),"",IF(B26="INVALID_ID","INVALID_ID","OK"))</f>
        <v>OK</v>
      </c>
      <c r="L26" s="17" t="str">
        <f aca="false">IF(C26="","",IF(COUNTIF(Lists!$B$2:$B$5,C26)=0,"INVALID_OR_INACTIVE","OK"))</f>
        <v>OK</v>
      </c>
      <c r="M26" s="17" t="str">
        <f aca="false">IF(E26="","",IF(E26&gt;Inputs_Control!$B$12,"SUSPICIOUS",IF(E26&gt;Inputs_Control!$B$11,"OVERTIME","OK")))</f>
        <v>OK</v>
      </c>
      <c r="N26" s="17" t="str">
        <f aca="false">IF(OR(A26="",C26="",D26=""),"",IF(COUNTIFS($A:$A,A26,$C:$C,C26,$D:$D,D26)&gt;1,"DUPLICATE","OK"))</f>
        <v>OK</v>
      </c>
    </row>
    <row r="27" customFormat="false" ht="15" hidden="false" customHeight="true" outlineLevel="0" collapsed="false">
      <c r="A27" s="23" t="s">
        <v>72</v>
      </c>
      <c r="B27" s="16" t="str">
        <f aca="false">IF(A27="","",IFERROR(VLOOKUP(A27,Master_Lista!$A$4:$E$15,2,FALSE()),"INVALID_ID"))</f>
        <v>Tomas Obradovic</v>
      </c>
      <c r="C27" s="23" t="s">
        <v>133</v>
      </c>
      <c r="D27" s="29" t="n">
        <v>46031</v>
      </c>
      <c r="E27" s="30" t="n">
        <v>8</v>
      </c>
      <c r="F27" s="16" t="str">
        <f aca="false">IF(A27="","",IFERROR(VLOOKUP(A27,Master_Lista!$A$4:$E$15,3,FALSE()),"INVALID_ID"))</f>
        <v>Zavarivač</v>
      </c>
      <c r="G27" s="31" t="n">
        <f aca="false">IF(F27="","",IFERROR(VLOOKUP(F27,Pozicije!$A$4:$B$23,2,FALSE()),0))</f>
        <v>10</v>
      </c>
      <c r="H27" s="24" t="n">
        <f aca="false">IF(OR(E27="",G27=""),"",E27*G27)</f>
        <v>80</v>
      </c>
      <c r="I27" s="24" t="n">
        <f aca="false">IF(H27="","",H27*Inputs_Control!$B$10)</f>
        <v>0.4</v>
      </c>
      <c r="J27" s="24" t="n">
        <f aca="false">IF(H27="","",H27+I27)</f>
        <v>80.4</v>
      </c>
      <c r="K27" s="17" t="str">
        <f aca="false">IF(OR(A27="",B27=""),"",IF(B27="INVALID_ID","INVALID_ID","OK"))</f>
        <v>OK</v>
      </c>
      <c r="L27" s="17" t="str">
        <f aca="false">IF(C27="","",IF(COUNTIF(Lists!$B$2:$B$5,C27)=0,"INVALID_OR_INACTIVE","OK"))</f>
        <v>OK</v>
      </c>
      <c r="M27" s="17" t="str">
        <f aca="false">IF(E27="","",IF(E27&gt;Inputs_Control!$B$12,"SUSPICIOUS",IF(E27&gt;Inputs_Control!$B$11,"OVERTIME","OK")))</f>
        <v>OK</v>
      </c>
      <c r="N27" s="17" t="str">
        <f aca="false">IF(OR(A27="",C27="",D27=""),"",IF(COUNTIFS($A:$A,A27,$C:$C,C27,$D:$D,D27)&gt;1,"DUPLICATE","OK"))</f>
        <v>OK</v>
      </c>
    </row>
    <row r="28" customFormat="false" ht="15" hidden="false" customHeight="true" outlineLevel="0" collapsed="false">
      <c r="A28" s="23" t="s">
        <v>75</v>
      </c>
      <c r="B28" s="16" t="str">
        <f aca="false">IF(A28="","",IFERROR(VLOOKUP(A28,Master_Lista!$A$4:$E$15,2,FALSE()),"INVALID_ID"))</f>
        <v>Jelena Nikolic</v>
      </c>
      <c r="C28" s="23" t="s">
        <v>135</v>
      </c>
      <c r="D28" s="29" t="n">
        <v>46031</v>
      </c>
      <c r="E28" s="30" t="n">
        <v>8</v>
      </c>
      <c r="F28" s="16" t="str">
        <f aca="false">IF(A28="","",IFERROR(VLOOKUP(A28,Master_Lista!$A$4:$E$15,3,FALSE()),"INVALID_ID"))</f>
        <v>Kontrola kvaliteta</v>
      </c>
      <c r="G28" s="31" t="n">
        <f aca="false">IF(F28="","",IFERROR(VLOOKUP(F28,Pozicije!$A$4:$B$23,2,FALSE()),0))</f>
        <v>14</v>
      </c>
      <c r="H28" s="24" t="n">
        <f aca="false">IF(OR(E28="",G28=""),"",E28*G28)</f>
        <v>112</v>
      </c>
      <c r="I28" s="24" t="n">
        <f aca="false">IF(H28="","",H28*Inputs_Control!$B$10)</f>
        <v>0.56</v>
      </c>
      <c r="J28" s="24" t="n">
        <f aca="false">IF(H28="","",H28+I28)</f>
        <v>112.56</v>
      </c>
      <c r="K28" s="17" t="str">
        <f aca="false">IF(OR(A28="",B28=""),"",IF(B28="INVALID_ID","INVALID_ID","OK"))</f>
        <v>OK</v>
      </c>
      <c r="L28" s="17" t="str">
        <f aca="false">IF(C28="","",IF(COUNTIF(Lists!$B$2:$B$5,C28)=0,"INVALID_OR_INACTIVE","OK"))</f>
        <v>OK</v>
      </c>
      <c r="M28" s="17" t="str">
        <f aca="false">IF(E28="","",IF(E28&gt;Inputs_Control!$B$12,"SUSPICIOUS",IF(E28&gt;Inputs_Control!$B$11,"OVERTIME","OK")))</f>
        <v>OK</v>
      </c>
      <c r="N28" s="17" t="str">
        <f aca="false">IF(OR(A28="",C28="",D28=""),"",IF(COUNTIFS($A:$A,A28,$C:$C,C28,$D:$D,D28)&gt;1,"DUPLICATE","OK"))</f>
        <v>OK</v>
      </c>
    </row>
    <row r="29" customFormat="false" ht="15" hidden="false" customHeight="true" outlineLevel="0" collapsed="false">
      <c r="A29" s="23" t="s">
        <v>79</v>
      </c>
      <c r="B29" s="16" t="str">
        <f aca="false">IF(A29="","",IFERROR(VLOOKUP(A29,Master_Lista!$A$4:$E$15,2,FALSE()),"INVALID_ID"))</f>
        <v>Goran Zivkovic</v>
      </c>
      <c r="C29" s="23" t="s">
        <v>127</v>
      </c>
      <c r="D29" s="29" t="n">
        <v>46031</v>
      </c>
      <c r="E29" s="30" t="n">
        <v>8</v>
      </c>
      <c r="F29" s="16" t="str">
        <f aca="false">IF(A29="","",IFERROR(VLOOKUP(A29,Master_Lista!$A$4:$E$15,3,FALSE()),"INVALID_ID"))</f>
        <v>CNC operater</v>
      </c>
      <c r="G29" s="31" t="n">
        <f aca="false">IF(F29="","",IFERROR(VLOOKUP(F29,Pozicije!$A$4:$B$23,2,FALSE()),0))</f>
        <v>12</v>
      </c>
      <c r="H29" s="24" t="n">
        <f aca="false">IF(OR(E29="",G29=""),"",E29*G29)</f>
        <v>96</v>
      </c>
      <c r="I29" s="24" t="n">
        <f aca="false">IF(H29="","",H29*Inputs_Control!$B$10)</f>
        <v>0.48</v>
      </c>
      <c r="J29" s="24" t="n">
        <f aca="false">IF(H29="","",H29+I29)</f>
        <v>96.48</v>
      </c>
      <c r="K29" s="17" t="str">
        <f aca="false">IF(OR(A29="",B29=""),"",IF(B29="INVALID_ID","INVALID_ID","OK"))</f>
        <v>OK</v>
      </c>
      <c r="L29" s="17" t="str">
        <f aca="false">IF(C29="","",IF(COUNTIF(Lists!$B$2:$B$5,C29)=0,"INVALID_OR_INACTIVE","OK"))</f>
        <v>OK</v>
      </c>
      <c r="M29" s="17" t="str">
        <f aca="false">IF(E29="","",IF(E29&gt;Inputs_Control!$B$12,"SUSPICIOUS",IF(E29&gt;Inputs_Control!$B$11,"OVERTIME","OK")))</f>
        <v>OK</v>
      </c>
      <c r="N29" s="17" t="str">
        <f aca="false">IF(OR(A29="",C29="",D29=""),"",IF(COUNTIFS($A:$A,A29,$C:$C,C29,$D:$D,D29)&gt;1,"DUPLICATE","OK"))</f>
        <v>OK</v>
      </c>
    </row>
    <row r="30" customFormat="false" ht="15" hidden="false" customHeight="true" outlineLevel="0" collapsed="false">
      <c r="A30" s="23" t="s">
        <v>83</v>
      </c>
      <c r="B30" s="16" t="str">
        <f aca="false">IF(A30="","",IFERROR(VLOOKUP(A30,Master_Lista!$A$4:$E$15,2,FALSE()),"INVALID_ID"))</f>
        <v>Filip Kostic</v>
      </c>
      <c r="C30" s="23" t="s">
        <v>135</v>
      </c>
      <c r="D30" s="29" t="n">
        <v>46034</v>
      </c>
      <c r="E30" s="30" t="n">
        <v>8</v>
      </c>
      <c r="F30" s="16" t="str">
        <f aca="false">IF(A30="","",IFERROR(VLOOKUP(A30,Master_Lista!$A$4:$E$15,3,FALSE()),"INVALID_ID"))</f>
        <v>Oil Filling Operator</v>
      </c>
      <c r="G30" s="31" t="n">
        <f aca="false">IF(F30="","",IFERROR(VLOOKUP(F30,Pozicije!$A$4:$B$23,2,FALSE()),0))</f>
        <v>9.5</v>
      </c>
      <c r="H30" s="24" t="n">
        <f aca="false">IF(OR(E30="",G30=""),"",E30*G30)</f>
        <v>76</v>
      </c>
      <c r="I30" s="24" t="n">
        <f aca="false">IF(H30="","",H30*Inputs_Control!$B$10)</f>
        <v>0.38</v>
      </c>
      <c r="J30" s="24" t="n">
        <f aca="false">IF(H30="","",H30+I30)</f>
        <v>76.38</v>
      </c>
      <c r="K30" s="17" t="str">
        <f aca="false">IF(OR(A30="",B30=""),"",IF(B30="INVALID_ID","INVALID_ID","OK"))</f>
        <v>OK</v>
      </c>
      <c r="L30" s="17" t="str">
        <f aca="false">IF(C30="","",IF(COUNTIF(Lists!$B$2:$B$5,C30)=0,"INVALID_OR_INACTIVE","OK"))</f>
        <v>OK</v>
      </c>
      <c r="M30" s="17" t="str">
        <f aca="false">IF(E30="","",IF(E30&gt;Inputs_Control!$B$12,"SUSPICIOUS",IF(E30&gt;Inputs_Control!$B$11,"OVERTIME","OK")))</f>
        <v>OK</v>
      </c>
      <c r="N30" s="17" t="str">
        <f aca="false">IF(OR(A30="",C30="",D30=""),"",IF(COUNTIFS($A:$A,A30,$C:$C,C30,$D:$D,D30)&gt;1,"DUPLICATE","OK"))</f>
        <v>OK</v>
      </c>
    </row>
    <row r="31" customFormat="false" ht="15" hidden="false" customHeight="true" outlineLevel="0" collapsed="false">
      <c r="A31" s="23" t="s">
        <v>91</v>
      </c>
      <c r="B31" s="16" t="str">
        <f aca="false">IF(A31="","",IFERROR(VLOOKUP(A31,Master_Lista!$A$4:$E$15,2,FALSE()),"INVALID_ID"))</f>
        <v>Petar Lazic</v>
      </c>
      <c r="C31" s="23" t="s">
        <v>123</v>
      </c>
      <c r="D31" s="29" t="n">
        <v>46034</v>
      </c>
      <c r="E31" s="30" t="n">
        <v>8</v>
      </c>
      <c r="F31" s="16" t="str">
        <f aca="false">IF(A31="","",IFERROR(VLOOKUP(A31,Master_Lista!$A$4:$E$15,3,FALSE()),"INVALID_ID"))</f>
        <v>Magacioner</v>
      </c>
      <c r="G31" s="31" t="n">
        <f aca="false">IF(F31="","",IFERROR(VLOOKUP(F31,Pozicije!$A$4:$B$23,2,FALSE()),0))</f>
        <v>7.5</v>
      </c>
      <c r="H31" s="24" t="n">
        <f aca="false">IF(OR(E31="",G31=""),"",E31*G31)</f>
        <v>60</v>
      </c>
      <c r="I31" s="24" t="n">
        <f aca="false">IF(H31="","",H31*Inputs_Control!$B$10)</f>
        <v>0.3</v>
      </c>
      <c r="J31" s="24" t="n">
        <f aca="false">IF(H31="","",H31+I31)</f>
        <v>60.3</v>
      </c>
      <c r="K31" s="17" t="str">
        <f aca="false">IF(OR(A31="",B31=""),"",IF(B31="INVALID_ID","INVALID_ID","OK"))</f>
        <v>OK</v>
      </c>
      <c r="L31" s="17" t="str">
        <f aca="false">IF(C31="","",IF(COUNTIF(Lists!$B$2:$B$5,C31)=0,"INVALID_OR_INACTIVE","OK"))</f>
        <v>OK</v>
      </c>
      <c r="M31" s="17" t="str">
        <f aca="false">IF(E31="","",IF(E31&gt;Inputs_Control!$B$12,"SUSPICIOUS",IF(E31&gt;Inputs_Control!$B$11,"OVERTIME","OK")))</f>
        <v>OK</v>
      </c>
      <c r="N31" s="17" t="str">
        <f aca="false">IF(OR(A31="",C31="",D31=""),"",IF(COUNTIFS($A:$A,A31,$C:$C,C31,$D:$D,D31)&gt;1,"DUPLICATE","OK"))</f>
        <v>OK</v>
      </c>
    </row>
    <row r="32" customFormat="false" ht="15" hidden="false" customHeight="true" outlineLevel="0" collapsed="false">
      <c r="A32" s="23" t="s">
        <v>95</v>
      </c>
      <c r="B32" s="16" t="str">
        <f aca="false">IF(A32="","",IFERROR(VLOOKUP(A32,Master_Lista!$A$4:$E$15,2,FALSE()),"INVALID_ID"))</f>
        <v>Branko Babic</v>
      </c>
      <c r="C32" s="23" t="s">
        <v>133</v>
      </c>
      <c r="D32" s="29" t="n">
        <v>46034</v>
      </c>
      <c r="E32" s="30" t="n">
        <v>8</v>
      </c>
      <c r="F32" s="16" t="str">
        <f aca="false">IF(A32="","",IFERROR(VLOOKUP(A32,Master_Lista!$A$4:$E$15,3,FALSE()),"INVALID_ID"))</f>
        <v>Tehničar održavanja</v>
      </c>
      <c r="G32" s="31" t="n">
        <f aca="false">IF(F32="","",IFERROR(VLOOKUP(F32,Pozicije!$A$4:$B$23,2,FALSE()),0))</f>
        <v>10.5</v>
      </c>
      <c r="H32" s="24" t="n">
        <f aca="false">IF(OR(E32="",G32=""),"",E32*G32)</f>
        <v>84</v>
      </c>
      <c r="I32" s="24" t="n">
        <f aca="false">IF(H32="","",H32*Inputs_Control!$B$10)</f>
        <v>0.42</v>
      </c>
      <c r="J32" s="24" t="n">
        <f aca="false">IF(H32="","",H32+I32)</f>
        <v>84.42</v>
      </c>
      <c r="K32" s="17" t="str">
        <f aca="false">IF(OR(A32="",B32=""),"",IF(B32="INVALID_ID","INVALID_ID","OK"))</f>
        <v>OK</v>
      </c>
      <c r="L32" s="17" t="str">
        <f aca="false">IF(C32="","",IF(COUNTIF(Lists!$B$2:$B$5,C32)=0,"INVALID_OR_INACTIVE","OK"))</f>
        <v>OK</v>
      </c>
      <c r="M32" s="17" t="str">
        <f aca="false">IF(E32="","",IF(E32&gt;Inputs_Control!$B$12,"SUSPICIOUS",IF(E32&gt;Inputs_Control!$B$11,"OVERTIME","OK")))</f>
        <v>OK</v>
      </c>
      <c r="N32" s="17" t="str">
        <f aca="false">IF(OR(A32="",C32="",D32=""),"",IF(COUNTIFS($A:$A,A32,$C:$C,C32,$D:$D,D32)&gt;1,"DUPLICATE","OK"))</f>
        <v>OK</v>
      </c>
    </row>
    <row r="33" customFormat="false" ht="15" hidden="false" customHeight="true" outlineLevel="0" collapsed="false">
      <c r="A33" s="23" t="s">
        <v>99</v>
      </c>
      <c r="B33" s="16" t="str">
        <f aca="false">IF(A33="","",IFERROR(VLOOKUP(A33,Master_Lista!$A$4:$E$15,2,FALSE()),"INVALID_ID"))</f>
        <v>Uros Djordjevic</v>
      </c>
      <c r="C33" s="23" t="s">
        <v>123</v>
      </c>
      <c r="D33" s="29" t="n">
        <v>46034</v>
      </c>
      <c r="E33" s="30" t="n">
        <v>8</v>
      </c>
      <c r="F33" s="16" t="str">
        <f aca="false">IF(A33="","",IFERROR(VLOOKUP(A33,Master_Lista!$A$4:$E$15,3,FALSE()),"INVALID_ID"))</f>
        <v>Elektro inženjer</v>
      </c>
      <c r="G33" s="31" t="n">
        <f aca="false">IF(F33="","",IFERROR(VLOOKUP(F33,Pozicije!$A$4:$B$23,2,FALSE()),0))</f>
        <v>22</v>
      </c>
      <c r="H33" s="24" t="n">
        <f aca="false">IF(OR(E33="",G33=""),"",E33*G33)</f>
        <v>176</v>
      </c>
      <c r="I33" s="24" t="n">
        <f aca="false">IF(H33="","",H33*Inputs_Control!$B$10)</f>
        <v>0.88</v>
      </c>
      <c r="J33" s="24" t="n">
        <f aca="false">IF(H33="","",H33+I33)</f>
        <v>176.88</v>
      </c>
      <c r="K33" s="17" t="str">
        <f aca="false">IF(OR(A33="",B33=""),"",IF(B33="INVALID_ID","INVALID_ID","OK"))</f>
        <v>OK</v>
      </c>
      <c r="L33" s="17" t="str">
        <f aca="false">IF(C33="","",IF(COUNTIF(Lists!$B$2:$B$5,C33)=0,"INVALID_OR_INACTIVE","OK"))</f>
        <v>OK</v>
      </c>
      <c r="M33" s="17" t="str">
        <f aca="false">IF(E33="","",IF(E33&gt;Inputs_Control!$B$12,"SUSPICIOUS",IF(E33&gt;Inputs_Control!$B$11,"OVERTIME","OK")))</f>
        <v>OK</v>
      </c>
      <c r="N33" s="17" t="str">
        <f aca="false">IF(OR(A33="",C33="",D33=""),"",IF(COUNTIFS($A:$A,A33,$C:$C,C33,$D:$D,D33)&gt;1,"DUPLICATE","OK"))</f>
        <v>OK</v>
      </c>
    </row>
    <row r="34" customFormat="false" ht="15" hidden="false" customHeight="true" outlineLevel="0" collapsed="false">
      <c r="A34" s="23"/>
      <c r="B34" s="16" t="str">
        <f aca="false">IF(A34="","",IFERROR(VLOOKUP(A34,Master_Lista!$A$4:$E$15,2,FALSE()),"INVALID_ID"))</f>
        <v/>
      </c>
      <c r="C34" s="23"/>
      <c r="D34" s="29"/>
      <c r="E34" s="30"/>
      <c r="F34" s="16" t="str">
        <f aca="false">IF(A34="","",IFERROR(VLOOKUP(A34,Master_Lista!$A$4:$E$15,3,FALSE()),"INVALID_ID"))</f>
        <v/>
      </c>
      <c r="G34" s="31" t="str">
        <f aca="false">IF(F34="","",IFERROR(VLOOKUP(F34,Pozicije!$A$4:$B$23,2,FALSE()),0))</f>
        <v/>
      </c>
      <c r="H34" s="24" t="str">
        <f aca="false">IF(OR(E34="",G34=""),"",E34*G34)</f>
        <v/>
      </c>
      <c r="I34" s="24" t="str">
        <f aca="false">IF(H34="","",H34*Inputs_Control!$B$10)</f>
        <v/>
      </c>
      <c r="J34" s="24" t="str">
        <f aca="false">IF(H34="","",H34+I34)</f>
        <v/>
      </c>
      <c r="K34" s="17" t="str">
        <f aca="false">IF(OR(A34="",B34=""),"",IF(B34="INVALID_ID","INVALID_ID","OK"))</f>
        <v/>
      </c>
      <c r="L34" s="17" t="str">
        <f aca="false">IF(C34="","",IF(COUNTIF(Lists!$B$2:$B$5,C34)=0,"INVALID_OR_INACTIVE","OK"))</f>
        <v/>
      </c>
      <c r="M34" s="17" t="str">
        <f aca="false">IF(E34="","",IF(E34&gt;Inputs_Control!$B$12,"SUSPICIOUS",IF(E34&gt;Inputs_Control!$B$11,"OVERTIME","OK")))</f>
        <v/>
      </c>
      <c r="N34" s="17" t="str">
        <f aca="false">IF(OR(A34="",C34="",D34=""),"",IF(COUNTIFS($A:$A,A34,$C:$C,C34,$D:$D,D34)&gt;1,"DUPLICATE","OK"))</f>
        <v/>
      </c>
    </row>
    <row r="35" customFormat="false" ht="15" hidden="false" customHeight="true" outlineLevel="0" collapsed="false">
      <c r="A35" s="23"/>
      <c r="B35" s="16" t="str">
        <f aca="false">IF(A35="","",IFERROR(VLOOKUP(A35,Master_Lista!$A$4:$E$15,2,FALSE()),"INVALID_ID"))</f>
        <v/>
      </c>
      <c r="C35" s="23"/>
      <c r="D35" s="29"/>
      <c r="E35" s="30"/>
      <c r="F35" s="16" t="str">
        <f aca="false">IF(A35="","",IFERROR(VLOOKUP(A35,Master_Lista!$A$4:$E$15,3,FALSE()),"INVALID_ID"))</f>
        <v/>
      </c>
      <c r="G35" s="31" t="str">
        <f aca="false">IF(F35="","",IFERROR(VLOOKUP(F35,Pozicije!$A$4:$B$23,2,FALSE()),0))</f>
        <v/>
      </c>
      <c r="H35" s="24" t="str">
        <f aca="false">IF(OR(E35="",G35=""),"",E35*G35)</f>
        <v/>
      </c>
      <c r="I35" s="24" t="str">
        <f aca="false">IF(H35="","",H35*Inputs_Control!$B$10)</f>
        <v/>
      </c>
      <c r="J35" s="24" t="str">
        <f aca="false">IF(H35="","",H35+I35)</f>
        <v/>
      </c>
      <c r="K35" s="17" t="str">
        <f aca="false">IF(OR(A35="",B35=""),"",IF(B35="INVALID_ID","INVALID_ID","OK"))</f>
        <v/>
      </c>
      <c r="L35" s="17" t="str">
        <f aca="false">IF(C35="","",IF(COUNTIF(Lists!$B$2:$B$5,C35)=0,"INVALID_OR_INACTIVE","OK"))</f>
        <v/>
      </c>
      <c r="M35" s="17" t="str">
        <f aca="false">IF(E35="","",IF(E35&gt;Inputs_Control!$B$12,"SUSPICIOUS",IF(E35&gt;Inputs_Control!$B$11,"OVERTIME","OK")))</f>
        <v/>
      </c>
      <c r="N35" s="17" t="str">
        <f aca="false">IF(OR(A35="",C35="",D35=""),"",IF(COUNTIFS($A:$A,A35,$C:$C,C35,$D:$D,D35)&gt;1,"DUPLICATE","OK"))</f>
        <v/>
      </c>
    </row>
    <row r="36" customFormat="false" ht="15" hidden="false" customHeight="true" outlineLevel="0" collapsed="false">
      <c r="A36" s="23"/>
      <c r="B36" s="16" t="str">
        <f aca="false">IF(A36="","",IFERROR(VLOOKUP(A36,Master_Lista!$A$4:$E$15,2,FALSE()),"INVALID_ID"))</f>
        <v/>
      </c>
      <c r="C36" s="23"/>
      <c r="D36" s="29"/>
      <c r="E36" s="30"/>
      <c r="F36" s="16" t="str">
        <f aca="false">IF(A36="","",IFERROR(VLOOKUP(A36,Master_Lista!$A$4:$E$15,3,FALSE()),"INVALID_ID"))</f>
        <v/>
      </c>
      <c r="G36" s="31" t="str">
        <f aca="false">IF(F36="","",IFERROR(VLOOKUP(F36,Pozicije!$A$4:$B$23,2,FALSE()),0))</f>
        <v/>
      </c>
      <c r="H36" s="24" t="str">
        <f aca="false">IF(OR(E36="",G36=""),"",E36*G36)</f>
        <v/>
      </c>
      <c r="I36" s="24" t="str">
        <f aca="false">IF(H36="","",H36*Inputs_Control!$B$10)</f>
        <v/>
      </c>
      <c r="J36" s="24" t="str">
        <f aca="false">IF(H36="","",H36+I36)</f>
        <v/>
      </c>
      <c r="K36" s="17" t="str">
        <f aca="false">IF(OR(A36="",B36=""),"",IF(B36="INVALID_ID","INVALID_ID","OK"))</f>
        <v/>
      </c>
      <c r="L36" s="17" t="str">
        <f aca="false">IF(C36="","",IF(COUNTIF(Lists!$B$2:$B$5,C36)=0,"INVALID_OR_INACTIVE","OK"))</f>
        <v/>
      </c>
      <c r="M36" s="17" t="str">
        <f aca="false">IF(E36="","",IF(E36&gt;Inputs_Control!$B$12,"SUSPICIOUS",IF(E36&gt;Inputs_Control!$B$11,"OVERTIME","OK")))</f>
        <v/>
      </c>
      <c r="N36" s="17" t="str">
        <f aca="false">IF(OR(A36="",C36="",D36=""),"",IF(COUNTIFS($A:$A,A36,$C:$C,C36,$D:$D,D36)&gt;1,"DUPLICATE","OK"))</f>
        <v/>
      </c>
    </row>
    <row r="37" customFormat="false" ht="15" hidden="false" customHeight="true" outlineLevel="0" collapsed="false">
      <c r="A37" s="23"/>
      <c r="B37" s="16" t="str">
        <f aca="false">IF(A37="","",IFERROR(VLOOKUP(A37,Master_Lista!$A$4:$E$15,2,FALSE()),"INVALID_ID"))</f>
        <v/>
      </c>
      <c r="C37" s="23"/>
      <c r="D37" s="29"/>
      <c r="E37" s="30"/>
      <c r="F37" s="16" t="str">
        <f aca="false">IF(A37="","",IFERROR(VLOOKUP(A37,Master_Lista!$A$4:$E$15,3,FALSE()),"INVALID_ID"))</f>
        <v/>
      </c>
      <c r="G37" s="31" t="str">
        <f aca="false">IF(F37="","",IFERROR(VLOOKUP(F37,Pozicije!$A$4:$B$23,2,FALSE()),0))</f>
        <v/>
      </c>
      <c r="H37" s="24" t="str">
        <f aca="false">IF(OR(E37="",G37=""),"",E37*G37)</f>
        <v/>
      </c>
      <c r="I37" s="24" t="str">
        <f aca="false">IF(H37="","",H37*Inputs_Control!$B$10)</f>
        <v/>
      </c>
      <c r="J37" s="24" t="str">
        <f aca="false">IF(H37="","",H37+I37)</f>
        <v/>
      </c>
      <c r="K37" s="17" t="str">
        <f aca="false">IF(OR(A37="",B37=""),"",IF(B37="INVALID_ID","INVALID_ID","OK"))</f>
        <v/>
      </c>
      <c r="L37" s="17" t="str">
        <f aca="false">IF(C37="","",IF(COUNTIF(Lists!$B$2:$B$5,C37)=0,"INVALID_OR_INACTIVE","OK"))</f>
        <v/>
      </c>
      <c r="M37" s="17" t="str">
        <f aca="false">IF(E37="","",IF(E37&gt;Inputs_Control!$B$12,"SUSPICIOUS",IF(E37&gt;Inputs_Control!$B$11,"OVERTIME","OK")))</f>
        <v/>
      </c>
      <c r="N37" s="17" t="str">
        <f aca="false">IF(OR(A37="",C37="",D37=""),"",IF(COUNTIFS($A:$A,A37,$C:$C,C37,$D:$D,D37)&gt;1,"DUPLICATE","OK"))</f>
        <v/>
      </c>
    </row>
    <row r="38" customFormat="false" ht="15" hidden="false" customHeight="true" outlineLevel="0" collapsed="false">
      <c r="A38" s="23"/>
      <c r="B38" s="16" t="str">
        <f aca="false">IF(A38="","",IFERROR(VLOOKUP(A38,Master_Lista!$A$4:$E$15,2,FALSE()),"INVALID_ID"))</f>
        <v/>
      </c>
      <c r="C38" s="23"/>
      <c r="D38" s="29"/>
      <c r="E38" s="30"/>
      <c r="F38" s="16" t="str">
        <f aca="false">IF(A38="","",IFERROR(VLOOKUP(A38,Master_Lista!$A$4:$E$15,3,FALSE()),"INVALID_ID"))</f>
        <v/>
      </c>
      <c r="G38" s="31" t="str">
        <f aca="false">IF(F38="","",IFERROR(VLOOKUP(F38,Pozicije!$A$4:$B$23,2,FALSE()),0))</f>
        <v/>
      </c>
      <c r="H38" s="24" t="str">
        <f aca="false">IF(OR(E38="",G38=""),"",E38*G38)</f>
        <v/>
      </c>
      <c r="I38" s="24" t="str">
        <f aca="false">IF(H38="","",H38*Inputs_Control!$B$10)</f>
        <v/>
      </c>
      <c r="J38" s="24" t="str">
        <f aca="false">IF(H38="","",H38+I38)</f>
        <v/>
      </c>
      <c r="K38" s="17" t="str">
        <f aca="false">IF(OR(A38="",B38=""),"",IF(B38="INVALID_ID","INVALID_ID","OK"))</f>
        <v/>
      </c>
      <c r="L38" s="17" t="str">
        <f aca="false">IF(C38="","",IF(COUNTIF(Lists!$B$2:$B$5,C38)=0,"INVALID_OR_INACTIVE","OK"))</f>
        <v/>
      </c>
      <c r="M38" s="17" t="str">
        <f aca="false">IF(E38="","",IF(E38&gt;Inputs_Control!$B$12,"SUSPICIOUS",IF(E38&gt;Inputs_Control!$B$11,"OVERTIME","OK")))</f>
        <v/>
      </c>
      <c r="N38" s="17" t="str">
        <f aca="false">IF(OR(A38="",C38="",D38=""),"",IF(COUNTIFS($A:$A,A38,$C:$C,C38,$D:$D,D38)&gt;1,"DUPLICATE","OK"))</f>
        <v/>
      </c>
    </row>
    <row r="39" customFormat="false" ht="15" hidden="false" customHeight="true" outlineLevel="0" collapsed="false">
      <c r="A39" s="23"/>
      <c r="B39" s="16" t="str">
        <f aca="false">IF(A39="","",IFERROR(VLOOKUP(A39,Master_Lista!$A$4:$E$15,2,FALSE()),"INVALID_ID"))</f>
        <v/>
      </c>
      <c r="C39" s="23"/>
      <c r="D39" s="29"/>
      <c r="E39" s="30"/>
      <c r="F39" s="16" t="str">
        <f aca="false">IF(A39="","",IFERROR(VLOOKUP(A39,Master_Lista!$A$4:$E$15,3,FALSE()),"INVALID_ID"))</f>
        <v/>
      </c>
      <c r="G39" s="31" t="str">
        <f aca="false">IF(F39="","",IFERROR(VLOOKUP(F39,Pozicije!$A$4:$B$23,2,FALSE()),0))</f>
        <v/>
      </c>
      <c r="H39" s="24" t="str">
        <f aca="false">IF(OR(E39="",G39=""),"",E39*G39)</f>
        <v/>
      </c>
      <c r="I39" s="24" t="str">
        <f aca="false">IF(H39="","",H39*Inputs_Control!$B$10)</f>
        <v/>
      </c>
      <c r="J39" s="24" t="str">
        <f aca="false">IF(H39="","",H39+I39)</f>
        <v/>
      </c>
      <c r="K39" s="17" t="str">
        <f aca="false">IF(OR(A39="",B39=""),"",IF(B39="INVALID_ID","INVALID_ID","OK"))</f>
        <v/>
      </c>
      <c r="L39" s="17" t="str">
        <f aca="false">IF(C39="","",IF(COUNTIF(Lists!$B$2:$B$5,C39)=0,"INVALID_OR_INACTIVE","OK"))</f>
        <v/>
      </c>
      <c r="M39" s="17" t="str">
        <f aca="false">IF(E39="","",IF(E39&gt;Inputs_Control!$B$12,"SUSPICIOUS",IF(E39&gt;Inputs_Control!$B$11,"OVERTIME","OK")))</f>
        <v/>
      </c>
      <c r="N39" s="17" t="str">
        <f aca="false">IF(OR(A39="",C39="",D39=""),"",IF(COUNTIFS($A:$A,A39,$C:$C,C39,$D:$D,D39)&gt;1,"DUPLICATE","OK"))</f>
        <v/>
      </c>
    </row>
    <row r="40" customFormat="false" ht="15" hidden="false" customHeight="true" outlineLevel="0" collapsed="false">
      <c r="A40" s="23"/>
      <c r="B40" s="16" t="str">
        <f aca="false">IF(A40="","",IFERROR(VLOOKUP(A40,Master_Lista!$A$4:$E$15,2,FALSE()),"INVALID_ID"))</f>
        <v/>
      </c>
      <c r="C40" s="23"/>
      <c r="D40" s="29"/>
      <c r="E40" s="30"/>
      <c r="F40" s="16" t="str">
        <f aca="false">IF(A40="","",IFERROR(VLOOKUP(A40,Master_Lista!$A$4:$E$15,3,FALSE()),"INVALID_ID"))</f>
        <v/>
      </c>
      <c r="G40" s="31" t="str">
        <f aca="false">IF(F40="","",IFERROR(VLOOKUP(F40,Pozicije!$A$4:$B$23,2,FALSE()),0))</f>
        <v/>
      </c>
      <c r="H40" s="24" t="str">
        <f aca="false">IF(OR(E40="",G40=""),"",E40*G40)</f>
        <v/>
      </c>
      <c r="I40" s="24" t="str">
        <f aca="false">IF(H40="","",H40*Inputs_Control!$B$10)</f>
        <v/>
      </c>
      <c r="J40" s="24" t="str">
        <f aca="false">IF(H40="","",H40+I40)</f>
        <v/>
      </c>
      <c r="K40" s="17" t="str">
        <f aca="false">IF(OR(A40="",B40=""),"",IF(B40="INVALID_ID","INVALID_ID","OK"))</f>
        <v/>
      </c>
      <c r="L40" s="17" t="str">
        <f aca="false">IF(C40="","",IF(COUNTIF(Lists!$B$2:$B$5,C40)=0,"INVALID_OR_INACTIVE","OK"))</f>
        <v/>
      </c>
      <c r="M40" s="17" t="str">
        <f aca="false">IF(E40="","",IF(E40&gt;Inputs_Control!$B$12,"SUSPICIOUS",IF(E40&gt;Inputs_Control!$B$11,"OVERTIME","OK")))</f>
        <v/>
      </c>
      <c r="N40" s="17" t="str">
        <f aca="false">IF(OR(A40="",C40="",D40=""),"",IF(COUNTIFS($A:$A,A40,$C:$C,C40,$D:$D,D40)&gt;1,"DUPLICATE","OK"))</f>
        <v/>
      </c>
    </row>
    <row r="41" customFormat="false" ht="15" hidden="false" customHeight="true" outlineLevel="0" collapsed="false">
      <c r="A41" s="23"/>
      <c r="B41" s="16" t="str">
        <f aca="false">IF(A41="","",IFERROR(VLOOKUP(A41,Master_Lista!$A$4:$E$15,2,FALSE()),"INVALID_ID"))</f>
        <v/>
      </c>
      <c r="C41" s="23"/>
      <c r="D41" s="29"/>
      <c r="E41" s="30"/>
      <c r="F41" s="16" t="str">
        <f aca="false">IF(A41="","",IFERROR(VLOOKUP(A41,Master_Lista!$A$4:$E$15,3,FALSE()),"INVALID_ID"))</f>
        <v/>
      </c>
      <c r="G41" s="31" t="str">
        <f aca="false">IF(F41="","",IFERROR(VLOOKUP(F41,Pozicije!$A$4:$B$23,2,FALSE()),0))</f>
        <v/>
      </c>
      <c r="H41" s="24" t="str">
        <f aca="false">IF(OR(E41="",G41=""),"",E41*G41)</f>
        <v/>
      </c>
      <c r="I41" s="24" t="str">
        <f aca="false">IF(H41="","",H41*Inputs_Control!$B$10)</f>
        <v/>
      </c>
      <c r="J41" s="24" t="str">
        <f aca="false">IF(H41="","",H41+I41)</f>
        <v/>
      </c>
      <c r="K41" s="17" t="str">
        <f aca="false">IF(OR(A41="",B41=""),"",IF(B41="INVALID_ID","INVALID_ID","OK"))</f>
        <v/>
      </c>
      <c r="L41" s="17" t="str">
        <f aca="false">IF(C41="","",IF(COUNTIF(Lists!$B$2:$B$5,C41)=0,"INVALID_OR_INACTIVE","OK"))</f>
        <v/>
      </c>
      <c r="M41" s="17" t="str">
        <f aca="false">IF(E41="","",IF(E41&gt;Inputs_Control!$B$12,"SUSPICIOUS",IF(E41&gt;Inputs_Control!$B$11,"OVERTIME","OK")))</f>
        <v/>
      </c>
      <c r="N41" s="17" t="str">
        <f aca="false">IF(OR(A41="",C41="",D41=""),"",IF(COUNTIFS($A:$A,A41,$C:$C,C41,$D:$D,D41)&gt;1,"DUPLICATE","OK"))</f>
        <v/>
      </c>
    </row>
    <row r="42" customFormat="false" ht="15" hidden="false" customHeight="true" outlineLevel="0" collapsed="false">
      <c r="A42" s="23"/>
      <c r="B42" s="16" t="str">
        <f aca="false">IF(A42="","",IFERROR(VLOOKUP(A42,Master_Lista!$A$4:$E$15,2,FALSE()),"INVALID_ID"))</f>
        <v/>
      </c>
      <c r="C42" s="23"/>
      <c r="D42" s="29"/>
      <c r="E42" s="30"/>
      <c r="F42" s="16" t="str">
        <f aca="false">IF(A42="","",IFERROR(VLOOKUP(A42,Master_Lista!$A$4:$E$15,3,FALSE()),"INVALID_ID"))</f>
        <v/>
      </c>
      <c r="G42" s="31" t="str">
        <f aca="false">IF(F42="","",IFERROR(VLOOKUP(F42,Pozicije!$A$4:$B$23,2,FALSE()),0))</f>
        <v/>
      </c>
      <c r="H42" s="24" t="str">
        <f aca="false">IF(OR(E42="",G42=""),"",E42*G42)</f>
        <v/>
      </c>
      <c r="I42" s="24" t="str">
        <f aca="false">IF(H42="","",H42*Inputs_Control!$B$10)</f>
        <v/>
      </c>
      <c r="J42" s="24" t="str">
        <f aca="false">IF(H42="","",H42+I42)</f>
        <v/>
      </c>
      <c r="K42" s="17" t="str">
        <f aca="false">IF(OR(A42="",B42=""),"",IF(B42="INVALID_ID","INVALID_ID","OK"))</f>
        <v/>
      </c>
      <c r="L42" s="17" t="str">
        <f aca="false">IF(C42="","",IF(COUNTIF(Lists!$B$2:$B$5,C42)=0,"INVALID_OR_INACTIVE","OK"))</f>
        <v/>
      </c>
      <c r="M42" s="17" t="str">
        <f aca="false">IF(E42="","",IF(E42&gt;Inputs_Control!$B$12,"SUSPICIOUS",IF(E42&gt;Inputs_Control!$B$11,"OVERTIME","OK")))</f>
        <v/>
      </c>
      <c r="N42" s="17" t="str">
        <f aca="false">IF(OR(A42="",C42="",D42=""),"",IF(COUNTIFS($A:$A,A42,$C:$C,C42,$D:$D,D42)&gt;1,"DUPLICATE","OK"))</f>
        <v/>
      </c>
    </row>
    <row r="43" customFormat="false" ht="15" hidden="false" customHeight="true" outlineLevel="0" collapsed="false">
      <c r="A43" s="23"/>
      <c r="B43" s="16" t="str">
        <f aca="false">IF(A43="","",IFERROR(VLOOKUP(A43,Master_Lista!$A$4:$E$15,2,FALSE()),"INVALID_ID"))</f>
        <v/>
      </c>
      <c r="C43" s="23"/>
      <c r="D43" s="29"/>
      <c r="E43" s="30"/>
      <c r="F43" s="16" t="str">
        <f aca="false">IF(A43="","",IFERROR(VLOOKUP(A43,Master_Lista!$A$4:$E$15,3,FALSE()),"INVALID_ID"))</f>
        <v/>
      </c>
      <c r="G43" s="31" t="str">
        <f aca="false">IF(F43="","",IFERROR(VLOOKUP(F43,Pozicije!$A$4:$B$23,2,FALSE()),0))</f>
        <v/>
      </c>
      <c r="H43" s="24" t="str">
        <f aca="false">IF(OR(E43="",G43=""),"",E43*G43)</f>
        <v/>
      </c>
      <c r="I43" s="24" t="str">
        <f aca="false">IF(H43="","",H43*Inputs_Control!$B$10)</f>
        <v/>
      </c>
      <c r="J43" s="24" t="str">
        <f aca="false">IF(H43="","",H43+I43)</f>
        <v/>
      </c>
      <c r="K43" s="17" t="str">
        <f aca="false">IF(OR(A43="",B43=""),"",IF(B43="INVALID_ID","INVALID_ID","OK"))</f>
        <v/>
      </c>
      <c r="L43" s="17" t="str">
        <f aca="false">IF(C43="","",IF(COUNTIF(Lists!$B$2:$B$5,C43)=0,"INVALID_OR_INACTIVE","OK"))</f>
        <v/>
      </c>
      <c r="M43" s="17" t="str">
        <f aca="false">IF(E43="","",IF(E43&gt;Inputs_Control!$B$12,"SUSPICIOUS",IF(E43&gt;Inputs_Control!$B$11,"OVERTIME","OK")))</f>
        <v/>
      </c>
      <c r="N43" s="17" t="str">
        <f aca="false">IF(OR(A43="",C43="",D43=""),"",IF(COUNTIFS($A:$A,A43,$C:$C,C43,$D:$D,D43)&gt;1,"DUPLICATE","OK"))</f>
        <v/>
      </c>
    </row>
    <row r="44" customFormat="false" ht="15" hidden="false" customHeight="true" outlineLevel="0" collapsed="false">
      <c r="A44" s="23"/>
      <c r="B44" s="16" t="str">
        <f aca="false">IF(A44="","",IFERROR(VLOOKUP(A44,Master_Lista!$A$4:$E$15,2,FALSE()),"INVALID_ID"))</f>
        <v/>
      </c>
      <c r="C44" s="23"/>
      <c r="D44" s="29"/>
      <c r="E44" s="30"/>
      <c r="F44" s="16" t="str">
        <f aca="false">IF(A44="","",IFERROR(VLOOKUP(A44,Master_Lista!$A$4:$E$15,3,FALSE()),"INVALID_ID"))</f>
        <v/>
      </c>
      <c r="G44" s="31" t="str">
        <f aca="false">IF(F44="","",IFERROR(VLOOKUP(F44,Pozicije!$A$4:$B$23,2,FALSE()),0))</f>
        <v/>
      </c>
      <c r="H44" s="24" t="str">
        <f aca="false">IF(OR(E44="",G44=""),"",E44*G44)</f>
        <v/>
      </c>
      <c r="I44" s="24" t="str">
        <f aca="false">IF(H44="","",H44*Inputs_Control!$B$10)</f>
        <v/>
      </c>
      <c r="J44" s="24" t="str">
        <f aca="false">IF(H44="","",H44+I44)</f>
        <v/>
      </c>
      <c r="K44" s="17" t="str">
        <f aca="false">IF(OR(A44="",B44=""),"",IF(B44="INVALID_ID","INVALID_ID","OK"))</f>
        <v/>
      </c>
      <c r="L44" s="17" t="str">
        <f aca="false">IF(C44="","",IF(COUNTIF(Lists!$B$2:$B$5,C44)=0,"INVALID_OR_INACTIVE","OK"))</f>
        <v/>
      </c>
      <c r="M44" s="17" t="str">
        <f aca="false">IF(E44="","",IF(E44&gt;Inputs_Control!$B$12,"SUSPICIOUS",IF(E44&gt;Inputs_Control!$B$11,"OVERTIME","OK")))</f>
        <v/>
      </c>
      <c r="N44" s="17" t="str">
        <f aca="false">IF(OR(A44="",C44="",D44=""),"",IF(COUNTIFS($A:$A,A44,$C:$C,C44,$D:$D,D44)&gt;1,"DUPLICATE","OK"))</f>
        <v/>
      </c>
    </row>
    <row r="45" customFormat="false" ht="15" hidden="false" customHeight="true" outlineLevel="0" collapsed="false">
      <c r="A45" s="23"/>
      <c r="B45" s="16" t="str">
        <f aca="false">IF(A45="","",IFERROR(VLOOKUP(A45,Master_Lista!$A$4:$E$15,2,FALSE()),"INVALID_ID"))</f>
        <v/>
      </c>
      <c r="C45" s="23"/>
      <c r="D45" s="29"/>
      <c r="E45" s="30"/>
      <c r="F45" s="16" t="str">
        <f aca="false">IF(A45="","",IFERROR(VLOOKUP(A45,Master_Lista!$A$4:$E$15,3,FALSE()),"INVALID_ID"))</f>
        <v/>
      </c>
      <c r="G45" s="31" t="str">
        <f aca="false">IF(F45="","",IFERROR(VLOOKUP(F45,Pozicije!$A$4:$B$23,2,FALSE()),0))</f>
        <v/>
      </c>
      <c r="H45" s="24" t="str">
        <f aca="false">IF(OR(E45="",G45=""),"",E45*G45)</f>
        <v/>
      </c>
      <c r="I45" s="24" t="str">
        <f aca="false">IF(H45="","",H45*Inputs_Control!$B$10)</f>
        <v/>
      </c>
      <c r="J45" s="24" t="str">
        <f aca="false">IF(H45="","",H45+I45)</f>
        <v/>
      </c>
      <c r="K45" s="17" t="str">
        <f aca="false">IF(OR(A45="",B45=""),"",IF(B45="INVALID_ID","INVALID_ID","OK"))</f>
        <v/>
      </c>
      <c r="L45" s="17" t="str">
        <f aca="false">IF(C45="","",IF(COUNTIF(Lists!$B$2:$B$5,C45)=0,"INVALID_OR_INACTIVE","OK"))</f>
        <v/>
      </c>
      <c r="M45" s="17" t="str">
        <f aca="false">IF(E45="","",IF(E45&gt;Inputs_Control!$B$12,"SUSPICIOUS",IF(E45&gt;Inputs_Control!$B$11,"OVERTIME","OK")))</f>
        <v/>
      </c>
      <c r="N45" s="17" t="str">
        <f aca="false">IF(OR(A45="",C45="",D45=""),"",IF(COUNTIFS($A:$A,A45,$C:$C,C45,$D:$D,D45)&gt;1,"DUPLICATE","OK"))</f>
        <v/>
      </c>
    </row>
    <row r="46" customFormat="false" ht="15" hidden="false" customHeight="true" outlineLevel="0" collapsed="false">
      <c r="A46" s="23"/>
      <c r="B46" s="16" t="str">
        <f aca="false">IF(A46="","",IFERROR(VLOOKUP(A46,Master_Lista!$A$4:$E$15,2,FALSE()),"INVALID_ID"))</f>
        <v/>
      </c>
      <c r="C46" s="23"/>
      <c r="D46" s="29"/>
      <c r="E46" s="30"/>
      <c r="F46" s="16" t="str">
        <f aca="false">IF(A46="","",IFERROR(VLOOKUP(A46,Master_Lista!$A$4:$E$15,3,FALSE()),"INVALID_ID"))</f>
        <v/>
      </c>
      <c r="G46" s="31" t="str">
        <f aca="false">IF(F46="","",IFERROR(VLOOKUP(F46,Pozicije!$A$4:$B$23,2,FALSE()),0))</f>
        <v/>
      </c>
      <c r="H46" s="24" t="str">
        <f aca="false">IF(OR(E46="",G46=""),"",E46*G46)</f>
        <v/>
      </c>
      <c r="I46" s="24" t="str">
        <f aca="false">IF(H46="","",H46*Inputs_Control!$B$10)</f>
        <v/>
      </c>
      <c r="J46" s="24" t="str">
        <f aca="false">IF(H46="","",H46+I46)</f>
        <v/>
      </c>
      <c r="K46" s="17" t="str">
        <f aca="false">IF(OR(A46="",B46=""),"",IF(B46="INVALID_ID","INVALID_ID","OK"))</f>
        <v/>
      </c>
      <c r="L46" s="17" t="str">
        <f aca="false">IF(C46="","",IF(COUNTIF(Lists!$B$2:$B$5,C46)=0,"INVALID_OR_INACTIVE","OK"))</f>
        <v/>
      </c>
      <c r="M46" s="17" t="str">
        <f aca="false">IF(E46="","",IF(E46&gt;Inputs_Control!$B$12,"SUSPICIOUS",IF(E46&gt;Inputs_Control!$B$11,"OVERTIME","OK")))</f>
        <v/>
      </c>
      <c r="N46" s="17" t="str">
        <f aca="false">IF(OR(A46="",C46="",D46=""),"",IF(COUNTIFS($A:$A,A46,$C:$C,C46,$D:$D,D46)&gt;1,"DUPLICATE","OK"))</f>
        <v/>
      </c>
    </row>
    <row r="47" customFormat="false" ht="15" hidden="false" customHeight="true" outlineLevel="0" collapsed="false">
      <c r="A47" s="23"/>
      <c r="B47" s="16" t="str">
        <f aca="false">IF(A47="","",IFERROR(VLOOKUP(A47,Master_Lista!$A$4:$E$15,2,FALSE()),"INVALID_ID"))</f>
        <v/>
      </c>
      <c r="C47" s="23"/>
      <c r="D47" s="29"/>
      <c r="E47" s="30"/>
      <c r="F47" s="16" t="str">
        <f aca="false">IF(A47="","",IFERROR(VLOOKUP(A47,Master_Lista!$A$4:$E$15,3,FALSE()),"INVALID_ID"))</f>
        <v/>
      </c>
      <c r="G47" s="31" t="str">
        <f aca="false">IF(F47="","",IFERROR(VLOOKUP(F47,Pozicije!$A$4:$B$23,2,FALSE()),0))</f>
        <v/>
      </c>
      <c r="H47" s="24" t="str">
        <f aca="false">IF(OR(E47="",G47=""),"",E47*G47)</f>
        <v/>
      </c>
      <c r="I47" s="24" t="str">
        <f aca="false">IF(H47="","",H47*Inputs_Control!$B$10)</f>
        <v/>
      </c>
      <c r="J47" s="24" t="str">
        <f aca="false">IF(H47="","",H47+I47)</f>
        <v/>
      </c>
      <c r="K47" s="17" t="str">
        <f aca="false">IF(OR(A47="",B47=""),"",IF(B47="INVALID_ID","INVALID_ID","OK"))</f>
        <v/>
      </c>
      <c r="L47" s="17" t="str">
        <f aca="false">IF(C47="","",IF(COUNTIF(Lists!$B$2:$B$5,C47)=0,"INVALID_OR_INACTIVE","OK"))</f>
        <v/>
      </c>
      <c r="M47" s="17" t="str">
        <f aca="false">IF(E47="","",IF(E47&gt;Inputs_Control!$B$12,"SUSPICIOUS",IF(E47&gt;Inputs_Control!$B$11,"OVERTIME","OK")))</f>
        <v/>
      </c>
      <c r="N47" s="17" t="str">
        <f aca="false">IF(OR(A47="",C47="",D47=""),"",IF(COUNTIFS($A:$A,A47,$C:$C,C47,$D:$D,D47)&gt;1,"DUPLICATE","OK"))</f>
        <v/>
      </c>
    </row>
    <row r="48" customFormat="false" ht="15" hidden="false" customHeight="true" outlineLevel="0" collapsed="false">
      <c r="A48" s="23"/>
      <c r="B48" s="16" t="str">
        <f aca="false">IF(A48="","",IFERROR(VLOOKUP(A48,Master_Lista!$A$4:$E$15,2,FALSE()),"INVALID_ID"))</f>
        <v/>
      </c>
      <c r="C48" s="23"/>
      <c r="D48" s="29"/>
      <c r="E48" s="30"/>
      <c r="F48" s="16" t="str">
        <f aca="false">IF(A48="","",IFERROR(VLOOKUP(A48,Master_Lista!$A$4:$E$15,3,FALSE()),"INVALID_ID"))</f>
        <v/>
      </c>
      <c r="G48" s="31" t="str">
        <f aca="false">IF(F48="","",IFERROR(VLOOKUP(F48,Pozicije!$A$4:$B$23,2,FALSE()),0))</f>
        <v/>
      </c>
      <c r="H48" s="24" t="str">
        <f aca="false">IF(OR(E48="",G48=""),"",E48*G48)</f>
        <v/>
      </c>
      <c r="I48" s="24" t="str">
        <f aca="false">IF(H48="","",H48*Inputs_Control!$B$10)</f>
        <v/>
      </c>
      <c r="J48" s="24" t="str">
        <f aca="false">IF(H48="","",H48+I48)</f>
        <v/>
      </c>
      <c r="K48" s="17" t="str">
        <f aca="false">IF(OR(A48="",B48=""),"",IF(B48="INVALID_ID","INVALID_ID","OK"))</f>
        <v/>
      </c>
      <c r="L48" s="17" t="str">
        <f aca="false">IF(C48="","",IF(COUNTIF(Lists!$B$2:$B$5,C48)=0,"INVALID_OR_INACTIVE","OK"))</f>
        <v/>
      </c>
      <c r="M48" s="17" t="str">
        <f aca="false">IF(E48="","",IF(E48&gt;Inputs_Control!$B$12,"SUSPICIOUS",IF(E48&gt;Inputs_Control!$B$11,"OVERTIME","OK")))</f>
        <v/>
      </c>
      <c r="N48" s="17" t="str">
        <f aca="false">IF(OR(A48="",C48="",D48=""),"",IF(COUNTIFS($A:$A,A48,$C:$C,C48,$D:$D,D48)&gt;1,"DUPLICATE","OK"))</f>
        <v/>
      </c>
    </row>
    <row r="49" customFormat="false" ht="15" hidden="false" customHeight="true" outlineLevel="0" collapsed="false">
      <c r="A49" s="23"/>
      <c r="B49" s="16" t="str">
        <f aca="false">IF(A49="","",IFERROR(VLOOKUP(A49,Master_Lista!$A$4:$E$15,2,FALSE()),"INVALID_ID"))</f>
        <v/>
      </c>
      <c r="C49" s="23"/>
      <c r="D49" s="29"/>
      <c r="E49" s="30"/>
      <c r="F49" s="16" t="str">
        <f aca="false">IF(A49="","",IFERROR(VLOOKUP(A49,Master_Lista!$A$4:$E$15,3,FALSE()),"INVALID_ID"))</f>
        <v/>
      </c>
      <c r="G49" s="31" t="str">
        <f aca="false">IF(F49="","",IFERROR(VLOOKUP(F49,Pozicije!$A$4:$B$23,2,FALSE()),0))</f>
        <v/>
      </c>
      <c r="H49" s="24" t="str">
        <f aca="false">IF(OR(E49="",G49=""),"",E49*G49)</f>
        <v/>
      </c>
      <c r="I49" s="24" t="str">
        <f aca="false">IF(H49="","",H49*Inputs_Control!$B$10)</f>
        <v/>
      </c>
      <c r="J49" s="24" t="str">
        <f aca="false">IF(H49="","",H49+I49)</f>
        <v/>
      </c>
      <c r="K49" s="17" t="str">
        <f aca="false">IF(OR(A49="",B49=""),"",IF(B49="INVALID_ID","INVALID_ID","OK"))</f>
        <v/>
      </c>
      <c r="L49" s="17" t="str">
        <f aca="false">IF(C49="","",IF(COUNTIF(Lists!$B$2:$B$5,C49)=0,"INVALID_OR_INACTIVE","OK"))</f>
        <v/>
      </c>
      <c r="M49" s="17" t="str">
        <f aca="false">IF(E49="","",IF(E49&gt;Inputs_Control!$B$12,"SUSPICIOUS",IF(E49&gt;Inputs_Control!$B$11,"OVERTIME","OK")))</f>
        <v/>
      </c>
      <c r="N49" s="17" t="str">
        <f aca="false">IF(OR(A49="",C49="",D49=""),"",IF(COUNTIFS($A:$A,A49,$C:$C,C49,$D:$D,D49)&gt;1,"DUPLICATE","OK"))</f>
        <v/>
      </c>
    </row>
    <row r="50" customFormat="false" ht="15" hidden="false" customHeight="true" outlineLevel="0" collapsed="false">
      <c r="A50" s="23"/>
      <c r="B50" s="16" t="str">
        <f aca="false">IF(A50="","",IFERROR(VLOOKUP(A50,Master_Lista!$A$4:$E$15,2,FALSE()),"INVALID_ID"))</f>
        <v/>
      </c>
      <c r="C50" s="23"/>
      <c r="D50" s="29"/>
      <c r="E50" s="30"/>
      <c r="F50" s="16" t="str">
        <f aca="false">IF(A50="","",IFERROR(VLOOKUP(A50,Master_Lista!$A$4:$E$15,3,FALSE()),"INVALID_ID"))</f>
        <v/>
      </c>
      <c r="G50" s="31" t="str">
        <f aca="false">IF(F50="","",IFERROR(VLOOKUP(F50,Pozicije!$A$4:$B$23,2,FALSE()),0))</f>
        <v/>
      </c>
      <c r="H50" s="24" t="str">
        <f aca="false">IF(OR(E50="",G50=""),"",E50*G50)</f>
        <v/>
      </c>
      <c r="I50" s="24" t="str">
        <f aca="false">IF(H50="","",H50*Inputs_Control!$B$10)</f>
        <v/>
      </c>
      <c r="J50" s="24" t="str">
        <f aca="false">IF(H50="","",H50+I50)</f>
        <v/>
      </c>
      <c r="K50" s="17" t="str">
        <f aca="false">IF(OR(A50="",B50=""),"",IF(B50="INVALID_ID","INVALID_ID","OK"))</f>
        <v/>
      </c>
      <c r="L50" s="17" t="str">
        <f aca="false">IF(C50="","",IF(COUNTIF(Lists!$B$2:$B$5,C50)=0,"INVALID_OR_INACTIVE","OK"))</f>
        <v/>
      </c>
      <c r="M50" s="17" t="str">
        <f aca="false">IF(E50="","",IF(E50&gt;Inputs_Control!$B$12,"SUSPICIOUS",IF(E50&gt;Inputs_Control!$B$11,"OVERTIME","OK")))</f>
        <v/>
      </c>
      <c r="N50" s="17" t="str">
        <f aca="false">IF(OR(A50="",C50="",D50=""),"",IF(COUNTIFS($A:$A,A50,$C:$C,C50,$D:$D,D50)&gt;1,"DUPLICATE","OK"))</f>
        <v/>
      </c>
    </row>
    <row r="51" customFormat="false" ht="15" hidden="false" customHeight="true" outlineLevel="0" collapsed="false">
      <c r="A51" s="23"/>
      <c r="B51" s="16" t="str">
        <f aca="false">IF(A51="","",IFERROR(VLOOKUP(A51,Master_Lista!$A$4:$E$15,2,FALSE()),"INVALID_ID"))</f>
        <v/>
      </c>
      <c r="C51" s="23"/>
      <c r="D51" s="29"/>
      <c r="E51" s="30"/>
      <c r="F51" s="16" t="str">
        <f aca="false">IF(A51="","",IFERROR(VLOOKUP(A51,Master_Lista!$A$4:$E$15,3,FALSE()),"INVALID_ID"))</f>
        <v/>
      </c>
      <c r="G51" s="31" t="str">
        <f aca="false">IF(F51="","",IFERROR(VLOOKUP(F51,Pozicije!$A$4:$B$23,2,FALSE()),0))</f>
        <v/>
      </c>
      <c r="H51" s="24" t="str">
        <f aca="false">IF(OR(E51="",G51=""),"",E51*G51)</f>
        <v/>
      </c>
      <c r="I51" s="24" t="str">
        <f aca="false">IF(H51="","",H51*Inputs_Control!$B$10)</f>
        <v/>
      </c>
      <c r="J51" s="24" t="str">
        <f aca="false">IF(H51="","",H51+I51)</f>
        <v/>
      </c>
      <c r="K51" s="17" t="str">
        <f aca="false">IF(OR(A51="",B51=""),"",IF(B51="INVALID_ID","INVALID_ID","OK"))</f>
        <v/>
      </c>
      <c r="L51" s="17" t="str">
        <f aca="false">IF(C51="","",IF(COUNTIF(Lists!$B$2:$B$5,C51)=0,"INVALID_OR_INACTIVE","OK"))</f>
        <v/>
      </c>
      <c r="M51" s="17" t="str">
        <f aca="false">IF(E51="","",IF(E51&gt;Inputs_Control!$B$12,"SUSPICIOUS",IF(E51&gt;Inputs_Control!$B$11,"OVERTIME","OK")))</f>
        <v/>
      </c>
      <c r="N51" s="17" t="str">
        <f aca="false">IF(OR(A51="",C51="",D51=""),"",IF(COUNTIFS($A:$A,A51,$C:$C,C51,$D:$D,D51)&gt;1,"DUPLICATE","OK"))</f>
        <v/>
      </c>
    </row>
    <row r="52" customFormat="false" ht="15" hidden="false" customHeight="true" outlineLevel="0" collapsed="false">
      <c r="A52" s="23"/>
      <c r="B52" s="16" t="str">
        <f aca="false">IF(A52="","",IFERROR(VLOOKUP(A52,Master_Lista!$A$4:$E$15,2,FALSE()),"INVALID_ID"))</f>
        <v/>
      </c>
      <c r="C52" s="23"/>
      <c r="D52" s="29"/>
      <c r="E52" s="30"/>
      <c r="F52" s="16" t="str">
        <f aca="false">IF(A52="","",IFERROR(VLOOKUP(A52,Master_Lista!$A$4:$E$15,3,FALSE()),"INVALID_ID"))</f>
        <v/>
      </c>
      <c r="G52" s="31" t="str">
        <f aca="false">IF(F52="","",IFERROR(VLOOKUP(F52,Pozicije!$A$4:$B$23,2,FALSE()),0))</f>
        <v/>
      </c>
      <c r="H52" s="24" t="str">
        <f aca="false">IF(OR(E52="",G52=""),"",E52*G52)</f>
        <v/>
      </c>
      <c r="I52" s="24" t="str">
        <f aca="false">IF(H52="","",H52*Inputs_Control!$B$10)</f>
        <v/>
      </c>
      <c r="J52" s="24" t="str">
        <f aca="false">IF(H52="","",H52+I52)</f>
        <v/>
      </c>
      <c r="K52" s="17" t="str">
        <f aca="false">IF(OR(A52="",B52=""),"",IF(B52="INVALID_ID","INVALID_ID","OK"))</f>
        <v/>
      </c>
      <c r="L52" s="17" t="str">
        <f aca="false">IF(C52="","",IF(COUNTIF(Lists!$B$2:$B$5,C52)=0,"INVALID_OR_INACTIVE","OK"))</f>
        <v/>
      </c>
      <c r="M52" s="17" t="str">
        <f aca="false">IF(E52="","",IF(E52&gt;Inputs_Control!$B$12,"SUSPICIOUS",IF(E52&gt;Inputs_Control!$B$11,"OVERTIME","OK")))</f>
        <v/>
      </c>
      <c r="N52" s="17" t="str">
        <f aca="false">IF(OR(A52="",C52="",D52=""),"",IF(COUNTIFS($A:$A,A52,$C:$C,C52,$D:$D,D52)&gt;1,"DUPLICATE","OK"))</f>
        <v/>
      </c>
    </row>
    <row r="53" customFormat="false" ht="15" hidden="false" customHeight="true" outlineLevel="0" collapsed="false">
      <c r="A53" s="23"/>
      <c r="B53" s="16" t="str">
        <f aca="false">IF(A53="","",IFERROR(VLOOKUP(A53,Master_Lista!$A$4:$E$15,2,FALSE()),"INVALID_ID"))</f>
        <v/>
      </c>
      <c r="C53" s="23"/>
      <c r="D53" s="29"/>
      <c r="E53" s="30"/>
      <c r="F53" s="16" t="str">
        <f aca="false">IF(A53="","",IFERROR(VLOOKUP(A53,Master_Lista!$A$4:$E$15,3,FALSE()),"INVALID_ID"))</f>
        <v/>
      </c>
      <c r="G53" s="31" t="str">
        <f aca="false">IF(F53="","",IFERROR(VLOOKUP(F53,Pozicije!$A$4:$B$23,2,FALSE()),0))</f>
        <v/>
      </c>
      <c r="H53" s="24" t="str">
        <f aca="false">IF(OR(E53="",G53=""),"",E53*G53)</f>
        <v/>
      </c>
      <c r="I53" s="24" t="str">
        <f aca="false">IF(H53="","",H53*Inputs_Control!$B$10)</f>
        <v/>
      </c>
      <c r="J53" s="24" t="str">
        <f aca="false">IF(H53="","",H53+I53)</f>
        <v/>
      </c>
      <c r="K53" s="17" t="str">
        <f aca="false">IF(OR(A53="",B53=""),"",IF(B53="INVALID_ID","INVALID_ID","OK"))</f>
        <v/>
      </c>
      <c r="L53" s="17" t="str">
        <f aca="false">IF(C53="","",IF(COUNTIF(Lists!$B$2:$B$5,C53)=0,"INVALID_OR_INACTIVE","OK"))</f>
        <v/>
      </c>
      <c r="M53" s="17" t="str">
        <f aca="false">IF(E53="","",IF(E53&gt;Inputs_Control!$B$12,"SUSPICIOUS",IF(E53&gt;Inputs_Control!$B$11,"OVERTIME","OK")))</f>
        <v/>
      </c>
      <c r="N53" s="17" t="str">
        <f aca="false">IF(OR(A53="",C53="",D53=""),"",IF(COUNTIFS($A:$A,A53,$C:$C,C53,$D:$D,D53)&gt;1,"DUPLICATE","OK"))</f>
        <v/>
      </c>
    </row>
    <row r="54" customFormat="false" ht="15" hidden="false" customHeight="true" outlineLevel="0" collapsed="false">
      <c r="A54" s="23"/>
      <c r="B54" s="16" t="str">
        <f aca="false">IF(A54="","",IFERROR(VLOOKUP(A54,Master_Lista!$A$4:$E$15,2,FALSE()),"INVALID_ID"))</f>
        <v/>
      </c>
      <c r="C54" s="23"/>
      <c r="D54" s="29"/>
      <c r="E54" s="30"/>
      <c r="F54" s="16" t="str">
        <f aca="false">IF(A54="","",IFERROR(VLOOKUP(A54,Master_Lista!$A$4:$E$15,3,FALSE()),"INVALID_ID"))</f>
        <v/>
      </c>
      <c r="G54" s="31" t="str">
        <f aca="false">IF(F54="","",IFERROR(VLOOKUP(F54,Pozicije!$A$4:$B$23,2,FALSE()),0))</f>
        <v/>
      </c>
      <c r="H54" s="24" t="str">
        <f aca="false">IF(OR(E54="",G54=""),"",E54*G54)</f>
        <v/>
      </c>
      <c r="I54" s="24" t="str">
        <f aca="false">IF(H54="","",H54*Inputs_Control!$B$10)</f>
        <v/>
      </c>
      <c r="J54" s="24" t="str">
        <f aca="false">IF(H54="","",H54+I54)</f>
        <v/>
      </c>
      <c r="K54" s="17" t="str">
        <f aca="false">IF(OR(A54="",B54=""),"",IF(B54="INVALID_ID","INVALID_ID","OK"))</f>
        <v/>
      </c>
      <c r="L54" s="17" t="str">
        <f aca="false">IF(C54="","",IF(COUNTIF(Lists!$B$2:$B$5,C54)=0,"INVALID_OR_INACTIVE","OK"))</f>
        <v/>
      </c>
      <c r="M54" s="17" t="str">
        <f aca="false">IF(E54="","",IF(E54&gt;Inputs_Control!$B$12,"SUSPICIOUS",IF(E54&gt;Inputs_Control!$B$11,"OVERTIME","OK")))</f>
        <v/>
      </c>
      <c r="N54" s="17" t="str">
        <f aca="false">IF(OR(A54="",C54="",D54=""),"",IF(COUNTIFS($A:$A,A54,$C:$C,C54,$D:$D,D54)&gt;1,"DUPLICATE","OK"))</f>
        <v/>
      </c>
    </row>
    <row r="55" customFormat="false" ht="15" hidden="false" customHeight="true" outlineLevel="0" collapsed="false">
      <c r="A55" s="23"/>
      <c r="B55" s="16" t="str">
        <f aca="false">IF(A55="","",IFERROR(VLOOKUP(A55,Master_Lista!$A$4:$E$15,2,FALSE()),"INVALID_ID"))</f>
        <v/>
      </c>
      <c r="C55" s="23"/>
      <c r="D55" s="29"/>
      <c r="E55" s="30"/>
      <c r="F55" s="16" t="str">
        <f aca="false">IF(A55="","",IFERROR(VLOOKUP(A55,Master_Lista!$A$4:$E$15,3,FALSE()),"INVALID_ID"))</f>
        <v/>
      </c>
      <c r="G55" s="31" t="str">
        <f aca="false">IF(F55="","",IFERROR(VLOOKUP(F55,Pozicije!$A$4:$B$23,2,FALSE()),0))</f>
        <v/>
      </c>
      <c r="H55" s="24" t="str">
        <f aca="false">IF(OR(E55="",G55=""),"",E55*G55)</f>
        <v/>
      </c>
      <c r="I55" s="24" t="str">
        <f aca="false">IF(H55="","",H55*Inputs_Control!$B$10)</f>
        <v/>
      </c>
      <c r="J55" s="24" t="str">
        <f aca="false">IF(H55="","",H55+I55)</f>
        <v/>
      </c>
      <c r="K55" s="17" t="str">
        <f aca="false">IF(OR(A55="",B55=""),"",IF(B55="INVALID_ID","INVALID_ID","OK"))</f>
        <v/>
      </c>
      <c r="L55" s="17" t="str">
        <f aca="false">IF(C55="","",IF(COUNTIF(Lists!$B$2:$B$5,C55)=0,"INVALID_OR_INACTIVE","OK"))</f>
        <v/>
      </c>
      <c r="M55" s="17" t="str">
        <f aca="false">IF(E55="","",IF(E55&gt;Inputs_Control!$B$12,"SUSPICIOUS",IF(E55&gt;Inputs_Control!$B$11,"OVERTIME","OK")))</f>
        <v/>
      </c>
      <c r="N55" s="17" t="str">
        <f aca="false">IF(OR(A55="",C55="",D55=""),"",IF(COUNTIFS($A:$A,A55,$C:$C,C55,$D:$D,D55)&gt;1,"DUPLICATE","OK"))</f>
        <v/>
      </c>
    </row>
    <row r="56" customFormat="false" ht="15" hidden="false" customHeight="true" outlineLevel="0" collapsed="false">
      <c r="A56" s="23"/>
      <c r="B56" s="16" t="str">
        <f aca="false">IF(A56="","",IFERROR(VLOOKUP(A56,Master_Lista!$A$4:$E$15,2,FALSE()),"INVALID_ID"))</f>
        <v/>
      </c>
      <c r="C56" s="23"/>
      <c r="D56" s="29"/>
      <c r="E56" s="30"/>
      <c r="F56" s="16" t="str">
        <f aca="false">IF(A56="","",IFERROR(VLOOKUP(A56,Master_Lista!$A$4:$E$15,3,FALSE()),"INVALID_ID"))</f>
        <v/>
      </c>
      <c r="G56" s="31" t="str">
        <f aca="false">IF(F56="","",IFERROR(VLOOKUP(F56,Pozicije!$A$4:$B$23,2,FALSE()),0))</f>
        <v/>
      </c>
      <c r="H56" s="24" t="str">
        <f aca="false">IF(OR(E56="",G56=""),"",E56*G56)</f>
        <v/>
      </c>
      <c r="I56" s="24" t="str">
        <f aca="false">IF(H56="","",H56*Inputs_Control!$B$10)</f>
        <v/>
      </c>
      <c r="J56" s="24" t="str">
        <f aca="false">IF(H56="","",H56+I56)</f>
        <v/>
      </c>
      <c r="K56" s="17" t="str">
        <f aca="false">IF(OR(A56="",B56=""),"",IF(B56="INVALID_ID","INVALID_ID","OK"))</f>
        <v/>
      </c>
      <c r="L56" s="17" t="str">
        <f aca="false">IF(C56="","",IF(COUNTIF(Lists!$B$2:$B$5,C56)=0,"INVALID_OR_INACTIVE","OK"))</f>
        <v/>
      </c>
      <c r="M56" s="17" t="str">
        <f aca="false">IF(E56="","",IF(E56&gt;Inputs_Control!$B$12,"SUSPICIOUS",IF(E56&gt;Inputs_Control!$B$11,"OVERTIME","OK")))</f>
        <v/>
      </c>
      <c r="N56" s="17" t="str">
        <f aca="false">IF(OR(A56="",C56="",D56=""),"",IF(COUNTIFS($A:$A,A56,$C:$C,C56,$D:$D,D56)&gt;1,"DUPLICATE","OK"))</f>
        <v/>
      </c>
    </row>
    <row r="57" customFormat="false" ht="15" hidden="false" customHeight="true" outlineLevel="0" collapsed="false">
      <c r="A57" s="23"/>
      <c r="B57" s="16" t="str">
        <f aca="false">IF(A57="","",IFERROR(VLOOKUP(A57,Master_Lista!$A$4:$E$15,2,FALSE()),"INVALID_ID"))</f>
        <v/>
      </c>
      <c r="C57" s="23"/>
      <c r="D57" s="29"/>
      <c r="E57" s="30"/>
      <c r="F57" s="16" t="str">
        <f aca="false">IF(A57="","",IFERROR(VLOOKUP(A57,Master_Lista!$A$4:$E$15,3,FALSE()),"INVALID_ID"))</f>
        <v/>
      </c>
      <c r="G57" s="31" t="str">
        <f aca="false">IF(F57="","",IFERROR(VLOOKUP(F57,Pozicije!$A$4:$B$23,2,FALSE()),0))</f>
        <v/>
      </c>
      <c r="H57" s="24" t="str">
        <f aca="false">IF(OR(E57="",G57=""),"",E57*G57)</f>
        <v/>
      </c>
      <c r="I57" s="24" t="str">
        <f aca="false">IF(H57="","",H57*Inputs_Control!$B$10)</f>
        <v/>
      </c>
      <c r="J57" s="24" t="str">
        <f aca="false">IF(H57="","",H57+I57)</f>
        <v/>
      </c>
      <c r="K57" s="17" t="str">
        <f aca="false">IF(OR(A57="",B57=""),"",IF(B57="INVALID_ID","INVALID_ID","OK"))</f>
        <v/>
      </c>
      <c r="L57" s="17" t="str">
        <f aca="false">IF(C57="","",IF(COUNTIF(Lists!$B$2:$B$5,C57)=0,"INVALID_OR_INACTIVE","OK"))</f>
        <v/>
      </c>
      <c r="M57" s="17" t="str">
        <f aca="false">IF(E57="","",IF(E57&gt;Inputs_Control!$B$12,"SUSPICIOUS",IF(E57&gt;Inputs_Control!$B$11,"OVERTIME","OK")))</f>
        <v/>
      </c>
      <c r="N57" s="17" t="str">
        <f aca="false">IF(OR(A57="",C57="",D57=""),"",IF(COUNTIFS($A:$A,A57,$C:$C,C57,$D:$D,D57)&gt;1,"DUPLICATE","OK"))</f>
        <v/>
      </c>
    </row>
    <row r="58" customFormat="false" ht="15" hidden="false" customHeight="true" outlineLevel="0" collapsed="false">
      <c r="A58" s="23"/>
      <c r="B58" s="16" t="str">
        <f aca="false">IF(A58="","",IFERROR(VLOOKUP(A58,Master_Lista!$A$4:$E$15,2,FALSE()),"INVALID_ID"))</f>
        <v/>
      </c>
      <c r="C58" s="23"/>
      <c r="D58" s="29"/>
      <c r="E58" s="30"/>
      <c r="F58" s="16" t="str">
        <f aca="false">IF(A58="","",IFERROR(VLOOKUP(A58,Master_Lista!$A$4:$E$15,3,FALSE()),"INVALID_ID"))</f>
        <v/>
      </c>
      <c r="G58" s="31" t="str">
        <f aca="false">IF(F58="","",IFERROR(VLOOKUP(F58,Pozicije!$A$4:$B$23,2,FALSE()),0))</f>
        <v/>
      </c>
      <c r="H58" s="24" t="str">
        <f aca="false">IF(OR(E58="",G58=""),"",E58*G58)</f>
        <v/>
      </c>
      <c r="I58" s="24" t="str">
        <f aca="false">IF(H58="","",H58*Inputs_Control!$B$10)</f>
        <v/>
      </c>
      <c r="J58" s="24" t="str">
        <f aca="false">IF(H58="","",H58+I58)</f>
        <v/>
      </c>
      <c r="K58" s="17" t="str">
        <f aca="false">IF(OR(A58="",B58=""),"",IF(B58="INVALID_ID","INVALID_ID","OK"))</f>
        <v/>
      </c>
      <c r="L58" s="17" t="str">
        <f aca="false">IF(C58="","",IF(COUNTIF(Lists!$B$2:$B$5,C58)=0,"INVALID_OR_INACTIVE","OK"))</f>
        <v/>
      </c>
      <c r="M58" s="17" t="str">
        <f aca="false">IF(E58="","",IF(E58&gt;Inputs_Control!$B$12,"SUSPICIOUS",IF(E58&gt;Inputs_Control!$B$11,"OVERTIME","OK")))</f>
        <v/>
      </c>
      <c r="N58" s="17" t="str">
        <f aca="false">IF(OR(A58="",C58="",D58=""),"",IF(COUNTIFS($A:$A,A58,$C:$C,C58,$D:$D,D58)&gt;1,"DUPLICATE","OK"))</f>
        <v/>
      </c>
    </row>
    <row r="59" customFormat="false" ht="15" hidden="false" customHeight="true" outlineLevel="0" collapsed="false">
      <c r="A59" s="23"/>
      <c r="B59" s="16" t="str">
        <f aca="false">IF(A59="","",IFERROR(VLOOKUP(A59,Master_Lista!$A$4:$E$15,2,FALSE()),"INVALID_ID"))</f>
        <v/>
      </c>
      <c r="C59" s="23"/>
      <c r="D59" s="29"/>
      <c r="E59" s="30"/>
      <c r="F59" s="16" t="str">
        <f aca="false">IF(A59="","",IFERROR(VLOOKUP(A59,Master_Lista!$A$4:$E$15,3,FALSE()),"INVALID_ID"))</f>
        <v/>
      </c>
      <c r="G59" s="31" t="str">
        <f aca="false">IF(F59="","",IFERROR(VLOOKUP(F59,Pozicije!$A$4:$B$23,2,FALSE()),0))</f>
        <v/>
      </c>
      <c r="H59" s="24" t="str">
        <f aca="false">IF(OR(E59="",G59=""),"",E59*G59)</f>
        <v/>
      </c>
      <c r="I59" s="24" t="str">
        <f aca="false">IF(H59="","",H59*Inputs_Control!$B$10)</f>
        <v/>
      </c>
      <c r="J59" s="24" t="str">
        <f aca="false">IF(H59="","",H59+I59)</f>
        <v/>
      </c>
      <c r="K59" s="17" t="str">
        <f aca="false">IF(OR(A59="",B59=""),"",IF(B59="INVALID_ID","INVALID_ID","OK"))</f>
        <v/>
      </c>
      <c r="L59" s="17" t="str">
        <f aca="false">IF(C59="","",IF(COUNTIF(Lists!$B$2:$B$5,C59)=0,"INVALID_OR_INACTIVE","OK"))</f>
        <v/>
      </c>
      <c r="M59" s="17" t="str">
        <f aca="false">IF(E59="","",IF(E59&gt;Inputs_Control!$B$12,"SUSPICIOUS",IF(E59&gt;Inputs_Control!$B$11,"OVERTIME","OK")))</f>
        <v/>
      </c>
      <c r="N59" s="17" t="str">
        <f aca="false">IF(OR(A59="",C59="",D59=""),"",IF(COUNTIFS($A:$A,A59,$C:$C,C59,$D:$D,D59)&gt;1,"DUPLICATE","OK"))</f>
        <v/>
      </c>
    </row>
    <row r="60" customFormat="false" ht="15" hidden="false" customHeight="true" outlineLevel="0" collapsed="false">
      <c r="A60" s="23"/>
      <c r="B60" s="16" t="str">
        <f aca="false">IF(A60="","",IFERROR(VLOOKUP(A60,Master_Lista!$A$4:$E$15,2,FALSE()),"INVALID_ID"))</f>
        <v/>
      </c>
      <c r="C60" s="23"/>
      <c r="D60" s="29"/>
      <c r="E60" s="30"/>
      <c r="F60" s="16" t="str">
        <f aca="false">IF(A60="","",IFERROR(VLOOKUP(A60,Master_Lista!$A$4:$E$15,3,FALSE()),"INVALID_ID"))</f>
        <v/>
      </c>
      <c r="G60" s="31" t="str">
        <f aca="false">IF(F60="","",IFERROR(VLOOKUP(F60,Pozicije!$A$4:$B$23,2,FALSE()),0))</f>
        <v/>
      </c>
      <c r="H60" s="24" t="str">
        <f aca="false">IF(OR(E60="",G60=""),"",E60*G60)</f>
        <v/>
      </c>
      <c r="I60" s="24" t="str">
        <f aca="false">IF(H60="","",H60*Inputs_Control!$B$10)</f>
        <v/>
      </c>
      <c r="J60" s="24" t="str">
        <f aca="false">IF(H60="","",H60+I60)</f>
        <v/>
      </c>
      <c r="K60" s="17" t="str">
        <f aca="false">IF(OR(A60="",B60=""),"",IF(B60="INVALID_ID","INVALID_ID","OK"))</f>
        <v/>
      </c>
      <c r="L60" s="17" t="str">
        <f aca="false">IF(C60="","",IF(COUNTIF(Lists!$B$2:$B$5,C60)=0,"INVALID_OR_INACTIVE","OK"))</f>
        <v/>
      </c>
      <c r="M60" s="17" t="str">
        <f aca="false">IF(E60="","",IF(E60&gt;Inputs_Control!$B$12,"SUSPICIOUS",IF(E60&gt;Inputs_Control!$B$11,"OVERTIME","OK")))</f>
        <v/>
      </c>
      <c r="N60" s="17" t="str">
        <f aca="false">IF(OR(A60="",C60="",D60=""),"",IF(COUNTIFS($A:$A,A60,$C:$C,C60,$D:$D,D60)&gt;1,"DUPLICATE","OK"))</f>
        <v/>
      </c>
    </row>
    <row r="61" customFormat="false" ht="15" hidden="false" customHeight="true" outlineLevel="0" collapsed="false">
      <c r="A61" s="23"/>
      <c r="B61" s="16" t="str">
        <f aca="false">IF(A61="","",IFERROR(VLOOKUP(A61,Master_Lista!$A$4:$E$15,2,FALSE()),"INVALID_ID"))</f>
        <v/>
      </c>
      <c r="C61" s="23"/>
      <c r="D61" s="29"/>
      <c r="E61" s="30"/>
      <c r="F61" s="16" t="str">
        <f aca="false">IF(A61="","",IFERROR(VLOOKUP(A61,Master_Lista!$A$4:$E$15,3,FALSE()),"INVALID_ID"))</f>
        <v/>
      </c>
      <c r="G61" s="31" t="str">
        <f aca="false">IF(F61="","",IFERROR(VLOOKUP(F61,Pozicije!$A$4:$B$23,2,FALSE()),0))</f>
        <v/>
      </c>
      <c r="H61" s="24" t="str">
        <f aca="false">IF(OR(E61="",G61=""),"",E61*G61)</f>
        <v/>
      </c>
      <c r="I61" s="24" t="str">
        <f aca="false">IF(H61="","",H61*Inputs_Control!$B$10)</f>
        <v/>
      </c>
      <c r="J61" s="24" t="str">
        <f aca="false">IF(H61="","",H61+I61)</f>
        <v/>
      </c>
      <c r="K61" s="17" t="str">
        <f aca="false">IF(OR(A61="",B61=""),"",IF(B61="INVALID_ID","INVALID_ID","OK"))</f>
        <v/>
      </c>
      <c r="L61" s="17" t="str">
        <f aca="false">IF(C61="","",IF(COUNTIF(Lists!$B$2:$B$5,C61)=0,"INVALID_OR_INACTIVE","OK"))</f>
        <v/>
      </c>
      <c r="M61" s="17" t="str">
        <f aca="false">IF(E61="","",IF(E61&gt;Inputs_Control!$B$12,"SUSPICIOUS",IF(E61&gt;Inputs_Control!$B$11,"OVERTIME","OK")))</f>
        <v/>
      </c>
      <c r="N61" s="17" t="str">
        <f aca="false">IF(OR(A61="",C61="",D61=""),"",IF(COUNTIFS($A:$A,A61,$C:$C,C61,$D:$D,D61)&gt;1,"DUPLICATE","OK"))</f>
        <v/>
      </c>
    </row>
    <row r="62" customFormat="false" ht="15" hidden="false" customHeight="true" outlineLevel="0" collapsed="false">
      <c r="A62" s="23"/>
      <c r="B62" s="16" t="str">
        <f aca="false">IF(A62="","",IFERROR(VLOOKUP(A62,Master_Lista!$A$4:$E$15,2,FALSE()),"INVALID_ID"))</f>
        <v/>
      </c>
      <c r="C62" s="23"/>
      <c r="D62" s="29"/>
      <c r="E62" s="30"/>
      <c r="F62" s="16" t="str">
        <f aca="false">IF(A62="","",IFERROR(VLOOKUP(A62,Master_Lista!$A$4:$E$15,3,FALSE()),"INVALID_ID"))</f>
        <v/>
      </c>
      <c r="G62" s="31" t="str">
        <f aca="false">IF(F62="","",IFERROR(VLOOKUP(F62,Pozicije!$A$4:$B$23,2,FALSE()),0))</f>
        <v/>
      </c>
      <c r="H62" s="24" t="str">
        <f aca="false">IF(OR(E62="",G62=""),"",E62*G62)</f>
        <v/>
      </c>
      <c r="I62" s="24" t="str">
        <f aca="false">IF(H62="","",H62*Inputs_Control!$B$10)</f>
        <v/>
      </c>
      <c r="J62" s="24" t="str">
        <f aca="false">IF(H62="","",H62+I62)</f>
        <v/>
      </c>
      <c r="K62" s="17" t="str">
        <f aca="false">IF(OR(A62="",B62=""),"",IF(B62="INVALID_ID","INVALID_ID","OK"))</f>
        <v/>
      </c>
      <c r="L62" s="17" t="str">
        <f aca="false">IF(C62="","",IF(COUNTIF(Lists!$B$2:$B$5,C62)=0,"INVALID_OR_INACTIVE","OK"))</f>
        <v/>
      </c>
      <c r="M62" s="17" t="str">
        <f aca="false">IF(E62="","",IF(E62&gt;Inputs_Control!$B$12,"SUSPICIOUS",IF(E62&gt;Inputs_Control!$B$11,"OVERTIME","OK")))</f>
        <v/>
      </c>
      <c r="N62" s="17" t="str">
        <f aca="false">IF(OR(A62="",C62="",D62=""),"",IF(COUNTIFS($A:$A,A62,$C:$C,C62,$D:$D,D62)&gt;1,"DUPLICATE","OK"))</f>
        <v/>
      </c>
    </row>
    <row r="63" customFormat="false" ht="15" hidden="false" customHeight="true" outlineLevel="0" collapsed="false">
      <c r="A63" s="23"/>
      <c r="B63" s="16" t="str">
        <f aca="false">IF(A63="","",IFERROR(VLOOKUP(A63,Master_Lista!$A$4:$E$15,2,FALSE()),"INVALID_ID"))</f>
        <v/>
      </c>
      <c r="C63" s="23"/>
      <c r="D63" s="29"/>
      <c r="E63" s="30"/>
      <c r="F63" s="16" t="str">
        <f aca="false">IF(A63="","",IFERROR(VLOOKUP(A63,Master_Lista!$A$4:$E$15,3,FALSE()),"INVALID_ID"))</f>
        <v/>
      </c>
      <c r="G63" s="31" t="str">
        <f aca="false">IF(F63="","",IFERROR(VLOOKUP(F63,Pozicije!$A$4:$B$23,2,FALSE()),0))</f>
        <v/>
      </c>
      <c r="H63" s="24" t="str">
        <f aca="false">IF(OR(E63="",G63=""),"",E63*G63)</f>
        <v/>
      </c>
      <c r="I63" s="24" t="str">
        <f aca="false">IF(H63="","",H63*Inputs_Control!$B$10)</f>
        <v/>
      </c>
      <c r="J63" s="24" t="str">
        <f aca="false">IF(H63="","",H63+I63)</f>
        <v/>
      </c>
      <c r="K63" s="17" t="str">
        <f aca="false">IF(OR(A63="",B63=""),"",IF(B63="INVALID_ID","INVALID_ID","OK"))</f>
        <v/>
      </c>
      <c r="L63" s="17" t="str">
        <f aca="false">IF(C63="","",IF(COUNTIF(Lists!$B$2:$B$5,C63)=0,"INVALID_OR_INACTIVE","OK"))</f>
        <v/>
      </c>
      <c r="M63" s="17" t="str">
        <f aca="false">IF(E63="","",IF(E63&gt;Inputs_Control!$B$12,"SUSPICIOUS",IF(E63&gt;Inputs_Control!$B$11,"OVERTIME","OK")))</f>
        <v/>
      </c>
      <c r="N63" s="17" t="str">
        <f aca="false">IF(OR(A63="",C63="",D63=""),"",IF(COUNTIFS($A:$A,A63,$C:$C,C63,$D:$D,D63)&gt;1,"DUPLICATE","OK"))</f>
        <v/>
      </c>
    </row>
  </sheetData>
  <mergeCells count="1">
    <mergeCell ref="A1:N1"/>
  </mergeCells>
  <conditionalFormatting sqref="E4:E63">
    <cfRule type="expression" priority="2" aboveAverage="0" equalAverage="0" bottom="0" percent="0" rank="0" text="" dxfId="0">
      <formula>AND(E4&lt;&gt;"",E4&gt;Inputs_Control!$B$12)</formula>
    </cfRule>
    <cfRule type="expression" priority="3" aboveAverage="0" equalAverage="0" bottom="0" percent="0" rank="0" text="" dxfId="1">
      <formula>AND(E4&lt;&gt;"",E4&gt;Inputs_Control!$B$11,E4&lt;=Inputs_Control!$B$12)</formula>
    </cfRule>
  </conditionalFormatting>
  <conditionalFormatting sqref="M4:M63">
    <cfRule type="expression" priority="4" aboveAverage="0" equalAverage="0" bottom="0" percent="0" rank="0" text="" dxfId="2">
      <formula>M4="SUSPICIOUS"</formula>
    </cfRule>
    <cfRule type="expression" priority="5" aboveAverage="0" equalAverage="0" bottom="0" percent="0" rank="0" text="" dxfId="1">
      <formula>AND(M4&lt;&gt;"",OR(M4="OVERTIME",M4="SUSPICIOUS"))</formula>
    </cfRule>
    <cfRule type="expression" priority="6" aboveAverage="0" equalAverage="0" bottom="0" percent="0" rank="0" text="" dxfId="0">
      <formula>M4="SUSPICIOUS"</formula>
    </cfRule>
  </conditionalFormatting>
  <conditionalFormatting sqref="N4:N63">
    <cfRule type="expression" priority="7" aboveAverage="0" equalAverage="0" bottom="0" percent="0" rank="0" text="" dxfId="2">
      <formula>N4="DUPLICATE"</formula>
    </cfRule>
    <cfRule type="expression" priority="8" aboveAverage="0" equalAverage="0" bottom="0" percent="0" rank="0" text="" dxfId="0">
      <formula>AND(N4&lt;&gt;"",N4&lt;&gt;"OK")</formula>
    </cfRule>
  </conditionalFormatting>
  <conditionalFormatting sqref="K4:K63">
    <cfRule type="expression" priority="9" aboveAverage="0" equalAverage="0" bottom="0" percent="0" rank="0" text="" dxfId="0">
      <formula>AND(K4&lt;&gt;"",K4&lt;&gt;"OK")</formula>
    </cfRule>
  </conditionalFormatting>
  <conditionalFormatting sqref="L4:L63">
    <cfRule type="expression" priority="10" aboveAverage="0" equalAverage="0" bottom="0" percent="0" rank="0" text="" dxfId="0">
      <formula>AND(L4&lt;&gt;"",L4&lt;&gt;"OK")</formula>
    </cfRule>
  </conditionalFormatting>
  <dataValidations count="3">
    <dataValidation allowBlank="true" errorStyle="stop" operator="between" showDropDown="false" showErrorMessage="false" showInputMessage="false" sqref="A4:A63" type="list">
      <formula1>Employee_IDs</formula1>
      <formula2>0</formula2>
    </dataValidation>
    <dataValidation allowBlank="true" errorStyle="stop" operator="between" showDropDown="false" showErrorMessage="false" showInputMessage="false" sqref="C4:C63" type="list">
      <formula1>Active_Projects</formula1>
      <formula2>0</formula2>
    </dataValidation>
    <dataValidation allowBlank="true" errorStyle="stop" operator="between" showDropDown="false" showErrorMessage="false" showInputMessage="false" sqref="E4:E63" type="decimal">
      <formula1>0</formula1>
      <formula2>24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10" min="10" style="1" width="12"/>
    <col collapsed="false" customWidth="true" hidden="false" outlineLevel="0" max="11" min="11" style="1" width="28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6"/>
  </cols>
  <sheetData>
    <row r="1" customFormat="false" ht="21.75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J3" s="3" t="s">
        <v>152</v>
      </c>
      <c r="K3" s="3" t="s">
        <v>167</v>
      </c>
      <c r="L3" s="3" t="s">
        <v>162</v>
      </c>
      <c r="M3" s="3" t="s">
        <v>163</v>
      </c>
      <c r="N3" s="3" t="s">
        <v>165</v>
      </c>
      <c r="O3" s="3" t="s">
        <v>168</v>
      </c>
    </row>
    <row r="4" customFormat="false" ht="15" hidden="false" customHeight="true" outlineLevel="0" collapsed="false">
      <c r="A4" s="32" t="s">
        <v>59</v>
      </c>
      <c r="B4" s="20" t="s">
        <v>60</v>
      </c>
      <c r="C4" s="33" t="n">
        <f aca="false">SUMIF(Sheet3_Sati!$A$4:$A$63,A4,Sheet3_Sati!$E$4:$E$63)</f>
        <v>25.5</v>
      </c>
      <c r="D4" s="34" t="n">
        <f aca="false">SUMIF(Sheet3_Sati!$A$4:$A$63,A4,Sheet3_Sati!$J$4:$J$63)</f>
        <v>217.83375</v>
      </c>
      <c r="E4" s="34" t="n">
        <f aca="false">IF(C4=0,0,D4/C4)</f>
        <v>8.5425</v>
      </c>
      <c r="F4" s="20" t="n">
        <f aca="false">COUNTIF(Sheet3_Sati!$A$4:$A$63,A4)</f>
        <v>3</v>
      </c>
      <c r="G4" s="20" t="str">
        <f aca="false">IF(F4=0,"No entries",IF(C4&lt;16,"Low utilization","OK"))</f>
        <v>OK</v>
      </c>
      <c r="J4" s="32" t="s">
        <v>123</v>
      </c>
      <c r="K4" s="20" t="s">
        <v>124</v>
      </c>
      <c r="L4" s="33" t="n">
        <f aca="false">SUMIF(Sheet3_Sati!$C$4:$C$63,J4,Sheet3_Sati!$E$4:$E$63)</f>
        <v>73.5</v>
      </c>
      <c r="M4" s="34" t="n">
        <f aca="false">SUMIF(Sheet3_Sati!$C$4:$C$63,J4,Sheet3_Sati!$J$4:$J$63)</f>
        <v>929.37375</v>
      </c>
      <c r="N4" s="20" t="n">
        <f aca="false">COUNTIF(Sheet3_Sati!$C$4:$C$63,J4)</f>
        <v>9</v>
      </c>
      <c r="O4" s="34" t="n">
        <f aca="false">IF(N4=0,0,M4/N4)</f>
        <v>103.26375</v>
      </c>
    </row>
    <row r="5" customFormat="false" ht="15" hidden="false" customHeight="true" outlineLevel="0" collapsed="false">
      <c r="A5" s="32" t="s">
        <v>64</v>
      </c>
      <c r="B5" s="20" t="s">
        <v>65</v>
      </c>
      <c r="C5" s="33" t="n">
        <f aca="false">SUMIF(Sheet3_Sati!$A$4:$A$63,A5,Sheet3_Sati!$E$4:$E$63)</f>
        <v>25</v>
      </c>
      <c r="D5" s="34" t="n">
        <f aca="false">SUMIF(Sheet3_Sati!$A$4:$A$63,A5,Sheet3_Sati!$J$4:$J$63)</f>
        <v>263.8125</v>
      </c>
      <c r="E5" s="34" t="n">
        <f aca="false">IF(C5=0,0,D5/C5)</f>
        <v>10.5525</v>
      </c>
      <c r="F5" s="20" t="n">
        <f aca="false">COUNTIF(Sheet3_Sati!$A$4:$A$63,A5)</f>
        <v>3</v>
      </c>
      <c r="G5" s="20" t="str">
        <f aca="false">IF(F5=0,"No entries",IF(C5&lt;16,"Low utilization","OK"))</f>
        <v>OK</v>
      </c>
      <c r="J5" s="32" t="s">
        <v>127</v>
      </c>
      <c r="K5" s="20" t="s">
        <v>128</v>
      </c>
      <c r="L5" s="33" t="n">
        <f aca="false">SUMIF(Sheet3_Sati!$C$4:$C$63,J5,Sheet3_Sati!$E$4:$E$63)</f>
        <v>49</v>
      </c>
      <c r="M5" s="34" t="n">
        <f aca="false">SUMIF(Sheet3_Sati!$C$4:$C$63,J5,Sheet3_Sati!$J$4:$J$63)</f>
        <v>553.2525</v>
      </c>
      <c r="N5" s="20" t="n">
        <f aca="false">COUNTIF(Sheet3_Sati!$C$4:$C$63,J5)</f>
        <v>6</v>
      </c>
      <c r="O5" s="34" t="n">
        <f aca="false">IF(N5=0,0,M5/N5)</f>
        <v>92.20875</v>
      </c>
    </row>
    <row r="6" customFormat="false" ht="15" hidden="false" customHeight="true" outlineLevel="0" collapsed="false">
      <c r="A6" s="32" t="s">
        <v>68</v>
      </c>
      <c r="B6" s="20" t="s">
        <v>69</v>
      </c>
      <c r="C6" s="33" t="n">
        <f aca="false">SUMIF(Sheet3_Sati!$A$4:$A$63,A6,Sheet3_Sati!$E$4:$E$63)</f>
        <v>24.5</v>
      </c>
      <c r="D6" s="34" t="n">
        <f aca="false">SUMIF(Sheet3_Sati!$A$4:$A$63,A6,Sheet3_Sati!$J$4:$J$63)</f>
        <v>221.6025</v>
      </c>
      <c r="E6" s="34" t="n">
        <f aca="false">IF(C6=0,0,D6/C6)</f>
        <v>9.045</v>
      </c>
      <c r="F6" s="20" t="n">
        <f aca="false">COUNTIF(Sheet3_Sati!$A$4:$A$63,A6)</f>
        <v>3</v>
      </c>
      <c r="G6" s="20" t="str">
        <f aca="false">IF(F6=0,"No entries",IF(C6&lt;16,"Low utilization","OK"))</f>
        <v>OK</v>
      </c>
      <c r="J6" s="32" t="s">
        <v>129</v>
      </c>
      <c r="K6" s="20" t="s">
        <v>130</v>
      </c>
      <c r="L6" s="33" t="n">
        <f aca="false">SUMIF(Sheet3_Sati!$C$4:$C$63,J6,Sheet3_Sati!$E$4:$E$63)</f>
        <v>0</v>
      </c>
      <c r="M6" s="34" t="n">
        <f aca="false">SUMIF(Sheet3_Sati!$C$4:$C$63,J6,Sheet3_Sati!$J$4:$J$63)</f>
        <v>0</v>
      </c>
      <c r="N6" s="20" t="n">
        <f aca="false">COUNTIF(Sheet3_Sati!$C$4:$C$63,J6)</f>
        <v>0</v>
      </c>
      <c r="O6" s="34" t="n">
        <f aca="false">IF(N6=0,0,M6/N6)</f>
        <v>0</v>
      </c>
    </row>
    <row r="7" customFormat="false" ht="15" hidden="false" customHeight="true" outlineLevel="0" collapsed="false">
      <c r="A7" s="32" t="s">
        <v>72</v>
      </c>
      <c r="B7" s="20" t="s">
        <v>73</v>
      </c>
      <c r="C7" s="33" t="n">
        <f aca="false">SUMIF(Sheet3_Sati!$A$4:$A$63,A7,Sheet3_Sati!$E$4:$E$63)</f>
        <v>24</v>
      </c>
      <c r="D7" s="34" t="n">
        <f aca="false">SUMIF(Sheet3_Sati!$A$4:$A$63,A7,Sheet3_Sati!$J$4:$J$63)</f>
        <v>241.2</v>
      </c>
      <c r="E7" s="34" t="n">
        <f aca="false">IF(C7=0,0,D7/C7)</f>
        <v>10.05</v>
      </c>
      <c r="F7" s="20" t="n">
        <f aca="false">COUNTIF(Sheet3_Sati!$A$4:$A$63,A7)</f>
        <v>3</v>
      </c>
      <c r="G7" s="20" t="str">
        <f aca="false">IF(F7=0,"No entries",IF(C7&lt;16,"Low utilization","OK"))</f>
        <v>OK</v>
      </c>
      <c r="J7" s="32" t="s">
        <v>133</v>
      </c>
      <c r="K7" s="20" t="s">
        <v>134</v>
      </c>
      <c r="L7" s="33" t="n">
        <f aca="false">SUMIF(Sheet3_Sati!$C$4:$C$63,J7,Sheet3_Sati!$E$4:$E$63)</f>
        <v>72.5</v>
      </c>
      <c r="M7" s="34" t="n">
        <f aca="false">SUMIF(Sheet3_Sati!$C$4:$C$63,J7,Sheet3_Sati!$J$4:$J$63)</f>
        <v>716.0625</v>
      </c>
      <c r="N7" s="20" t="n">
        <f aca="false">COUNTIF(Sheet3_Sati!$C$4:$C$63,J7)</f>
        <v>9</v>
      </c>
      <c r="O7" s="34" t="n">
        <f aca="false">IF(N7=0,0,M7/N7)</f>
        <v>79.5625</v>
      </c>
    </row>
    <row r="8" customFormat="false" ht="15" hidden="false" customHeight="true" outlineLevel="0" collapsed="false">
      <c r="A8" s="32" t="s">
        <v>75</v>
      </c>
      <c r="B8" s="20" t="s">
        <v>76</v>
      </c>
      <c r="C8" s="33" t="n">
        <f aca="false">SUMIF(Sheet3_Sati!$A$4:$A$63,A8,Sheet3_Sati!$E$4:$E$63)</f>
        <v>24</v>
      </c>
      <c r="D8" s="34" t="n">
        <f aca="false">SUMIF(Sheet3_Sati!$A$4:$A$63,A8,Sheet3_Sati!$J$4:$J$63)</f>
        <v>337.68</v>
      </c>
      <c r="E8" s="34" t="n">
        <f aca="false">IF(C8=0,0,D8/C8)</f>
        <v>14.07</v>
      </c>
      <c r="F8" s="20" t="n">
        <f aca="false">COUNTIF(Sheet3_Sati!$A$4:$A$63,A8)</f>
        <v>3</v>
      </c>
      <c r="G8" s="20" t="str">
        <f aca="false">IF(F8=0,"No entries",IF(C8&lt;16,"Low utilization","OK"))</f>
        <v>OK</v>
      </c>
      <c r="J8" s="32" t="s">
        <v>135</v>
      </c>
      <c r="K8" s="20" t="s">
        <v>136</v>
      </c>
      <c r="L8" s="33" t="n">
        <f aca="false">SUMIF(Sheet3_Sati!$C$4:$C$63,J8,Sheet3_Sati!$E$4:$E$63)</f>
        <v>48</v>
      </c>
      <c r="M8" s="34" t="n">
        <f aca="false">SUMIF(Sheet3_Sati!$C$4:$C$63,J8,Sheet3_Sati!$J$4:$J$63)</f>
        <v>566.82</v>
      </c>
      <c r="N8" s="20" t="n">
        <f aca="false">COUNTIF(Sheet3_Sati!$C$4:$C$63,J8)</f>
        <v>6</v>
      </c>
      <c r="O8" s="34" t="n">
        <f aca="false">IF(N8=0,0,M8/N8)</f>
        <v>94.47</v>
      </c>
    </row>
    <row r="9" customFormat="false" ht="15" hidden="false" customHeight="true" outlineLevel="0" collapsed="false">
      <c r="A9" s="32" t="s">
        <v>79</v>
      </c>
      <c r="B9" s="20" t="s">
        <v>80</v>
      </c>
      <c r="C9" s="33" t="n">
        <f aca="false">SUMIF(Sheet3_Sati!$A$4:$A$63,A9,Sheet3_Sati!$E$4:$E$63)</f>
        <v>24</v>
      </c>
      <c r="D9" s="34" t="n">
        <f aca="false">SUMIF(Sheet3_Sati!$A$4:$A$63,A9,Sheet3_Sati!$J$4:$J$63)</f>
        <v>289.44</v>
      </c>
      <c r="E9" s="34" t="n">
        <f aca="false">IF(C9=0,0,D9/C9)</f>
        <v>12.06</v>
      </c>
      <c r="F9" s="20" t="n">
        <f aca="false">COUNTIF(Sheet3_Sati!$A$4:$A$63,A9)</f>
        <v>3</v>
      </c>
      <c r="G9" s="20" t="str">
        <f aca="false">IF(F9=0,"No entries",IF(C9&lt;16,"Low utilization","OK"))</f>
        <v>OK</v>
      </c>
    </row>
    <row r="10" customFormat="false" ht="15" hidden="false" customHeight="true" outlineLevel="0" collapsed="false">
      <c r="A10" s="32" t="s">
        <v>83</v>
      </c>
      <c r="B10" s="20" t="s">
        <v>84</v>
      </c>
      <c r="C10" s="33" t="n">
        <f aca="false">SUMIF(Sheet3_Sati!$A$4:$A$63,A10,Sheet3_Sati!$E$4:$E$63)</f>
        <v>24</v>
      </c>
      <c r="D10" s="34" t="n">
        <f aca="false">SUMIF(Sheet3_Sati!$A$4:$A$63,A10,Sheet3_Sati!$J$4:$J$63)</f>
        <v>229.14</v>
      </c>
      <c r="E10" s="34" t="n">
        <f aca="false">IF(C10=0,0,D10/C10)</f>
        <v>9.5475</v>
      </c>
      <c r="F10" s="20" t="n">
        <f aca="false">COUNTIF(Sheet3_Sati!$A$4:$A$63,A10)</f>
        <v>3</v>
      </c>
      <c r="G10" s="20" t="str">
        <f aca="false">IF(F10=0,"No entries",IF(C10&lt;16,"Low utilization","OK"))</f>
        <v>OK</v>
      </c>
    </row>
    <row r="11" customFormat="false" ht="15" hidden="false" customHeight="true" outlineLevel="0" collapsed="false">
      <c r="A11" s="32" t="s">
        <v>87</v>
      </c>
      <c r="B11" s="20" t="s">
        <v>88</v>
      </c>
      <c r="C11" s="33" t="n">
        <f aca="false">SUMIF(Sheet3_Sati!$A$4:$A$63,A11,Sheet3_Sati!$E$4:$E$63)</f>
        <v>0</v>
      </c>
      <c r="D11" s="34" t="n">
        <f aca="false">SUMIF(Sheet3_Sati!$A$4:$A$63,A11,Sheet3_Sati!$J$4:$J$63)</f>
        <v>0</v>
      </c>
      <c r="E11" s="34" t="n">
        <f aca="false">IF(C11=0,0,D11/C11)</f>
        <v>0</v>
      </c>
      <c r="F11" s="20" t="n">
        <f aca="false">COUNTIF(Sheet3_Sati!$A$4:$A$63,A11)</f>
        <v>0</v>
      </c>
      <c r="G11" s="20" t="str">
        <f aca="false">IF(F11=0,"No entries",IF(C11&lt;16,"Low utilization","OK"))</f>
        <v>No entries</v>
      </c>
    </row>
    <row r="12" customFormat="false" ht="15" hidden="false" customHeight="true" outlineLevel="0" collapsed="false">
      <c r="A12" s="32" t="s">
        <v>91</v>
      </c>
      <c r="B12" s="20" t="s">
        <v>92</v>
      </c>
      <c r="C12" s="33" t="n">
        <f aca="false">SUMIF(Sheet3_Sati!$A$4:$A$63,A12,Sheet3_Sati!$E$4:$E$63)</f>
        <v>24</v>
      </c>
      <c r="D12" s="34" t="n">
        <f aca="false">SUMIF(Sheet3_Sati!$A$4:$A$63,A12,Sheet3_Sati!$J$4:$J$63)</f>
        <v>180.9</v>
      </c>
      <c r="E12" s="34" t="n">
        <f aca="false">IF(C12=0,0,D12/C12)</f>
        <v>7.5375</v>
      </c>
      <c r="F12" s="20" t="n">
        <f aca="false">COUNTIF(Sheet3_Sati!$A$4:$A$63,A12)</f>
        <v>3</v>
      </c>
      <c r="G12" s="20" t="str">
        <f aca="false">IF(F12=0,"No entries",IF(C12&lt;16,"Low utilization","OK"))</f>
        <v>OK</v>
      </c>
    </row>
    <row r="13" customFormat="false" ht="15" hidden="false" customHeight="true" outlineLevel="0" collapsed="false">
      <c r="A13" s="32" t="s">
        <v>95</v>
      </c>
      <c r="B13" s="20" t="s">
        <v>96</v>
      </c>
      <c r="C13" s="33" t="n">
        <f aca="false">SUMIF(Sheet3_Sati!$A$4:$A$63,A13,Sheet3_Sati!$E$4:$E$63)</f>
        <v>24</v>
      </c>
      <c r="D13" s="34" t="n">
        <f aca="false">SUMIF(Sheet3_Sati!$A$4:$A$63,A13,Sheet3_Sati!$J$4:$J$63)</f>
        <v>253.26</v>
      </c>
      <c r="E13" s="34" t="n">
        <f aca="false">IF(C13=0,0,D13/C13)</f>
        <v>10.5525</v>
      </c>
      <c r="F13" s="20" t="n">
        <f aca="false">COUNTIF(Sheet3_Sati!$A$4:$A$63,A13)</f>
        <v>3</v>
      </c>
      <c r="G13" s="20" t="str">
        <f aca="false">IF(F13=0,"No entries",IF(C13&lt;16,"Low utilization","OK"))</f>
        <v>OK</v>
      </c>
    </row>
    <row r="14" customFormat="false" ht="15" hidden="false" customHeight="true" outlineLevel="0" collapsed="false">
      <c r="A14" s="32" t="s">
        <v>99</v>
      </c>
      <c r="B14" s="20" t="s">
        <v>100</v>
      </c>
      <c r="C14" s="33" t="n">
        <f aca="false">SUMIF(Sheet3_Sati!$A$4:$A$63,A14,Sheet3_Sati!$E$4:$E$63)</f>
        <v>24</v>
      </c>
      <c r="D14" s="34" t="n">
        <f aca="false">SUMIF(Sheet3_Sati!$A$4:$A$63,A14,Sheet3_Sati!$J$4:$J$63)</f>
        <v>530.64</v>
      </c>
      <c r="E14" s="34" t="n">
        <f aca="false">IF(C14=0,0,D14/C14)</f>
        <v>22.11</v>
      </c>
      <c r="F14" s="20" t="n">
        <f aca="false">COUNTIF(Sheet3_Sati!$A$4:$A$63,A14)</f>
        <v>3</v>
      </c>
      <c r="G14" s="20" t="str">
        <f aca="false">IF(F14=0,"No entries",IF(C14&lt;16,"Low utilization","OK"))</f>
        <v>OK</v>
      </c>
    </row>
    <row r="15" customFormat="false" ht="15" hidden="false" customHeight="true" outlineLevel="0" collapsed="false">
      <c r="A15" s="32" t="s">
        <v>103</v>
      </c>
      <c r="B15" s="20" t="s">
        <v>104</v>
      </c>
      <c r="C15" s="33" t="n">
        <f aca="false">SUMIF(Sheet3_Sati!$A$4:$A$63,A15,Sheet3_Sati!$E$4:$E$63)</f>
        <v>0</v>
      </c>
      <c r="D15" s="34" t="n">
        <f aca="false">SUMIF(Sheet3_Sati!$A$4:$A$63,A15,Sheet3_Sati!$J$4:$J$63)</f>
        <v>0</v>
      </c>
      <c r="E15" s="34" t="n">
        <f aca="false">IF(C15=0,0,D15/C15)</f>
        <v>0</v>
      </c>
      <c r="F15" s="20" t="n">
        <f aca="false">COUNTIF(Sheet3_Sati!$A$4:$A$63,A15)</f>
        <v>0</v>
      </c>
      <c r="G15" s="20" t="str">
        <f aca="false">IF(F15=0,"No entries",IF(C15&lt;16,"Low utilization","OK"))</f>
        <v>No entries</v>
      </c>
    </row>
    <row r="16" customFormat="false" ht="15" hidden="false" customHeight="true" outlineLevel="0" collapsed="false">
      <c r="C16" s="35" t="n">
        <f aca="false">SUM(C4:C15)</f>
        <v>243</v>
      </c>
      <c r="D16" s="35" t="n">
        <f aca="false">SUM(D4:D15)</f>
        <v>2765.50875</v>
      </c>
      <c r="F16" s="35" t="n">
        <f aca="false">SUM(F4:F15)</f>
        <v>30</v>
      </c>
    </row>
  </sheetData>
  <mergeCells count="1">
    <mergeCell ref="A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2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9" min="9" style="1" width="2"/>
    <col collapsed="false" customWidth="true" hidden="false" outlineLevel="0" max="10" min="10" style="1" width="18"/>
    <col collapsed="false" customWidth="true" hidden="false" outlineLevel="0" max="12" min="11" style="1" width="14"/>
    <col collapsed="false" customWidth="true" hidden="false" outlineLevel="0" max="13" min="13" style="1" width="2"/>
    <col collapsed="false" customWidth="true" hidden="false" outlineLevel="0" max="14" min="14" style="1" width="18"/>
    <col collapsed="false" customWidth="true" hidden="false" outlineLevel="0" max="16" min="15" style="1" width="14"/>
  </cols>
  <sheetData>
    <row r="1" customFormat="false" ht="21.75" hidden="false" customHeight="true" outlineLevel="0" collapsed="false">
      <c r="A1" s="2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B3" s="36" t="s">
        <v>170</v>
      </c>
      <c r="C3" s="36"/>
      <c r="D3" s="36"/>
      <c r="F3" s="36" t="s">
        <v>171</v>
      </c>
      <c r="G3" s="36"/>
      <c r="H3" s="36"/>
      <c r="J3" s="36" t="s">
        <v>172</v>
      </c>
      <c r="K3" s="36"/>
      <c r="L3" s="36"/>
      <c r="N3" s="36" t="s">
        <v>173</v>
      </c>
      <c r="O3" s="36"/>
      <c r="P3" s="36"/>
    </row>
    <row r="4" customFormat="false" ht="15" hidden="false" customHeight="true" outlineLevel="0" collapsed="false">
      <c r="B4" s="37" t="n">
        <f aca="false">SUM(Sheet3_Sati!$J$4:$J$63)</f>
        <v>2765.50875</v>
      </c>
      <c r="C4" s="37"/>
      <c r="D4" s="37"/>
      <c r="F4" s="38" t="n">
        <f aca="false">SUM(Sheet3_Sati!$E$4:$E$63)</f>
        <v>243</v>
      </c>
      <c r="G4" s="38"/>
      <c r="H4" s="38"/>
      <c r="J4" s="37" t="n">
        <f aca="false">IF(F4=0,0,B4/F4)</f>
        <v>11.3806944444444</v>
      </c>
      <c r="K4" s="37"/>
      <c r="L4" s="37"/>
      <c r="N4" s="39" t="n">
        <f aca="false">COUNTA(Sheet3_Sati!$A$4:$A$63)</f>
        <v>30</v>
      </c>
      <c r="O4" s="39"/>
      <c r="P4" s="39"/>
    </row>
    <row r="5" customFormat="false" ht="15" hidden="false" customHeight="true" outlineLevel="0" collapsed="false">
      <c r="B5" s="37"/>
      <c r="C5" s="37"/>
      <c r="D5" s="37"/>
      <c r="F5" s="38"/>
      <c r="G5" s="38"/>
      <c r="H5" s="38"/>
      <c r="J5" s="37"/>
      <c r="K5" s="37"/>
      <c r="L5" s="37"/>
      <c r="N5" s="39"/>
      <c r="O5" s="39"/>
      <c r="P5" s="39"/>
    </row>
    <row r="8" customFormat="false" ht="15" hidden="false" customHeight="true" outlineLevel="0" collapsed="false">
      <c r="B8" s="36" t="s">
        <v>174</v>
      </c>
      <c r="C8" s="36"/>
      <c r="D8" s="36"/>
      <c r="F8" s="36" t="s">
        <v>175</v>
      </c>
      <c r="G8" s="36"/>
      <c r="H8" s="36"/>
      <c r="J8" s="40" t="s">
        <v>176</v>
      </c>
      <c r="K8" s="40"/>
      <c r="L8" s="40"/>
      <c r="N8" s="41" t="s">
        <v>177</v>
      </c>
      <c r="O8" s="41"/>
      <c r="P8" s="41"/>
    </row>
    <row r="9" customFormat="false" ht="15" hidden="false" customHeight="true" outlineLevel="0" collapsed="false">
      <c r="B9" s="42" t="str">
        <f aca="false">INDEX(Sheet31_Analitika!$J$4:$J$8,MATCH(MAX(Sheet31_Analitika!$M$4:$M$8),Sheet31_Analitika!$M$4:$M$8,0))</f>
        <v>P001</v>
      </c>
      <c r="C9" s="42"/>
      <c r="D9" s="42"/>
      <c r="F9" s="42" t="str">
        <f aca="false">INDEX(Sheet31_Analitika!$A$4:$A$15,MATCH(MAX(Sheet31_Analitika!$D$4:$D$15),Sheet31_Analitika!$D$4:$D$15,0))</f>
        <v>EMP011</v>
      </c>
      <c r="G9" s="42"/>
      <c r="H9" s="42"/>
      <c r="J9" s="43" t="n">
        <f aca="false">COUNTIF(Sheet3_Sati!$M$4:$M$63,"OVERTIME")</f>
        <v>3</v>
      </c>
      <c r="K9" s="43"/>
      <c r="L9" s="43"/>
      <c r="N9" s="44" t="n">
        <f aca="false">COUNTIF(Sheet3_Sati!$M$4:$M$63,"SUSPICIOUS")</f>
        <v>0</v>
      </c>
      <c r="O9" s="44"/>
      <c r="P9" s="44"/>
    </row>
    <row r="10" customFormat="false" ht="15" hidden="false" customHeight="true" outlineLevel="0" collapsed="false">
      <c r="B10" s="42"/>
      <c r="C10" s="42"/>
      <c r="D10" s="42"/>
      <c r="F10" s="42"/>
      <c r="G10" s="42"/>
      <c r="H10" s="42"/>
      <c r="J10" s="43"/>
      <c r="K10" s="43"/>
      <c r="L10" s="43"/>
      <c r="N10" s="44"/>
      <c r="O10" s="44"/>
      <c r="P10" s="44"/>
    </row>
    <row r="13" customFormat="false" ht="15" hidden="false" customHeight="true" outlineLevel="0" collapsed="false">
      <c r="B13" s="45" t="s">
        <v>178</v>
      </c>
      <c r="C13" s="45"/>
      <c r="D13" s="45"/>
      <c r="F13" s="41" t="s">
        <v>179</v>
      </c>
      <c r="G13" s="41"/>
      <c r="H13" s="41"/>
      <c r="J13" s="41" t="s">
        <v>180</v>
      </c>
      <c r="K13" s="41"/>
      <c r="L13" s="41"/>
      <c r="N13" s="46" t="s">
        <v>181</v>
      </c>
      <c r="O13" s="46"/>
      <c r="P13" s="46"/>
    </row>
    <row r="14" customFormat="false" ht="15" hidden="false" customHeight="true" outlineLevel="0" collapsed="false">
      <c r="B14" s="47" t="n">
        <f aca="false">COUNTIF(Sheet3_Sati!$N$4:$N$63,"DUPLICATE")</f>
        <v>0</v>
      </c>
      <c r="C14" s="47"/>
      <c r="D14" s="47"/>
      <c r="F14" s="44" t="n">
        <f aca="false">COUNTIF(Sheet3_Sati!$K$4:$K$63,"INVALID_ID")</f>
        <v>0</v>
      </c>
      <c r="G14" s="44"/>
      <c r="H14" s="44"/>
      <c r="J14" s="44" t="n">
        <f aca="false">COUNTIF(Sheet3_Sati!$L$4:$L$63,"INVALID_OR_INACTIVE")</f>
        <v>0</v>
      </c>
      <c r="K14" s="44"/>
      <c r="L14" s="44"/>
      <c r="N14" s="48" t="n">
        <f aca="false">SUM(Sheet11_Zarade!$N$4:$N$15)</f>
        <v>22833.6</v>
      </c>
      <c r="O14" s="48"/>
      <c r="P14" s="48"/>
    </row>
    <row r="15" customFormat="false" ht="15" hidden="false" customHeight="true" outlineLevel="0" collapsed="false">
      <c r="B15" s="47"/>
      <c r="C15" s="47"/>
      <c r="D15" s="47"/>
      <c r="F15" s="44"/>
      <c r="G15" s="44"/>
      <c r="H15" s="44"/>
      <c r="J15" s="44"/>
      <c r="K15" s="44"/>
      <c r="L15" s="44"/>
      <c r="N15" s="48"/>
      <c r="O15" s="48"/>
      <c r="P15" s="48"/>
    </row>
    <row r="19" customFormat="false" ht="30" hidden="false" customHeight="true" outlineLevel="0" collapsed="false">
      <c r="A19" s="3" t="s">
        <v>182</v>
      </c>
      <c r="B19" s="3" t="s">
        <v>2</v>
      </c>
    </row>
    <row r="20" customFormat="false" ht="15" hidden="false" customHeight="true" outlineLevel="0" collapsed="false">
      <c r="B20" s="49" t="s">
        <v>183</v>
      </c>
      <c r="C20" s="20" t="n">
        <f aca="false">COUNTA(Sheet11_Zarade!$A$4:$A$15)</f>
        <v>12</v>
      </c>
      <c r="N20" s="1" t="s">
        <v>184</v>
      </c>
    </row>
    <row r="21" customFormat="false" ht="15" hidden="false" customHeight="true" outlineLevel="0" collapsed="false">
      <c r="B21" s="49" t="s">
        <v>185</v>
      </c>
      <c r="C21" s="20" t="n">
        <f aca="false">COUNTA(Lists!$B$2:$B$5)</f>
        <v>4</v>
      </c>
      <c r="N21" s="50" t="s">
        <v>186</v>
      </c>
    </row>
    <row r="22" customFormat="false" ht="15" hidden="false" customHeight="true" outlineLevel="0" collapsed="false">
      <c r="B22" s="49" t="s">
        <v>187</v>
      </c>
      <c r="C22" s="20" t="s">
        <v>188</v>
      </c>
    </row>
    <row r="23" customFormat="false" ht="15" hidden="false" customHeight="true" outlineLevel="0" collapsed="false">
      <c r="B23" s="49" t="s">
        <v>189</v>
      </c>
      <c r="C23" s="20" t="str">
        <f aca="false">IF(COUNTIF(Error_Checks!$D$4:$D$15,"FAIL")=0,"CLEAN","REVIEW")</f>
        <v>REVIEW</v>
      </c>
    </row>
  </sheetData>
  <mergeCells count="25">
    <mergeCell ref="A1:N1"/>
    <mergeCell ref="B3:D3"/>
    <mergeCell ref="F3:H3"/>
    <mergeCell ref="J3:L3"/>
    <mergeCell ref="N3:P3"/>
    <mergeCell ref="B4:D5"/>
    <mergeCell ref="F4:H5"/>
    <mergeCell ref="J4:L5"/>
    <mergeCell ref="N4:P5"/>
    <mergeCell ref="B8:D8"/>
    <mergeCell ref="F8:H8"/>
    <mergeCell ref="J8:L8"/>
    <mergeCell ref="N8:P8"/>
    <mergeCell ref="B9:D10"/>
    <mergeCell ref="F9:H10"/>
    <mergeCell ref="J9:L10"/>
    <mergeCell ref="N9:P10"/>
    <mergeCell ref="B13:D13"/>
    <mergeCell ref="F13:H13"/>
    <mergeCell ref="J13:L13"/>
    <mergeCell ref="N13:P13"/>
    <mergeCell ref="B14:D15"/>
    <mergeCell ref="F14:H15"/>
    <mergeCell ref="J14:L15"/>
    <mergeCell ref="N14:P15"/>
  </mergeCells>
  <hyperlinks>
    <hyperlink ref="N21" r:id="rId1" location="'Board_Dashboard'!A1" display="Open Board_Dashboa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4" min="3" style="1" width="12"/>
  </cols>
  <sheetData>
    <row r="1" customFormat="false" ht="21.75" hidden="false" customHeight="true" outlineLevel="0" collapsed="false">
      <c r="A1" s="2" t="s">
        <v>190</v>
      </c>
      <c r="B1" s="2"/>
      <c r="C1" s="2"/>
      <c r="D1" s="2"/>
    </row>
    <row r="3" customFormat="false" ht="30" hidden="false" customHeight="true" outlineLevel="0" collapsed="false">
      <c r="A3" s="3" t="s">
        <v>191</v>
      </c>
      <c r="B3" s="3" t="s">
        <v>2</v>
      </c>
      <c r="C3" s="3" t="s">
        <v>192</v>
      </c>
      <c r="D3" s="3" t="s">
        <v>193</v>
      </c>
    </row>
    <row r="4" customFormat="false" ht="15" hidden="false" customHeight="true" outlineLevel="0" collapsed="false">
      <c r="A4" s="49" t="s">
        <v>194</v>
      </c>
      <c r="B4" s="20" t="n">
        <f aca="false">SUM(Sheet3_Sati!$E$4:$E$63)</f>
        <v>243</v>
      </c>
      <c r="C4" s="19" t="s">
        <v>195</v>
      </c>
      <c r="D4" s="20" t="str">
        <f aca="false">IF(B4&gt;0,"PASS","FAIL")</f>
        <v>PASS</v>
      </c>
    </row>
    <row r="5" customFormat="false" ht="15" hidden="false" customHeight="true" outlineLevel="0" collapsed="false">
      <c r="A5" s="49" t="s">
        <v>196</v>
      </c>
      <c r="B5" s="20" t="n">
        <f aca="false">SUM(Sheet3_Sati!$J$4:$J$63)</f>
        <v>2765.50875</v>
      </c>
      <c r="C5" s="19" t="s">
        <v>195</v>
      </c>
      <c r="D5" s="20" t="str">
        <f aca="false">IF(B5&gt;0,"PASS","FAIL")</f>
        <v>PASS</v>
      </c>
    </row>
    <row r="6" customFormat="false" ht="15" hidden="false" customHeight="true" outlineLevel="0" collapsed="false">
      <c r="A6" s="49" t="s">
        <v>197</v>
      </c>
      <c r="B6" s="20" t="n">
        <f aca="false">COUNTIF(Sheet3_Sati!$M$4:$M$63,"SUSPICIOUS")</f>
        <v>0</v>
      </c>
      <c r="C6" s="19" t="s">
        <v>198</v>
      </c>
      <c r="D6" s="20" t="str">
        <f aca="false">IF(B6=0,"PASS","FAIL")</f>
        <v>PASS</v>
      </c>
    </row>
    <row r="7" customFormat="false" ht="15" hidden="false" customHeight="true" outlineLevel="0" collapsed="false">
      <c r="A7" s="49" t="s">
        <v>199</v>
      </c>
      <c r="B7" s="20" t="n">
        <f aca="false">COUNTIF(Sheet3_Sati!$N$4:$N$63,"DUPLICATE")</f>
        <v>0</v>
      </c>
      <c r="C7" s="19" t="s">
        <v>198</v>
      </c>
      <c r="D7" s="20" t="str">
        <f aca="false">IF(B7=0,"PASS","FAIL")</f>
        <v>PASS</v>
      </c>
    </row>
    <row r="8" customFormat="false" ht="15" hidden="false" customHeight="true" outlineLevel="0" collapsed="false">
      <c r="A8" s="49" t="s">
        <v>200</v>
      </c>
      <c r="B8" s="20" t="n">
        <f aca="false">COUNTIF(Sheet3_Sati!$K$4:$K$63,"INVALID_ID")</f>
        <v>0</v>
      </c>
      <c r="C8" s="19" t="s">
        <v>198</v>
      </c>
      <c r="D8" s="20" t="str">
        <f aca="false">IF(B8=0,"PASS","FAIL")</f>
        <v>PASS</v>
      </c>
    </row>
    <row r="9" customFormat="false" ht="15" hidden="false" customHeight="true" outlineLevel="0" collapsed="false">
      <c r="A9" s="49" t="s">
        <v>201</v>
      </c>
      <c r="B9" s="20" t="n">
        <f aca="false">COUNTIF(Sheet3_Sati!$L$4:$L$63,"INVALID_OR_INACTIVE")</f>
        <v>0</v>
      </c>
      <c r="C9" s="19" t="s">
        <v>198</v>
      </c>
      <c r="D9" s="20" t="str">
        <f aca="false">IF(B9=0,"PASS","FAIL")</f>
        <v>PASS</v>
      </c>
    </row>
    <row r="10" customFormat="false" ht="15" hidden="false" customHeight="true" outlineLevel="0" collapsed="false">
      <c r="A10" s="49" t="s">
        <v>202</v>
      </c>
      <c r="B10" s="20" t="n">
        <f aca="false">COUNTA(Sheet11_Zarade!$A$4:$A$15)-COUNTA(Master_Lista!$A$4:$A$15)</f>
        <v>0</v>
      </c>
      <c r="C10" s="19" t="s">
        <v>198</v>
      </c>
      <c r="D10" s="20" t="str">
        <f aca="false">IF(B10=0,"PASS","FAIL")</f>
        <v>PASS</v>
      </c>
    </row>
    <row r="11" customFormat="false" ht="15" hidden="false" customHeight="true" outlineLevel="0" collapsed="false">
      <c r="A11" s="11" t="s">
        <v>203</v>
      </c>
      <c r="B11" s="51" t="n">
        <f aca="false">Project_Profitability!G9</f>
        <v>19524000</v>
      </c>
      <c r="C11" s="11" t="s">
        <v>195</v>
      </c>
      <c r="D11" s="11" t="str">
        <f aca="false">IF(B11&gt;0,"PASS","FAIL")</f>
        <v>PASS</v>
      </c>
    </row>
    <row r="12" customFormat="false" ht="15" hidden="false" customHeight="true" outlineLevel="0" collapsed="false">
      <c r="A12" s="11" t="s">
        <v>204</v>
      </c>
      <c r="B12" s="52" t="n">
        <f aca="false">Project_Profitability!L9</f>
        <v>0.378300240473264</v>
      </c>
      <c r="C12" s="52" t="n">
        <f aca="false">Inputs_Control!$B$24</f>
        <v>0.26</v>
      </c>
      <c r="D12" s="11" t="str">
        <f aca="false">IF(B12&gt;=Inputs_Control!$B$24,"PASS","FAIL")</f>
        <v>PASS</v>
      </c>
    </row>
    <row r="13" customFormat="false" ht="15" hidden="false" customHeight="true" outlineLevel="0" collapsed="false">
      <c r="A13" s="11" t="s">
        <v>205</v>
      </c>
      <c r="B13" s="11" t="n">
        <f aca="false">IF(Project_Profitability!G9=0,0,(Project_Profitability!K9-OPEX_Plan!O8)/Project_Profitability!G9)</f>
        <v>0.166558875998771</v>
      </c>
      <c r="C13" s="52" t="n">
        <f aca="false">Inputs_Control!$B$25</f>
        <v>0.14</v>
      </c>
      <c r="D13" s="11" t="str">
        <f aca="false">IF(B13&gt;=Inputs_Control!$B$25,"PASS","FAIL")</f>
        <v>PASS</v>
      </c>
    </row>
    <row r="14" customFormat="false" ht="15" hidden="false" customHeight="true" outlineLevel="0" collapsed="false">
      <c r="A14" s="11" t="s">
        <v>206</v>
      </c>
      <c r="B14" s="51" t="n">
        <f aca="false">CAPEX_Plan!C10</f>
        <v>10910000</v>
      </c>
      <c r="C14" s="11" t="s">
        <v>207</v>
      </c>
      <c r="D14" s="11" t="str">
        <f aca="false">IF(B14&lt;=9000000,"PASS","FAIL")</f>
        <v>FAIL</v>
      </c>
    </row>
    <row r="15" customFormat="false" ht="15" hidden="false" customHeight="true" outlineLevel="0" collapsed="false">
      <c r="A15" s="11" t="s">
        <v>208</v>
      </c>
      <c r="B15" s="53" t="n">
        <f aca="false">Capacity_Planning!I4</f>
        <v>4.25</v>
      </c>
      <c r="C15" s="11" t="s">
        <v>195</v>
      </c>
      <c r="D15" s="11" t="str">
        <f aca="false">IF(B15&gt;0,"PASS","FAIL")</f>
        <v>PASS</v>
      </c>
    </row>
  </sheetData>
  <mergeCells count="1">
    <mergeCell ref="A1:D1"/>
  </mergeCells>
  <conditionalFormatting sqref="D4:D10">
    <cfRule type="expression" priority="2" aboveAverage="0" equalAverage="0" bottom="0" percent="0" rank="0" text="" dxfId="0">
      <formula>D4="FAIL"</formula>
    </cfRule>
    <cfRule type="expression" priority="3" aboveAverage="0" equalAverage="0" bottom="0" percent="0" rank="0" text="" dxfId="3">
      <formula>D4="PASS"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2"/>
  </cols>
  <sheetData>
    <row r="1" customFormat="false" ht="21.75" hidden="false" customHeight="true" outlineLevel="0" collapsed="false">
      <c r="A1" s="54" t="s">
        <v>209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customFormat="false" ht="15" hidden="false" customHeight="true" outlineLevel="0" collapsed="false">
      <c r="A3" s="55" t="s">
        <v>210</v>
      </c>
      <c r="B3" s="55" t="s">
        <v>211</v>
      </c>
      <c r="C3" s="55" t="s">
        <v>212</v>
      </c>
      <c r="D3" s="55" t="s">
        <v>213</v>
      </c>
      <c r="E3" s="55" t="s">
        <v>214</v>
      </c>
      <c r="F3" s="55" t="s">
        <v>215</v>
      </c>
      <c r="G3" s="55" t="s">
        <v>216</v>
      </c>
      <c r="H3" s="55" t="s">
        <v>217</v>
      </c>
      <c r="I3" s="55" t="s">
        <v>218</v>
      </c>
      <c r="J3" s="55" t="s">
        <v>219</v>
      </c>
      <c r="K3" s="55" t="s">
        <v>220</v>
      </c>
      <c r="L3" s="55" t="s">
        <v>221</v>
      </c>
    </row>
    <row r="4" customFormat="false" ht="15" hidden="false" customHeight="true" outlineLevel="0" collapsed="false">
      <c r="A4" s="11" t="s">
        <v>123</v>
      </c>
      <c r="B4" s="11" t="s">
        <v>124</v>
      </c>
      <c r="C4" s="11" t="s">
        <v>222</v>
      </c>
      <c r="D4" s="56" t="n">
        <v>24</v>
      </c>
      <c r="E4" s="53" t="n">
        <v>5</v>
      </c>
      <c r="F4" s="51" t="n">
        <v>210000</v>
      </c>
      <c r="G4" s="51" t="n">
        <f aca="false">D4*F4</f>
        <v>5040000</v>
      </c>
      <c r="H4" s="52" t="n">
        <f aca="false">Inputs_Control!$B$20</f>
        <v>0.62</v>
      </c>
      <c r="I4" s="51" t="n">
        <f aca="false">G4*H4</f>
        <v>3124800</v>
      </c>
      <c r="J4" s="51" t="n">
        <f aca="false">Sheet31_Analitika!$M$4*12</f>
        <v>11152.485</v>
      </c>
      <c r="K4" s="51" t="n">
        <f aca="false">G4-I4-J4</f>
        <v>1904047.515</v>
      </c>
      <c r="L4" s="52" t="n">
        <f aca="false">IF(G4=0,0,K4/G4)</f>
        <v>0.377787205357143</v>
      </c>
    </row>
    <row r="5" customFormat="false" ht="15" hidden="false" customHeight="true" outlineLevel="0" collapsed="false">
      <c r="A5" s="11" t="s">
        <v>127</v>
      </c>
      <c r="B5" s="11" t="s">
        <v>128</v>
      </c>
      <c r="C5" s="11" t="s">
        <v>223</v>
      </c>
      <c r="D5" s="56" t="n">
        <v>36</v>
      </c>
      <c r="E5" s="53" t="n">
        <v>2.5</v>
      </c>
      <c r="F5" s="51" t="n">
        <v>145000</v>
      </c>
      <c r="G5" s="51" t="n">
        <f aca="false">D5*F5</f>
        <v>5220000</v>
      </c>
      <c r="H5" s="52" t="n">
        <f aca="false">Inputs_Control!$B$20</f>
        <v>0.62</v>
      </c>
      <c r="I5" s="51" t="n">
        <f aca="false">G5*H5</f>
        <v>3236400</v>
      </c>
      <c r="J5" s="51" t="n">
        <f aca="false">Sheet31_Analitika!$M$5*12</f>
        <v>6639.03</v>
      </c>
      <c r="K5" s="51" t="n">
        <f aca="false">G5-I5-J5</f>
        <v>1976960.97</v>
      </c>
      <c r="L5" s="52" t="n">
        <f aca="false">IF(G5=0,0,K5/G5)</f>
        <v>0.378728155172414</v>
      </c>
    </row>
    <row r="6" customFormat="false" ht="15" hidden="false" customHeight="true" outlineLevel="0" collapsed="false">
      <c r="A6" s="11" t="s">
        <v>133</v>
      </c>
      <c r="B6" s="11" t="s">
        <v>134</v>
      </c>
      <c r="C6" s="11" t="s">
        <v>224</v>
      </c>
      <c r="D6" s="56" t="n">
        <v>48</v>
      </c>
      <c r="E6" s="53" t="n">
        <v>1.6</v>
      </c>
      <c r="F6" s="51" t="n">
        <v>98000</v>
      </c>
      <c r="G6" s="51" t="n">
        <f aca="false">D6*F6</f>
        <v>4704000</v>
      </c>
      <c r="H6" s="52" t="n">
        <f aca="false">Inputs_Control!$B$20</f>
        <v>0.62</v>
      </c>
      <c r="I6" s="51" t="n">
        <f aca="false">G6*H6</f>
        <v>2916480</v>
      </c>
      <c r="J6" s="51" t="n">
        <f aca="false">Sheet31_Analitika!$M$7*12</f>
        <v>8592.75</v>
      </c>
      <c r="K6" s="51" t="n">
        <f aca="false">G6-I6-J6</f>
        <v>1778927.25</v>
      </c>
      <c r="L6" s="52" t="n">
        <f aca="false">IF(G6=0,0,K6/G6)</f>
        <v>0.37817330994898</v>
      </c>
    </row>
    <row r="7" customFormat="false" ht="15" hidden="false" customHeight="true" outlineLevel="0" collapsed="false">
      <c r="A7" s="11" t="s">
        <v>135</v>
      </c>
      <c r="B7" s="11" t="s">
        <v>136</v>
      </c>
      <c r="C7" s="11" t="s">
        <v>225</v>
      </c>
      <c r="D7" s="56" t="n">
        <v>60</v>
      </c>
      <c r="E7" s="53" t="n">
        <v>1</v>
      </c>
      <c r="F7" s="51" t="n">
        <v>76000</v>
      </c>
      <c r="G7" s="51" t="n">
        <f aca="false">D7*F7</f>
        <v>4560000</v>
      </c>
      <c r="H7" s="52" t="n">
        <f aca="false">Inputs_Control!$B$20</f>
        <v>0.62</v>
      </c>
      <c r="I7" s="51" t="n">
        <f aca="false">G7*H7</f>
        <v>2827200</v>
      </c>
      <c r="J7" s="51" t="n">
        <f aca="false">Sheet31_Analitika!$M$8*12</f>
        <v>6801.84</v>
      </c>
      <c r="K7" s="51" t="n">
        <f aca="false">G7-I7-J7</f>
        <v>1725998.16</v>
      </c>
      <c r="L7" s="52" t="n">
        <f aca="false">IF(G7=0,0,K7/G7)</f>
        <v>0.378508368421053</v>
      </c>
    </row>
    <row r="8" customFormat="false" ht="15" hidden="false" customHeight="true" outlineLevel="0" collapsed="false">
      <c r="D8" s="57"/>
      <c r="E8" s="58"/>
      <c r="F8" s="59"/>
      <c r="G8" s="59"/>
      <c r="H8" s="60"/>
      <c r="I8" s="59"/>
      <c r="J8" s="59"/>
      <c r="K8" s="59"/>
      <c r="L8" s="60"/>
    </row>
    <row r="9" customFormat="false" ht="15" hidden="false" customHeight="true" outlineLevel="0" collapsed="false">
      <c r="A9" s="61" t="s">
        <v>150</v>
      </c>
      <c r="B9" s="61"/>
      <c r="C9" s="61"/>
      <c r="D9" s="62" t="n">
        <f aca="false">SUM(D4:D7)</f>
        <v>168</v>
      </c>
      <c r="E9" s="63" t="n">
        <f aca="false">SUM(E4:E7)</f>
        <v>10.1</v>
      </c>
      <c r="F9" s="64" t="n">
        <f aca="false">SUM(F4:F7)</f>
        <v>529000</v>
      </c>
      <c r="G9" s="64" t="n">
        <f aca="false">SUM(G4:G7)</f>
        <v>19524000</v>
      </c>
      <c r="H9" s="65" t="n">
        <f aca="false">SUM(H4:H7)</f>
        <v>2.48</v>
      </c>
      <c r="I9" s="64" t="n">
        <f aca="false">SUM(I4:I7)</f>
        <v>12104880</v>
      </c>
      <c r="J9" s="64" t="n">
        <f aca="false">SUM(J4:J7)</f>
        <v>33186.105</v>
      </c>
      <c r="K9" s="64" t="n">
        <f aca="false">SUM(K4:K7)</f>
        <v>7385933.895</v>
      </c>
      <c r="L9" s="65" t="n">
        <f aca="false">IF(G9=0,0,K9/G9)</f>
        <v>0.378300240473264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15" min="3" style="1" width="12"/>
  </cols>
  <sheetData>
    <row r="1" customFormat="false" ht="21.75" hidden="false" customHeight="true" outlineLevel="0" collapsed="false">
      <c r="A1" s="54" t="s">
        <v>226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3" customFormat="false" ht="15" hidden="false" customHeight="true" outlineLevel="0" collapsed="false">
      <c r="A3" s="55" t="s">
        <v>227</v>
      </c>
      <c r="B3" s="55" t="s">
        <v>228</v>
      </c>
      <c r="C3" s="55" t="s">
        <v>229</v>
      </c>
      <c r="D3" s="55" t="s">
        <v>230</v>
      </c>
      <c r="E3" s="55" t="s">
        <v>231</v>
      </c>
      <c r="F3" s="55" t="s">
        <v>232</v>
      </c>
      <c r="G3" s="55" t="s">
        <v>233</v>
      </c>
      <c r="H3" s="55" t="s">
        <v>234</v>
      </c>
      <c r="I3" s="55" t="s">
        <v>235</v>
      </c>
      <c r="J3" s="55" t="s">
        <v>236</v>
      </c>
      <c r="K3" s="55" t="s">
        <v>237</v>
      </c>
      <c r="L3" s="55" t="s">
        <v>238</v>
      </c>
      <c r="M3" s="55" t="s">
        <v>239</v>
      </c>
      <c r="N3" s="55" t="s">
        <v>240</v>
      </c>
      <c r="O3" s="55" t="s">
        <v>241</v>
      </c>
    </row>
    <row r="4" customFormat="false" ht="15" hidden="false" customHeight="true" outlineLevel="0" collapsed="false">
      <c r="A4" s="11" t="s">
        <v>242</v>
      </c>
      <c r="B4" s="51" t="n">
        <f aca="false">Inputs_Control!$B$28</f>
        <v>274003.2</v>
      </c>
      <c r="C4" s="51" t="n">
        <f aca="false">$B4</f>
        <v>274003.2</v>
      </c>
      <c r="D4" s="51" t="n">
        <f aca="false">$B4</f>
        <v>274003.2</v>
      </c>
      <c r="E4" s="51" t="n">
        <f aca="false">$B4</f>
        <v>274003.2</v>
      </c>
      <c r="F4" s="51" t="n">
        <f aca="false">$B4</f>
        <v>274003.2</v>
      </c>
      <c r="G4" s="51" t="n">
        <f aca="false">$B4</f>
        <v>274003.2</v>
      </c>
      <c r="H4" s="51" t="n">
        <f aca="false">$B4</f>
        <v>274003.2</v>
      </c>
      <c r="I4" s="51" t="n">
        <f aca="false">$B4</f>
        <v>274003.2</v>
      </c>
      <c r="J4" s="51" t="n">
        <f aca="false">$B4</f>
        <v>274003.2</v>
      </c>
      <c r="K4" s="51" t="n">
        <f aca="false">$B4</f>
        <v>274003.2</v>
      </c>
      <c r="L4" s="51" t="n">
        <f aca="false">$B4</f>
        <v>274003.2</v>
      </c>
      <c r="M4" s="51" t="n">
        <f aca="false">$B4</f>
        <v>274003.2</v>
      </c>
      <c r="N4" s="51" t="n">
        <f aca="false">$B4</f>
        <v>274003.2</v>
      </c>
      <c r="O4" s="51" t="n">
        <f aca="false">SUM(C4:N4)</f>
        <v>3288038.4</v>
      </c>
    </row>
    <row r="5" customFormat="false" ht="15" hidden="false" customHeight="true" outlineLevel="0" collapsed="false">
      <c r="A5" s="11" t="s">
        <v>243</v>
      </c>
      <c r="B5" s="51" t="n">
        <f aca="false">Inputs_Control!$B$21</f>
        <v>45000</v>
      </c>
      <c r="C5" s="51" t="n">
        <f aca="false">$B5</f>
        <v>45000</v>
      </c>
      <c r="D5" s="51" t="n">
        <f aca="false">$B5</f>
        <v>45000</v>
      </c>
      <c r="E5" s="51" t="n">
        <f aca="false">$B5</f>
        <v>45000</v>
      </c>
      <c r="F5" s="51" t="n">
        <f aca="false">$B5</f>
        <v>45000</v>
      </c>
      <c r="G5" s="51" t="n">
        <f aca="false">$B5</f>
        <v>45000</v>
      </c>
      <c r="H5" s="51" t="n">
        <f aca="false">$B5</f>
        <v>45000</v>
      </c>
      <c r="I5" s="51" t="n">
        <f aca="false">$B5</f>
        <v>45000</v>
      </c>
      <c r="J5" s="51" t="n">
        <f aca="false">$B5</f>
        <v>45000</v>
      </c>
      <c r="K5" s="51" t="n">
        <f aca="false">$B5</f>
        <v>45000</v>
      </c>
      <c r="L5" s="51" t="n">
        <f aca="false">$B5</f>
        <v>45000</v>
      </c>
      <c r="M5" s="51" t="n">
        <f aca="false">$B5</f>
        <v>45000</v>
      </c>
      <c r="N5" s="51" t="n">
        <f aca="false">$B5</f>
        <v>45000</v>
      </c>
      <c r="O5" s="51" t="n">
        <f aca="false">SUM(C5:N5)</f>
        <v>540000</v>
      </c>
    </row>
    <row r="6" customFormat="false" ht="15" hidden="false" customHeight="true" outlineLevel="0" collapsed="false">
      <c r="A6" s="11" t="s">
        <v>244</v>
      </c>
      <c r="B6" s="51" t="n">
        <f aca="false">Inputs_Control!$B$22</f>
        <v>18000</v>
      </c>
      <c r="C6" s="51" t="n">
        <f aca="false">$B6</f>
        <v>18000</v>
      </c>
      <c r="D6" s="51" t="n">
        <f aca="false">$B6</f>
        <v>18000</v>
      </c>
      <c r="E6" s="51" t="n">
        <f aca="false">$B6</f>
        <v>18000</v>
      </c>
      <c r="F6" s="51" t="n">
        <f aca="false">$B6</f>
        <v>18000</v>
      </c>
      <c r="G6" s="51" t="n">
        <f aca="false">$B6</f>
        <v>18000</v>
      </c>
      <c r="H6" s="51" t="n">
        <f aca="false">$B6</f>
        <v>18000</v>
      </c>
      <c r="I6" s="51" t="n">
        <f aca="false">$B6</f>
        <v>18000</v>
      </c>
      <c r="J6" s="51" t="n">
        <f aca="false">$B6</f>
        <v>18000</v>
      </c>
      <c r="K6" s="51" t="n">
        <f aca="false">$B6</f>
        <v>18000</v>
      </c>
      <c r="L6" s="51" t="n">
        <f aca="false">$B6</f>
        <v>18000</v>
      </c>
      <c r="M6" s="51" t="n">
        <f aca="false">$B6</f>
        <v>18000</v>
      </c>
      <c r="N6" s="51" t="n">
        <f aca="false">$B6</f>
        <v>18000</v>
      </c>
      <c r="O6" s="51" t="n">
        <f aca="false">SUM(C6:N6)</f>
        <v>216000</v>
      </c>
    </row>
    <row r="7" customFormat="false" ht="15" hidden="false" customHeight="true" outlineLevel="0" collapsed="false">
      <c r="A7" s="11" t="s">
        <v>245</v>
      </c>
      <c r="B7" s="51" t="n">
        <f aca="false">Inputs_Control!$B$23</f>
        <v>7500</v>
      </c>
      <c r="C7" s="51" t="n">
        <f aca="false">$B7</f>
        <v>7500</v>
      </c>
      <c r="D7" s="51" t="n">
        <f aca="false">$B7</f>
        <v>7500</v>
      </c>
      <c r="E7" s="51" t="n">
        <f aca="false">$B7</f>
        <v>7500</v>
      </c>
      <c r="F7" s="51" t="n">
        <f aca="false">$B7</f>
        <v>7500</v>
      </c>
      <c r="G7" s="51" t="n">
        <f aca="false">$B7</f>
        <v>7500</v>
      </c>
      <c r="H7" s="51" t="n">
        <f aca="false">$B7</f>
        <v>7500</v>
      </c>
      <c r="I7" s="51" t="n">
        <f aca="false">$B7</f>
        <v>7500</v>
      </c>
      <c r="J7" s="51" t="n">
        <f aca="false">$B7</f>
        <v>7500</v>
      </c>
      <c r="K7" s="51" t="n">
        <f aca="false">$B7</f>
        <v>7500</v>
      </c>
      <c r="L7" s="51" t="n">
        <f aca="false">$B7</f>
        <v>7500</v>
      </c>
      <c r="M7" s="51" t="n">
        <f aca="false">$B7</f>
        <v>7500</v>
      </c>
      <c r="N7" s="51" t="n">
        <f aca="false">$B7</f>
        <v>7500</v>
      </c>
      <c r="O7" s="51" t="n">
        <f aca="false">SUM(C7:N7)</f>
        <v>90000</v>
      </c>
    </row>
    <row r="8" customFormat="false" ht="15" hidden="false" customHeight="true" outlineLevel="0" collapsed="false">
      <c r="A8" s="61" t="s">
        <v>246</v>
      </c>
      <c r="B8" s="64" t="n">
        <f aca="false">SUM(B4:B7)</f>
        <v>344503.2</v>
      </c>
      <c r="C8" s="64" t="n">
        <f aca="false">SUM(C4:C7)</f>
        <v>344503.2</v>
      </c>
      <c r="D8" s="64" t="n">
        <f aca="false">SUM(D4:D7)</f>
        <v>344503.2</v>
      </c>
      <c r="E8" s="64" t="n">
        <f aca="false">SUM(E4:E7)</f>
        <v>344503.2</v>
      </c>
      <c r="F8" s="64" t="n">
        <f aca="false">SUM(F4:F7)</f>
        <v>344503.2</v>
      </c>
      <c r="G8" s="64" t="n">
        <f aca="false">SUM(G4:G7)</f>
        <v>344503.2</v>
      </c>
      <c r="H8" s="64" t="n">
        <f aca="false">SUM(H4:H7)</f>
        <v>344503.2</v>
      </c>
      <c r="I8" s="64" t="n">
        <f aca="false">SUM(I4:I7)</f>
        <v>344503.2</v>
      </c>
      <c r="J8" s="64" t="n">
        <f aca="false">SUM(J4:J7)</f>
        <v>344503.2</v>
      </c>
      <c r="K8" s="64" t="n">
        <f aca="false">SUM(K4:K7)</f>
        <v>344503.2</v>
      </c>
      <c r="L8" s="64" t="n">
        <f aca="false">SUM(L4:L7)</f>
        <v>344503.2</v>
      </c>
      <c r="M8" s="64" t="n">
        <f aca="false">SUM(M4:M7)</f>
        <v>344503.2</v>
      </c>
      <c r="N8" s="64" t="n">
        <f aca="false">SUM(N4:N7)</f>
        <v>344503.2</v>
      </c>
      <c r="O8" s="64" t="n">
        <f aca="false">SUM(O4:O7)</f>
        <v>4134038.4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3"/>
    <col collapsed="false" customWidth="true" hidden="false" outlineLevel="0" max="9" min="5" style="1" width="12"/>
    <col collapsed="false" customWidth="true" hidden="false" outlineLevel="0" max="10" min="10" style="1" width="24"/>
  </cols>
  <sheetData>
    <row r="1" customFormat="false" ht="21.75" hidden="false" customHeight="true" outlineLevel="0" collapsed="false">
      <c r="A1" s="54" t="s">
        <v>247</v>
      </c>
      <c r="B1" s="54"/>
      <c r="C1" s="54"/>
      <c r="D1" s="54"/>
      <c r="E1" s="54"/>
      <c r="F1" s="54"/>
      <c r="G1" s="54"/>
      <c r="H1" s="54"/>
      <c r="I1" s="54"/>
      <c r="J1" s="54"/>
    </row>
    <row r="3" customFormat="false" ht="15" hidden="false" customHeight="true" outlineLevel="0" collapsed="false">
      <c r="A3" s="55" t="s">
        <v>248</v>
      </c>
      <c r="B3" s="55" t="s">
        <v>249</v>
      </c>
      <c r="C3" s="55" t="s">
        <v>250</v>
      </c>
      <c r="D3" s="55" t="s">
        <v>251</v>
      </c>
      <c r="E3" s="55" t="s">
        <v>252</v>
      </c>
      <c r="F3" s="55" t="s">
        <v>253</v>
      </c>
      <c r="G3" s="55" t="s">
        <v>254</v>
      </c>
      <c r="H3" s="55" t="s">
        <v>255</v>
      </c>
      <c r="I3" s="55" t="s">
        <v>58</v>
      </c>
      <c r="J3" s="55" t="s">
        <v>4</v>
      </c>
    </row>
    <row r="4" customFormat="false" ht="15" hidden="false" customHeight="true" outlineLevel="0" collapsed="false">
      <c r="A4" s="11" t="s">
        <v>256</v>
      </c>
      <c r="B4" s="51" t="n">
        <v>450000</v>
      </c>
      <c r="C4" s="51" t="n">
        <v>550000</v>
      </c>
      <c r="D4" s="51" t="n">
        <v>650000</v>
      </c>
      <c r="E4" s="51" t="n">
        <v>200000</v>
      </c>
      <c r="F4" s="51" t="n">
        <v>200000</v>
      </c>
      <c r="G4" s="51" t="n">
        <v>150000</v>
      </c>
      <c r="H4" s="51" t="n">
        <v>0</v>
      </c>
      <c r="I4" s="11" t="s">
        <v>257</v>
      </c>
      <c r="J4" s="11" t="s">
        <v>258</v>
      </c>
    </row>
    <row r="5" customFormat="false" ht="15" hidden="false" customHeight="true" outlineLevel="0" collapsed="false">
      <c r="A5" s="11" t="s">
        <v>259</v>
      </c>
      <c r="B5" s="51" t="n">
        <v>4200000</v>
      </c>
      <c r="C5" s="51" t="n">
        <v>5100000</v>
      </c>
      <c r="D5" s="51" t="n">
        <v>6200000</v>
      </c>
      <c r="E5" s="51" t="n">
        <v>800000</v>
      </c>
      <c r="F5" s="51" t="n">
        <v>1800000</v>
      </c>
      <c r="G5" s="51" t="n">
        <v>2000000</v>
      </c>
      <c r="H5" s="51" t="n">
        <v>500000</v>
      </c>
      <c r="I5" s="11" t="s">
        <v>257</v>
      </c>
      <c r="J5" s="11" t="s">
        <v>260</v>
      </c>
    </row>
    <row r="6" customFormat="false" ht="15" hidden="false" customHeight="true" outlineLevel="0" collapsed="false">
      <c r="A6" s="11" t="s">
        <v>261</v>
      </c>
      <c r="B6" s="51" t="n">
        <v>2600000</v>
      </c>
      <c r="C6" s="51" t="n">
        <v>3400000</v>
      </c>
      <c r="D6" s="51" t="n">
        <v>4200000</v>
      </c>
      <c r="E6" s="51" t="n">
        <v>400000</v>
      </c>
      <c r="F6" s="51" t="n">
        <v>1200000</v>
      </c>
      <c r="G6" s="51" t="n">
        <v>1400000</v>
      </c>
      <c r="H6" s="51" t="n">
        <v>400000</v>
      </c>
      <c r="I6" s="11" t="s">
        <v>257</v>
      </c>
      <c r="J6" s="11" t="s">
        <v>262</v>
      </c>
    </row>
    <row r="7" customFormat="false" ht="15" hidden="false" customHeight="true" outlineLevel="0" collapsed="false">
      <c r="A7" s="11" t="s">
        <v>263</v>
      </c>
      <c r="B7" s="51" t="n">
        <v>550000</v>
      </c>
      <c r="C7" s="51" t="n">
        <v>700000</v>
      </c>
      <c r="D7" s="51" t="n">
        <v>850000</v>
      </c>
      <c r="E7" s="51" t="n">
        <v>100000</v>
      </c>
      <c r="F7" s="51" t="n">
        <v>250000</v>
      </c>
      <c r="G7" s="51" t="n">
        <v>250000</v>
      </c>
      <c r="H7" s="51" t="n">
        <v>100000</v>
      </c>
      <c r="I7" s="11" t="s">
        <v>257</v>
      </c>
      <c r="J7" s="11" t="s">
        <v>264</v>
      </c>
    </row>
    <row r="8" customFormat="false" ht="15" hidden="false" customHeight="true" outlineLevel="0" collapsed="false">
      <c r="A8" s="11" t="s">
        <v>265</v>
      </c>
      <c r="B8" s="51" t="n">
        <v>180000</v>
      </c>
      <c r="C8" s="51" t="n">
        <v>260000</v>
      </c>
      <c r="D8" s="51" t="n">
        <v>340000</v>
      </c>
      <c r="E8" s="51" t="n">
        <v>50000</v>
      </c>
      <c r="F8" s="51" t="n">
        <v>90000</v>
      </c>
      <c r="G8" s="51" t="n">
        <v>90000</v>
      </c>
      <c r="H8" s="51" t="n">
        <v>30000</v>
      </c>
      <c r="I8" s="11" t="s">
        <v>257</v>
      </c>
      <c r="J8" s="11" t="s">
        <v>266</v>
      </c>
    </row>
    <row r="9" customFormat="false" ht="15" hidden="false" customHeight="true" outlineLevel="0" collapsed="false">
      <c r="A9" s="11" t="s">
        <v>267</v>
      </c>
      <c r="B9" s="51" t="n">
        <v>650000</v>
      </c>
      <c r="C9" s="51" t="n">
        <v>900000</v>
      </c>
      <c r="D9" s="51" t="n">
        <v>1200000</v>
      </c>
      <c r="E9" s="51" t="n">
        <v>150000</v>
      </c>
      <c r="F9" s="51" t="n">
        <v>250000</v>
      </c>
      <c r="G9" s="51" t="n">
        <v>350000</v>
      </c>
      <c r="H9" s="51" t="n">
        <v>150000</v>
      </c>
      <c r="I9" s="11" t="s">
        <v>257</v>
      </c>
      <c r="J9" s="11" t="s">
        <v>268</v>
      </c>
    </row>
    <row r="10" customFormat="false" ht="15" hidden="false" customHeight="true" outlineLevel="0" collapsed="false">
      <c r="A10" s="61" t="s">
        <v>269</v>
      </c>
      <c r="B10" s="64" t="n">
        <f aca="false">SUM(B4:B9)</f>
        <v>8630000</v>
      </c>
      <c r="C10" s="64" t="n">
        <f aca="false">SUM(C4:C9)</f>
        <v>10910000</v>
      </c>
      <c r="D10" s="64" t="n">
        <f aca="false">SUM(D4:D9)</f>
        <v>13440000</v>
      </c>
      <c r="E10" s="64" t="n">
        <f aca="false">SUM(E4:E9)</f>
        <v>1700000</v>
      </c>
      <c r="F10" s="64" t="n">
        <f aca="false">SUM(F4:F9)</f>
        <v>3790000</v>
      </c>
      <c r="G10" s="64" t="n">
        <f aca="false">SUM(G4:G9)</f>
        <v>4240000</v>
      </c>
      <c r="H10" s="64" t="n">
        <f aca="false">SUM(H4:H9)</f>
        <v>1180000</v>
      </c>
      <c r="I10" s="61"/>
      <c r="J10" s="61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10" min="9" style="1" width="16"/>
    <col collapsed="false" customWidth="true" hidden="false" outlineLevel="0" max="11" min="11" style="1" width="18"/>
  </cols>
  <sheetData>
    <row r="1" customFormat="false" ht="21.75" hidden="false" customHeight="true" outlineLevel="0" collapsed="false">
      <c r="A1" s="54" t="s">
        <v>270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3" customFormat="false" ht="15" hidden="false" customHeight="true" outlineLevel="0" collapsed="false">
      <c r="A3" s="55" t="s">
        <v>271</v>
      </c>
      <c r="B3" s="55" t="s">
        <v>272</v>
      </c>
      <c r="C3" s="55" t="s">
        <v>273</v>
      </c>
      <c r="D3" s="55" t="s">
        <v>274</v>
      </c>
      <c r="E3" s="55" t="s">
        <v>275</v>
      </c>
      <c r="F3" s="55" t="s">
        <v>276</v>
      </c>
      <c r="G3" s="55" t="s">
        <v>277</v>
      </c>
      <c r="H3" s="55" t="s">
        <v>278</v>
      </c>
      <c r="I3" s="55" t="s">
        <v>279</v>
      </c>
      <c r="J3" s="55" t="s">
        <v>280</v>
      </c>
      <c r="K3" s="55" t="s">
        <v>4</v>
      </c>
    </row>
    <row r="4" customFormat="false" ht="15" hidden="false" customHeight="true" outlineLevel="0" collapsed="false">
      <c r="A4" s="11" t="s">
        <v>281</v>
      </c>
      <c r="B4" s="53" t="n">
        <f aca="false">Inputs_Control!$B$15</f>
        <v>2</v>
      </c>
      <c r="C4" s="53" t="n">
        <f aca="false">Inputs_Control!$B$16</f>
        <v>8</v>
      </c>
      <c r="D4" s="53" t="n">
        <f aca="false">Inputs_Control!$B$18</f>
        <v>250</v>
      </c>
      <c r="E4" s="52" t="n">
        <f aca="false">Inputs_Control!$B$17</f>
        <v>0.85</v>
      </c>
      <c r="F4" s="53" t="n">
        <f aca="false">B4*C4*D4*E4</f>
        <v>3400</v>
      </c>
      <c r="G4" s="53" t="n">
        <f aca="false">F4/(Inputs_Control!$B$4*12)</f>
        <v>1.77083333333333</v>
      </c>
      <c r="H4" s="53" t="n">
        <f aca="false">2.4</f>
        <v>2.4</v>
      </c>
      <c r="I4" s="53" t="n">
        <f aca="false">G4*H4</f>
        <v>4.25</v>
      </c>
      <c r="J4" s="51" t="n">
        <f aca="false">G4*Inputs_Control!$B$19</f>
        <v>212500</v>
      </c>
      <c r="K4" s="11" t="s">
        <v>282</v>
      </c>
    </row>
    <row r="5" customFormat="false" ht="15" hidden="false" customHeight="true" outlineLevel="0" collapsed="false">
      <c r="A5" s="11" t="s">
        <v>283</v>
      </c>
      <c r="B5" s="53" t="n">
        <v>3</v>
      </c>
      <c r="C5" s="53" t="n">
        <v>8</v>
      </c>
      <c r="D5" s="53" t="n">
        <v>270</v>
      </c>
      <c r="E5" s="52" t="n">
        <v>0.9</v>
      </c>
      <c r="F5" s="53" t="n">
        <f aca="false">B5*C5*D5*E5</f>
        <v>5832</v>
      </c>
      <c r="G5" s="53" t="n">
        <f aca="false">F5/(Inputs_Control!$B$4*12)</f>
        <v>3.0375</v>
      </c>
      <c r="H5" s="53" t="n">
        <f aca="false">2.8</f>
        <v>2.8</v>
      </c>
      <c r="I5" s="53" t="n">
        <f aca="false">G5*H5</f>
        <v>8.505</v>
      </c>
      <c r="J5" s="51" t="n">
        <f aca="false">G5*Inputs_Control!$B$19</f>
        <v>364500</v>
      </c>
      <c r="K5" s="11" t="s">
        <v>284</v>
      </c>
    </row>
    <row r="6" customFormat="false" ht="15" hidden="false" customHeight="true" outlineLevel="0" collapsed="false">
      <c r="A6" s="11" t="s">
        <v>285</v>
      </c>
      <c r="B6" s="53" t="n">
        <v>2</v>
      </c>
      <c r="C6" s="53" t="n">
        <v>8</v>
      </c>
      <c r="D6" s="53" t="n">
        <v>220</v>
      </c>
      <c r="E6" s="52" t="n">
        <v>0.7</v>
      </c>
      <c r="F6" s="53" t="n">
        <f aca="false">B6*C6*D6*E6</f>
        <v>2464</v>
      </c>
      <c r="G6" s="53" t="n">
        <f aca="false">F6/(Inputs_Control!$B$4*12)</f>
        <v>1.28333333333333</v>
      </c>
      <c r="H6" s="53" t="n">
        <f aca="false">2</f>
        <v>2</v>
      </c>
      <c r="I6" s="53" t="n">
        <f aca="false">G6*H6</f>
        <v>2.56666666666667</v>
      </c>
      <c r="J6" s="51" t="n">
        <f aca="false">G6*Inputs_Control!$B$19</f>
        <v>154000</v>
      </c>
      <c r="K6" s="11" t="s">
        <v>286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28"/>
    <col collapsed="false" customWidth="true" hidden="false" outlineLevel="0" max="13" min="11" style="1" width="16"/>
    <col collapsed="false" customWidth="true" hidden="false" outlineLevel="0" max="14" min="14" style="1" width="18"/>
    <col collapsed="false" customWidth="true" hidden="false" outlineLevel="0" max="16" min="15" style="1" width="16"/>
  </cols>
  <sheetData>
    <row r="1" customFormat="false" ht="21.75" hidden="false" customHeight="true" outlineLevel="0" collapsed="false">
      <c r="A1" s="54" t="s">
        <v>287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3" customFormat="false" ht="15" hidden="false" customHeight="true" outlineLevel="0" collapsed="false">
      <c r="B3" s="66" t="s">
        <v>288</v>
      </c>
      <c r="C3" s="66"/>
      <c r="D3" s="66"/>
      <c r="F3" s="66" t="s">
        <v>220</v>
      </c>
      <c r="G3" s="66"/>
      <c r="H3" s="66"/>
      <c r="J3" s="66" t="s">
        <v>221</v>
      </c>
      <c r="K3" s="66"/>
      <c r="L3" s="66"/>
      <c r="N3" s="66" t="s">
        <v>289</v>
      </c>
      <c r="O3" s="66"/>
      <c r="P3" s="66"/>
    </row>
    <row r="4" customFormat="false" ht="15" hidden="false" customHeight="true" outlineLevel="0" collapsed="false">
      <c r="B4" s="67" t="n">
        <f aca="false">Project_Profitability!G9</f>
        <v>19524000</v>
      </c>
      <c r="C4" s="67"/>
      <c r="D4" s="67"/>
      <c r="F4" s="67" t="n">
        <f aca="false">Project_Profitability!K9</f>
        <v>7385933.895</v>
      </c>
      <c r="G4" s="67"/>
      <c r="H4" s="67"/>
      <c r="J4" s="68" t="n">
        <f aca="false">Project_Profitability!L9</f>
        <v>0.378300240473264</v>
      </c>
      <c r="K4" s="68"/>
      <c r="L4" s="68"/>
      <c r="N4" s="67" t="n">
        <f aca="false">OPEX_Plan!O8</f>
        <v>4134038.4</v>
      </c>
      <c r="O4" s="67"/>
      <c r="P4" s="67"/>
    </row>
    <row r="5" customFormat="false" ht="15" hidden="false" customHeight="true" outlineLevel="0" collapsed="false">
      <c r="B5" s="67"/>
      <c r="C5" s="67"/>
      <c r="D5" s="67"/>
      <c r="F5" s="67"/>
      <c r="G5" s="67"/>
      <c r="H5" s="67"/>
      <c r="J5" s="68"/>
      <c r="K5" s="68"/>
      <c r="L5" s="68"/>
      <c r="N5" s="67"/>
      <c r="O5" s="67"/>
      <c r="P5" s="67"/>
    </row>
    <row r="8" customFormat="false" ht="15" hidden="false" customHeight="true" outlineLevel="0" collapsed="false">
      <c r="B8" s="66" t="s">
        <v>290</v>
      </c>
      <c r="C8" s="66"/>
      <c r="D8" s="66"/>
      <c r="F8" s="66" t="s">
        <v>291</v>
      </c>
      <c r="G8" s="66"/>
      <c r="H8" s="66"/>
      <c r="J8" s="66" t="s">
        <v>292</v>
      </c>
      <c r="K8" s="66"/>
      <c r="L8" s="66"/>
      <c r="N8" s="66" t="s">
        <v>293</v>
      </c>
      <c r="O8" s="66"/>
      <c r="P8" s="66"/>
    </row>
    <row r="9" customFormat="false" ht="15" hidden="false" customHeight="true" outlineLevel="0" collapsed="false">
      <c r="B9" s="67" t="n">
        <f aca="false">B4-N4</f>
        <v>15389961.6</v>
      </c>
      <c r="C9" s="67"/>
      <c r="D9" s="67"/>
      <c r="F9" s="68" t="n">
        <f aca="false">IF(B4=0,0,B9/B4)</f>
        <v>0.788258635525507</v>
      </c>
      <c r="G9" s="68"/>
      <c r="H9" s="68"/>
      <c r="J9" s="69" t="n">
        <f aca="false">Capacity_Planning!I4</f>
        <v>4.25</v>
      </c>
      <c r="K9" s="69"/>
      <c r="L9" s="69"/>
      <c r="N9" s="69" t="n">
        <f aca="false">Capacity_Planning!G4</f>
        <v>1.77083333333333</v>
      </c>
      <c r="O9" s="69"/>
      <c r="P9" s="69"/>
    </row>
    <row r="10" customFormat="false" ht="15" hidden="false" customHeight="true" outlineLevel="0" collapsed="false">
      <c r="B10" s="67"/>
      <c r="C10" s="67"/>
      <c r="D10" s="67"/>
      <c r="F10" s="68"/>
      <c r="G10" s="68"/>
      <c r="H10" s="68"/>
      <c r="J10" s="69"/>
      <c r="K10" s="69"/>
      <c r="L10" s="69"/>
      <c r="N10" s="69"/>
      <c r="O10" s="69"/>
      <c r="P10" s="69"/>
    </row>
    <row r="14" customFormat="false" ht="15" hidden="false" customHeight="true" outlineLevel="0" collapsed="false">
      <c r="B14" s="70" t="s">
        <v>294</v>
      </c>
    </row>
    <row r="15" customFormat="false" ht="15" hidden="false" customHeight="true" outlineLevel="0" collapsed="false">
      <c r="B15" s="55" t="s">
        <v>295</v>
      </c>
      <c r="C15" s="55" t="s">
        <v>2</v>
      </c>
      <c r="D15" s="55" t="s">
        <v>192</v>
      </c>
      <c r="E15" s="55" t="s">
        <v>58</v>
      </c>
      <c r="H15" s="55" t="s">
        <v>296</v>
      </c>
      <c r="I15" s="55" t="s">
        <v>297</v>
      </c>
      <c r="J15" s="55" t="s">
        <v>298</v>
      </c>
    </row>
    <row r="16" customFormat="false" ht="15" hidden="false" customHeight="true" outlineLevel="0" collapsed="false">
      <c r="B16" s="11" t="s">
        <v>221</v>
      </c>
      <c r="C16" s="52" t="n">
        <f aca="false">Project_Profitability!L9</f>
        <v>0.378300240473264</v>
      </c>
      <c r="D16" s="52" t="n">
        <f aca="false">Inputs_Control!$B$24</f>
        <v>0.26</v>
      </c>
      <c r="E16" s="11" t="str">
        <f aca="false">IF(C16&gt;=D16,"ON TARGET","BELOW TARGET")</f>
        <v>ON TARGET</v>
      </c>
      <c r="H16" s="11" t="s">
        <v>299</v>
      </c>
      <c r="I16" s="71" t="s">
        <v>300</v>
      </c>
      <c r="J16" s="11" t="s">
        <v>301</v>
      </c>
    </row>
    <row r="17" customFormat="false" ht="15" hidden="false" customHeight="true" outlineLevel="0" collapsed="false">
      <c r="B17" s="11" t="s">
        <v>291</v>
      </c>
      <c r="C17" s="52" t="n">
        <f aca="false">IF(B4=0,0,B9/B4)</f>
        <v>0.788258635525507</v>
      </c>
      <c r="D17" s="52" t="n">
        <f aca="false">Inputs_Control!$B$25</f>
        <v>0.14</v>
      </c>
      <c r="E17" s="11" t="str">
        <f aca="false">IF(C17&gt;=D17,"ON TARGET","BELOW TARGET")</f>
        <v>ON TARGET</v>
      </c>
      <c r="H17" s="11" t="s">
        <v>302</v>
      </c>
      <c r="I17" s="71" t="s">
        <v>303</v>
      </c>
      <c r="J17" s="11" t="s">
        <v>304</v>
      </c>
    </row>
    <row r="18" customFormat="false" ht="15" hidden="false" customHeight="true" outlineLevel="0" collapsed="false">
      <c r="B18" s="11" t="s">
        <v>305</v>
      </c>
      <c r="C18" s="52" t="n">
        <f aca="false">Capacity_Planning!E4</f>
        <v>0.85</v>
      </c>
      <c r="D18" s="52" t="n">
        <v>0.85</v>
      </c>
      <c r="E18" s="11" t="str">
        <f aca="false">IF(C18&gt;=D18,"ON TARGET","REVIEW")</f>
        <v>ON TARGET</v>
      </c>
      <c r="H18" s="11" t="s">
        <v>306</v>
      </c>
      <c r="I18" s="71" t="s">
        <v>307</v>
      </c>
      <c r="J18" s="11" t="s">
        <v>308</v>
      </c>
    </row>
    <row r="19" customFormat="false" ht="15" hidden="false" customHeight="true" outlineLevel="0" collapsed="false">
      <c r="B19" s="11" t="s">
        <v>309</v>
      </c>
      <c r="C19" s="51" t="n">
        <f aca="false">CAPEX_Plan!C10</f>
        <v>10910000</v>
      </c>
      <c r="D19" s="51" t="n">
        <v>9000000</v>
      </c>
      <c r="E19" s="11" t="str">
        <f aca="false">IF(C19&lt;=D19,"WITHIN LIMIT","ABOVE LIMIT")</f>
        <v>ABOVE LIMIT</v>
      </c>
      <c r="H19" s="11" t="s">
        <v>310</v>
      </c>
      <c r="I19" s="71" t="s">
        <v>311</v>
      </c>
      <c r="J19" s="11" t="s">
        <v>312</v>
      </c>
    </row>
    <row r="20" customFormat="false" ht="15" hidden="false" customHeight="true" outlineLevel="0" collapsed="false">
      <c r="B20" s="11" t="s">
        <v>313</v>
      </c>
      <c r="C20" s="56" t="n">
        <f aca="false">COUNTIF(Sheet3_Sati!$M$4:$M$63,"SUSPICIOUS")</f>
        <v>0</v>
      </c>
      <c r="D20" s="56" t="n">
        <v>0</v>
      </c>
      <c r="E20" s="11" t="str">
        <f aca="false">IF(C20=D20,"CLEAN","REVIEW")</f>
        <v>CLEAN</v>
      </c>
    </row>
  </sheetData>
  <mergeCells count="17">
    <mergeCell ref="A1:P1"/>
    <mergeCell ref="B3:D3"/>
    <mergeCell ref="F3:H3"/>
    <mergeCell ref="J3:L3"/>
    <mergeCell ref="N3:P3"/>
    <mergeCell ref="B4:D5"/>
    <mergeCell ref="F4:H5"/>
    <mergeCell ref="J4:L5"/>
    <mergeCell ref="N4:P5"/>
    <mergeCell ref="B8:D8"/>
    <mergeCell ref="F8:H8"/>
    <mergeCell ref="J8:L8"/>
    <mergeCell ref="N8:P8"/>
    <mergeCell ref="B9:D10"/>
    <mergeCell ref="F9:H10"/>
    <mergeCell ref="J9:L10"/>
    <mergeCell ref="N9:P10"/>
  </mergeCells>
  <conditionalFormatting sqref="E16:E20">
    <cfRule type="expression" priority="2" aboveAverage="0" equalAverage="0" bottom="0" percent="0" rank="0" text="" dxfId="4">
      <formula>OR(E16="ON TARGET",E16="WITHIN LIMIT",E16="CLEAN")</formula>
    </cfRule>
    <cfRule type="expression" priority="3" aboveAverage="0" equalAverage="0" bottom="0" percent="0" rank="0" text="" dxfId="2">
      <formula>OR(E16="BELOW TARGET",E16="REVIEW",E16="ABOVE LIMIT")</formula>
    </cfRule>
  </conditionalFormatting>
  <hyperlinks>
    <hyperlink ref="I16" r:id="rId1" location="'Project_Profitability'!A1" display="Project_Profitability"/>
    <hyperlink ref="I17" r:id="rId2" location="'OPEX_Plan'!A1" display="OPEX_Plan"/>
    <hyperlink ref="I18" r:id="rId3" location="'CAPEX_Plan'!A1" display="CAPEX_Plan"/>
    <hyperlink ref="I19" r:id="rId4" location="'Capacity_Planning'!A1" display="Capacity_Plann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72" t="s">
        <v>314</v>
      </c>
      <c r="B1" s="72"/>
      <c r="C1" s="72"/>
      <c r="D1" s="72"/>
    </row>
    <row r="3" customFormat="false" ht="15" hidden="false" customHeight="false" outlineLevel="0" collapsed="false">
      <c r="A3" s="73" t="s">
        <v>315</v>
      </c>
      <c r="B3" s="73" t="s">
        <v>2</v>
      </c>
      <c r="C3" s="73" t="s">
        <v>3</v>
      </c>
      <c r="D3" s="73" t="s">
        <v>4</v>
      </c>
    </row>
    <row r="4" customFormat="false" ht="15" hidden="false" customHeight="false" outlineLevel="0" collapsed="false">
      <c r="A4" s="74" t="s">
        <v>316</v>
      </c>
      <c r="B4" s="75" t="n">
        <v>0.6</v>
      </c>
      <c r="C4" s="1" t="s">
        <v>317</v>
      </c>
      <c r="D4" s="1" t="s">
        <v>318</v>
      </c>
    </row>
    <row r="5" customFormat="false" ht="15" hidden="false" customHeight="false" outlineLevel="0" collapsed="false">
      <c r="A5" s="74" t="s">
        <v>319</v>
      </c>
      <c r="B5" s="76" t="n">
        <v>0.06</v>
      </c>
      <c r="C5" s="1" t="s">
        <v>9</v>
      </c>
      <c r="D5" s="1" t="s">
        <v>320</v>
      </c>
    </row>
    <row r="6" customFormat="false" ht="15" hidden="false" customHeight="false" outlineLevel="0" collapsed="false">
      <c r="A6" s="74" t="s">
        <v>321</v>
      </c>
      <c r="B6" s="76" t="n">
        <v>0.075</v>
      </c>
      <c r="C6" s="1" t="s">
        <v>9</v>
      </c>
      <c r="D6" s="1" t="s">
        <v>322</v>
      </c>
    </row>
    <row r="7" customFormat="false" ht="15" hidden="false" customHeight="false" outlineLevel="0" collapsed="false">
      <c r="A7" s="74" t="s">
        <v>323</v>
      </c>
      <c r="B7" s="77" t="n">
        <v>8</v>
      </c>
      <c r="C7" s="1" t="s">
        <v>324</v>
      </c>
      <c r="D7" s="1" t="s">
        <v>325</v>
      </c>
    </row>
    <row r="8" customFormat="false" ht="15" hidden="false" customHeight="false" outlineLevel="0" collapsed="false">
      <c r="A8" s="74" t="s">
        <v>326</v>
      </c>
      <c r="B8" s="76" t="n">
        <v>0.9</v>
      </c>
      <c r="C8" s="1" t="s">
        <v>9</v>
      </c>
      <c r="D8" s="1" t="s">
        <v>327</v>
      </c>
    </row>
    <row r="9" customFormat="false" ht="15" hidden="false" customHeight="false" outlineLevel="0" collapsed="false">
      <c r="A9" s="74" t="s">
        <v>328</v>
      </c>
      <c r="B9" s="77" t="n">
        <v>6</v>
      </c>
      <c r="C9" s="1" t="s">
        <v>329</v>
      </c>
      <c r="D9" s="1" t="s">
        <v>330</v>
      </c>
    </row>
    <row r="10" customFormat="false" ht="15" hidden="false" customHeight="false" outlineLevel="0" collapsed="false">
      <c r="A10" s="78" t="s">
        <v>331</v>
      </c>
      <c r="B10" s="79" t="n">
        <v>1.2</v>
      </c>
      <c r="C10" s="80" t="s">
        <v>317</v>
      </c>
      <c r="D10" s="80" t="s">
        <v>332</v>
      </c>
    </row>
    <row r="11" customFormat="false" ht="15" hidden="false" customHeight="false" outlineLevel="0" collapsed="false">
      <c r="A11" s="78" t="s">
        <v>333</v>
      </c>
      <c r="B11" s="79" t="n">
        <v>1</v>
      </c>
      <c r="C11" s="80" t="s">
        <v>317</v>
      </c>
      <c r="D11" s="80" t="s">
        <v>334</v>
      </c>
    </row>
    <row r="12" customFormat="false" ht="15" hidden="false" customHeight="false" outlineLevel="0" collapsed="false">
      <c r="A12" s="78" t="s">
        <v>335</v>
      </c>
      <c r="B12" s="79" t="n">
        <v>1.3</v>
      </c>
      <c r="C12" s="80" t="s">
        <v>317</v>
      </c>
      <c r="D12" s="80" t="s">
        <v>336</v>
      </c>
    </row>
    <row r="13" customFormat="false" ht="15" hidden="false" customHeight="false" outlineLevel="0" collapsed="false">
      <c r="A13" s="78" t="s">
        <v>337</v>
      </c>
      <c r="B13" s="79" t="n">
        <v>1.4</v>
      </c>
      <c r="C13" s="80" t="s">
        <v>317</v>
      </c>
      <c r="D13" s="80" t="s">
        <v>338</v>
      </c>
    </row>
    <row r="14" customFormat="false" ht="15" hidden="false" customHeight="false" outlineLevel="0" collapsed="false">
      <c r="A14" s="74" t="s">
        <v>339</v>
      </c>
      <c r="B14" s="75" t="n">
        <v>1.35</v>
      </c>
      <c r="C14" s="1" t="s">
        <v>317</v>
      </c>
      <c r="D14" s="1" t="s">
        <v>340</v>
      </c>
    </row>
    <row r="15" customFormat="false" ht="15" hidden="false" customHeight="false" outlineLevel="0" collapsed="false">
      <c r="A15" s="74" t="s">
        <v>341</v>
      </c>
      <c r="B15" s="76" t="n">
        <v>0.5</v>
      </c>
      <c r="C15" s="1" t="s">
        <v>9</v>
      </c>
      <c r="D15" s="1" t="s">
        <v>342</v>
      </c>
    </row>
    <row r="16" customFormat="false" ht="15" hidden="false" customHeight="false" outlineLevel="0" collapsed="false">
      <c r="A16" s="74" t="s">
        <v>343</v>
      </c>
      <c r="B16" s="76" t="n">
        <v>0.15</v>
      </c>
      <c r="C16" s="1" t="s">
        <v>9</v>
      </c>
      <c r="D16" s="1" t="s">
        <v>344</v>
      </c>
    </row>
    <row r="17" customFormat="false" ht="15" hidden="false" customHeight="false" outlineLevel="0" collapsed="false">
      <c r="A17" s="74" t="s">
        <v>345</v>
      </c>
      <c r="B17" s="76" t="n">
        <v>0.2</v>
      </c>
      <c r="C17" s="1" t="s">
        <v>9</v>
      </c>
      <c r="D17" s="1" t="s">
        <v>346</v>
      </c>
    </row>
    <row r="18" customFormat="false" ht="15" hidden="false" customHeight="false" outlineLevel="0" collapsed="false">
      <c r="A18" s="74" t="s">
        <v>347</v>
      </c>
      <c r="B18" s="77" t="n">
        <v>30</v>
      </c>
      <c r="C18" s="1" t="s">
        <v>22</v>
      </c>
      <c r="D18" s="1" t="s">
        <v>348</v>
      </c>
    </row>
    <row r="19" customFormat="false" ht="15" hidden="false" customHeight="false" outlineLevel="0" collapsed="false">
      <c r="A19" s="74" t="s">
        <v>349</v>
      </c>
      <c r="B19" s="77" t="n">
        <v>2</v>
      </c>
      <c r="C19" s="1" t="s">
        <v>25</v>
      </c>
      <c r="D19" s="1" t="s">
        <v>350</v>
      </c>
    </row>
    <row r="20" customFormat="false" ht="15" hidden="false" customHeight="false" outlineLevel="0" collapsed="false">
      <c r="A20" s="74" t="s">
        <v>351</v>
      </c>
      <c r="B20" s="81" t="n">
        <f aca="false">Board_Dashboard!B4</f>
        <v>19524000</v>
      </c>
      <c r="C20" s="1" t="s">
        <v>352</v>
      </c>
      <c r="D20" s="1" t="s">
        <v>353</v>
      </c>
    </row>
    <row r="21" customFormat="false" ht="15" hidden="false" customHeight="false" outlineLevel="0" collapsed="false">
      <c r="A21" s="74" t="s">
        <v>354</v>
      </c>
      <c r="B21" s="82" t="n">
        <f aca="false">Board_Dashboard!F9</f>
        <v>0.788258635525507</v>
      </c>
      <c r="C21" s="1" t="s">
        <v>9</v>
      </c>
      <c r="D21" s="1" t="s">
        <v>353</v>
      </c>
    </row>
    <row r="22" customFormat="false" ht="15" hidden="false" customHeight="false" outlineLevel="0" collapsed="false">
      <c r="A22" s="74" t="s">
        <v>355</v>
      </c>
      <c r="B22" s="81" t="n">
        <f aca="false">CAPEX_Plan!C10</f>
        <v>10910000</v>
      </c>
      <c r="C22" s="1" t="s">
        <v>352</v>
      </c>
      <c r="D22" s="1" t="s">
        <v>356</v>
      </c>
    </row>
    <row r="23" customFormat="false" ht="15" hidden="false" customHeight="false" outlineLevel="0" collapsed="false">
      <c r="A23" s="74" t="s">
        <v>357</v>
      </c>
      <c r="B23" s="81" t="n">
        <f aca="false">B22*B4</f>
        <v>6546000</v>
      </c>
      <c r="C23" s="1" t="s">
        <v>352</v>
      </c>
      <c r="D23" s="1" t="s">
        <v>358</v>
      </c>
    </row>
    <row r="24" customFormat="false" ht="15" hidden="false" customHeight="false" outlineLevel="0" collapsed="false">
      <c r="A24" s="74" t="s">
        <v>359</v>
      </c>
      <c r="B24" s="76" t="n">
        <v>0.35</v>
      </c>
      <c r="C24" s="1" t="s">
        <v>9</v>
      </c>
      <c r="D24" s="1" t="s">
        <v>360</v>
      </c>
    </row>
    <row r="25" customFormat="false" ht="15" hidden="false" customHeight="false" outlineLevel="0" collapsed="false">
      <c r="A25" s="74" t="s">
        <v>361</v>
      </c>
      <c r="B25" s="76" t="n">
        <v>0.55</v>
      </c>
      <c r="C25" s="1" t="s">
        <v>9</v>
      </c>
      <c r="D25" s="1" t="s">
        <v>362</v>
      </c>
    </row>
    <row r="26" customFormat="false" ht="15" hidden="false" customHeight="false" outlineLevel="0" collapsed="false">
      <c r="A26" s="74" t="s">
        <v>363</v>
      </c>
      <c r="B26" s="76" t="n">
        <v>0.8</v>
      </c>
      <c r="C26" s="1" t="s">
        <v>9</v>
      </c>
      <c r="D26" s="1" t="s">
        <v>362</v>
      </c>
    </row>
    <row r="27" customFormat="false" ht="15" hidden="false" customHeight="false" outlineLevel="0" collapsed="false">
      <c r="A27" s="74" t="s">
        <v>364</v>
      </c>
      <c r="B27" s="76" t="n">
        <v>1</v>
      </c>
      <c r="C27" s="1" t="s">
        <v>9</v>
      </c>
      <c r="D27" s="1" t="s">
        <v>365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72" t="s">
        <v>366</v>
      </c>
      <c r="B1" s="72"/>
      <c r="C1" s="72"/>
      <c r="D1" s="72"/>
      <c r="E1" s="72"/>
      <c r="F1" s="72"/>
    </row>
    <row r="3" customFormat="false" ht="15" hidden="false" customHeight="false" outlineLevel="0" collapsed="false">
      <c r="A3" s="73" t="s">
        <v>295</v>
      </c>
      <c r="B3" s="73" t="s">
        <v>367</v>
      </c>
      <c r="C3" s="73" t="s">
        <v>252</v>
      </c>
      <c r="D3" s="73" t="s">
        <v>253</v>
      </c>
      <c r="E3" s="73" t="s">
        <v>254</v>
      </c>
      <c r="F3" s="73" t="s">
        <v>255</v>
      </c>
    </row>
    <row r="4" customFormat="false" ht="15" hidden="false" customHeight="false" outlineLevel="0" collapsed="false">
      <c r="A4" s="74" t="s">
        <v>368</v>
      </c>
      <c r="B4" s="1" t="s">
        <v>369</v>
      </c>
      <c r="C4" s="81" t="n">
        <f aca="false">Finance_Document_Assumptions!$B$20*Finance_Document_Assumptions!$B$24</f>
        <v>6833400</v>
      </c>
      <c r="D4" s="81" t="n">
        <f aca="false">Finance_Document_Assumptions!$B$20*Finance_Document_Assumptions!$B$25</f>
        <v>10738200</v>
      </c>
      <c r="E4" s="81" t="n">
        <f aca="false">Finance_Document_Assumptions!$B$20*Finance_Document_Assumptions!$B$26</f>
        <v>15619200</v>
      </c>
      <c r="F4" s="81" t="n">
        <f aca="false">Finance_Document_Assumptions!$B$20*Finance_Document_Assumptions!$B$27</f>
        <v>19524000</v>
      </c>
    </row>
    <row r="5" customFormat="false" ht="15" hidden="false" customHeight="false" outlineLevel="0" collapsed="false">
      <c r="A5" s="74" t="s">
        <v>291</v>
      </c>
      <c r="B5" s="1" t="s">
        <v>370</v>
      </c>
      <c r="C5" s="82" t="n">
        <f aca="false">Finance_Document_Assumptions!$B$21</f>
        <v>0.788258635525507</v>
      </c>
      <c r="D5" s="82" t="n">
        <f aca="false">Finance_Document_Assumptions!$B$21</f>
        <v>0.788258635525507</v>
      </c>
      <c r="E5" s="82" t="n">
        <f aca="false">Finance_Document_Assumptions!$B$21</f>
        <v>0.788258635525507</v>
      </c>
      <c r="F5" s="82" t="n">
        <f aca="false">Finance_Document_Assumptions!$B$21</f>
        <v>0.788258635525507</v>
      </c>
    </row>
    <row r="6" customFormat="false" ht="15" hidden="false" customHeight="false" outlineLevel="0" collapsed="false">
      <c r="A6" s="74" t="s">
        <v>290</v>
      </c>
      <c r="B6" s="1" t="s">
        <v>371</v>
      </c>
      <c r="C6" s="81" t="n">
        <f aca="false">C4*C5</f>
        <v>5386486.56</v>
      </c>
      <c r="D6" s="81" t="n">
        <f aca="false">D4*D5</f>
        <v>8464478.88</v>
      </c>
      <c r="E6" s="81" t="n">
        <f aca="false">E4*E5</f>
        <v>12311969.28</v>
      </c>
      <c r="F6" s="81" t="n">
        <f aca="false">F4*F5</f>
        <v>15389961.6</v>
      </c>
    </row>
    <row r="7" customFormat="false" ht="15" hidden="false" customHeight="false" outlineLevel="0" collapsed="false">
      <c r="A7" s="74" t="s">
        <v>326</v>
      </c>
      <c r="B7" s="1" t="s">
        <v>315</v>
      </c>
      <c r="C7" s="82" t="n">
        <f aca="false">Finance_Document_Assumptions!$B$8</f>
        <v>0.9</v>
      </c>
      <c r="D7" s="82" t="n">
        <f aca="false">Finance_Document_Assumptions!$B$8</f>
        <v>0.9</v>
      </c>
      <c r="E7" s="82" t="n">
        <f aca="false">Finance_Document_Assumptions!$B$8</f>
        <v>0.9</v>
      </c>
      <c r="F7" s="82" t="n">
        <f aca="false">Finance_Document_Assumptions!$B$8</f>
        <v>0.9</v>
      </c>
    </row>
    <row r="8" customFormat="false" ht="15" hidden="false" customHeight="false" outlineLevel="0" collapsed="false">
      <c r="A8" s="74" t="s">
        <v>372</v>
      </c>
      <c r="B8" s="1" t="s">
        <v>373</v>
      </c>
      <c r="C8" s="81" t="n">
        <f aca="false">C6*C7</f>
        <v>4847837.904</v>
      </c>
      <c r="D8" s="81" t="n">
        <f aca="false">D6*D7</f>
        <v>7618030.992</v>
      </c>
      <c r="E8" s="81" t="n">
        <f aca="false">E6*E7</f>
        <v>11080772.352</v>
      </c>
      <c r="F8" s="81" t="n">
        <f aca="false">F6*F7</f>
        <v>13850965.44</v>
      </c>
    </row>
    <row r="9" customFormat="false" ht="15" hidden="false" customHeight="false" outlineLevel="0" collapsed="false">
      <c r="A9" s="74" t="s">
        <v>374</v>
      </c>
      <c r="B9" s="1" t="s">
        <v>375</v>
      </c>
      <c r="C9" s="81" t="n">
        <f aca="false">CAPEX_Plan!E10</f>
        <v>1700000</v>
      </c>
      <c r="D9" s="81" t="n">
        <f aca="false">CAPEX_Plan!F10</f>
        <v>3790000</v>
      </c>
      <c r="E9" s="81" t="n">
        <f aca="false">CAPEX_Plan!G10</f>
        <v>4240000</v>
      </c>
      <c r="F9" s="81" t="n">
        <f aca="false">CAPEX_Plan!H10</f>
        <v>1180000</v>
      </c>
    </row>
    <row r="10" customFormat="false" ht="15" hidden="false" customHeight="false" outlineLevel="0" collapsed="false">
      <c r="A10" s="74" t="s">
        <v>376</v>
      </c>
      <c r="B10" s="1" t="s">
        <v>377</v>
      </c>
      <c r="C10" s="81" t="n">
        <f aca="false">C9*Finance_Document_Assumptions!$B$4</f>
        <v>1020000</v>
      </c>
      <c r="D10" s="81" t="n">
        <f aca="false">D9*Finance_Document_Assumptions!$B$4</f>
        <v>2274000</v>
      </c>
      <c r="E10" s="81" t="n">
        <f aca="false">E9*Finance_Document_Assumptions!$B$4</f>
        <v>2544000</v>
      </c>
      <c r="F10" s="81" t="n">
        <f aca="false">F9*Finance_Document_Assumptions!$B$4</f>
        <v>708000</v>
      </c>
    </row>
    <row r="11" customFormat="false" ht="15" hidden="false" customHeight="false" outlineLevel="0" collapsed="false">
      <c r="A11" s="74" t="s">
        <v>378</v>
      </c>
      <c r="B11" s="1" t="s">
        <v>379</v>
      </c>
      <c r="C11" s="81" t="n">
        <f aca="false">0</f>
        <v>0</v>
      </c>
      <c r="D11" s="81" t="n">
        <f aca="false">C16</f>
        <v>1020000</v>
      </c>
      <c r="E11" s="81" t="n">
        <f aca="false">D16</f>
        <v>3294000</v>
      </c>
      <c r="F11" s="81" t="n">
        <f aca="false">E16</f>
        <v>5019750</v>
      </c>
    </row>
    <row r="12" customFormat="false" ht="15" hidden="false" customHeight="false" outlineLevel="0" collapsed="false">
      <c r="A12" s="74" t="s">
        <v>380</v>
      </c>
      <c r="B12" s="1" t="s">
        <v>381</v>
      </c>
      <c r="C12" s="81" t="n">
        <f aca="false">C11*Finance_Document_Assumptions!$B$5</f>
        <v>0</v>
      </c>
      <c r="D12" s="81" t="n">
        <f aca="false">D11*Finance_Document_Assumptions!$B$5</f>
        <v>61200</v>
      </c>
      <c r="E12" s="81" t="n">
        <f aca="false">E11*Finance_Document_Assumptions!$B$5</f>
        <v>197640</v>
      </c>
      <c r="F12" s="81" t="n">
        <f aca="false">F11*Finance_Document_Assumptions!$B$5</f>
        <v>301185</v>
      </c>
    </row>
    <row r="13" customFormat="false" ht="15" hidden="false" customHeight="false" outlineLevel="0" collapsed="false">
      <c r="A13" s="74" t="s">
        <v>382</v>
      </c>
      <c r="B13" s="1" t="s">
        <v>383</v>
      </c>
      <c r="C13" s="81" t="n">
        <f aca="false">0</f>
        <v>0</v>
      </c>
      <c r="D13" s="81" t="n">
        <f aca="false">0</f>
        <v>0</v>
      </c>
      <c r="E13" s="81" t="n">
        <f aca="false">Finance_Document_Assumptions!$B$23/Finance_Document_Assumptions!$B$7</f>
        <v>818250</v>
      </c>
      <c r="F13" s="81" t="n">
        <f aca="false">Finance_Document_Assumptions!$B$23/Finance_Document_Assumptions!$B$7</f>
        <v>818250</v>
      </c>
    </row>
    <row r="14" customFormat="false" ht="15" hidden="false" customHeight="false" outlineLevel="0" collapsed="false">
      <c r="A14" s="83" t="s">
        <v>384</v>
      </c>
      <c r="B14" s="80" t="s">
        <v>385</v>
      </c>
      <c r="C14" s="84" t="n">
        <f aca="false">C12+C13</f>
        <v>0</v>
      </c>
      <c r="D14" s="84" t="n">
        <f aca="false">D12+D13</f>
        <v>61200</v>
      </c>
      <c r="E14" s="84" t="n">
        <f aca="false">E12+E13</f>
        <v>1015890</v>
      </c>
      <c r="F14" s="84" t="n">
        <f aca="false">F12+F13</f>
        <v>1119435</v>
      </c>
    </row>
    <row r="15" customFormat="false" ht="15" hidden="false" customHeight="false" outlineLevel="0" collapsed="false">
      <c r="A15" s="78" t="s">
        <v>386</v>
      </c>
      <c r="B15" s="80" t="s">
        <v>387</v>
      </c>
      <c r="C15" s="85" t="str">
        <f aca="false">IF(C14=0,"",IFERROR(C8/C14,""))</f>
        <v/>
      </c>
      <c r="D15" s="85" t="n">
        <f aca="false">IF(D14=0,"",IFERROR(D8/D14,""))</f>
        <v>124.477630588235</v>
      </c>
      <c r="E15" s="85" t="n">
        <f aca="false">IF(E14=0,"",IFERROR(E8/E14,""))</f>
        <v>10.9074529250214</v>
      </c>
      <c r="F15" s="85" t="n">
        <f aca="false">IF(F14=0,"",IFERROR(F8/F14,""))</f>
        <v>12.3731752535877</v>
      </c>
    </row>
    <row r="16" customFormat="false" ht="15" hidden="false" customHeight="false" outlineLevel="0" collapsed="false">
      <c r="A16" s="86" t="s">
        <v>388</v>
      </c>
      <c r="B16" s="1" t="s">
        <v>389</v>
      </c>
      <c r="C16" s="81" t="n">
        <f aca="false">C11+C10-C13</f>
        <v>1020000</v>
      </c>
      <c r="D16" s="81" t="n">
        <f aca="false">D11+D10-D13</f>
        <v>3294000</v>
      </c>
      <c r="E16" s="81" t="n">
        <f aca="false">E11+E10-E13</f>
        <v>5019750</v>
      </c>
      <c r="F16" s="81" t="n">
        <f aca="false">F11+F10-F13</f>
        <v>4909500</v>
      </c>
    </row>
    <row r="17" customFormat="false" ht="15" hidden="false" customHeight="false" outlineLevel="0" collapsed="false">
      <c r="A17" s="83" t="s">
        <v>390</v>
      </c>
      <c r="B17" s="80" t="s">
        <v>391</v>
      </c>
      <c r="C17" s="85" t="str">
        <f aca="false">IF(C11=0,"",SUM(C8:$F8)/C11)</f>
        <v/>
      </c>
      <c r="D17" s="85" t="n">
        <f aca="false">IF(D11=0,"",SUM(D8:$F8)/D11)</f>
        <v>31.9115380235294</v>
      </c>
      <c r="E17" s="85" t="n">
        <f aca="false">IF(E11=0,"",SUM(E8:$F8)/E11)</f>
        <v>7.56883357377049</v>
      </c>
      <c r="F17" s="85" t="n">
        <f aca="false">IF(F11=0,"",SUM(F8:$F8)/F11)</f>
        <v>2.75929387718512</v>
      </c>
    </row>
    <row r="18" customFormat="false" ht="15" hidden="false" customHeight="false" outlineLevel="0" collapsed="false">
      <c r="A18" s="83" t="s">
        <v>392</v>
      </c>
      <c r="B18" s="80" t="s">
        <v>393</v>
      </c>
      <c r="C18" s="85" t="str">
        <f aca="false">IF(C11=0,"",SUM(C6:$F6)/C11)</f>
        <v/>
      </c>
      <c r="D18" s="85" t="n">
        <f aca="false">IF(D11=0,"",SUM(D6:$F6)/D11)</f>
        <v>35.4572644705882</v>
      </c>
      <c r="E18" s="85" t="n">
        <f aca="false">IF(E11=0,"",SUM(E6:$F6)/E11)</f>
        <v>8.40981508196721</v>
      </c>
      <c r="F18" s="85" t="n">
        <f aca="false">IF(F11=0,"",SUM(F6:$F6)/F11)</f>
        <v>3.06588208576124</v>
      </c>
    </row>
    <row r="19" customFormat="false" ht="15" hidden="false" customHeight="false" outlineLevel="0" collapsed="false">
      <c r="A19" s="86" t="s">
        <v>394</v>
      </c>
      <c r="B19" s="1" t="s">
        <v>395</v>
      </c>
      <c r="C19" s="81" t="n">
        <f aca="false">C14*(Finance_Document_Assumptions!$B$9/12)</f>
        <v>0</v>
      </c>
      <c r="D19" s="81" t="n">
        <f aca="false">D14*(Finance_Document_Assumptions!$B$9/12)</f>
        <v>30600</v>
      </c>
      <c r="E19" s="81" t="n">
        <f aca="false">E14*(Finance_Document_Assumptions!$B$9/12)</f>
        <v>507945</v>
      </c>
      <c r="F19" s="81" t="n">
        <f aca="false">F14*(Finance_Document_Assumptions!$B$9/12)</f>
        <v>559717.5</v>
      </c>
    </row>
    <row r="20" customFormat="false" ht="15" hidden="false" customHeight="false" outlineLevel="0" collapsed="false">
      <c r="A20" s="86" t="s">
        <v>396</v>
      </c>
      <c r="B20" s="1" t="s">
        <v>397</v>
      </c>
      <c r="C20" s="81" t="n">
        <f aca="false">C19</f>
        <v>0</v>
      </c>
      <c r="D20" s="81" t="n">
        <f aca="false">D19</f>
        <v>30600</v>
      </c>
      <c r="E20" s="81" t="n">
        <f aca="false">E19</f>
        <v>507945</v>
      </c>
      <c r="F20" s="81" t="n">
        <f aca="false">F19</f>
        <v>559717.5</v>
      </c>
    </row>
    <row r="21" customFormat="false" ht="15" hidden="false" customHeight="false" outlineLevel="0" collapsed="false">
      <c r="A21" s="86" t="s">
        <v>398</v>
      </c>
      <c r="B21" s="1" t="s">
        <v>399</v>
      </c>
      <c r="C21" s="87" t="str">
        <f aca="false">IF(C19=0,"",IFERROR(C20/C19,""))</f>
        <v/>
      </c>
      <c r="D21" s="87" t="n">
        <f aca="false">IF(D19=0,"",IFERROR(D20/D19,""))</f>
        <v>1</v>
      </c>
      <c r="E21" s="87" t="n">
        <f aca="false">IF(E19=0,"",IFERROR(E20/E19,""))</f>
        <v>1</v>
      </c>
      <c r="F21" s="87" t="n">
        <f aca="false">IF(F19=0,"",IFERROR(F20/F19,""))</f>
        <v>1</v>
      </c>
    </row>
    <row r="22" customFormat="false" ht="15" hidden="false" customHeight="false" outlineLevel="0" collapsed="false">
      <c r="A22" s="86" t="s">
        <v>400</v>
      </c>
      <c r="B22" s="1" t="s">
        <v>401</v>
      </c>
      <c r="C22" s="81" t="n">
        <f aca="false">C8-C14</f>
        <v>4847837.904</v>
      </c>
      <c r="D22" s="81" t="n">
        <f aca="false">D8-D14</f>
        <v>7556830.992</v>
      </c>
      <c r="E22" s="81" t="n">
        <f aca="false">E8-E14</f>
        <v>10064882.352</v>
      </c>
      <c r="F22" s="81" t="n">
        <f aca="false">F8-F14</f>
        <v>12731530.44</v>
      </c>
    </row>
    <row r="23" customFormat="false" ht="15" hidden="false" customHeight="false" outlineLevel="0" collapsed="false">
      <c r="A23" s="86" t="s">
        <v>402</v>
      </c>
      <c r="B23" s="1" t="s">
        <v>403</v>
      </c>
      <c r="C23" s="81" t="n">
        <f aca="false">IF(AND(C15&lt;&gt;"",C15&gt;=Finance_Document_Assumptions!$B$14,C22&gt;0),C22*Finance_Document_Assumptions!$B$15,0)</f>
        <v>0</v>
      </c>
      <c r="D23" s="81" t="n">
        <f aca="false">IF(AND(D15&lt;&gt;"",D15&gt;=Finance_Document_Assumptions!$B$14,D22&gt;0),D22*Finance_Document_Assumptions!$B$15,0)</f>
        <v>3778415.496</v>
      </c>
      <c r="E23" s="81" t="n">
        <f aca="false">IF(AND(E15&lt;&gt;"",E15&gt;=Finance_Document_Assumptions!$B$14,E22&gt;0),E22*Finance_Document_Assumptions!$B$15,0)</f>
        <v>5032441.176</v>
      </c>
      <c r="F23" s="81" t="n">
        <f aca="false">IF(AND(F15&lt;&gt;"",F15&gt;=Finance_Document_Assumptions!$B$14,F22&gt;0),F22*Finance_Document_Assumptions!$B$15,0)</f>
        <v>6365765.22</v>
      </c>
    </row>
    <row r="24" customFormat="false" ht="15" hidden="false" customHeight="false" outlineLevel="0" collapsed="false">
      <c r="A24" s="83" t="s">
        <v>404</v>
      </c>
      <c r="B24" s="80" t="s">
        <v>405</v>
      </c>
      <c r="C24" s="84" t="n">
        <f aca="false">C22-C23</f>
        <v>4847837.904</v>
      </c>
      <c r="D24" s="84" t="n">
        <f aca="false">D22-D23</f>
        <v>3778415.496</v>
      </c>
      <c r="E24" s="84" t="n">
        <f aca="false">E22-E23</f>
        <v>5032441.176</v>
      </c>
      <c r="F24" s="84" t="n">
        <f aca="false">F22-F23</f>
        <v>6365765.22</v>
      </c>
    </row>
    <row r="25" customFormat="false" ht="15" hidden="false" customHeight="false" outlineLevel="0" collapsed="false">
      <c r="A25" s="83" t="s">
        <v>406</v>
      </c>
      <c r="B25" s="80" t="s">
        <v>407</v>
      </c>
      <c r="C25" s="84" t="n">
        <f aca="false">IF(AND(C15&lt;&gt;"",C15&gt;=Finance_Document_Assumptions!$B$10,C21&gt;=1),C24*0.3,0)</f>
        <v>0</v>
      </c>
      <c r="D25" s="84" t="n">
        <f aca="false">IF(AND(D15&lt;&gt;"",D15&gt;=Finance_Document_Assumptions!$B$10,D21&gt;=1),D24*0.3,0)</f>
        <v>1133524.6488</v>
      </c>
      <c r="E25" s="84" t="n">
        <f aca="false">IF(AND(E15&lt;&gt;"",E15&gt;=Finance_Document_Assumptions!$B$10,E21&gt;=1),E24*0.3,0)</f>
        <v>1509732.3528</v>
      </c>
      <c r="F25" s="84" t="n">
        <f aca="false">IF(AND(F15&lt;&gt;"",F15&gt;=Finance_Document_Assumptions!$B$10,F21&gt;=1),F24*0.3,0)</f>
        <v>1909729.566</v>
      </c>
    </row>
    <row r="26" customFormat="false" ht="15" hidden="false" customHeight="false" outlineLevel="0" collapsed="false">
      <c r="A26" s="78" t="s">
        <v>408</v>
      </c>
      <c r="B26" s="80" t="s">
        <v>409</v>
      </c>
      <c r="C26" s="88" t="str">
        <f aca="false">IF(AND(C15&lt;&gt;"",C15&gt;=Finance_Document_Assumptions!$B$10,C21&gt;=1),"YES","NO")</f>
        <v>NO</v>
      </c>
      <c r="D26" s="88" t="str">
        <f aca="false">IF(AND(D15&lt;&gt;"",D15&gt;=Finance_Document_Assumptions!$B$10,D21&gt;=1),"YES","NO")</f>
        <v>YES</v>
      </c>
      <c r="E26" s="88" t="str">
        <f aca="false">IF(AND(E15&lt;&gt;"",E15&gt;=Finance_Document_Assumptions!$B$10,E21&gt;=1),"YES","NO")</f>
        <v>YES</v>
      </c>
      <c r="F26" s="88" t="str">
        <f aca="false">IF(AND(F15&lt;&gt;"",F15&gt;=Finance_Document_Assumptions!$B$10,F21&gt;=1),"YES","NO")</f>
        <v>YES</v>
      </c>
    </row>
    <row r="27" customFormat="false" ht="15" hidden="false" customHeight="false" outlineLevel="0" collapsed="false">
      <c r="A27" s="74" t="s">
        <v>410</v>
      </c>
      <c r="B27" s="1" t="s">
        <v>411</v>
      </c>
      <c r="C27" s="89" t="str">
        <f aca="false">IF(AND(C15&lt;&gt;"",C15&lt;Finance_Document_Assumptions!$B$10),"YES","NO")</f>
        <v>NO</v>
      </c>
      <c r="D27" s="89" t="str">
        <f aca="false">IF(AND(D15&lt;&gt;"",D15&lt;Finance_Document_Assumptions!$B$10),"YES","NO")</f>
        <v>NO</v>
      </c>
      <c r="E27" s="89" t="str">
        <f aca="false">IF(AND(E15&lt;&gt;"",E15&lt;Finance_Document_Assumptions!$B$10),"YES","NO")</f>
        <v>NO</v>
      </c>
      <c r="F27" s="89" t="str">
        <f aca="false">IF(AND(F15&lt;&gt;"",F15&lt;Finance_Document_Assumptions!$B$10),"YES","NO")</f>
        <v>NO</v>
      </c>
    </row>
    <row r="28" customFormat="false" ht="15" hidden="false" customHeight="false" outlineLevel="0" collapsed="false">
      <c r="A28" s="1" t="s">
        <v>412</v>
      </c>
      <c r="B28" s="1" t="s">
        <v>413</v>
      </c>
      <c r="C28" s="1" t="str">
        <f aca="false">IF(AND(C15&lt;&gt;"",C15&lt;Finance_Document_Assumptions!$B$10),"YES","NO")</f>
        <v>NO</v>
      </c>
      <c r="D28" s="1" t="str">
        <f aca="false">IF(AND(D15&lt;&gt;"",D15&lt;Finance_Document_Assumptions!$B$10),"YES","NO")</f>
        <v>NO</v>
      </c>
      <c r="E28" s="1" t="str">
        <f aca="false">IF(AND(E15&lt;&gt;"",E15&lt;Finance_Document_Assumptions!$B$10),"YES","NO")</f>
        <v>NO</v>
      </c>
      <c r="F28" s="1" t="str">
        <f aca="false">IF(AND(F15&lt;&gt;"",F15&lt;Finance_Document_Assumptions!$B$10),"YES","NO")</f>
        <v>NO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72" t="s">
        <v>414</v>
      </c>
      <c r="B1" s="72"/>
      <c r="C1" s="72"/>
      <c r="D1" s="72"/>
      <c r="E1" s="72"/>
      <c r="F1" s="72"/>
    </row>
    <row r="3" customFormat="false" ht="15" hidden="false" customHeight="false" outlineLevel="0" collapsed="false">
      <c r="A3" s="73" t="s">
        <v>295</v>
      </c>
      <c r="B3" s="73" t="s">
        <v>367</v>
      </c>
      <c r="C3" s="73" t="s">
        <v>252</v>
      </c>
      <c r="D3" s="73" t="s">
        <v>253</v>
      </c>
      <c r="E3" s="73" t="s">
        <v>254</v>
      </c>
      <c r="F3" s="73" t="s">
        <v>255</v>
      </c>
    </row>
    <row r="4" customFormat="false" ht="15" hidden="false" customHeight="false" outlineLevel="0" collapsed="false">
      <c r="A4" s="74" t="s">
        <v>368</v>
      </c>
      <c r="B4" s="1" t="s">
        <v>369</v>
      </c>
      <c r="C4" s="81" t="n">
        <f aca="false">Finance_Document_Assumptions!$B$20*Finance_Document_Assumptions!$B$24*(1-Finance_Document_Assumptions!$B$16)</f>
        <v>5808390</v>
      </c>
      <c r="D4" s="81" t="n">
        <f aca="false">Finance_Document_Assumptions!$B$20*Finance_Document_Assumptions!$B$25*(1-Finance_Document_Assumptions!$B$16)</f>
        <v>9127470</v>
      </c>
      <c r="E4" s="81" t="n">
        <f aca="false">Finance_Document_Assumptions!$B$20*Finance_Document_Assumptions!$B$26*(1-Finance_Document_Assumptions!$B$16)</f>
        <v>13276320</v>
      </c>
      <c r="F4" s="81" t="n">
        <f aca="false">Finance_Document_Assumptions!$B$20*Finance_Document_Assumptions!$B$27*(1-Finance_Document_Assumptions!$B$16)</f>
        <v>16595400</v>
      </c>
    </row>
    <row r="5" customFormat="false" ht="15" hidden="false" customHeight="false" outlineLevel="0" collapsed="false">
      <c r="A5" s="74" t="s">
        <v>291</v>
      </c>
      <c r="B5" s="1" t="s">
        <v>370</v>
      </c>
      <c r="C5" s="82" t="n">
        <f aca="false">Finance_Document_Assumptions!$B$21*(1-Finance_Document_Assumptions!$B$17)</f>
        <v>0.630606908420406</v>
      </c>
      <c r="D5" s="82" t="n">
        <f aca="false">Finance_Document_Assumptions!$B$21*(1-Finance_Document_Assumptions!$B$17)</f>
        <v>0.630606908420406</v>
      </c>
      <c r="E5" s="82" t="n">
        <f aca="false">Finance_Document_Assumptions!$B$21*(1-Finance_Document_Assumptions!$B$17)</f>
        <v>0.630606908420406</v>
      </c>
      <c r="F5" s="82" t="n">
        <f aca="false">Finance_Document_Assumptions!$B$21*(1-Finance_Document_Assumptions!$B$17)</f>
        <v>0.630606908420406</v>
      </c>
    </row>
    <row r="6" customFormat="false" ht="15" hidden="false" customHeight="false" outlineLevel="0" collapsed="false">
      <c r="A6" s="74" t="s">
        <v>290</v>
      </c>
      <c r="B6" s="1" t="s">
        <v>371</v>
      </c>
      <c r="C6" s="81" t="n">
        <f aca="false">C4*C5</f>
        <v>3662810.8608</v>
      </c>
      <c r="D6" s="81" t="n">
        <f aca="false">D4*D5</f>
        <v>5755845.6384</v>
      </c>
      <c r="E6" s="81" t="n">
        <f aca="false">E4*E5</f>
        <v>8372139.1104</v>
      </c>
      <c r="F6" s="81" t="n">
        <f aca="false">F4*F5</f>
        <v>10465173.888</v>
      </c>
    </row>
    <row r="7" customFormat="false" ht="15" hidden="false" customHeight="false" outlineLevel="0" collapsed="false">
      <c r="A7" s="74" t="s">
        <v>326</v>
      </c>
      <c r="B7" s="1" t="s">
        <v>315</v>
      </c>
      <c r="C7" s="82" t="n">
        <f aca="false">Finance_Document_Assumptions!$B$8</f>
        <v>0.9</v>
      </c>
      <c r="D7" s="82" t="n">
        <f aca="false">Finance_Document_Assumptions!$B$8</f>
        <v>0.9</v>
      </c>
      <c r="E7" s="82" t="n">
        <f aca="false">Finance_Document_Assumptions!$B$8</f>
        <v>0.9</v>
      </c>
      <c r="F7" s="82" t="n">
        <f aca="false">Finance_Document_Assumptions!$B$8</f>
        <v>0.9</v>
      </c>
    </row>
    <row r="8" customFormat="false" ht="15" hidden="false" customHeight="false" outlineLevel="0" collapsed="false">
      <c r="A8" s="74" t="s">
        <v>372</v>
      </c>
      <c r="B8" s="1" t="s">
        <v>373</v>
      </c>
      <c r="C8" s="81" t="n">
        <f aca="false">C6*C7</f>
        <v>3296529.77472</v>
      </c>
      <c r="D8" s="81" t="n">
        <f aca="false">D6*D7</f>
        <v>5180261.07456</v>
      </c>
      <c r="E8" s="81" t="n">
        <f aca="false">E6*E7</f>
        <v>7534925.19936</v>
      </c>
      <c r="F8" s="81" t="n">
        <f aca="false">F6*F7</f>
        <v>9418656.4992</v>
      </c>
    </row>
    <row r="9" customFormat="false" ht="15" hidden="false" customHeight="false" outlineLevel="0" collapsed="false">
      <c r="A9" s="74" t="s">
        <v>374</v>
      </c>
      <c r="B9" s="1" t="s">
        <v>375</v>
      </c>
      <c r="C9" s="81" t="n">
        <f aca="false">CAPEX_Plan!E10</f>
        <v>1700000</v>
      </c>
      <c r="D9" s="81" t="n">
        <f aca="false">CAPEX_Plan!F10</f>
        <v>3790000</v>
      </c>
      <c r="E9" s="81" t="n">
        <f aca="false">CAPEX_Plan!G10</f>
        <v>4240000</v>
      </c>
      <c r="F9" s="81" t="n">
        <f aca="false">CAPEX_Plan!H10</f>
        <v>1180000</v>
      </c>
    </row>
    <row r="10" customFormat="false" ht="15" hidden="false" customHeight="false" outlineLevel="0" collapsed="false">
      <c r="A10" s="74" t="s">
        <v>376</v>
      </c>
      <c r="B10" s="1" t="s">
        <v>377</v>
      </c>
      <c r="C10" s="81" t="n">
        <f aca="false">C9*Finance_Document_Assumptions!$B$4</f>
        <v>1020000</v>
      </c>
      <c r="D10" s="81" t="n">
        <f aca="false">D9*Finance_Document_Assumptions!$B$4</f>
        <v>2274000</v>
      </c>
      <c r="E10" s="81" t="n">
        <f aca="false">E9*Finance_Document_Assumptions!$B$4</f>
        <v>2544000</v>
      </c>
      <c r="F10" s="81" t="n">
        <f aca="false">F9*Finance_Document_Assumptions!$B$4</f>
        <v>708000</v>
      </c>
    </row>
    <row r="11" customFormat="false" ht="15" hidden="false" customHeight="false" outlineLevel="0" collapsed="false">
      <c r="A11" s="74" t="s">
        <v>378</v>
      </c>
      <c r="B11" s="1" t="s">
        <v>379</v>
      </c>
      <c r="C11" s="81" t="n">
        <f aca="false">0</f>
        <v>0</v>
      </c>
      <c r="D11" s="81" t="n">
        <f aca="false">C16</f>
        <v>1020000</v>
      </c>
      <c r="E11" s="81" t="n">
        <f aca="false">D16</f>
        <v>3294000</v>
      </c>
      <c r="F11" s="81" t="n">
        <f aca="false">E16</f>
        <v>5019750</v>
      </c>
    </row>
    <row r="12" customFormat="false" ht="15" hidden="false" customHeight="false" outlineLevel="0" collapsed="false">
      <c r="A12" s="74" t="s">
        <v>380</v>
      </c>
      <c r="B12" s="1" t="s">
        <v>381</v>
      </c>
      <c r="C12" s="81" t="n">
        <f aca="false">C11*Finance_Document_Assumptions!$B$6</f>
        <v>0</v>
      </c>
      <c r="D12" s="81" t="n">
        <f aca="false">D11*Finance_Document_Assumptions!$B$6</f>
        <v>76500</v>
      </c>
      <c r="E12" s="81" t="n">
        <f aca="false">E11*Finance_Document_Assumptions!$B$6</f>
        <v>247050</v>
      </c>
      <c r="F12" s="81" t="n">
        <f aca="false">F11*Finance_Document_Assumptions!$B$6</f>
        <v>376481.25</v>
      </c>
    </row>
    <row r="13" customFormat="false" ht="15" hidden="false" customHeight="false" outlineLevel="0" collapsed="false">
      <c r="A13" s="74" t="s">
        <v>382</v>
      </c>
      <c r="B13" s="1" t="s">
        <v>383</v>
      </c>
      <c r="C13" s="81" t="n">
        <f aca="false">0</f>
        <v>0</v>
      </c>
      <c r="D13" s="81" t="n">
        <f aca="false">0</f>
        <v>0</v>
      </c>
      <c r="E13" s="81" t="n">
        <f aca="false">Finance_Document_Assumptions!$B$23/Finance_Document_Assumptions!$B$7</f>
        <v>818250</v>
      </c>
      <c r="F13" s="81" t="n">
        <f aca="false">Finance_Document_Assumptions!$B$23/Finance_Document_Assumptions!$B$7</f>
        <v>818250</v>
      </c>
    </row>
    <row r="14" customFormat="false" ht="15" hidden="false" customHeight="false" outlineLevel="0" collapsed="false">
      <c r="A14" s="83" t="s">
        <v>384</v>
      </c>
      <c r="B14" s="80" t="s">
        <v>385</v>
      </c>
      <c r="C14" s="84" t="n">
        <f aca="false">C12+C13</f>
        <v>0</v>
      </c>
      <c r="D14" s="84" t="n">
        <f aca="false">D12+D13</f>
        <v>76500</v>
      </c>
      <c r="E14" s="84" t="n">
        <f aca="false">E12+E13</f>
        <v>1065300</v>
      </c>
      <c r="F14" s="84" t="n">
        <f aca="false">F12+F13</f>
        <v>1194731.25</v>
      </c>
    </row>
    <row r="15" customFormat="false" ht="15" hidden="false" customHeight="false" outlineLevel="0" collapsed="false">
      <c r="A15" s="78" t="s">
        <v>386</v>
      </c>
      <c r="B15" s="80" t="s">
        <v>387</v>
      </c>
      <c r="C15" s="85" t="str">
        <f aca="false">IF(C14=0,"",IFERROR(C8/C14,""))</f>
        <v/>
      </c>
      <c r="D15" s="85" t="n">
        <f aca="false">IF(D14=0,"",IFERROR(D8/D14,""))</f>
        <v>67.71583104</v>
      </c>
      <c r="E15" s="85" t="n">
        <f aca="false">IF(E14=0,"",IFERROR(E8/E14,""))</f>
        <v>7.07305472576739</v>
      </c>
      <c r="F15" s="85" t="n">
        <f aca="false">IF(F14=0,"",IFERROR(F8/F14,""))</f>
        <v>7.88349388132268</v>
      </c>
    </row>
    <row r="16" customFormat="false" ht="15" hidden="false" customHeight="false" outlineLevel="0" collapsed="false">
      <c r="A16" s="86" t="s">
        <v>388</v>
      </c>
      <c r="B16" s="1" t="s">
        <v>389</v>
      </c>
      <c r="C16" s="81" t="n">
        <f aca="false">C11+C10-C13</f>
        <v>1020000</v>
      </c>
      <c r="D16" s="81" t="n">
        <f aca="false">D11+D10-D13</f>
        <v>3294000</v>
      </c>
      <c r="E16" s="81" t="n">
        <f aca="false">E11+E10-E13</f>
        <v>5019750</v>
      </c>
      <c r="F16" s="81" t="n">
        <f aca="false">F11+F10-F13</f>
        <v>4909500</v>
      </c>
    </row>
    <row r="17" customFormat="false" ht="15" hidden="false" customHeight="false" outlineLevel="0" collapsed="false">
      <c r="A17" s="83" t="s">
        <v>390</v>
      </c>
      <c r="B17" s="80" t="s">
        <v>391</v>
      </c>
      <c r="C17" s="85" t="str">
        <f aca="false">IF(C11=0,"",SUM(C8:$F8)/C11)</f>
        <v/>
      </c>
      <c r="D17" s="85" t="n">
        <f aca="false">IF(D11=0,"",SUM(D8:$F8)/D11)</f>
        <v>21.699845856</v>
      </c>
      <c r="E17" s="85" t="n">
        <f aca="false">IF(E11=0,"",SUM(E8:$F8)/E11)</f>
        <v>5.14680683016394</v>
      </c>
      <c r="F17" s="85" t="n">
        <f aca="false">IF(F11=0,"",SUM(F8:$F8)/F11)</f>
        <v>1.87631983648588</v>
      </c>
    </row>
    <row r="18" customFormat="false" ht="15" hidden="false" customHeight="false" outlineLevel="0" collapsed="false">
      <c r="A18" s="83" t="s">
        <v>392</v>
      </c>
      <c r="B18" s="80" t="s">
        <v>393</v>
      </c>
      <c r="C18" s="85" t="str">
        <f aca="false">IF(C11=0,"",SUM(C6:$F6)/C11)</f>
        <v/>
      </c>
      <c r="D18" s="85" t="n">
        <f aca="false">IF(D11=0,"",SUM(D6:$F6)/D11)</f>
        <v>24.11093984</v>
      </c>
      <c r="E18" s="85" t="n">
        <f aca="false">IF(E11=0,"",SUM(E6:$F6)/E11)</f>
        <v>5.71867425573771</v>
      </c>
      <c r="F18" s="85" t="n">
        <f aca="false">IF(F11=0,"",SUM(F6:$F6)/F11)</f>
        <v>2.08479981831765</v>
      </c>
    </row>
    <row r="19" customFormat="false" ht="15" hidden="false" customHeight="false" outlineLevel="0" collapsed="false">
      <c r="A19" s="86" t="s">
        <v>394</v>
      </c>
      <c r="B19" s="1" t="s">
        <v>395</v>
      </c>
      <c r="C19" s="81" t="n">
        <f aca="false">C14*(Finance_Document_Assumptions!$B$9/12)</f>
        <v>0</v>
      </c>
      <c r="D19" s="81" t="n">
        <f aca="false">D14*(Finance_Document_Assumptions!$B$9/12)</f>
        <v>38250</v>
      </c>
      <c r="E19" s="81" t="n">
        <f aca="false">E14*(Finance_Document_Assumptions!$B$9/12)</f>
        <v>532650</v>
      </c>
      <c r="F19" s="81" t="n">
        <f aca="false">F14*(Finance_Document_Assumptions!$B$9/12)</f>
        <v>597365.625</v>
      </c>
    </row>
    <row r="20" customFormat="false" ht="15" hidden="false" customHeight="false" outlineLevel="0" collapsed="false">
      <c r="A20" s="86" t="s">
        <v>396</v>
      </c>
      <c r="B20" s="1" t="s">
        <v>397</v>
      </c>
      <c r="C20" s="81" t="n">
        <f aca="false">C19</f>
        <v>0</v>
      </c>
      <c r="D20" s="81" t="n">
        <f aca="false">D19</f>
        <v>38250</v>
      </c>
      <c r="E20" s="81" t="n">
        <f aca="false">E19</f>
        <v>532650</v>
      </c>
      <c r="F20" s="81" t="n">
        <f aca="false">F19</f>
        <v>597365.625</v>
      </c>
    </row>
    <row r="21" customFormat="false" ht="15" hidden="false" customHeight="false" outlineLevel="0" collapsed="false">
      <c r="A21" s="86" t="s">
        <v>398</v>
      </c>
      <c r="B21" s="1" t="s">
        <v>399</v>
      </c>
      <c r="C21" s="87" t="str">
        <f aca="false">IF(C19=0,"",IFERROR(C20/C19,""))</f>
        <v/>
      </c>
      <c r="D21" s="87" t="n">
        <f aca="false">IF(D19=0,"",IFERROR(D20/D19,""))</f>
        <v>1</v>
      </c>
      <c r="E21" s="87" t="n">
        <f aca="false">IF(E19=0,"",IFERROR(E20/E19,""))</f>
        <v>1</v>
      </c>
      <c r="F21" s="87" t="n">
        <f aca="false">IF(F19=0,"",IFERROR(F20/F19,""))</f>
        <v>1</v>
      </c>
    </row>
    <row r="22" customFormat="false" ht="15" hidden="false" customHeight="false" outlineLevel="0" collapsed="false">
      <c r="A22" s="86" t="s">
        <v>400</v>
      </c>
      <c r="B22" s="1" t="s">
        <v>401</v>
      </c>
      <c r="C22" s="81" t="n">
        <f aca="false">C8-C14</f>
        <v>3296529.77472</v>
      </c>
      <c r="D22" s="81" t="n">
        <f aca="false">D8-D14</f>
        <v>5103761.07456</v>
      </c>
      <c r="E22" s="81" t="n">
        <f aca="false">E8-E14</f>
        <v>6469625.19936</v>
      </c>
      <c r="F22" s="81" t="n">
        <f aca="false">F8-F14</f>
        <v>8223925.2492</v>
      </c>
    </row>
    <row r="23" customFormat="false" ht="15" hidden="false" customHeight="false" outlineLevel="0" collapsed="false">
      <c r="A23" s="86" t="s">
        <v>402</v>
      </c>
      <c r="B23" s="1" t="s">
        <v>403</v>
      </c>
      <c r="C23" s="81" t="n">
        <f aca="false">IF(AND(C15&lt;&gt;"",C15&gt;=Finance_Document_Assumptions!$B$14,C22&gt;0),C22*Finance_Document_Assumptions!$B$15,0)</f>
        <v>0</v>
      </c>
      <c r="D23" s="81" t="n">
        <f aca="false">IF(AND(D15&lt;&gt;"",D15&gt;=Finance_Document_Assumptions!$B$14,D22&gt;0),D22*Finance_Document_Assumptions!$B$15,0)</f>
        <v>2551880.53728</v>
      </c>
      <c r="E23" s="81" t="n">
        <f aca="false">IF(AND(E15&lt;&gt;"",E15&gt;=Finance_Document_Assumptions!$B$14,E22&gt;0),E22*Finance_Document_Assumptions!$B$15,0)</f>
        <v>3234812.59968</v>
      </c>
      <c r="F23" s="81" t="n">
        <f aca="false">IF(AND(F15&lt;&gt;"",F15&gt;=Finance_Document_Assumptions!$B$14,F22&gt;0),F22*Finance_Document_Assumptions!$B$15,0)</f>
        <v>4111962.6246</v>
      </c>
    </row>
    <row r="24" customFormat="false" ht="15" hidden="false" customHeight="false" outlineLevel="0" collapsed="false">
      <c r="A24" s="83" t="s">
        <v>404</v>
      </c>
      <c r="B24" s="80" t="s">
        <v>405</v>
      </c>
      <c r="C24" s="84" t="n">
        <f aca="false">C22-C23</f>
        <v>3296529.77472</v>
      </c>
      <c r="D24" s="84" t="n">
        <f aca="false">D22-D23</f>
        <v>2551880.53728</v>
      </c>
      <c r="E24" s="84" t="n">
        <f aca="false">E22-E23</f>
        <v>3234812.59968</v>
      </c>
      <c r="F24" s="84" t="n">
        <f aca="false">F22-F23</f>
        <v>4111962.6246</v>
      </c>
    </row>
    <row r="25" customFormat="false" ht="15" hidden="false" customHeight="false" outlineLevel="0" collapsed="false">
      <c r="A25" s="83" t="s">
        <v>406</v>
      </c>
      <c r="B25" s="80" t="s">
        <v>407</v>
      </c>
      <c r="C25" s="84" t="n">
        <f aca="false">IF(AND(C15&lt;&gt;"",C15&gt;=Finance_Document_Assumptions!$B$10,C21&gt;=1),C24*0.3,0)</f>
        <v>0</v>
      </c>
      <c r="D25" s="84" t="n">
        <f aca="false">IF(AND(D15&lt;&gt;"",D15&gt;=Finance_Document_Assumptions!$B$10,D21&gt;=1),D24*0.3,0)</f>
        <v>765564.161184</v>
      </c>
      <c r="E25" s="84" t="n">
        <f aca="false">IF(AND(E15&lt;&gt;"",E15&gt;=Finance_Document_Assumptions!$B$10,E21&gt;=1),E24*0.3,0)</f>
        <v>970443.779904</v>
      </c>
      <c r="F25" s="84" t="n">
        <f aca="false">IF(AND(F15&lt;&gt;"",F15&gt;=Finance_Document_Assumptions!$B$10,F21&gt;=1),F24*0.3,0)</f>
        <v>1233588.78738</v>
      </c>
    </row>
    <row r="26" customFormat="false" ht="15" hidden="false" customHeight="false" outlineLevel="0" collapsed="false">
      <c r="A26" s="78" t="s">
        <v>408</v>
      </c>
      <c r="B26" s="80" t="s">
        <v>409</v>
      </c>
      <c r="C26" s="88" t="str">
        <f aca="false">IF(AND(C15&lt;&gt;"",C15&gt;=Finance_Document_Assumptions!$B$10,C21&gt;=1),"YES","NO")</f>
        <v>NO</v>
      </c>
      <c r="D26" s="88" t="str">
        <f aca="false">IF(AND(D15&lt;&gt;"",D15&gt;=Finance_Document_Assumptions!$B$10,D21&gt;=1),"YES","NO")</f>
        <v>YES</v>
      </c>
      <c r="E26" s="88" t="str">
        <f aca="false">IF(AND(E15&lt;&gt;"",E15&gt;=Finance_Document_Assumptions!$B$10,E21&gt;=1),"YES","NO")</f>
        <v>YES</v>
      </c>
      <c r="F26" s="88" t="str">
        <f aca="false">IF(AND(F15&lt;&gt;"",F15&gt;=Finance_Document_Assumptions!$B$10,F21&gt;=1),"YES","NO")</f>
        <v>YES</v>
      </c>
    </row>
    <row r="27" customFormat="false" ht="15" hidden="false" customHeight="false" outlineLevel="0" collapsed="false">
      <c r="A27" s="74" t="s">
        <v>410</v>
      </c>
      <c r="B27" s="1" t="s">
        <v>411</v>
      </c>
      <c r="C27" s="89" t="str">
        <f aca="false">IF(AND(C15&lt;&gt;"",C15&lt;Finance_Document_Assumptions!$B$10),"YES","NO")</f>
        <v>NO</v>
      </c>
      <c r="D27" s="89" t="str">
        <f aca="false">IF(AND(D15&lt;&gt;"",D15&lt;Finance_Document_Assumptions!$B$10),"YES","NO")</f>
        <v>NO</v>
      </c>
      <c r="E27" s="89" t="str">
        <f aca="false">IF(AND(E15&lt;&gt;"",E15&lt;Finance_Document_Assumptions!$B$10),"YES","NO")</f>
        <v>NO</v>
      </c>
      <c r="F27" s="89" t="str">
        <f aca="false">IF(AND(F15&lt;&gt;"",F15&lt;Finance_Document_Assumptions!$B$10),"YES","NO")</f>
        <v>NO</v>
      </c>
    </row>
    <row r="28" customFormat="false" ht="15" hidden="false" customHeight="false" outlineLevel="0" collapsed="false">
      <c r="A28" s="1" t="s">
        <v>412</v>
      </c>
      <c r="B28" s="1" t="s">
        <v>413</v>
      </c>
      <c r="C28" s="1" t="str">
        <f aca="false">IF(AND(C15&lt;&gt;"",C15&lt;Finance_Document_Assumptions!$B$10),"YES","NO")</f>
        <v>NO</v>
      </c>
      <c r="D28" s="1" t="str">
        <f aca="false">IF(AND(D15&lt;&gt;"",D15&lt;Finance_Document_Assumptions!$B$10),"YES","NO")</f>
        <v>NO</v>
      </c>
      <c r="E28" s="1" t="str">
        <f aca="false">IF(AND(E15&lt;&gt;"",E15&lt;Finance_Document_Assumptions!$B$10),"YES","NO")</f>
        <v>NO</v>
      </c>
      <c r="F28" s="1" t="str">
        <f aca="false">IF(AND(F15&lt;&gt;"",F15&lt;Finance_Document_Assumptions!$B$10),"YES","NO")</f>
        <v>NO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72" t="s">
        <v>415</v>
      </c>
      <c r="B1" s="72"/>
      <c r="C1" s="72"/>
      <c r="D1" s="72"/>
      <c r="E1" s="72"/>
      <c r="F1" s="72"/>
      <c r="G1" s="72"/>
      <c r="H1" s="72"/>
      <c r="I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295</v>
      </c>
      <c r="D3" s="73" t="s">
        <v>418</v>
      </c>
      <c r="E3" s="73" t="s">
        <v>419</v>
      </c>
      <c r="F3" s="73" t="s">
        <v>420</v>
      </c>
      <c r="G3" s="73" t="s">
        <v>58</v>
      </c>
      <c r="H3" s="73" t="s">
        <v>421</v>
      </c>
      <c r="I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1" t="s">
        <v>386</v>
      </c>
      <c r="D4" s="87" t="str">
        <f aca="false">Base_Case_Finance!C15</f>
        <v/>
      </c>
      <c r="E4" s="87" t="n">
        <f aca="false">Finance_Document_Assumptions!$B$10</f>
        <v>1.2</v>
      </c>
      <c r="F4" s="87" t="str">
        <f aca="false">IF(D4="","",D4-E4)</f>
        <v/>
      </c>
      <c r="G4" s="89" t="str">
        <f aca="false">IF(D4="","N/A",IF(D4&lt;Finance_Document_Assumptions!$B$11,"DEFAULT",IF(D4&lt;Finance_Document_Assumptions!$B$10,"LOCKUP","PASS")))</f>
        <v>N/A</v>
      </c>
      <c r="H4" s="1" t="s">
        <v>423</v>
      </c>
      <c r="I4" s="1" t="s">
        <v>424</v>
      </c>
    </row>
    <row r="5" customFormat="false" ht="15" hidden="false" customHeight="false" outlineLevel="0" collapsed="false">
      <c r="A5" s="1" t="s">
        <v>250</v>
      </c>
      <c r="B5" s="1" t="s">
        <v>252</v>
      </c>
      <c r="C5" s="1" t="s">
        <v>390</v>
      </c>
      <c r="D5" s="87" t="str">
        <f aca="false">Base_Case_Finance!C17</f>
        <v/>
      </c>
      <c r="E5" s="87" t="n">
        <f aca="false">Finance_Document_Assumptions!$B$12</f>
        <v>1.3</v>
      </c>
      <c r="F5" s="87" t="str">
        <f aca="false">IF(D5="","",D5-E5)</f>
        <v/>
      </c>
      <c r="G5" s="89" t="str">
        <f aca="false">IF(D5="","N/A",IF(D5&lt;Finance_Document_Assumptions!$B$12,"BREACH","PASS"))</f>
        <v>N/A</v>
      </c>
      <c r="H5" s="1" t="s">
        <v>423</v>
      </c>
      <c r="I5" s="1" t="s">
        <v>425</v>
      </c>
    </row>
    <row r="6" customFormat="false" ht="15" hidden="false" customHeight="false" outlineLevel="0" collapsed="false">
      <c r="A6" s="1" t="s">
        <v>250</v>
      </c>
      <c r="B6" s="1" t="s">
        <v>252</v>
      </c>
      <c r="C6" s="1" t="s">
        <v>392</v>
      </c>
      <c r="D6" s="87" t="str">
        <f aca="false">Base_Case_Finance!C18</f>
        <v/>
      </c>
      <c r="E6" s="87" t="n">
        <f aca="false">Finance_Document_Assumptions!$B$13</f>
        <v>1.4</v>
      </c>
      <c r="F6" s="87" t="str">
        <f aca="false">IF(D6="","",D6-E6)</f>
        <v/>
      </c>
      <c r="G6" s="89" t="str">
        <f aca="false">IF(D6="","N/A",IF(D6&lt;Finance_Document_Assumptions!$B$13,"BREACH","PASS"))</f>
        <v>N/A</v>
      </c>
      <c r="H6" s="1" t="s">
        <v>423</v>
      </c>
      <c r="I6" s="1" t="s">
        <v>426</v>
      </c>
    </row>
    <row r="7" customFormat="false" ht="15" hidden="false" customHeight="false" outlineLevel="0" collapsed="false">
      <c r="A7" s="1" t="s">
        <v>250</v>
      </c>
      <c r="B7" s="1" t="s">
        <v>252</v>
      </c>
      <c r="C7" s="1" t="s">
        <v>427</v>
      </c>
      <c r="D7" s="81" t="n">
        <f aca="false">Base_Case_Finance!C24</f>
        <v>4847837.904</v>
      </c>
      <c r="E7" s="81" t="n">
        <f aca="false">0</f>
        <v>0</v>
      </c>
      <c r="F7" s="81" t="n">
        <f aca="false">D7-E7</f>
        <v>4847837.904</v>
      </c>
      <c r="G7" s="89" t="str">
        <f aca="false">IF(D7&lt;0,"BREACH","PASS")</f>
        <v>PASS</v>
      </c>
      <c r="H7" s="1" t="s">
        <v>423</v>
      </c>
      <c r="I7" s="1" t="s">
        <v>428</v>
      </c>
    </row>
    <row r="8" customFormat="false" ht="15" hidden="false" customHeight="false" outlineLevel="0" collapsed="false">
      <c r="A8" s="1" t="s">
        <v>250</v>
      </c>
      <c r="B8" s="1" t="s">
        <v>253</v>
      </c>
      <c r="C8" s="1" t="s">
        <v>386</v>
      </c>
      <c r="D8" s="87" t="n">
        <f aca="false">Base_Case_Finance!D15</f>
        <v>124.477630588235</v>
      </c>
      <c r="E8" s="87" t="n">
        <f aca="false">Finance_Document_Assumptions!$B$10</f>
        <v>1.2</v>
      </c>
      <c r="F8" s="87" t="n">
        <f aca="false">IF(D8="","",D8-E8)</f>
        <v>123.277630588235</v>
      </c>
      <c r="G8" s="89" t="str">
        <f aca="false">IF(D8="","N/A",IF(D8&lt;Finance_Document_Assumptions!$B$11,"DEFAULT",IF(D8&lt;Finance_Document_Assumptions!$B$10,"LOCKUP","PASS")))</f>
        <v>PASS</v>
      </c>
      <c r="H8" s="1" t="s">
        <v>423</v>
      </c>
      <c r="I8" s="1" t="s">
        <v>429</v>
      </c>
    </row>
    <row r="9" customFormat="false" ht="15" hidden="false" customHeight="false" outlineLevel="0" collapsed="false">
      <c r="A9" s="1" t="s">
        <v>250</v>
      </c>
      <c r="B9" s="1" t="s">
        <v>253</v>
      </c>
      <c r="C9" s="1" t="s">
        <v>390</v>
      </c>
      <c r="D9" s="87" t="n">
        <f aca="false">Base_Case_Finance!D17</f>
        <v>31.9115380235294</v>
      </c>
      <c r="E9" s="87" t="n">
        <f aca="false">Finance_Document_Assumptions!$B$12</f>
        <v>1.3</v>
      </c>
      <c r="F9" s="87" t="n">
        <f aca="false">IF(D9="","",D9-E9)</f>
        <v>30.6115380235294</v>
      </c>
      <c r="G9" s="89" t="str">
        <f aca="false">IF(D9="","N/A",IF(D9&lt;Finance_Document_Assumptions!$B$12,"BREACH","PASS"))</f>
        <v>PASS</v>
      </c>
      <c r="H9" s="1" t="s">
        <v>423</v>
      </c>
      <c r="I9" s="1" t="s">
        <v>430</v>
      </c>
    </row>
    <row r="10" customFormat="false" ht="15" hidden="false" customHeight="false" outlineLevel="0" collapsed="false">
      <c r="A10" s="1" t="s">
        <v>250</v>
      </c>
      <c r="B10" s="1" t="s">
        <v>253</v>
      </c>
      <c r="C10" s="1" t="s">
        <v>392</v>
      </c>
      <c r="D10" s="87" t="n">
        <f aca="false">Base_Case_Finance!D18</f>
        <v>35.4572644705882</v>
      </c>
      <c r="E10" s="87" t="n">
        <f aca="false">Finance_Document_Assumptions!$B$13</f>
        <v>1.4</v>
      </c>
      <c r="F10" s="87" t="n">
        <f aca="false">IF(D10="","",D10-E10)</f>
        <v>34.0572644705882</v>
      </c>
      <c r="G10" s="89" t="str">
        <f aca="false">IF(D10="","N/A",IF(D10&lt;Finance_Document_Assumptions!$B$13,"BREACH","PASS"))</f>
        <v>PASS</v>
      </c>
      <c r="H10" s="1" t="s">
        <v>423</v>
      </c>
      <c r="I10" s="1" t="s">
        <v>431</v>
      </c>
    </row>
    <row r="11" customFormat="false" ht="15" hidden="false" customHeight="false" outlineLevel="0" collapsed="false">
      <c r="A11" s="1" t="s">
        <v>250</v>
      </c>
      <c r="B11" s="1" t="s">
        <v>253</v>
      </c>
      <c r="C11" s="1" t="s">
        <v>427</v>
      </c>
      <c r="D11" s="81" t="n">
        <f aca="false">Base_Case_Finance!D24</f>
        <v>3778415.496</v>
      </c>
      <c r="E11" s="81" t="n">
        <f aca="false">0</f>
        <v>0</v>
      </c>
      <c r="F11" s="81" t="n">
        <f aca="false">D11-E11</f>
        <v>3778415.496</v>
      </c>
      <c r="G11" s="89" t="str">
        <f aca="false">IF(D11&lt;0,"BREACH","PASS")</f>
        <v>PASS</v>
      </c>
      <c r="H11" s="1" t="s">
        <v>423</v>
      </c>
      <c r="I11" s="1" t="s">
        <v>432</v>
      </c>
    </row>
    <row r="12" customFormat="false" ht="15" hidden="false" customHeight="false" outlineLevel="0" collapsed="false">
      <c r="A12" s="1" t="s">
        <v>250</v>
      </c>
      <c r="B12" s="1" t="s">
        <v>254</v>
      </c>
      <c r="C12" s="1" t="s">
        <v>386</v>
      </c>
      <c r="D12" s="87" t="n">
        <f aca="false">Base_Case_Finance!E15</f>
        <v>10.9074529250214</v>
      </c>
      <c r="E12" s="87" t="n">
        <f aca="false">Finance_Document_Assumptions!$B$10</f>
        <v>1.2</v>
      </c>
      <c r="F12" s="87" t="n">
        <f aca="false">IF(D12="","",D12-E12)</f>
        <v>9.70745292502141</v>
      </c>
      <c r="G12" s="89" t="str">
        <f aca="false">IF(D12="","N/A",IF(D12&lt;Finance_Document_Assumptions!$B$11,"DEFAULT",IF(D12&lt;Finance_Document_Assumptions!$B$10,"LOCKUP","PASS")))</f>
        <v>PASS</v>
      </c>
      <c r="H12" s="1" t="s">
        <v>423</v>
      </c>
      <c r="I12" s="1" t="s">
        <v>433</v>
      </c>
    </row>
    <row r="13" customFormat="false" ht="15" hidden="false" customHeight="false" outlineLevel="0" collapsed="false">
      <c r="A13" s="1" t="s">
        <v>250</v>
      </c>
      <c r="B13" s="1" t="s">
        <v>254</v>
      </c>
      <c r="C13" s="1" t="s">
        <v>390</v>
      </c>
      <c r="D13" s="87" t="n">
        <f aca="false">Base_Case_Finance!E17</f>
        <v>7.56883357377049</v>
      </c>
      <c r="E13" s="87" t="n">
        <f aca="false">Finance_Document_Assumptions!$B$12</f>
        <v>1.3</v>
      </c>
      <c r="F13" s="87" t="n">
        <f aca="false">IF(D13="","",D13-E13)</f>
        <v>6.26883357377049</v>
      </c>
      <c r="G13" s="89" t="str">
        <f aca="false">IF(D13="","N/A",IF(D13&lt;Finance_Document_Assumptions!$B$12,"BREACH","PASS"))</f>
        <v>PASS</v>
      </c>
      <c r="H13" s="1" t="s">
        <v>423</v>
      </c>
      <c r="I13" s="1" t="s">
        <v>434</v>
      </c>
    </row>
    <row r="14" customFormat="false" ht="15" hidden="false" customHeight="false" outlineLevel="0" collapsed="false">
      <c r="A14" s="1" t="s">
        <v>250</v>
      </c>
      <c r="B14" s="1" t="s">
        <v>254</v>
      </c>
      <c r="C14" s="1" t="s">
        <v>392</v>
      </c>
      <c r="D14" s="87" t="n">
        <f aca="false">Base_Case_Finance!E18</f>
        <v>8.40981508196721</v>
      </c>
      <c r="E14" s="87" t="n">
        <f aca="false">Finance_Document_Assumptions!$B$13</f>
        <v>1.4</v>
      </c>
      <c r="F14" s="87" t="n">
        <f aca="false">IF(D14="","",D14-E14)</f>
        <v>7.00981508196721</v>
      </c>
      <c r="G14" s="89" t="str">
        <f aca="false">IF(D14="","N/A",IF(D14&lt;Finance_Document_Assumptions!$B$13,"BREACH","PASS"))</f>
        <v>PASS</v>
      </c>
      <c r="H14" s="1" t="s">
        <v>423</v>
      </c>
      <c r="I14" s="1" t="s">
        <v>435</v>
      </c>
    </row>
    <row r="15" customFormat="false" ht="15" hidden="false" customHeight="false" outlineLevel="0" collapsed="false">
      <c r="A15" s="1" t="s">
        <v>250</v>
      </c>
      <c r="B15" s="1" t="s">
        <v>254</v>
      </c>
      <c r="C15" s="1" t="s">
        <v>427</v>
      </c>
      <c r="D15" s="81" t="n">
        <f aca="false">Base_Case_Finance!E24</f>
        <v>5032441.176</v>
      </c>
      <c r="E15" s="81" t="n">
        <f aca="false">0</f>
        <v>0</v>
      </c>
      <c r="F15" s="81" t="n">
        <f aca="false">D15-E15</f>
        <v>5032441.176</v>
      </c>
      <c r="G15" s="89" t="str">
        <f aca="false">IF(D15&lt;0,"BREACH","PASS")</f>
        <v>PASS</v>
      </c>
      <c r="H15" s="1" t="s">
        <v>423</v>
      </c>
      <c r="I15" s="1" t="s">
        <v>436</v>
      </c>
    </row>
    <row r="16" customFormat="false" ht="15" hidden="false" customHeight="false" outlineLevel="0" collapsed="false">
      <c r="A16" s="1" t="s">
        <v>250</v>
      </c>
      <c r="B16" s="1" t="s">
        <v>255</v>
      </c>
      <c r="C16" s="1" t="s">
        <v>386</v>
      </c>
      <c r="D16" s="87" t="n">
        <f aca="false">Base_Case_Finance!F15</f>
        <v>12.3731752535877</v>
      </c>
      <c r="E16" s="87" t="n">
        <f aca="false">Finance_Document_Assumptions!$B$10</f>
        <v>1.2</v>
      </c>
      <c r="F16" s="87" t="n">
        <f aca="false">IF(D16="","",D16-E16)</f>
        <v>11.1731752535877</v>
      </c>
      <c r="G16" s="89" t="str">
        <f aca="false">IF(D16="","N/A",IF(D16&lt;Finance_Document_Assumptions!$B$11,"DEFAULT",IF(D16&lt;Finance_Document_Assumptions!$B$10,"LOCKUP","PASS")))</f>
        <v>PASS</v>
      </c>
      <c r="H16" s="1" t="s">
        <v>423</v>
      </c>
      <c r="I16" s="1" t="s">
        <v>437</v>
      </c>
    </row>
    <row r="17" customFormat="false" ht="15" hidden="false" customHeight="false" outlineLevel="0" collapsed="false">
      <c r="A17" s="1" t="s">
        <v>250</v>
      </c>
      <c r="B17" s="1" t="s">
        <v>255</v>
      </c>
      <c r="C17" s="1" t="s">
        <v>390</v>
      </c>
      <c r="D17" s="87" t="n">
        <f aca="false">Base_Case_Finance!F17</f>
        <v>2.75929387718512</v>
      </c>
      <c r="E17" s="87" t="n">
        <f aca="false">Finance_Document_Assumptions!$B$12</f>
        <v>1.3</v>
      </c>
      <c r="F17" s="87" t="n">
        <f aca="false">IF(D17="","",D17-E17)</f>
        <v>1.45929387718512</v>
      </c>
      <c r="G17" s="89" t="str">
        <f aca="false">IF(D17="","N/A",IF(D17&lt;Finance_Document_Assumptions!$B$12,"BREACH","PASS"))</f>
        <v>PASS</v>
      </c>
      <c r="H17" s="1" t="s">
        <v>423</v>
      </c>
      <c r="I17" s="1" t="s">
        <v>438</v>
      </c>
    </row>
    <row r="18" customFormat="false" ht="15" hidden="false" customHeight="false" outlineLevel="0" collapsed="false">
      <c r="A18" s="1" t="s">
        <v>250</v>
      </c>
      <c r="B18" s="1" t="s">
        <v>255</v>
      </c>
      <c r="C18" s="1" t="s">
        <v>392</v>
      </c>
      <c r="D18" s="87" t="n">
        <f aca="false">Base_Case_Finance!F18</f>
        <v>3.06588208576124</v>
      </c>
      <c r="E18" s="87" t="n">
        <f aca="false">Finance_Document_Assumptions!$B$13</f>
        <v>1.4</v>
      </c>
      <c r="F18" s="87" t="n">
        <f aca="false">IF(D18="","",D18-E18)</f>
        <v>1.66588208576124</v>
      </c>
      <c r="G18" s="89" t="str">
        <f aca="false">IF(D18="","N/A",IF(D18&lt;Finance_Document_Assumptions!$B$13,"BREACH","PASS"))</f>
        <v>PASS</v>
      </c>
      <c r="H18" s="1" t="s">
        <v>423</v>
      </c>
      <c r="I18" s="1" t="s">
        <v>439</v>
      </c>
    </row>
    <row r="19" customFormat="false" ht="15" hidden="false" customHeight="false" outlineLevel="0" collapsed="false">
      <c r="A19" s="1" t="s">
        <v>250</v>
      </c>
      <c r="B19" s="1" t="s">
        <v>255</v>
      </c>
      <c r="C19" s="1" t="s">
        <v>427</v>
      </c>
      <c r="D19" s="81" t="n">
        <f aca="false">Base_Case_Finance!F24</f>
        <v>6365765.22</v>
      </c>
      <c r="E19" s="81" t="n">
        <f aca="false">0</f>
        <v>0</v>
      </c>
      <c r="F19" s="81" t="n">
        <f aca="false">D19-E19</f>
        <v>6365765.22</v>
      </c>
      <c r="G19" s="89" t="str">
        <f aca="false">IF(D19&lt;0,"BREACH","PASS")</f>
        <v>PASS</v>
      </c>
      <c r="H19" s="1" t="s">
        <v>423</v>
      </c>
      <c r="I19" s="1" t="s">
        <v>440</v>
      </c>
    </row>
    <row r="20" customFormat="false" ht="15" hidden="false" customHeight="false" outlineLevel="0" collapsed="false">
      <c r="A20" s="1" t="s">
        <v>441</v>
      </c>
      <c r="B20" s="1" t="s">
        <v>252</v>
      </c>
      <c r="C20" s="1" t="s">
        <v>386</v>
      </c>
      <c r="D20" s="87" t="str">
        <f aca="false">Lender_Case_Finance!C15</f>
        <v/>
      </c>
      <c r="E20" s="87" t="n">
        <f aca="false">Finance_Document_Assumptions!$B$10</f>
        <v>1.2</v>
      </c>
      <c r="F20" s="87" t="str">
        <f aca="false">IF(D20="","",D20-E20)</f>
        <v/>
      </c>
      <c r="G20" s="89" t="str">
        <f aca="false">IF(D20="","N/A",IF(D20&lt;Finance_Document_Assumptions!$B$11,"DEFAULT",IF(D20&lt;Finance_Document_Assumptions!$B$10,"LOCKUP","PASS")))</f>
        <v>N/A</v>
      </c>
      <c r="H20" s="1" t="s">
        <v>442</v>
      </c>
      <c r="I20" s="1" t="s">
        <v>424</v>
      </c>
    </row>
    <row r="21" customFormat="false" ht="15" hidden="false" customHeight="false" outlineLevel="0" collapsed="false">
      <c r="A21" s="1" t="s">
        <v>441</v>
      </c>
      <c r="B21" s="1" t="s">
        <v>252</v>
      </c>
      <c r="C21" s="1" t="s">
        <v>390</v>
      </c>
      <c r="D21" s="87" t="str">
        <f aca="false">Lender_Case_Finance!C17</f>
        <v/>
      </c>
      <c r="E21" s="87" t="n">
        <f aca="false">Finance_Document_Assumptions!$B$12</f>
        <v>1.3</v>
      </c>
      <c r="F21" s="87" t="str">
        <f aca="false">IF(D21="","",D21-E21)</f>
        <v/>
      </c>
      <c r="G21" s="89" t="str">
        <f aca="false">IF(D21="","N/A",IF(D21&lt;Finance_Document_Assumptions!$B$12,"BREACH","PASS"))</f>
        <v>N/A</v>
      </c>
      <c r="H21" s="1" t="s">
        <v>442</v>
      </c>
      <c r="I21" s="1" t="s">
        <v>425</v>
      </c>
    </row>
    <row r="22" customFormat="false" ht="15" hidden="false" customHeight="false" outlineLevel="0" collapsed="false">
      <c r="A22" s="1" t="s">
        <v>441</v>
      </c>
      <c r="B22" s="1" t="s">
        <v>252</v>
      </c>
      <c r="C22" s="1" t="s">
        <v>392</v>
      </c>
      <c r="D22" s="87" t="str">
        <f aca="false">Lender_Case_Finance!C18</f>
        <v/>
      </c>
      <c r="E22" s="87" t="n">
        <f aca="false">Finance_Document_Assumptions!$B$13</f>
        <v>1.4</v>
      </c>
      <c r="F22" s="87" t="str">
        <f aca="false">IF(D22="","",D22-E22)</f>
        <v/>
      </c>
      <c r="G22" s="89" t="str">
        <f aca="false">IF(D22="","N/A",IF(D22&lt;Finance_Document_Assumptions!$B$13,"BREACH","PASS"))</f>
        <v>N/A</v>
      </c>
      <c r="H22" s="1" t="s">
        <v>442</v>
      </c>
      <c r="I22" s="1" t="s">
        <v>426</v>
      </c>
    </row>
    <row r="23" customFormat="false" ht="15" hidden="false" customHeight="false" outlineLevel="0" collapsed="false">
      <c r="A23" s="1" t="s">
        <v>441</v>
      </c>
      <c r="B23" s="1" t="s">
        <v>252</v>
      </c>
      <c r="C23" s="1" t="s">
        <v>427</v>
      </c>
      <c r="D23" s="81" t="n">
        <f aca="false">Lender_Case_Finance!C24</f>
        <v>3296529.77472</v>
      </c>
      <c r="E23" s="81" t="n">
        <f aca="false">0</f>
        <v>0</v>
      </c>
      <c r="F23" s="81" t="n">
        <f aca="false">D23-E23</f>
        <v>3296529.77472</v>
      </c>
      <c r="G23" s="89" t="str">
        <f aca="false">IF(D23&lt;0,"BREACH","PASS")</f>
        <v>PASS</v>
      </c>
      <c r="H23" s="1" t="s">
        <v>442</v>
      </c>
      <c r="I23" s="1" t="s">
        <v>428</v>
      </c>
    </row>
    <row r="24" customFormat="false" ht="15" hidden="false" customHeight="false" outlineLevel="0" collapsed="false">
      <c r="A24" s="1" t="s">
        <v>441</v>
      </c>
      <c r="B24" s="1" t="s">
        <v>253</v>
      </c>
      <c r="C24" s="1" t="s">
        <v>386</v>
      </c>
      <c r="D24" s="87" t="n">
        <f aca="false">Lender_Case_Finance!D15</f>
        <v>67.71583104</v>
      </c>
      <c r="E24" s="87" t="n">
        <f aca="false">Finance_Document_Assumptions!$B$10</f>
        <v>1.2</v>
      </c>
      <c r="F24" s="87" t="n">
        <f aca="false">IF(D24="","",D24-E24)</f>
        <v>66.51583104</v>
      </c>
      <c r="G24" s="89" t="str">
        <f aca="false">IF(D24="","N/A",IF(D24&lt;Finance_Document_Assumptions!$B$11,"DEFAULT",IF(D24&lt;Finance_Document_Assumptions!$B$10,"LOCKUP","PASS")))</f>
        <v>PASS</v>
      </c>
      <c r="H24" s="1" t="s">
        <v>442</v>
      </c>
      <c r="I24" s="1" t="s">
        <v>429</v>
      </c>
    </row>
    <row r="25" customFormat="false" ht="15" hidden="false" customHeight="false" outlineLevel="0" collapsed="false">
      <c r="A25" s="1" t="s">
        <v>441</v>
      </c>
      <c r="B25" s="1" t="s">
        <v>253</v>
      </c>
      <c r="C25" s="1" t="s">
        <v>390</v>
      </c>
      <c r="D25" s="87" t="n">
        <f aca="false">Lender_Case_Finance!D17</f>
        <v>21.699845856</v>
      </c>
      <c r="E25" s="87" t="n">
        <f aca="false">Finance_Document_Assumptions!$B$12</f>
        <v>1.3</v>
      </c>
      <c r="F25" s="87" t="n">
        <f aca="false">IF(D25="","",D25-E25)</f>
        <v>20.399845856</v>
      </c>
      <c r="G25" s="89" t="str">
        <f aca="false">IF(D25="","N/A",IF(D25&lt;Finance_Document_Assumptions!$B$12,"BREACH","PASS"))</f>
        <v>PASS</v>
      </c>
      <c r="H25" s="1" t="s">
        <v>442</v>
      </c>
      <c r="I25" s="1" t="s">
        <v>430</v>
      </c>
    </row>
    <row r="26" customFormat="false" ht="15" hidden="false" customHeight="false" outlineLevel="0" collapsed="false">
      <c r="A26" s="1" t="s">
        <v>441</v>
      </c>
      <c r="B26" s="1" t="s">
        <v>253</v>
      </c>
      <c r="C26" s="1" t="s">
        <v>392</v>
      </c>
      <c r="D26" s="87" t="n">
        <f aca="false">Lender_Case_Finance!D18</f>
        <v>24.11093984</v>
      </c>
      <c r="E26" s="87" t="n">
        <f aca="false">Finance_Document_Assumptions!$B$13</f>
        <v>1.4</v>
      </c>
      <c r="F26" s="87" t="n">
        <f aca="false">IF(D26="","",D26-E26)</f>
        <v>22.71093984</v>
      </c>
      <c r="G26" s="89" t="str">
        <f aca="false">IF(D26="","N/A",IF(D26&lt;Finance_Document_Assumptions!$B$13,"BREACH","PASS"))</f>
        <v>PASS</v>
      </c>
      <c r="H26" s="1" t="s">
        <v>442</v>
      </c>
      <c r="I26" s="1" t="s">
        <v>431</v>
      </c>
    </row>
    <row r="27" customFormat="false" ht="15" hidden="false" customHeight="false" outlineLevel="0" collapsed="false">
      <c r="A27" s="1" t="s">
        <v>441</v>
      </c>
      <c r="B27" s="1" t="s">
        <v>253</v>
      </c>
      <c r="C27" s="1" t="s">
        <v>427</v>
      </c>
      <c r="D27" s="81" t="n">
        <f aca="false">Lender_Case_Finance!D24</f>
        <v>2551880.53728</v>
      </c>
      <c r="E27" s="81" t="n">
        <f aca="false">0</f>
        <v>0</v>
      </c>
      <c r="F27" s="81" t="n">
        <f aca="false">D27-E27</f>
        <v>2551880.53728</v>
      </c>
      <c r="G27" s="89" t="str">
        <f aca="false">IF(D27&lt;0,"BREACH","PASS")</f>
        <v>PASS</v>
      </c>
      <c r="H27" s="1" t="s">
        <v>442</v>
      </c>
      <c r="I27" s="1" t="s">
        <v>432</v>
      </c>
    </row>
    <row r="28" customFormat="false" ht="15" hidden="false" customHeight="false" outlineLevel="0" collapsed="false">
      <c r="A28" s="1" t="s">
        <v>441</v>
      </c>
      <c r="B28" s="1" t="s">
        <v>254</v>
      </c>
      <c r="C28" s="1" t="s">
        <v>386</v>
      </c>
      <c r="D28" s="87" t="n">
        <f aca="false">Lender_Case_Finance!E15</f>
        <v>7.07305472576739</v>
      </c>
      <c r="E28" s="87" t="n">
        <f aca="false">Finance_Document_Assumptions!$B$10</f>
        <v>1.2</v>
      </c>
      <c r="F28" s="87" t="n">
        <f aca="false">IF(D28="","",D28-E28)</f>
        <v>5.87305472576739</v>
      </c>
      <c r="G28" s="89" t="str">
        <f aca="false">IF(D28="","N/A",IF(D28&lt;Finance_Document_Assumptions!$B$11,"DEFAULT",IF(D28&lt;Finance_Document_Assumptions!$B$10,"LOCKUP","PASS")))</f>
        <v>PASS</v>
      </c>
      <c r="H28" s="1" t="s">
        <v>442</v>
      </c>
      <c r="I28" s="1" t="s">
        <v>433</v>
      </c>
    </row>
    <row r="29" customFormat="false" ht="15" hidden="false" customHeight="false" outlineLevel="0" collapsed="false">
      <c r="A29" s="1" t="s">
        <v>441</v>
      </c>
      <c r="B29" s="1" t="s">
        <v>254</v>
      </c>
      <c r="C29" s="1" t="s">
        <v>390</v>
      </c>
      <c r="D29" s="87" t="n">
        <f aca="false">Lender_Case_Finance!E17</f>
        <v>5.14680683016394</v>
      </c>
      <c r="E29" s="87" t="n">
        <f aca="false">Finance_Document_Assumptions!$B$12</f>
        <v>1.3</v>
      </c>
      <c r="F29" s="87" t="n">
        <f aca="false">IF(D29="","",D29-E29)</f>
        <v>3.84680683016394</v>
      </c>
      <c r="G29" s="89" t="str">
        <f aca="false">IF(D29="","N/A",IF(D29&lt;Finance_Document_Assumptions!$B$12,"BREACH","PASS"))</f>
        <v>PASS</v>
      </c>
      <c r="H29" s="1" t="s">
        <v>442</v>
      </c>
      <c r="I29" s="1" t="s">
        <v>434</v>
      </c>
    </row>
    <row r="30" customFormat="false" ht="15" hidden="false" customHeight="false" outlineLevel="0" collapsed="false">
      <c r="A30" s="1" t="s">
        <v>441</v>
      </c>
      <c r="B30" s="1" t="s">
        <v>254</v>
      </c>
      <c r="C30" s="1" t="s">
        <v>392</v>
      </c>
      <c r="D30" s="87" t="n">
        <f aca="false">Lender_Case_Finance!E18</f>
        <v>5.71867425573771</v>
      </c>
      <c r="E30" s="87" t="n">
        <f aca="false">Finance_Document_Assumptions!$B$13</f>
        <v>1.4</v>
      </c>
      <c r="F30" s="87" t="n">
        <f aca="false">IF(D30="","",D30-E30)</f>
        <v>4.31867425573771</v>
      </c>
      <c r="G30" s="89" t="str">
        <f aca="false">IF(D30="","N/A",IF(D30&lt;Finance_Document_Assumptions!$B$13,"BREACH","PASS"))</f>
        <v>PASS</v>
      </c>
      <c r="H30" s="1" t="s">
        <v>442</v>
      </c>
      <c r="I30" s="1" t="s">
        <v>435</v>
      </c>
    </row>
    <row r="31" customFormat="false" ht="15" hidden="false" customHeight="false" outlineLevel="0" collapsed="false">
      <c r="A31" s="1" t="s">
        <v>441</v>
      </c>
      <c r="B31" s="1" t="s">
        <v>254</v>
      </c>
      <c r="C31" s="1" t="s">
        <v>427</v>
      </c>
      <c r="D31" s="81" t="n">
        <f aca="false">Lender_Case_Finance!E24</f>
        <v>3234812.59968</v>
      </c>
      <c r="E31" s="81" t="n">
        <f aca="false">0</f>
        <v>0</v>
      </c>
      <c r="F31" s="81" t="n">
        <f aca="false">D31-E31</f>
        <v>3234812.59968</v>
      </c>
      <c r="G31" s="89" t="str">
        <f aca="false">IF(D31&lt;0,"BREACH","PASS")</f>
        <v>PASS</v>
      </c>
      <c r="H31" s="1" t="s">
        <v>442</v>
      </c>
      <c r="I31" s="1" t="s">
        <v>436</v>
      </c>
    </row>
    <row r="32" customFormat="false" ht="15" hidden="false" customHeight="false" outlineLevel="0" collapsed="false">
      <c r="A32" s="1" t="s">
        <v>441</v>
      </c>
      <c r="B32" s="1" t="s">
        <v>255</v>
      </c>
      <c r="C32" s="1" t="s">
        <v>386</v>
      </c>
      <c r="D32" s="87" t="n">
        <f aca="false">Lender_Case_Finance!F15</f>
        <v>7.88349388132268</v>
      </c>
      <c r="E32" s="87" t="n">
        <f aca="false">Finance_Document_Assumptions!$B$10</f>
        <v>1.2</v>
      </c>
      <c r="F32" s="87" t="n">
        <f aca="false">IF(D32="","",D32-E32)</f>
        <v>6.68349388132268</v>
      </c>
      <c r="G32" s="89" t="str">
        <f aca="false">IF(D32="","N/A",IF(D32&lt;Finance_Document_Assumptions!$B$11,"DEFAULT",IF(D32&lt;Finance_Document_Assumptions!$B$10,"LOCKUP","PASS")))</f>
        <v>PASS</v>
      </c>
      <c r="H32" s="1" t="s">
        <v>442</v>
      </c>
      <c r="I32" s="1" t="s">
        <v>437</v>
      </c>
    </row>
    <row r="33" customFormat="false" ht="15" hidden="false" customHeight="false" outlineLevel="0" collapsed="false">
      <c r="A33" s="1" t="s">
        <v>441</v>
      </c>
      <c r="B33" s="1" t="s">
        <v>255</v>
      </c>
      <c r="C33" s="1" t="s">
        <v>390</v>
      </c>
      <c r="D33" s="87" t="n">
        <f aca="false">Lender_Case_Finance!F17</f>
        <v>1.87631983648588</v>
      </c>
      <c r="E33" s="87" t="n">
        <f aca="false">Finance_Document_Assumptions!$B$12</f>
        <v>1.3</v>
      </c>
      <c r="F33" s="87" t="n">
        <f aca="false">IF(D33="","",D33-E33)</f>
        <v>0.576319836485881</v>
      </c>
      <c r="G33" s="89" t="str">
        <f aca="false">IF(D33="","N/A",IF(D33&lt;Finance_Document_Assumptions!$B$12,"BREACH","PASS"))</f>
        <v>PASS</v>
      </c>
      <c r="H33" s="1" t="s">
        <v>442</v>
      </c>
      <c r="I33" s="1" t="s">
        <v>438</v>
      </c>
    </row>
    <row r="34" customFormat="false" ht="15" hidden="false" customHeight="false" outlineLevel="0" collapsed="false">
      <c r="A34" s="1" t="s">
        <v>441</v>
      </c>
      <c r="B34" s="1" t="s">
        <v>255</v>
      </c>
      <c r="C34" s="1" t="s">
        <v>392</v>
      </c>
      <c r="D34" s="87" t="n">
        <f aca="false">Lender_Case_Finance!F18</f>
        <v>2.08479981831765</v>
      </c>
      <c r="E34" s="87" t="n">
        <f aca="false">Finance_Document_Assumptions!$B$13</f>
        <v>1.4</v>
      </c>
      <c r="F34" s="87" t="n">
        <f aca="false">IF(D34="","",D34-E34)</f>
        <v>0.684799818317646</v>
      </c>
      <c r="G34" s="89" t="str">
        <f aca="false">IF(D34="","N/A",IF(D34&lt;Finance_Document_Assumptions!$B$13,"BREACH","PASS"))</f>
        <v>PASS</v>
      </c>
      <c r="H34" s="1" t="s">
        <v>442</v>
      </c>
      <c r="I34" s="1" t="s">
        <v>439</v>
      </c>
    </row>
    <row r="35" customFormat="false" ht="15" hidden="false" customHeight="false" outlineLevel="0" collapsed="false">
      <c r="A35" s="1" t="s">
        <v>441</v>
      </c>
      <c r="B35" s="1" t="s">
        <v>255</v>
      </c>
      <c r="C35" s="1" t="s">
        <v>427</v>
      </c>
      <c r="D35" s="81" t="n">
        <f aca="false">Lender_Case_Finance!F24</f>
        <v>4111962.6246</v>
      </c>
      <c r="E35" s="81" t="n">
        <f aca="false">0</f>
        <v>0</v>
      </c>
      <c r="F35" s="81" t="n">
        <f aca="false">D35-E35</f>
        <v>4111962.6246</v>
      </c>
      <c r="G35" s="89" t="str">
        <f aca="false">IF(D35&lt;0,"BREACH","PASS")</f>
        <v>PASS</v>
      </c>
      <c r="H35" s="1" t="s">
        <v>442</v>
      </c>
      <c r="I35" s="1" t="s">
        <v>440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72" t="s">
        <v>443</v>
      </c>
      <c r="B1" s="72"/>
      <c r="C1" s="72"/>
      <c r="D1" s="72"/>
      <c r="E1" s="72"/>
      <c r="F1" s="72"/>
      <c r="G1" s="72"/>
      <c r="H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295</v>
      </c>
      <c r="D3" s="73" t="s">
        <v>418</v>
      </c>
      <c r="E3" s="73" t="s">
        <v>419</v>
      </c>
      <c r="F3" s="73" t="s">
        <v>58</v>
      </c>
      <c r="G3" s="73" t="s">
        <v>421</v>
      </c>
      <c r="H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1" t="s">
        <v>386</v>
      </c>
      <c r="D4" s="87" t="str">
        <f aca="false">Base_Case_Finance!C15</f>
        <v/>
      </c>
      <c r="E4" s="87" t="n">
        <f aca="false">Finance_Document_Assumptions!$B$10</f>
        <v>1.2</v>
      </c>
      <c r="F4" s="89" t="str">
        <f aca="false">IF(D4="","N/A",IF(D4&lt;Finance_Document_Assumptions!$B$11,"DEFAULT",IF(D4&lt;Finance_Document_Assumptions!$B$10,"LOCKUP","PASS")))</f>
        <v>N/A</v>
      </c>
      <c r="G4" s="1" t="s">
        <v>423</v>
      </c>
      <c r="H4" s="1" t="s">
        <v>424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1" t="s">
        <v>386</v>
      </c>
      <c r="D5" s="87" t="n">
        <f aca="false">Base_Case_Finance!D15</f>
        <v>124.477630588235</v>
      </c>
      <c r="E5" s="87" t="n">
        <f aca="false">Finance_Document_Assumptions!$B$10</f>
        <v>1.2</v>
      </c>
      <c r="F5" s="89" t="str">
        <f aca="false">IF(D5="","N/A",IF(D5&lt;Finance_Document_Assumptions!$B$11,"DEFAULT",IF(D5&lt;Finance_Document_Assumptions!$B$10,"LOCKUP","PASS")))</f>
        <v>PASS</v>
      </c>
      <c r="G5" s="1" t="s">
        <v>423</v>
      </c>
      <c r="H5" s="1" t="s">
        <v>429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1" t="s">
        <v>386</v>
      </c>
      <c r="D6" s="87" t="n">
        <f aca="false">Base_Case_Finance!E15</f>
        <v>10.9074529250214</v>
      </c>
      <c r="E6" s="87" t="n">
        <f aca="false">Finance_Document_Assumptions!$B$10</f>
        <v>1.2</v>
      </c>
      <c r="F6" s="89" t="str">
        <f aca="false">IF(D6="","N/A",IF(D6&lt;Finance_Document_Assumptions!$B$11,"DEFAULT",IF(D6&lt;Finance_Document_Assumptions!$B$10,"LOCKUP","PASS")))</f>
        <v>PASS</v>
      </c>
      <c r="G6" s="1" t="s">
        <v>423</v>
      </c>
      <c r="H6" s="1" t="s">
        <v>433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1" t="s">
        <v>386</v>
      </c>
      <c r="D7" s="87" t="n">
        <f aca="false">Base_Case_Finance!F15</f>
        <v>12.3731752535877</v>
      </c>
      <c r="E7" s="87" t="n">
        <f aca="false">Finance_Document_Assumptions!$B$10</f>
        <v>1.2</v>
      </c>
      <c r="F7" s="89" t="str">
        <f aca="false">IF(D7="","N/A",IF(D7&lt;Finance_Document_Assumptions!$B$11,"DEFAULT",IF(D7&lt;Finance_Document_Assumptions!$B$10,"LOCKUP","PASS")))</f>
        <v>PASS</v>
      </c>
      <c r="G7" s="1" t="s">
        <v>423</v>
      </c>
      <c r="H7" s="1" t="s">
        <v>437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1" t="s">
        <v>386</v>
      </c>
      <c r="D8" s="87" t="str">
        <f aca="false">Lender_Case_Finance!C15</f>
        <v/>
      </c>
      <c r="E8" s="87" t="n">
        <f aca="false">Finance_Document_Assumptions!$B$10</f>
        <v>1.2</v>
      </c>
      <c r="F8" s="89" t="str">
        <f aca="false">IF(D8="","N/A",IF(D8&lt;Finance_Document_Assumptions!$B$11,"DEFAULT",IF(D8&lt;Finance_Document_Assumptions!$B$10,"LOCKUP","PASS")))</f>
        <v>N/A</v>
      </c>
      <c r="G8" s="1" t="s">
        <v>442</v>
      </c>
      <c r="H8" s="1" t="s">
        <v>424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1" t="s">
        <v>386</v>
      </c>
      <c r="D9" s="87" t="n">
        <f aca="false">Lender_Case_Finance!D15</f>
        <v>67.71583104</v>
      </c>
      <c r="E9" s="87" t="n">
        <f aca="false">Finance_Document_Assumptions!$B$10</f>
        <v>1.2</v>
      </c>
      <c r="F9" s="89" t="str">
        <f aca="false">IF(D9="","N/A",IF(D9&lt;Finance_Document_Assumptions!$B$11,"DEFAULT",IF(D9&lt;Finance_Document_Assumptions!$B$10,"LOCKUP","PASS")))</f>
        <v>PASS</v>
      </c>
      <c r="G9" s="1" t="s">
        <v>442</v>
      </c>
      <c r="H9" s="1" t="s">
        <v>429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1" t="s">
        <v>386</v>
      </c>
      <c r="D10" s="87" t="n">
        <f aca="false">Lender_Case_Finance!E15</f>
        <v>7.07305472576739</v>
      </c>
      <c r="E10" s="87" t="n">
        <f aca="false">Finance_Document_Assumptions!$B$10</f>
        <v>1.2</v>
      </c>
      <c r="F10" s="89" t="str">
        <f aca="false">IF(D10="","N/A",IF(D10&lt;Finance_Document_Assumptions!$B$11,"DEFAULT",IF(D10&lt;Finance_Document_Assumptions!$B$10,"LOCKUP","PASS")))</f>
        <v>PASS</v>
      </c>
      <c r="G10" s="1" t="s">
        <v>442</v>
      </c>
      <c r="H10" s="1" t="s">
        <v>433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1" t="s">
        <v>386</v>
      </c>
      <c r="D11" s="87" t="n">
        <f aca="false">Lender_Case_Finance!F15</f>
        <v>7.88349388132268</v>
      </c>
      <c r="E11" s="87" t="n">
        <f aca="false">Finance_Document_Assumptions!$B$10</f>
        <v>1.2</v>
      </c>
      <c r="F11" s="89" t="str">
        <f aca="false">IF(D11="","N/A",IF(D11&lt;Finance_Document_Assumptions!$B$11,"DEFAULT",IF(D11&lt;Finance_Document_Assumptions!$B$10,"LOCKUP","PASS")))</f>
        <v>PASS</v>
      </c>
      <c r="G11" s="1" t="s">
        <v>442</v>
      </c>
      <c r="H11" s="1" t="s">
        <v>437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72" t="s">
        <v>444</v>
      </c>
      <c r="B1" s="72"/>
      <c r="C1" s="72"/>
      <c r="D1" s="72"/>
      <c r="E1" s="72"/>
      <c r="F1" s="72"/>
      <c r="G1" s="72"/>
      <c r="H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445</v>
      </c>
      <c r="D3" s="73" t="s">
        <v>446</v>
      </c>
      <c r="E3" s="73" t="s">
        <v>447</v>
      </c>
      <c r="F3" s="73" t="s">
        <v>58</v>
      </c>
      <c r="G3" s="73" t="s">
        <v>421</v>
      </c>
      <c r="H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81" t="n">
        <f aca="false">Base_Case_Finance!C20</f>
        <v>0</v>
      </c>
      <c r="D4" s="81" t="n">
        <f aca="false">Base_Case_Finance!C19</f>
        <v>0</v>
      </c>
      <c r="E4" s="87" t="str">
        <f aca="false">IF(D4=0,"",C4/D4)</f>
        <v/>
      </c>
      <c r="F4" s="89" t="str">
        <f aca="false">IF(E4&gt;=1,"PASS","BREACH")</f>
        <v>PASS</v>
      </c>
      <c r="G4" s="1" t="s">
        <v>423</v>
      </c>
      <c r="H4" s="1" t="s">
        <v>448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81" t="n">
        <f aca="false">Base_Case_Finance!D20</f>
        <v>30600</v>
      </c>
      <c r="D5" s="81" t="n">
        <f aca="false">Base_Case_Finance!D19</f>
        <v>30600</v>
      </c>
      <c r="E5" s="87" t="n">
        <f aca="false">IF(D5=0,"",C5/D5)</f>
        <v>1</v>
      </c>
      <c r="F5" s="89" t="str">
        <f aca="false">IF(E5&gt;=1,"PASS","BREACH")</f>
        <v>PASS</v>
      </c>
      <c r="G5" s="1" t="s">
        <v>423</v>
      </c>
      <c r="H5" s="1" t="s">
        <v>449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81" t="n">
        <f aca="false">Base_Case_Finance!E20</f>
        <v>507945</v>
      </c>
      <c r="D6" s="81" t="n">
        <f aca="false">Base_Case_Finance!E19</f>
        <v>507945</v>
      </c>
      <c r="E6" s="87" t="n">
        <f aca="false">IF(D6=0,"",C6/D6)</f>
        <v>1</v>
      </c>
      <c r="F6" s="89" t="str">
        <f aca="false">IF(E6&gt;=1,"PASS","BREACH")</f>
        <v>PASS</v>
      </c>
      <c r="G6" s="1" t="s">
        <v>423</v>
      </c>
      <c r="H6" s="1" t="s">
        <v>450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81" t="n">
        <f aca="false">Base_Case_Finance!F20</f>
        <v>559717.5</v>
      </c>
      <c r="D7" s="81" t="n">
        <f aca="false">Base_Case_Finance!F19</f>
        <v>559717.5</v>
      </c>
      <c r="E7" s="87" t="n">
        <f aca="false">IF(D7=0,"",C7/D7)</f>
        <v>1</v>
      </c>
      <c r="F7" s="89" t="str">
        <f aca="false">IF(E7&gt;=1,"PASS","BREACH")</f>
        <v>PASS</v>
      </c>
      <c r="G7" s="1" t="s">
        <v>423</v>
      </c>
      <c r="H7" s="1" t="s">
        <v>451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81" t="n">
        <f aca="false">Lender_Case_Finance!C20</f>
        <v>0</v>
      </c>
      <c r="D8" s="81" t="n">
        <f aca="false">Lender_Case_Finance!C19</f>
        <v>0</v>
      </c>
      <c r="E8" s="87" t="str">
        <f aca="false">IF(D8=0,"",C8/D8)</f>
        <v/>
      </c>
      <c r="F8" s="89" t="str">
        <f aca="false">IF(E8&gt;=1,"PASS","BREACH")</f>
        <v>PASS</v>
      </c>
      <c r="G8" s="1" t="s">
        <v>442</v>
      </c>
      <c r="H8" s="1" t="s">
        <v>448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81" t="n">
        <f aca="false">Lender_Case_Finance!D20</f>
        <v>38250</v>
      </c>
      <c r="D9" s="81" t="n">
        <f aca="false">Lender_Case_Finance!D19</f>
        <v>38250</v>
      </c>
      <c r="E9" s="87" t="n">
        <f aca="false">IF(D9=0,"",C9/D9)</f>
        <v>1</v>
      </c>
      <c r="F9" s="89" t="str">
        <f aca="false">IF(E9&gt;=1,"PASS","BREACH")</f>
        <v>PASS</v>
      </c>
      <c r="G9" s="1" t="s">
        <v>442</v>
      </c>
      <c r="H9" s="1" t="s">
        <v>449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81" t="n">
        <f aca="false">Lender_Case_Finance!E20</f>
        <v>532650</v>
      </c>
      <c r="D10" s="81" t="n">
        <f aca="false">Lender_Case_Finance!E19</f>
        <v>532650</v>
      </c>
      <c r="E10" s="87" t="n">
        <f aca="false">IF(D10=0,"",C10/D10)</f>
        <v>1</v>
      </c>
      <c r="F10" s="89" t="str">
        <f aca="false">IF(E10&gt;=1,"PASS","BREACH")</f>
        <v>PASS</v>
      </c>
      <c r="G10" s="1" t="s">
        <v>442</v>
      </c>
      <c r="H10" s="1" t="s">
        <v>450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81" t="n">
        <f aca="false">Lender_Case_Finance!F20</f>
        <v>597365.625</v>
      </c>
      <c r="D11" s="81" t="n">
        <f aca="false">Lender_Case_Finance!F19</f>
        <v>597365.625</v>
      </c>
      <c r="E11" s="87" t="n">
        <f aca="false">IF(D11=0,"",C11/D11)</f>
        <v>1</v>
      </c>
      <c r="F11" s="89" t="str">
        <f aca="false">IF(E11&gt;=1,"PASS","BREACH")</f>
        <v>PASS</v>
      </c>
      <c r="G11" s="1" t="s">
        <v>442</v>
      </c>
      <c r="H11" s="1" t="s">
        <v>451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72" t="s">
        <v>452</v>
      </c>
      <c r="B1" s="72"/>
      <c r="C1" s="72"/>
      <c r="D1" s="72"/>
      <c r="E1" s="72"/>
      <c r="F1" s="72"/>
      <c r="G1" s="72"/>
      <c r="H1" s="72"/>
      <c r="I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386</v>
      </c>
      <c r="D3" s="73" t="s">
        <v>453</v>
      </c>
      <c r="E3" s="73" t="s">
        <v>454</v>
      </c>
      <c r="F3" s="73" t="s">
        <v>455</v>
      </c>
      <c r="G3" s="73" t="s">
        <v>58</v>
      </c>
      <c r="H3" s="73" t="s">
        <v>421</v>
      </c>
      <c r="I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87" t="str">
        <f aca="false">Base_Case_Finance!C15</f>
        <v/>
      </c>
      <c r="D4" s="81" t="n">
        <f aca="false">Base_Case_Finance!C22</f>
        <v>4847837.904</v>
      </c>
      <c r="E4" s="81" t="n">
        <f aca="false">Base_Case_Finance!C23</f>
        <v>0</v>
      </c>
      <c r="F4" s="82" t="n">
        <f aca="false">IF(AND(C4&lt;&gt;"",C4&gt;=Finance_Document_Assumptions!$B$14),Finance_Document_Assumptions!$B$15,0)</f>
        <v>0</v>
      </c>
      <c r="G4" s="89" t="str">
        <f aca="false">IF(E4&gt;0,"SWEEP","NO_SWEEP")</f>
        <v>NO_SWEEP</v>
      </c>
      <c r="H4" s="1" t="s">
        <v>423</v>
      </c>
      <c r="I4" s="1" t="s">
        <v>456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87" t="n">
        <f aca="false">Base_Case_Finance!D15</f>
        <v>124.477630588235</v>
      </c>
      <c r="D5" s="81" t="n">
        <f aca="false">Base_Case_Finance!D22</f>
        <v>7556830.992</v>
      </c>
      <c r="E5" s="81" t="n">
        <f aca="false">Base_Case_Finance!D23</f>
        <v>3778415.496</v>
      </c>
      <c r="F5" s="82" t="n">
        <f aca="false">IF(AND(C5&lt;&gt;"",C5&gt;=Finance_Document_Assumptions!$B$14),Finance_Document_Assumptions!$B$15,0)</f>
        <v>0.5</v>
      </c>
      <c r="G5" s="89" t="str">
        <f aca="false">IF(E5&gt;0,"SWEEP","NO_SWEEP")</f>
        <v>SWEEP</v>
      </c>
      <c r="H5" s="1" t="s">
        <v>423</v>
      </c>
      <c r="I5" s="1" t="s">
        <v>457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87" t="n">
        <f aca="false">Base_Case_Finance!E15</f>
        <v>10.9074529250214</v>
      </c>
      <c r="D6" s="81" t="n">
        <f aca="false">Base_Case_Finance!E22</f>
        <v>10064882.352</v>
      </c>
      <c r="E6" s="81" t="n">
        <f aca="false">Base_Case_Finance!E23</f>
        <v>5032441.176</v>
      </c>
      <c r="F6" s="82" t="n">
        <f aca="false">IF(AND(C6&lt;&gt;"",C6&gt;=Finance_Document_Assumptions!$B$14),Finance_Document_Assumptions!$B$15,0)</f>
        <v>0.5</v>
      </c>
      <c r="G6" s="89" t="str">
        <f aca="false">IF(E6&gt;0,"SWEEP","NO_SWEEP")</f>
        <v>SWEEP</v>
      </c>
      <c r="H6" s="1" t="s">
        <v>423</v>
      </c>
      <c r="I6" s="1" t="s">
        <v>458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87" t="n">
        <f aca="false">Base_Case_Finance!F15</f>
        <v>12.3731752535877</v>
      </c>
      <c r="D7" s="81" t="n">
        <f aca="false">Base_Case_Finance!F22</f>
        <v>12731530.44</v>
      </c>
      <c r="E7" s="81" t="n">
        <f aca="false">Base_Case_Finance!F23</f>
        <v>6365765.22</v>
      </c>
      <c r="F7" s="82" t="n">
        <f aca="false">IF(AND(C7&lt;&gt;"",C7&gt;=Finance_Document_Assumptions!$B$14),Finance_Document_Assumptions!$B$15,0)</f>
        <v>0.5</v>
      </c>
      <c r="G7" s="89" t="str">
        <f aca="false">IF(E7&gt;0,"SWEEP","NO_SWEEP")</f>
        <v>SWEEP</v>
      </c>
      <c r="H7" s="1" t="s">
        <v>423</v>
      </c>
      <c r="I7" s="1" t="s">
        <v>459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87" t="str">
        <f aca="false">Lender_Case_Finance!C15</f>
        <v/>
      </c>
      <c r="D8" s="81" t="n">
        <f aca="false">Lender_Case_Finance!C22</f>
        <v>3296529.77472</v>
      </c>
      <c r="E8" s="81" t="n">
        <f aca="false">Lender_Case_Finance!C23</f>
        <v>0</v>
      </c>
      <c r="F8" s="82" t="n">
        <f aca="false">IF(AND(C8&lt;&gt;"",C8&gt;=Finance_Document_Assumptions!$B$14),Finance_Document_Assumptions!$B$15,0)</f>
        <v>0</v>
      </c>
      <c r="G8" s="89" t="str">
        <f aca="false">IF(E8&gt;0,"SWEEP","NO_SWEEP")</f>
        <v>NO_SWEEP</v>
      </c>
      <c r="H8" s="1" t="s">
        <v>442</v>
      </c>
      <c r="I8" s="1" t="s">
        <v>456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87" t="n">
        <f aca="false">Lender_Case_Finance!D15</f>
        <v>67.71583104</v>
      </c>
      <c r="D9" s="81" t="n">
        <f aca="false">Lender_Case_Finance!D22</f>
        <v>5103761.07456</v>
      </c>
      <c r="E9" s="81" t="n">
        <f aca="false">Lender_Case_Finance!D23</f>
        <v>2551880.53728</v>
      </c>
      <c r="F9" s="82" t="n">
        <f aca="false">IF(AND(C9&lt;&gt;"",C9&gt;=Finance_Document_Assumptions!$B$14),Finance_Document_Assumptions!$B$15,0)</f>
        <v>0.5</v>
      </c>
      <c r="G9" s="89" t="str">
        <f aca="false">IF(E9&gt;0,"SWEEP","NO_SWEEP")</f>
        <v>SWEEP</v>
      </c>
      <c r="H9" s="1" t="s">
        <v>442</v>
      </c>
      <c r="I9" s="1" t="s">
        <v>457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87" t="n">
        <f aca="false">Lender_Case_Finance!E15</f>
        <v>7.07305472576739</v>
      </c>
      <c r="D10" s="81" t="n">
        <f aca="false">Lender_Case_Finance!E22</f>
        <v>6469625.19936</v>
      </c>
      <c r="E10" s="81" t="n">
        <f aca="false">Lender_Case_Finance!E23</f>
        <v>3234812.59968</v>
      </c>
      <c r="F10" s="82" t="n">
        <f aca="false">IF(AND(C10&lt;&gt;"",C10&gt;=Finance_Document_Assumptions!$B$14),Finance_Document_Assumptions!$B$15,0)</f>
        <v>0.5</v>
      </c>
      <c r="G10" s="89" t="str">
        <f aca="false">IF(E10&gt;0,"SWEEP","NO_SWEEP")</f>
        <v>SWEEP</v>
      </c>
      <c r="H10" s="1" t="s">
        <v>442</v>
      </c>
      <c r="I10" s="1" t="s">
        <v>458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87" t="n">
        <f aca="false">Lender_Case_Finance!F15</f>
        <v>7.88349388132268</v>
      </c>
      <c r="D11" s="81" t="n">
        <f aca="false">Lender_Case_Finance!F22</f>
        <v>8223925.2492</v>
      </c>
      <c r="E11" s="81" t="n">
        <f aca="false">Lender_Case_Finance!F23</f>
        <v>4111962.6246</v>
      </c>
      <c r="F11" s="82" t="n">
        <f aca="false">IF(AND(C11&lt;&gt;"",C11&gt;=Finance_Document_Assumptions!$B$14),Finance_Document_Assumptions!$B$15,0)</f>
        <v>0.5</v>
      </c>
      <c r="G11" s="89" t="str">
        <f aca="false">IF(E11&gt;0,"SWEEP","NO_SWEEP")</f>
        <v>SWEEP</v>
      </c>
      <c r="H11" s="1" t="s">
        <v>442</v>
      </c>
      <c r="I11" s="1" t="s">
        <v>459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72" t="s">
        <v>460</v>
      </c>
      <c r="B1" s="72"/>
      <c r="C1" s="72"/>
      <c r="D1" s="72"/>
      <c r="E1" s="72"/>
      <c r="F1" s="72"/>
      <c r="G1" s="72"/>
      <c r="H1" s="72"/>
      <c r="I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461</v>
      </c>
      <c r="D3" s="73" t="s">
        <v>462</v>
      </c>
      <c r="E3" s="73" t="s">
        <v>463</v>
      </c>
      <c r="F3" s="73" t="s">
        <v>464</v>
      </c>
      <c r="G3" s="73" t="s">
        <v>58</v>
      </c>
      <c r="H3" s="73" t="s">
        <v>421</v>
      </c>
      <c r="I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87" t="str">
        <f aca="false">Base_Case_Finance!C15</f>
        <v/>
      </c>
      <c r="D4" s="87" t="str">
        <f aca="false">IF(C4="","",IF(C4&lt;Finance_Document_Assumptions!$B$10,Finance_Document_Assumptions!$B$10,C4))</f>
        <v/>
      </c>
      <c r="E4" s="81" t="str">
        <f aca="false">IF(C4="","",MAX(0,(Finance_Document_Assumptions!$B$10-C4)*100000))</f>
        <v/>
      </c>
      <c r="F4" s="89" t="str">
        <f aca="false">IF(E4="","NO",IF(E4&gt;0,"YES","NO"))</f>
        <v>NO</v>
      </c>
      <c r="G4" s="89" t="str">
        <f aca="false">IF(E4="","NO_CURE",IF(F4="YES","CURED","NO_CURE"))</f>
        <v>NO_CURE</v>
      </c>
      <c r="H4" s="1" t="s">
        <v>423</v>
      </c>
      <c r="I4" s="1" t="s">
        <v>424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87" t="n">
        <f aca="false">Base_Case_Finance!D15</f>
        <v>124.477630588235</v>
      </c>
      <c r="D5" s="87" t="n">
        <f aca="false">IF(C5="","",IF(C5&lt;Finance_Document_Assumptions!$B$10,Finance_Document_Assumptions!$B$10,C5))</f>
        <v>124.477630588235</v>
      </c>
      <c r="E5" s="81" t="n">
        <f aca="false">IF(C5="","",MAX(0,(Finance_Document_Assumptions!$B$10-C5)*100000))</f>
        <v>0</v>
      </c>
      <c r="F5" s="89" t="str">
        <f aca="false">IF(E5="","NO",IF(E5&gt;0,"YES","NO"))</f>
        <v>NO</v>
      </c>
      <c r="G5" s="89" t="str">
        <f aca="false">IF(E5="","NO_CURE",IF(F5="YES","CURED","NO_CURE"))</f>
        <v>NO_CURE</v>
      </c>
      <c r="H5" s="1" t="s">
        <v>423</v>
      </c>
      <c r="I5" s="1" t="s">
        <v>429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87" t="n">
        <f aca="false">Base_Case_Finance!E15</f>
        <v>10.9074529250214</v>
      </c>
      <c r="D6" s="87" t="n">
        <f aca="false">IF(C6="","",IF(C6&lt;Finance_Document_Assumptions!$B$10,Finance_Document_Assumptions!$B$10,C6))</f>
        <v>10.9074529250214</v>
      </c>
      <c r="E6" s="81" t="n">
        <f aca="false">IF(C6="","",MAX(0,(Finance_Document_Assumptions!$B$10-C6)*100000))</f>
        <v>0</v>
      </c>
      <c r="F6" s="89" t="str">
        <f aca="false">IF(E6="","NO",IF(E6&gt;0,"YES","NO"))</f>
        <v>NO</v>
      </c>
      <c r="G6" s="89" t="str">
        <f aca="false">IF(E6="","NO_CURE",IF(F6="YES","CURED","NO_CURE"))</f>
        <v>NO_CURE</v>
      </c>
      <c r="H6" s="1" t="s">
        <v>423</v>
      </c>
      <c r="I6" s="1" t="s">
        <v>433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87" t="n">
        <f aca="false">Base_Case_Finance!F15</f>
        <v>12.3731752535877</v>
      </c>
      <c r="D7" s="87" t="n">
        <f aca="false">IF(C7="","",IF(C7&lt;Finance_Document_Assumptions!$B$10,Finance_Document_Assumptions!$B$10,C7))</f>
        <v>12.3731752535877</v>
      </c>
      <c r="E7" s="81" t="n">
        <f aca="false">IF(C7="","",MAX(0,(Finance_Document_Assumptions!$B$10-C7)*100000))</f>
        <v>0</v>
      </c>
      <c r="F7" s="89" t="str">
        <f aca="false">IF(E7="","NO",IF(E7&gt;0,"YES","NO"))</f>
        <v>NO</v>
      </c>
      <c r="G7" s="89" t="str">
        <f aca="false">IF(E7="","NO_CURE",IF(F7="YES","CURED","NO_CURE"))</f>
        <v>NO_CURE</v>
      </c>
      <c r="H7" s="1" t="s">
        <v>423</v>
      </c>
      <c r="I7" s="1" t="s">
        <v>437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87" t="str">
        <f aca="false">Lender_Case_Finance!C15</f>
        <v/>
      </c>
      <c r="D8" s="87" t="str">
        <f aca="false">IF(C8="","",IF(C8&lt;Finance_Document_Assumptions!$B$10,Finance_Document_Assumptions!$B$10,C8))</f>
        <v/>
      </c>
      <c r="E8" s="81" t="str">
        <f aca="false">IF(C8="","",MAX(0,(Finance_Document_Assumptions!$B$10-C8)*100000))</f>
        <v/>
      </c>
      <c r="F8" s="89" t="str">
        <f aca="false">IF(E8="","NO",IF(E8&gt;0,"YES","NO"))</f>
        <v>NO</v>
      </c>
      <c r="G8" s="89" t="str">
        <f aca="false">IF(E8="","NO_CURE",IF(F8="YES","CURED","NO_CURE"))</f>
        <v>NO_CURE</v>
      </c>
      <c r="H8" s="1" t="s">
        <v>442</v>
      </c>
      <c r="I8" s="1" t="s">
        <v>424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87" t="n">
        <f aca="false">Lender_Case_Finance!D15</f>
        <v>67.71583104</v>
      </c>
      <c r="D9" s="87" t="n">
        <f aca="false">IF(C9="","",IF(C9&lt;Finance_Document_Assumptions!$B$10,Finance_Document_Assumptions!$B$10,C9))</f>
        <v>67.71583104</v>
      </c>
      <c r="E9" s="81" t="n">
        <f aca="false">IF(C9="","",MAX(0,(Finance_Document_Assumptions!$B$10-C9)*100000))</f>
        <v>0</v>
      </c>
      <c r="F9" s="89" t="str">
        <f aca="false">IF(E9="","NO",IF(E9&gt;0,"YES","NO"))</f>
        <v>NO</v>
      </c>
      <c r="G9" s="89" t="str">
        <f aca="false">IF(E9="","NO_CURE",IF(F9="YES","CURED","NO_CURE"))</f>
        <v>NO_CURE</v>
      </c>
      <c r="H9" s="1" t="s">
        <v>442</v>
      </c>
      <c r="I9" s="1" t="s">
        <v>429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87" t="n">
        <f aca="false">Lender_Case_Finance!E15</f>
        <v>7.07305472576739</v>
      </c>
      <c r="D10" s="87" t="n">
        <f aca="false">IF(C10="","",IF(C10&lt;Finance_Document_Assumptions!$B$10,Finance_Document_Assumptions!$B$10,C10))</f>
        <v>7.07305472576739</v>
      </c>
      <c r="E10" s="81" t="n">
        <f aca="false">IF(C10="","",MAX(0,(Finance_Document_Assumptions!$B$10-C10)*100000))</f>
        <v>0</v>
      </c>
      <c r="F10" s="89" t="str">
        <f aca="false">IF(E10="","NO",IF(E10&gt;0,"YES","NO"))</f>
        <v>NO</v>
      </c>
      <c r="G10" s="89" t="str">
        <f aca="false">IF(E10="","NO_CURE",IF(F10="YES","CURED","NO_CURE"))</f>
        <v>NO_CURE</v>
      </c>
      <c r="H10" s="1" t="s">
        <v>442</v>
      </c>
      <c r="I10" s="1" t="s">
        <v>433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87" t="n">
        <f aca="false">Lender_Case_Finance!F15</f>
        <v>7.88349388132268</v>
      </c>
      <c r="D11" s="87" t="n">
        <f aca="false">IF(C11="","",IF(C11&lt;Finance_Document_Assumptions!$B$10,Finance_Document_Assumptions!$B$10,C11))</f>
        <v>7.88349388132268</v>
      </c>
      <c r="E11" s="81" t="n">
        <f aca="false">IF(C11="","",MAX(0,(Finance_Document_Assumptions!$B$10-C11)*100000))</f>
        <v>0</v>
      </c>
      <c r="F11" s="89" t="str">
        <f aca="false">IF(E11="","NO",IF(E11&gt;0,"YES","NO"))</f>
        <v>NO</v>
      </c>
      <c r="G11" s="89" t="str">
        <f aca="false">IF(E11="","NO_CURE",IF(F11="YES","CURED","NO_CURE"))</f>
        <v>NO_CURE</v>
      </c>
      <c r="H11" s="1" t="s">
        <v>442</v>
      </c>
      <c r="I11" s="1" t="s">
        <v>437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72" t="s">
        <v>465</v>
      </c>
      <c r="B1" s="72"/>
      <c r="C1" s="72"/>
      <c r="D1" s="72"/>
      <c r="E1" s="72"/>
      <c r="F1" s="72"/>
      <c r="G1" s="72"/>
      <c r="H1" s="72"/>
      <c r="I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466</v>
      </c>
      <c r="D3" s="73" t="s">
        <v>467</v>
      </c>
      <c r="E3" s="73" t="s">
        <v>468</v>
      </c>
      <c r="F3" s="73" t="s">
        <v>347</v>
      </c>
      <c r="G3" s="73" t="s">
        <v>58</v>
      </c>
      <c r="H3" s="73" t="s">
        <v>421</v>
      </c>
      <c r="I3" s="73" t="s">
        <v>422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1" t="s">
        <v>386</v>
      </c>
      <c r="D4" s="89" t="str">
        <f aca="false">IF(Base_Case_Finance!C15="","N/A",IF(Base_Case_Finance!C15&lt;Finance_Document_Assumptions!$B$11,"DEFAULT",IF(Base_Case_Finance!C15&lt;Finance_Document_Assumptions!$B$10,"LOCKUP","PASS")))</f>
        <v>N/A</v>
      </c>
      <c r="E4" s="89" t="str">
        <f aca="false">IF(D4="LOCKUP","YES","NO")</f>
        <v>NO</v>
      </c>
      <c r="F4" s="89" t="n">
        <f aca="false">Finance_Document_Assumptions!$B$18</f>
        <v>30</v>
      </c>
      <c r="G4" s="89" t="str">
        <f aca="false">IF(E4="YES","WAIVED","NOT_WAIVED")</f>
        <v>NOT_WAIVED</v>
      </c>
      <c r="H4" s="1" t="s">
        <v>423</v>
      </c>
      <c r="I4" s="1" t="s">
        <v>424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1" t="s">
        <v>386</v>
      </c>
      <c r="D5" s="89" t="str">
        <f aca="false">IF(Base_Case_Finance!D15="","N/A",IF(Base_Case_Finance!D15&lt;Finance_Document_Assumptions!$B$11,"DEFAULT",IF(Base_Case_Finance!D15&lt;Finance_Document_Assumptions!$B$10,"LOCKUP","PASS")))</f>
        <v>PASS</v>
      </c>
      <c r="E5" s="89" t="str">
        <f aca="false">IF(D5="LOCKUP","YES","NO")</f>
        <v>NO</v>
      </c>
      <c r="F5" s="89" t="n">
        <f aca="false">Finance_Document_Assumptions!$B$18</f>
        <v>30</v>
      </c>
      <c r="G5" s="89" t="str">
        <f aca="false">IF(E5="YES","WAIVED","NOT_WAIVED")</f>
        <v>NOT_WAIVED</v>
      </c>
      <c r="H5" s="1" t="s">
        <v>423</v>
      </c>
      <c r="I5" s="1" t="s">
        <v>429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1" t="s">
        <v>386</v>
      </c>
      <c r="D6" s="89" t="str">
        <f aca="false">IF(Base_Case_Finance!E15="","N/A",IF(Base_Case_Finance!E15&lt;Finance_Document_Assumptions!$B$11,"DEFAULT",IF(Base_Case_Finance!E15&lt;Finance_Document_Assumptions!$B$10,"LOCKUP","PASS")))</f>
        <v>PASS</v>
      </c>
      <c r="E6" s="89" t="str">
        <f aca="false">IF(D6="LOCKUP","YES","NO")</f>
        <v>NO</v>
      </c>
      <c r="F6" s="89" t="n">
        <f aca="false">Finance_Document_Assumptions!$B$18</f>
        <v>30</v>
      </c>
      <c r="G6" s="89" t="str">
        <f aca="false">IF(E6="YES","WAIVED","NOT_WAIVED")</f>
        <v>NOT_WAIVED</v>
      </c>
      <c r="H6" s="1" t="s">
        <v>423</v>
      </c>
      <c r="I6" s="1" t="s">
        <v>433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1" t="s">
        <v>386</v>
      </c>
      <c r="D7" s="89" t="str">
        <f aca="false">IF(Base_Case_Finance!F15="","N/A",IF(Base_Case_Finance!F15&lt;Finance_Document_Assumptions!$B$11,"DEFAULT",IF(Base_Case_Finance!F15&lt;Finance_Document_Assumptions!$B$10,"LOCKUP","PASS")))</f>
        <v>PASS</v>
      </c>
      <c r="E7" s="89" t="str">
        <f aca="false">IF(D7="LOCKUP","YES","NO")</f>
        <v>NO</v>
      </c>
      <c r="F7" s="89" t="n">
        <f aca="false">Finance_Document_Assumptions!$B$18</f>
        <v>30</v>
      </c>
      <c r="G7" s="89" t="str">
        <f aca="false">IF(E7="YES","WAIVED","NOT_WAIVED")</f>
        <v>NOT_WAIVED</v>
      </c>
      <c r="H7" s="1" t="s">
        <v>423</v>
      </c>
      <c r="I7" s="1" t="s">
        <v>437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1" t="s">
        <v>386</v>
      </c>
      <c r="D8" s="89" t="str">
        <f aca="false">IF(Lender_Case_Finance!C15="","N/A",IF(Lender_Case_Finance!C15&lt;Finance_Document_Assumptions!$B$11,"DEFAULT",IF(Lender_Case_Finance!C15&lt;Finance_Document_Assumptions!$B$10,"LOCKUP","PASS")))</f>
        <v>N/A</v>
      </c>
      <c r="E8" s="89" t="str">
        <f aca="false">IF(D8="LOCKUP","YES","NO")</f>
        <v>NO</v>
      </c>
      <c r="F8" s="89" t="n">
        <f aca="false">Finance_Document_Assumptions!$B$18</f>
        <v>30</v>
      </c>
      <c r="G8" s="89" t="str">
        <f aca="false">IF(E8="YES","WAIVED","NOT_WAIVED")</f>
        <v>NOT_WAIVED</v>
      </c>
      <c r="H8" s="1" t="s">
        <v>442</v>
      </c>
      <c r="I8" s="1" t="s">
        <v>424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1" t="s">
        <v>386</v>
      </c>
      <c r="D9" s="89" t="str">
        <f aca="false">IF(Lender_Case_Finance!D15="","N/A",IF(Lender_Case_Finance!D15&lt;Finance_Document_Assumptions!$B$11,"DEFAULT",IF(Lender_Case_Finance!D15&lt;Finance_Document_Assumptions!$B$10,"LOCKUP","PASS")))</f>
        <v>PASS</v>
      </c>
      <c r="E9" s="89" t="str">
        <f aca="false">IF(D9="LOCKUP","YES","NO")</f>
        <v>NO</v>
      </c>
      <c r="F9" s="89" t="n">
        <f aca="false">Finance_Document_Assumptions!$B$18</f>
        <v>30</v>
      </c>
      <c r="G9" s="89" t="str">
        <f aca="false">IF(E9="YES","WAIVED","NOT_WAIVED")</f>
        <v>NOT_WAIVED</v>
      </c>
      <c r="H9" s="1" t="s">
        <v>442</v>
      </c>
      <c r="I9" s="1" t="s">
        <v>429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1" t="s">
        <v>386</v>
      </c>
      <c r="D10" s="89" t="str">
        <f aca="false">IF(Lender_Case_Finance!E15="","N/A",IF(Lender_Case_Finance!E15&lt;Finance_Document_Assumptions!$B$11,"DEFAULT",IF(Lender_Case_Finance!E15&lt;Finance_Document_Assumptions!$B$10,"LOCKUP","PASS")))</f>
        <v>PASS</v>
      </c>
      <c r="E10" s="89" t="str">
        <f aca="false">IF(D10="LOCKUP","YES","NO")</f>
        <v>NO</v>
      </c>
      <c r="F10" s="89" t="n">
        <f aca="false">Finance_Document_Assumptions!$B$18</f>
        <v>30</v>
      </c>
      <c r="G10" s="89" t="str">
        <f aca="false">IF(E10="YES","WAIVED","NOT_WAIVED")</f>
        <v>NOT_WAIVED</v>
      </c>
      <c r="H10" s="1" t="s">
        <v>442</v>
      </c>
      <c r="I10" s="1" t="s">
        <v>433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1" t="s">
        <v>386</v>
      </c>
      <c r="D11" s="89" t="str">
        <f aca="false">IF(Lender_Case_Finance!F15="","N/A",IF(Lender_Case_Finance!F15&lt;Finance_Document_Assumptions!$B$11,"DEFAULT",IF(Lender_Case_Finance!F15&lt;Finance_Document_Assumptions!$B$10,"LOCKUP","PASS")))</f>
        <v>PASS</v>
      </c>
      <c r="E11" s="89" t="str">
        <f aca="false">IF(D11="LOCKUP","YES","NO")</f>
        <v>NO</v>
      </c>
      <c r="F11" s="89" t="n">
        <f aca="false">Finance_Document_Assumptions!$B$18</f>
        <v>30</v>
      </c>
      <c r="G11" s="89" t="str">
        <f aca="false">IF(E11="YES","WAIVED","NOT_WAIVED")</f>
        <v>NOT_WAIVED</v>
      </c>
      <c r="H11" s="1" t="s">
        <v>442</v>
      </c>
      <c r="I11" s="1" t="s">
        <v>437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72" t="s">
        <v>469</v>
      </c>
      <c r="B1" s="72"/>
      <c r="C1" s="72"/>
      <c r="D1" s="72"/>
      <c r="E1" s="72"/>
      <c r="F1" s="72"/>
      <c r="G1" s="72"/>
    </row>
    <row r="3" customFormat="false" ht="15" hidden="false" customHeight="false" outlineLevel="0" collapsed="false">
      <c r="A3" s="73" t="s">
        <v>416</v>
      </c>
      <c r="B3" s="73" t="s">
        <v>417</v>
      </c>
      <c r="C3" s="73" t="s">
        <v>470</v>
      </c>
      <c r="D3" s="73" t="s">
        <v>418</v>
      </c>
      <c r="E3" s="73" t="s">
        <v>419</v>
      </c>
      <c r="F3" s="73" t="s">
        <v>471</v>
      </c>
      <c r="G3" s="73" t="s">
        <v>472</v>
      </c>
    </row>
    <row r="4" customFormat="false" ht="15" hidden="false" customHeight="false" outlineLevel="0" collapsed="false">
      <c r="A4" s="1" t="s">
        <v>250</v>
      </c>
      <c r="B4" s="1" t="s">
        <v>252</v>
      </c>
      <c r="C4" s="1" t="s">
        <v>473</v>
      </c>
      <c r="D4" s="87" t="str">
        <f aca="false">Base_Case_Finance!C15</f>
        <v/>
      </c>
      <c r="E4" s="87" t="n">
        <f aca="false">Finance_Document_Assumptions!$B$10</f>
        <v>1.2</v>
      </c>
      <c r="F4" s="89" t="str">
        <f aca="false">IF(D4="","N/A",IF(D4&lt;Finance_Document_Assumptions!$B$11,"HIGH",IF(D4&lt;Finance_Document_Assumptions!$B$10,"HIGH","LOW")))</f>
        <v>N/A</v>
      </c>
      <c r="G4" s="89" t="str">
        <f aca="false">IF(D4&lt;Finance_Document_Assumptions!$B$10,"ACTIVE","CLEAR")</f>
        <v>CLEAR</v>
      </c>
    </row>
    <row r="5" customFormat="false" ht="15" hidden="false" customHeight="false" outlineLevel="0" collapsed="false">
      <c r="A5" s="1" t="s">
        <v>250</v>
      </c>
      <c r="B5" s="1" t="s">
        <v>253</v>
      </c>
      <c r="C5" s="1" t="s">
        <v>473</v>
      </c>
      <c r="D5" s="87" t="n">
        <f aca="false">Base_Case_Finance!D15</f>
        <v>124.477630588235</v>
      </c>
      <c r="E5" s="87" t="n">
        <f aca="false">Finance_Document_Assumptions!$B$10</f>
        <v>1.2</v>
      </c>
      <c r="F5" s="89" t="str">
        <f aca="false">IF(D5="","N/A",IF(D5&lt;Finance_Document_Assumptions!$B$11,"HIGH",IF(D5&lt;Finance_Document_Assumptions!$B$10,"HIGH","LOW")))</f>
        <v>LOW</v>
      </c>
      <c r="G5" s="89" t="str">
        <f aca="false">IF(D5&lt;Finance_Document_Assumptions!$B$10,"ACTIVE","CLEAR")</f>
        <v>CLEAR</v>
      </c>
    </row>
    <row r="6" customFormat="false" ht="15" hidden="false" customHeight="false" outlineLevel="0" collapsed="false">
      <c r="A6" s="1" t="s">
        <v>250</v>
      </c>
      <c r="B6" s="1" t="s">
        <v>254</v>
      </c>
      <c r="C6" s="1" t="s">
        <v>473</v>
      </c>
      <c r="D6" s="87" t="n">
        <f aca="false">Base_Case_Finance!E15</f>
        <v>10.9074529250214</v>
      </c>
      <c r="E6" s="87" t="n">
        <f aca="false">Finance_Document_Assumptions!$B$10</f>
        <v>1.2</v>
      </c>
      <c r="F6" s="89" t="str">
        <f aca="false">IF(D6="","N/A",IF(D6&lt;Finance_Document_Assumptions!$B$11,"HIGH",IF(D6&lt;Finance_Document_Assumptions!$B$10,"HIGH","LOW")))</f>
        <v>LOW</v>
      </c>
      <c r="G6" s="89" t="str">
        <f aca="false">IF(D6&lt;Finance_Document_Assumptions!$B$10,"ACTIVE","CLEAR")</f>
        <v>CLEAR</v>
      </c>
    </row>
    <row r="7" customFormat="false" ht="15" hidden="false" customHeight="false" outlineLevel="0" collapsed="false">
      <c r="A7" s="1" t="s">
        <v>250</v>
      </c>
      <c r="B7" s="1" t="s">
        <v>255</v>
      </c>
      <c r="C7" s="1" t="s">
        <v>473</v>
      </c>
      <c r="D7" s="87" t="n">
        <f aca="false">Base_Case_Finance!F15</f>
        <v>12.3731752535877</v>
      </c>
      <c r="E7" s="87" t="n">
        <f aca="false">Finance_Document_Assumptions!$B$10</f>
        <v>1.2</v>
      </c>
      <c r="F7" s="89" t="str">
        <f aca="false">IF(D7="","N/A",IF(D7&lt;Finance_Document_Assumptions!$B$11,"HIGH",IF(D7&lt;Finance_Document_Assumptions!$B$10,"HIGH","LOW")))</f>
        <v>LOW</v>
      </c>
      <c r="G7" s="89" t="str">
        <f aca="false">IF(D7&lt;Finance_Document_Assumptions!$B$10,"ACTIVE","CLEAR")</f>
        <v>CLEAR</v>
      </c>
    </row>
    <row r="8" customFormat="false" ht="15" hidden="false" customHeight="false" outlineLevel="0" collapsed="false">
      <c r="A8" s="1" t="s">
        <v>441</v>
      </c>
      <c r="B8" s="1" t="s">
        <v>252</v>
      </c>
      <c r="C8" s="1" t="s">
        <v>473</v>
      </c>
      <c r="D8" s="87" t="str">
        <f aca="false">Lender_Case_Finance!C15</f>
        <v/>
      </c>
      <c r="E8" s="87" t="n">
        <f aca="false">Finance_Document_Assumptions!$B$10</f>
        <v>1.2</v>
      </c>
      <c r="F8" s="89" t="str">
        <f aca="false">IF(D8="","N/A",IF(D8&lt;Finance_Document_Assumptions!$B$11,"HIGH",IF(D8&lt;Finance_Document_Assumptions!$B$10,"HIGH","LOW")))</f>
        <v>N/A</v>
      </c>
      <c r="G8" s="89" t="str">
        <f aca="false">IF(D8&lt;Finance_Document_Assumptions!$B$10,"ACTIVE","CLEAR")</f>
        <v>CLEAR</v>
      </c>
    </row>
    <row r="9" customFormat="false" ht="15" hidden="false" customHeight="false" outlineLevel="0" collapsed="false">
      <c r="A9" s="1" t="s">
        <v>441</v>
      </c>
      <c r="B9" s="1" t="s">
        <v>253</v>
      </c>
      <c r="C9" s="1" t="s">
        <v>473</v>
      </c>
      <c r="D9" s="87" t="n">
        <f aca="false">Lender_Case_Finance!D15</f>
        <v>67.71583104</v>
      </c>
      <c r="E9" s="87" t="n">
        <f aca="false">Finance_Document_Assumptions!$B$10</f>
        <v>1.2</v>
      </c>
      <c r="F9" s="89" t="str">
        <f aca="false">IF(D9="","N/A",IF(D9&lt;Finance_Document_Assumptions!$B$11,"HIGH",IF(D9&lt;Finance_Document_Assumptions!$B$10,"HIGH","LOW")))</f>
        <v>LOW</v>
      </c>
      <c r="G9" s="89" t="str">
        <f aca="false">IF(D9&lt;Finance_Document_Assumptions!$B$10,"ACTIVE","CLEAR")</f>
        <v>CLEAR</v>
      </c>
    </row>
    <row r="10" customFormat="false" ht="15" hidden="false" customHeight="false" outlineLevel="0" collapsed="false">
      <c r="A10" s="1" t="s">
        <v>441</v>
      </c>
      <c r="B10" s="1" t="s">
        <v>254</v>
      </c>
      <c r="C10" s="1" t="s">
        <v>473</v>
      </c>
      <c r="D10" s="87" t="n">
        <f aca="false">Lender_Case_Finance!E15</f>
        <v>7.07305472576739</v>
      </c>
      <c r="E10" s="87" t="n">
        <f aca="false">Finance_Document_Assumptions!$B$10</f>
        <v>1.2</v>
      </c>
      <c r="F10" s="89" t="str">
        <f aca="false">IF(D10="","N/A",IF(D10&lt;Finance_Document_Assumptions!$B$11,"HIGH",IF(D10&lt;Finance_Document_Assumptions!$B$10,"HIGH","LOW")))</f>
        <v>LOW</v>
      </c>
      <c r="G10" s="89" t="str">
        <f aca="false">IF(D10&lt;Finance_Document_Assumptions!$B$10,"ACTIVE","CLEAR")</f>
        <v>CLEAR</v>
      </c>
    </row>
    <row r="11" customFormat="false" ht="15" hidden="false" customHeight="false" outlineLevel="0" collapsed="false">
      <c r="A11" s="1" t="s">
        <v>441</v>
      </c>
      <c r="B11" s="1" t="s">
        <v>255</v>
      </c>
      <c r="C11" s="1" t="s">
        <v>473</v>
      </c>
      <c r="D11" s="87" t="n">
        <f aca="false">Lender_Case_Finance!F15</f>
        <v>7.88349388132268</v>
      </c>
      <c r="E11" s="87" t="n">
        <f aca="false">Finance_Document_Assumptions!$B$10</f>
        <v>1.2</v>
      </c>
      <c r="F11" s="89" t="str">
        <f aca="false">IF(D11="","N/A",IF(D11&lt;Finance_Document_Assumptions!$B$11,"HIGH",IF(D11&lt;Finance_Document_Assumptions!$B$10,"HIGH","LOW")))</f>
        <v>LOW</v>
      </c>
      <c r="G11" s="89" t="str">
        <f aca="false">IF(D11&lt;Finance_Document_Assumptions!$B$10,"ACTIVE","CLEAR")</f>
        <v>CLEAR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72" t="s">
        <v>474</v>
      </c>
      <c r="B1" s="72"/>
      <c r="C1" s="72"/>
      <c r="D1" s="72"/>
    </row>
    <row r="3" customFormat="false" ht="15" hidden="false" customHeight="false" outlineLevel="0" collapsed="false">
      <c r="A3" s="73" t="s">
        <v>295</v>
      </c>
      <c r="B3" s="73" t="s">
        <v>2</v>
      </c>
      <c r="C3" s="73" t="s">
        <v>475</v>
      </c>
      <c r="D3" s="73" t="s">
        <v>58</v>
      </c>
    </row>
    <row r="4" customFormat="false" ht="15" hidden="false" customHeight="false" outlineLevel="0" collapsed="false">
      <c r="A4" s="80" t="s">
        <v>476</v>
      </c>
      <c r="B4" s="85" t="n">
        <f aca="false">MIN(Base_Case_Finance!C15:F15)</f>
        <v>10.9074529250214</v>
      </c>
      <c r="C4" s="85" t="n">
        <f aca="false">Finance_Document_Assumptions!$B$10</f>
        <v>1.2</v>
      </c>
      <c r="D4" s="88" t="str">
        <f aca="false">IF(B4&gt;=C4,"PASS","LOCKUP")</f>
        <v>PASS</v>
      </c>
    </row>
    <row r="5" customFormat="false" ht="15" hidden="false" customHeight="false" outlineLevel="0" collapsed="false">
      <c r="A5" s="80" t="s">
        <v>477</v>
      </c>
      <c r="B5" s="85" t="n">
        <f aca="false">MIN(Lender_Case_Finance!C15:F15)</f>
        <v>7.07305472576739</v>
      </c>
      <c r="C5" s="85" t="n">
        <f aca="false">Finance_Document_Assumptions!$B$10</f>
        <v>1.2</v>
      </c>
      <c r="D5" s="88" t="str">
        <f aca="false">IF(B5&gt;=C5,"PASS","LOCKUP")</f>
        <v>PASS</v>
      </c>
    </row>
    <row r="6" customFormat="false" ht="15" hidden="false" customHeight="false" outlineLevel="0" collapsed="false">
      <c r="A6" s="80" t="s">
        <v>478</v>
      </c>
      <c r="B6" s="85" t="n">
        <f aca="false">MIN(Base_Case_Finance!C17:F17)</f>
        <v>2.75929387718512</v>
      </c>
      <c r="C6" s="85" t="n">
        <f aca="false">Finance_Document_Assumptions!$B$12</f>
        <v>1.3</v>
      </c>
      <c r="D6" s="88" t="str">
        <f aca="false">IF(B6&gt;=C6,"PASS","BREACH")</f>
        <v>PASS</v>
      </c>
    </row>
    <row r="7" customFormat="false" ht="15" hidden="false" customHeight="false" outlineLevel="0" collapsed="false">
      <c r="A7" s="80" t="s">
        <v>479</v>
      </c>
      <c r="B7" s="85" t="n">
        <f aca="false">MIN(Lender_Case_Finance!C17:F17)</f>
        <v>1.87631983648588</v>
      </c>
      <c r="C7" s="85" t="n">
        <f aca="false">Finance_Document_Assumptions!$B$12</f>
        <v>1.3</v>
      </c>
      <c r="D7" s="88" t="str">
        <f aca="false">IF(B7&gt;=C7,"PASS","BREACH")</f>
        <v>PASS</v>
      </c>
    </row>
    <row r="8" customFormat="false" ht="15" hidden="false" customHeight="false" outlineLevel="0" collapsed="false">
      <c r="A8" s="1" t="s">
        <v>480</v>
      </c>
      <c r="B8" s="89" t="n">
        <f aca="false">COUNTIF(DSRA_Test!F4:F7,"BREACH")</f>
        <v>0</v>
      </c>
      <c r="C8" s="1" t="s">
        <v>198</v>
      </c>
      <c r="D8" s="89" t="str">
        <f aca="false">IF(B8=0,"PASS","BREACH")</f>
        <v>PASS</v>
      </c>
    </row>
    <row r="9" customFormat="false" ht="15" hidden="false" customHeight="false" outlineLevel="0" collapsed="false">
      <c r="A9" s="1" t="s">
        <v>481</v>
      </c>
      <c r="B9" s="89" t="n">
        <f aca="false">COUNTIF(DSRA_Test!F8:F11,"BREACH")</f>
        <v>0</v>
      </c>
      <c r="C9" s="1" t="s">
        <v>198</v>
      </c>
      <c r="D9" s="89" t="str">
        <f aca="false">IF(B9=0,"PASS","BREACH")</f>
        <v>PASS</v>
      </c>
    </row>
    <row r="10" customFormat="false" ht="15" hidden="false" customHeight="false" outlineLevel="0" collapsed="false">
      <c r="A10" s="1" t="s">
        <v>482</v>
      </c>
      <c r="B10" s="89" t="n">
        <f aca="false">COUNTIF(Cash_Sweep_Register!G4:G11,"SWEEP")</f>
        <v>6</v>
      </c>
      <c r="C10" s="1" t="s">
        <v>483</v>
      </c>
      <c r="D10" s="1" t="s">
        <v>484</v>
      </c>
    </row>
    <row r="11" customFormat="false" ht="15" hidden="false" customHeight="false" outlineLevel="0" collapsed="false">
      <c r="A11" s="1" t="s">
        <v>485</v>
      </c>
      <c r="B11" s="89" t="n">
        <f aca="false">COUNTIF(Equity_Cure_Register!F4:F11,"YES")</f>
        <v>0</v>
      </c>
      <c r="C11" s="1" t="n">
        <f aca="false">Finance_Document_Assumptions!$B$19</f>
        <v>2</v>
      </c>
      <c r="D11" s="89" t="str">
        <f aca="false">IF(B11&lt;=C11,"PASS","REVIEW")</f>
        <v>PASS</v>
      </c>
    </row>
    <row r="12" customFormat="false" ht="15" hidden="false" customHeight="false" outlineLevel="0" collapsed="false">
      <c r="A12" s="1" t="s">
        <v>486</v>
      </c>
      <c r="B12" s="89" t="n">
        <f aca="false">COUNTIF(Red_Flag_Register!G4:G11,"ACTIVE")</f>
        <v>0</v>
      </c>
      <c r="C12" s="1" t="s">
        <v>198</v>
      </c>
      <c r="D12" s="89" t="str">
        <f aca="false">IF(B12=0,"PASS","REVIEW")</f>
        <v>PASS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2026-03-15T17:32:10Z</dcterms:created>
  <dc:creator>openpyxl</dc:creator>
  <dc:description/>
  <dc:language>en-US</dc:language>
  <cp:lastModifiedBy/>
  <dcterms:modified xsi:type="dcterms:W3CDTF">2026-03-15T20:29:44Z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