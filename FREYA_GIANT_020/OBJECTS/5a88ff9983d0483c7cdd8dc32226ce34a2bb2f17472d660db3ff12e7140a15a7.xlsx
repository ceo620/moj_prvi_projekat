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_Cover" sheetId="1" state="visible" r:id="rId1"/>
    <sheet xmlns:r="http://schemas.openxmlformats.org/officeDocument/2006/relationships" name="001_Index" sheetId="2" state="visible" r:id="rId2"/>
    <sheet xmlns:r="http://schemas.openxmlformats.org/officeDocument/2006/relationships" name="002_Master_Assumptions" sheetId="3" state="visible" r:id="rId3"/>
    <sheet xmlns:r="http://schemas.openxmlformats.org/officeDocument/2006/relationships" name="003_Scenario_Manager" sheetId="4" state="visible" r:id="rId4"/>
    <sheet xmlns:r="http://schemas.openxmlformats.org/officeDocument/2006/relationships" name="004_Timebase" sheetId="5" state="visible" r:id="rId5"/>
    <sheet xmlns:r="http://schemas.openxmlformats.org/officeDocument/2006/relationships" name="010_Production_Model" sheetId="6" state="visible" r:id="rId6"/>
    <sheet xmlns:r="http://schemas.openxmlformats.org/officeDocument/2006/relationships" name="011_Revenue_Model" sheetId="7" state="visible" r:id="rId7"/>
    <sheet xmlns:r="http://schemas.openxmlformats.org/officeDocument/2006/relationships" name="012_COGS_Model" sheetId="8" state="visible" r:id="rId8"/>
    <sheet xmlns:r="http://schemas.openxmlformats.org/officeDocument/2006/relationships" name="013_OPEX_Model" sheetId="9" state="visible" r:id="rId9"/>
    <sheet xmlns:r="http://schemas.openxmlformats.org/officeDocument/2006/relationships" name="014_CAPEX_Model" sheetId="10" state="visible" r:id="rId10"/>
    <sheet xmlns:r="http://schemas.openxmlformats.org/officeDocument/2006/relationships" name="015_Financing_Model" sheetId="11" state="visible" r:id="rId11"/>
    <sheet xmlns:r="http://schemas.openxmlformats.org/officeDocument/2006/relationships" name="016_Debt_Schedule" sheetId="12" state="visible" r:id="rId12"/>
    <sheet xmlns:r="http://schemas.openxmlformats.org/officeDocument/2006/relationships" name="020_Income_Statement" sheetId="13" state="visible" r:id="rId13"/>
    <sheet xmlns:r="http://schemas.openxmlformats.org/officeDocument/2006/relationships" name="021_Cash_Flow" sheetId="14" state="visible" r:id="rId14"/>
    <sheet xmlns:r="http://schemas.openxmlformats.org/officeDocument/2006/relationships" name="022_Balance_Sheet" sheetId="15" state="visible" r:id="rId15"/>
    <sheet xmlns:r="http://schemas.openxmlformats.org/officeDocument/2006/relationships" name="030_Project_Finance_Metrics" sheetId="16" state="visible" r:id="rId16"/>
    <sheet xmlns:r="http://schemas.openxmlformats.org/officeDocument/2006/relationships" name="031_DSCR_Model" sheetId="17" state="visible" r:id="rId17"/>
    <sheet xmlns:r="http://schemas.openxmlformats.org/officeDocument/2006/relationships" name="099_Dashboard" sheetId="18" state="visible" r:id="rId18"/>
    <sheet xmlns:r="http://schemas.openxmlformats.org/officeDocument/2006/relationships" name="040_CAPEX_01" sheetId="19" state="visible" r:id="rId19"/>
    <sheet xmlns:r="http://schemas.openxmlformats.org/officeDocument/2006/relationships" name="040_CAPEX_02" sheetId="20" state="visible" r:id="rId20"/>
    <sheet xmlns:r="http://schemas.openxmlformats.org/officeDocument/2006/relationships" name="040_CAPEX_03" sheetId="21" state="visible" r:id="rId21"/>
    <sheet xmlns:r="http://schemas.openxmlformats.org/officeDocument/2006/relationships" name="040_CAPEX_04" sheetId="22" state="visible" r:id="rId22"/>
    <sheet xmlns:r="http://schemas.openxmlformats.org/officeDocument/2006/relationships" name="040_CAPEX_05" sheetId="23" state="visible" r:id="rId23"/>
    <sheet xmlns:r="http://schemas.openxmlformats.org/officeDocument/2006/relationships" name="040_CAPEX_06" sheetId="24" state="visible" r:id="rId24"/>
    <sheet xmlns:r="http://schemas.openxmlformats.org/officeDocument/2006/relationships" name="040_CAPEX_07" sheetId="25" state="visible" r:id="rId25"/>
    <sheet xmlns:r="http://schemas.openxmlformats.org/officeDocument/2006/relationships" name="040_CAPEX_08" sheetId="26" state="visible" r:id="rId26"/>
    <sheet xmlns:r="http://schemas.openxmlformats.org/officeDocument/2006/relationships" name="050_Operations_01" sheetId="27" state="visible" r:id="rId27"/>
    <sheet xmlns:r="http://schemas.openxmlformats.org/officeDocument/2006/relationships" name="050_Operations_02" sheetId="28" state="visible" r:id="rId28"/>
    <sheet xmlns:r="http://schemas.openxmlformats.org/officeDocument/2006/relationships" name="050_Operations_03" sheetId="29" state="visible" r:id="rId29"/>
    <sheet xmlns:r="http://schemas.openxmlformats.org/officeDocument/2006/relationships" name="050_Operations_04" sheetId="30" state="visible" r:id="rId30"/>
    <sheet xmlns:r="http://schemas.openxmlformats.org/officeDocument/2006/relationships" name="050_Operations_05" sheetId="31" state="visible" r:id="rId31"/>
    <sheet xmlns:r="http://schemas.openxmlformats.org/officeDocument/2006/relationships" name="050_Operations_06" sheetId="32" state="visible" r:id="rId32"/>
    <sheet xmlns:r="http://schemas.openxmlformats.org/officeDocument/2006/relationships" name="050_Operations_07" sheetId="33" state="visible" r:id="rId33"/>
    <sheet xmlns:r="http://schemas.openxmlformats.org/officeDocument/2006/relationships" name="050_Operations_08" sheetId="34" state="visible" r:id="rId34"/>
    <sheet xmlns:r="http://schemas.openxmlformats.org/officeDocument/2006/relationships" name="050_Operations_09" sheetId="35" state="visible" r:id="rId35"/>
    <sheet xmlns:r="http://schemas.openxmlformats.org/officeDocument/2006/relationships" name="050_Operations_10" sheetId="36" state="visible" r:id="rId36"/>
    <sheet xmlns:r="http://schemas.openxmlformats.org/officeDocument/2006/relationships" name="060_Commodity_01" sheetId="37" state="visible" r:id="rId37"/>
    <sheet xmlns:r="http://schemas.openxmlformats.org/officeDocument/2006/relationships" name="060_Commodity_02" sheetId="38" state="visible" r:id="rId38"/>
    <sheet xmlns:r="http://schemas.openxmlformats.org/officeDocument/2006/relationships" name="060_Commodity_03" sheetId="39" state="visible" r:id="rId39"/>
    <sheet xmlns:r="http://schemas.openxmlformats.org/officeDocument/2006/relationships" name="060_Commodity_04" sheetId="40" state="visible" r:id="rId40"/>
    <sheet xmlns:r="http://schemas.openxmlformats.org/officeDocument/2006/relationships" name="060_Commodity_05" sheetId="41" state="visible" r:id="rId41"/>
    <sheet xmlns:r="http://schemas.openxmlformats.org/officeDocument/2006/relationships" name="060_Commodity_06" sheetId="42" state="visible" r:id="rId42"/>
    <sheet xmlns:r="http://schemas.openxmlformats.org/officeDocument/2006/relationships" name="060_Commodity_07" sheetId="43" state="visible" r:id="rId43"/>
    <sheet xmlns:r="http://schemas.openxmlformats.org/officeDocument/2006/relationships" name="060_Commodity_08" sheetId="44" state="visible" r:id="rId44"/>
    <sheet xmlns:r="http://schemas.openxmlformats.org/officeDocument/2006/relationships" name="070_Working_Capital_01" sheetId="45" state="visible" r:id="rId45"/>
    <sheet xmlns:r="http://schemas.openxmlformats.org/officeDocument/2006/relationships" name="070_Working_Capital_02" sheetId="46" state="visible" r:id="rId46"/>
    <sheet xmlns:r="http://schemas.openxmlformats.org/officeDocument/2006/relationships" name="070_Working_Capital_03" sheetId="47" state="visible" r:id="rId47"/>
    <sheet xmlns:r="http://schemas.openxmlformats.org/officeDocument/2006/relationships" name="070_Working_Capital_04" sheetId="48" state="visible" r:id="rId48"/>
    <sheet xmlns:r="http://schemas.openxmlformats.org/officeDocument/2006/relationships" name="070_Working_Capital_05" sheetId="49" state="visible" r:id="rId49"/>
    <sheet xmlns:r="http://schemas.openxmlformats.org/officeDocument/2006/relationships" name="070_Working_Capital_06" sheetId="50" state="visible" r:id="rId50"/>
    <sheet xmlns:r="http://schemas.openxmlformats.org/officeDocument/2006/relationships" name="080_Financing_01" sheetId="51" state="visible" r:id="rId51"/>
    <sheet xmlns:r="http://schemas.openxmlformats.org/officeDocument/2006/relationships" name="080_Financing_02" sheetId="52" state="visible" r:id="rId52"/>
    <sheet xmlns:r="http://schemas.openxmlformats.org/officeDocument/2006/relationships" name="080_Financing_03" sheetId="53" state="visible" r:id="rId53"/>
    <sheet xmlns:r="http://schemas.openxmlformats.org/officeDocument/2006/relationships" name="080_Financing_04" sheetId="54" state="visible" r:id="rId54"/>
    <sheet xmlns:r="http://schemas.openxmlformats.org/officeDocument/2006/relationships" name="080_Financing_05" sheetId="55" state="visible" r:id="rId55"/>
    <sheet xmlns:r="http://schemas.openxmlformats.org/officeDocument/2006/relationships" name="080_Financing_06" sheetId="56" state="visible" r:id="rId56"/>
    <sheet xmlns:r="http://schemas.openxmlformats.org/officeDocument/2006/relationships" name="080_Financing_07" sheetId="57" state="visible" r:id="rId57"/>
    <sheet xmlns:r="http://schemas.openxmlformats.org/officeDocument/2006/relationships" name="080_Financing_08" sheetId="58" state="visible" r:id="rId58"/>
    <sheet xmlns:r="http://schemas.openxmlformats.org/officeDocument/2006/relationships" name="080_Financing_09" sheetId="59" state="visible" r:id="rId59"/>
    <sheet xmlns:r="http://schemas.openxmlformats.org/officeDocument/2006/relationships" name="080_Financing_10" sheetId="60" state="visible" r:id="rId60"/>
    <sheet xmlns:r="http://schemas.openxmlformats.org/officeDocument/2006/relationships" name="090_Risk_01" sheetId="61" state="visible" r:id="rId61"/>
    <sheet xmlns:r="http://schemas.openxmlformats.org/officeDocument/2006/relationships" name="090_Risk_02" sheetId="62" state="visible" r:id="rId62"/>
    <sheet xmlns:r="http://schemas.openxmlformats.org/officeDocument/2006/relationships" name="090_Risk_03" sheetId="63" state="visible" r:id="rId63"/>
    <sheet xmlns:r="http://schemas.openxmlformats.org/officeDocument/2006/relationships" name="090_Risk_04" sheetId="64" state="visible" r:id="rId64"/>
    <sheet xmlns:r="http://schemas.openxmlformats.org/officeDocument/2006/relationships" name="090_Risk_05" sheetId="65" state="visible" r:id="rId65"/>
    <sheet xmlns:r="http://schemas.openxmlformats.org/officeDocument/2006/relationships" name="090_Risk_06" sheetId="66" state="visible" r:id="rId66"/>
    <sheet xmlns:r="http://schemas.openxmlformats.org/officeDocument/2006/relationships" name="090_Risk_07" sheetId="67" state="visible" r:id="rId67"/>
    <sheet xmlns:r="http://schemas.openxmlformats.org/officeDocument/2006/relationships" name="090_Risk_08" sheetId="68" state="visible" r:id="rId68"/>
    <sheet xmlns:r="http://schemas.openxmlformats.org/officeDocument/2006/relationships" name="090_Risk_09" sheetId="69" state="visible" r:id="rId69"/>
    <sheet xmlns:r="http://schemas.openxmlformats.org/officeDocument/2006/relationships" name="090_Risk_10" sheetId="70" state="visible" r:id="rId70"/>
    <sheet xmlns:r="http://schemas.openxmlformats.org/officeDocument/2006/relationships" name="090_Risk_11" sheetId="71" state="visible" r:id="rId71"/>
    <sheet xmlns:r="http://schemas.openxmlformats.org/officeDocument/2006/relationships" name="090_Risk_12" sheetId="72" state="visible" r:id="rId72"/>
    <sheet xmlns:r="http://schemas.openxmlformats.org/officeDocument/2006/relationships" name="100_AI_Forecast_01" sheetId="73" state="visible" r:id="rId73"/>
    <sheet xmlns:r="http://schemas.openxmlformats.org/officeDocument/2006/relationships" name="100_AI_Forecast_02" sheetId="74" state="visible" r:id="rId74"/>
    <sheet xmlns:r="http://schemas.openxmlformats.org/officeDocument/2006/relationships" name="100_AI_Forecast_03" sheetId="75" state="visible" r:id="rId75"/>
    <sheet xmlns:r="http://schemas.openxmlformats.org/officeDocument/2006/relationships" name="100_AI_Forecast_04" sheetId="76" state="visible" r:id="rId76"/>
    <sheet xmlns:r="http://schemas.openxmlformats.org/officeDocument/2006/relationships" name="100_AI_Forecast_05" sheetId="77" state="visible" r:id="rId77"/>
    <sheet xmlns:r="http://schemas.openxmlformats.org/officeDocument/2006/relationships" name="100_AI_Forecast_06" sheetId="78" state="visible" r:id="rId78"/>
    <sheet xmlns:r="http://schemas.openxmlformats.org/officeDocument/2006/relationships" name="100_AI_Forecast_07" sheetId="79" state="visible" r:id="rId79"/>
    <sheet xmlns:r="http://schemas.openxmlformats.org/officeDocument/2006/relationships" name="100_AI_Forecast_08" sheetId="80" state="visible" r:id="rId80"/>
    <sheet xmlns:r="http://schemas.openxmlformats.org/officeDocument/2006/relationships" name="100_AI_Forecast_09" sheetId="81" state="visible" r:id="rId81"/>
    <sheet xmlns:r="http://schemas.openxmlformats.org/officeDocument/2006/relationships" name="100_AI_Forecast_10" sheetId="82" state="visible" r:id="rId82"/>
    <sheet xmlns:r="http://schemas.openxmlformats.org/officeDocument/2006/relationships" name="110_Control_01" sheetId="83" state="visible" r:id="rId83"/>
    <sheet xmlns:r="http://schemas.openxmlformats.org/officeDocument/2006/relationships" name="110_Control_02" sheetId="84" state="visible" r:id="rId84"/>
    <sheet xmlns:r="http://schemas.openxmlformats.org/officeDocument/2006/relationships" name="110_Control_03" sheetId="85" state="visible" r:id="rId85"/>
    <sheet xmlns:r="http://schemas.openxmlformats.org/officeDocument/2006/relationships" name="110_Control_04" sheetId="86" state="visible" r:id="rId86"/>
    <sheet xmlns:r="http://schemas.openxmlformats.org/officeDocument/2006/relationships" name="110_Control_05" sheetId="87" state="visible" r:id="rId87"/>
    <sheet xmlns:r="http://schemas.openxmlformats.org/officeDocument/2006/relationships" name="110_Control_06" sheetId="88" state="visible" r:id="rId88"/>
    <sheet xmlns:r="http://schemas.openxmlformats.org/officeDocument/2006/relationships" name="110_Control_07" sheetId="89" state="visible" r:id="rId89"/>
    <sheet xmlns:r="http://schemas.openxmlformats.org/officeDocument/2006/relationships" name="110_Control_08" sheetId="90" state="visible" r:id="rId90"/>
    <sheet xmlns:r="http://schemas.openxmlformats.org/officeDocument/2006/relationships" name="110_Control_09" sheetId="91" state="visible" r:id="rId91"/>
    <sheet xmlns:r="http://schemas.openxmlformats.org/officeDocument/2006/relationships" name="110_Control_10" sheetId="92" state="visible" r:id="rId92"/>
    <sheet xmlns:r="http://schemas.openxmlformats.org/officeDocument/2006/relationships" name="110_Control_11" sheetId="93" state="visible" r:id="rId93"/>
    <sheet xmlns:r="http://schemas.openxmlformats.org/officeDocument/2006/relationships" name="110_Control_12" sheetId="94" state="visible" r:id="rId94"/>
    <sheet xmlns:r="http://schemas.openxmlformats.org/officeDocument/2006/relationships" name="120_Reporting_01" sheetId="95" state="visible" r:id="rId95"/>
    <sheet xmlns:r="http://schemas.openxmlformats.org/officeDocument/2006/relationships" name="120_Reporting_02" sheetId="96" state="visible" r:id="rId96"/>
    <sheet xmlns:r="http://schemas.openxmlformats.org/officeDocument/2006/relationships" name="120_Reporting_03" sheetId="97" state="visible" r:id="rId97"/>
    <sheet xmlns:r="http://schemas.openxmlformats.org/officeDocument/2006/relationships" name="120_Reporting_04" sheetId="98" state="visible" r:id="rId98"/>
    <sheet xmlns:r="http://schemas.openxmlformats.org/officeDocument/2006/relationships" name="120_Reporting_05" sheetId="99" state="visible" r:id="rId99"/>
    <sheet xmlns:r="http://schemas.openxmlformats.org/officeDocument/2006/relationships" name="120_Reporting_06" sheetId="100" state="visible" r:id="rId100"/>
    <sheet xmlns:r="http://schemas.openxmlformats.org/officeDocument/2006/relationships" name="120_Reporting_07" sheetId="101" state="visible" r:id="rId101"/>
    <sheet xmlns:r="http://schemas.openxmlformats.org/officeDocument/2006/relationships" name="120_Reporting_08" sheetId="102" state="visible" r:id="rId102"/>
    <sheet xmlns:r="http://schemas.openxmlformats.org/officeDocument/2006/relationships" name="130_MonteCarlo_Variables" sheetId="103" state="visible" r:id="rId103"/>
    <sheet xmlns:r="http://schemas.openxmlformats.org/officeDocument/2006/relationships" name="131_MonteCarlo_Simulations" sheetId="104" state="visible" r:id="rId104"/>
    <sheet xmlns:r="http://schemas.openxmlformats.org/officeDocument/2006/relationships" name="132_MonteCarlo_Distribution" sheetId="105" state="visible" r:id="rId105"/>
    <sheet xmlns:r="http://schemas.openxmlformats.org/officeDocument/2006/relationships" name="133_Tornado_Analysis" sheetId="106" state="visible" r:id="rId106"/>
    <sheet xmlns:r="http://schemas.openxmlformats.org/officeDocument/2006/relationships" name="134_Steel_Stochastic_Model" sheetId="107" state="visible" r:id="rId107"/>
    <sheet xmlns:r="http://schemas.openxmlformats.org/officeDocument/2006/relationships" name="135_Energy_Stochastic_Model" sheetId="108" state="visible" r:id="rId108"/>
    <sheet xmlns:r="http://schemas.openxmlformats.org/officeDocument/2006/relationships" name="136_Demand_AI_Forecast" sheetId="109" state="visible" r:id="rId109"/>
    <sheet xmlns:r="http://schemas.openxmlformats.org/officeDocument/2006/relationships" name="137_Price_AI_Forecast" sheetId="110" state="visible" r:id="rId110"/>
    <sheet xmlns:r="http://schemas.openxmlformats.org/officeDocument/2006/relationships" name="138_Exit_Valuation_Model" sheetId="111" state="visible" r:id="rId111"/>
    <sheet xmlns:r="http://schemas.openxmlformats.org/officeDocument/2006/relationships" name="139_Equity_Waterfall" sheetId="112" state="visible" r:id="rId112"/>
    <sheet xmlns:r="http://schemas.openxmlformats.org/officeDocument/2006/relationships" name="140_Cash_Waterfall" sheetId="113" state="visible" r:id="rId113"/>
    <sheet xmlns:r="http://schemas.openxmlformats.org/officeDocument/2006/relationships" name="141_MOIC_Model" sheetId="114" state="visible" r:id="rId114"/>
    <sheet xmlns:r="http://schemas.openxmlformats.org/officeDocument/2006/relationships" name="142_LLCR_Model" sheetId="115" state="visible" r:id="rId115"/>
    <sheet xmlns:r="http://schemas.openxmlformats.org/officeDocument/2006/relationships" name="143_PLCR_Model" sheetId="116" state="visible" r:id="rId116"/>
    <sheet xmlns:r="http://schemas.openxmlformats.org/officeDocument/2006/relationships" name="144_Error_Check" sheetId="117" state="visible" r:id="rId117"/>
    <sheet xmlns:r="http://schemas.openxmlformats.org/officeDocument/2006/relationships" name="145_Model_Assurance" sheetId="118" state="visible" r:id="rId118"/>
    <sheet xmlns:r="http://schemas.openxmlformats.org/officeDocument/2006/relationships" name="146_Version_Control" sheetId="119" state="visible" r:id="rId119"/>
    <sheet xmlns:r="http://schemas.openxmlformats.org/officeDocument/2006/relationships" name="147_Credit_Committee_Pack" sheetId="120" state="visible" r:id="rId120"/>
    <sheet xmlns:r="http://schemas.openxmlformats.org/officeDocument/2006/relationships" name="148_Investor_Pack_Data" sheetId="121" state="visible" r:id="rId121"/>
    <sheet xmlns:r="http://schemas.openxmlformats.org/officeDocument/2006/relationships" name="149_Board_Report" sheetId="122" state="visible" r:id="rId122"/>
    <sheet xmlns:r="http://schemas.openxmlformats.org/officeDocument/2006/relationships" name="150_Management_Report" sheetId="123" state="visible" r:id="rId1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€#,##0_);[Red](€#,##0);-"/>
    <numFmt numFmtId="166" formatCode="0.00x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name val="Calibri"/>
      <b val="1"/>
      <sz val="11"/>
    </font>
    <font>
      <b val="1"/>
      <color rgb="00FFFFFF"/>
      <sz val="14"/>
    </font>
    <font>
      <name val="Calibri"/>
      <b val="1"/>
      <color rgb="00FFFFFF"/>
      <sz val="11"/>
    </font>
    <font>
      <i val="1"/>
      <color rgb="00666666"/>
      <sz val="10"/>
    </font>
    <font>
      <name val="Calibri"/>
      <sz val="11"/>
    </font>
    <font>
      <name val="Calibri"/>
      <color rgb="000000FF"/>
      <sz val="11"/>
    </font>
    <font>
      <name val="Calibri"/>
      <color rgb="00000000"/>
      <sz val="11"/>
    </font>
    <font>
      <i val="1"/>
      <color rgb="00666666"/>
      <sz val="9"/>
    </font>
    <font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9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166" fontId="0" fillId="0" borderId="0" pivotButton="0" quotePrefix="0" xfId="0"/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styles" Target="styles.xml" Id="rId124"/><Relationship Type="http://schemas.openxmlformats.org/officeDocument/2006/relationships/theme" Target="theme/theme1.xml" Id="rId125"/></Relationships>
</file>

<file path=xl/tables/table1.xml><?xml version="1.0" encoding="utf-8"?>
<table xmlns="http://schemas.openxmlformats.org/spreadsheetml/2006/main" id="1" name="IndexTable" displayName="IndexTable" ref="A3:D126" headerRowCount="1">
  <autoFilter ref="A3:D126"/>
  <tableColumns count="4">
    <tableColumn id="1" name="Sheet No."/>
    <tableColumn id="2" name="Sheet Name"/>
    <tableColumn id="3" name="Module"/>
    <tableColumn id="4" name="Purpos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ARS QUANT INDUSTRIAL MODEL</t>
        </is>
      </c>
    </row>
    <row r="3">
      <c r="A3" s="2" t="inlineStr">
        <is>
          <t>Project</t>
        </is>
      </c>
      <c r="B3" s="3" t="inlineStr">
        <is>
          <t>ARS Metal Industries – Transformer Tank Factory</t>
        </is>
      </c>
    </row>
    <row r="4">
      <c r="A4" s="2" t="inlineStr">
        <is>
          <t>Model Type</t>
        </is>
      </c>
      <c r="B4" s="3" t="inlineStr">
        <is>
          <t>Quantitative Industrial Project Finance / Risk / Digital Twin Framework</t>
        </is>
      </c>
    </row>
    <row r="5">
      <c r="A5" s="2" t="inlineStr">
        <is>
          <t>Standard</t>
        </is>
      </c>
      <c r="B5" s="3" t="inlineStr">
        <is>
          <t>Bank-grade / fund-grade / infrastructure-grade workbook architecture</t>
        </is>
      </c>
    </row>
    <row r="6">
      <c r="A6" s="2" t="inlineStr">
        <is>
          <t>Version</t>
        </is>
      </c>
      <c r="B6" s="3" t="inlineStr">
        <is>
          <t>v1.0</t>
        </is>
      </c>
    </row>
    <row r="7">
      <c r="A7" s="2" t="inlineStr">
        <is>
          <t>Scope</t>
        </is>
      </c>
      <c r="B7" s="3" t="inlineStr">
        <is>
          <t>100+ sheets covering operations, CAPEX, financing, valuation, risk, AI forecasting,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56" customWidth="1" min="4" max="4"/>
  </cols>
  <sheetData>
    <row r="1">
      <c r="A1" s="4" t="inlineStr">
        <is>
          <t>Workbook Navigation Index</t>
        </is>
      </c>
    </row>
    <row r="3">
      <c r="A3" s="5" t="inlineStr">
        <is>
          <t>Sheet No.</t>
        </is>
      </c>
      <c r="B3" s="5" t="inlineStr">
        <is>
          <t>Sheet Name</t>
        </is>
      </c>
      <c r="C3" s="5" t="inlineStr">
        <is>
          <t>Module</t>
        </is>
      </c>
      <c r="D3" s="5" t="inlineStr">
        <is>
          <t>Purpose</t>
        </is>
      </c>
    </row>
    <row r="4">
      <c r="A4" t="n">
        <v>1</v>
      </c>
      <c r="B4" t="inlineStr">
        <is>
          <t>000_Cover</t>
        </is>
      </c>
      <c r="C4" t="inlineStr">
        <is>
          <t>Cover</t>
        </is>
      </c>
      <c r="D4" t="inlineStr">
        <is>
          <t>Navigation / module sheet</t>
        </is>
      </c>
    </row>
    <row r="5">
      <c r="A5" t="n">
        <v>2</v>
      </c>
      <c r="B5" t="inlineStr">
        <is>
          <t>001_Index</t>
        </is>
      </c>
      <c r="C5" t="inlineStr">
        <is>
          <t>Index</t>
        </is>
      </c>
      <c r="D5" t="inlineStr">
        <is>
          <t>Navigation / module sheet</t>
        </is>
      </c>
    </row>
    <row r="6">
      <c r="A6" t="n">
        <v>3</v>
      </c>
      <c r="B6" t="inlineStr">
        <is>
          <t>002_Master_Assumptions</t>
        </is>
      </c>
      <c r="C6" t="inlineStr">
        <is>
          <t>Master_Assumptions</t>
        </is>
      </c>
      <c r="D6" t="inlineStr">
        <is>
          <t>Navigation / module sheet</t>
        </is>
      </c>
    </row>
    <row r="7">
      <c r="A7" t="n">
        <v>4</v>
      </c>
      <c r="B7" t="inlineStr">
        <is>
          <t>003_Scenario_Manager</t>
        </is>
      </c>
      <c r="C7" t="inlineStr">
        <is>
          <t>Scenario_Manager</t>
        </is>
      </c>
      <c r="D7" t="inlineStr">
        <is>
          <t>Navigation / module sheet</t>
        </is>
      </c>
    </row>
    <row r="8">
      <c r="A8" t="n">
        <v>5</v>
      </c>
      <c r="B8" t="inlineStr">
        <is>
          <t>004_Timebase</t>
        </is>
      </c>
      <c r="C8" t="inlineStr">
        <is>
          <t>Timebase</t>
        </is>
      </c>
      <c r="D8" t="inlineStr">
        <is>
          <t>Navigation / module sheet</t>
        </is>
      </c>
    </row>
    <row r="9">
      <c r="A9" t="n">
        <v>6</v>
      </c>
      <c r="B9" t="inlineStr">
        <is>
          <t>010_Production_Model</t>
        </is>
      </c>
      <c r="C9" t="inlineStr">
        <is>
          <t>Production_Model</t>
        </is>
      </c>
      <c r="D9" t="inlineStr">
        <is>
          <t>Navigation / module sheet</t>
        </is>
      </c>
    </row>
    <row r="10">
      <c r="A10" t="n">
        <v>7</v>
      </c>
      <c r="B10" t="inlineStr">
        <is>
          <t>011_Revenue_Model</t>
        </is>
      </c>
      <c r="C10" t="inlineStr">
        <is>
          <t>Revenue_Model</t>
        </is>
      </c>
      <c r="D10" t="inlineStr">
        <is>
          <t>Navigation / module sheet</t>
        </is>
      </c>
    </row>
    <row r="11">
      <c r="A11" t="n">
        <v>8</v>
      </c>
      <c r="B11" t="inlineStr">
        <is>
          <t>012_COGS_Model</t>
        </is>
      </c>
      <c r="C11" t="inlineStr">
        <is>
          <t>COGS_Model</t>
        </is>
      </c>
      <c r="D11" t="inlineStr">
        <is>
          <t>Navigation / module sheet</t>
        </is>
      </c>
    </row>
    <row r="12">
      <c r="A12" t="n">
        <v>9</v>
      </c>
      <c r="B12" t="inlineStr">
        <is>
          <t>013_OPEX_Model</t>
        </is>
      </c>
      <c r="C12" t="inlineStr">
        <is>
          <t>OPEX_Model</t>
        </is>
      </c>
      <c r="D12" t="inlineStr">
        <is>
          <t>Navigation / module sheet</t>
        </is>
      </c>
    </row>
    <row r="13">
      <c r="A13" t="n">
        <v>10</v>
      </c>
      <c r="B13" t="inlineStr">
        <is>
          <t>014_CAPEX_Model</t>
        </is>
      </c>
      <c r="C13" t="inlineStr">
        <is>
          <t>CAPEX_Model</t>
        </is>
      </c>
      <c r="D13" t="inlineStr">
        <is>
          <t>Navigation / module sheet</t>
        </is>
      </c>
    </row>
    <row r="14">
      <c r="A14" t="n">
        <v>11</v>
      </c>
      <c r="B14" t="inlineStr">
        <is>
          <t>015_Financing_Model</t>
        </is>
      </c>
      <c r="C14" t="inlineStr">
        <is>
          <t>Financing_Model</t>
        </is>
      </c>
      <c r="D14" t="inlineStr">
        <is>
          <t>Navigation / module sheet</t>
        </is>
      </c>
    </row>
    <row r="15">
      <c r="A15" t="n">
        <v>12</v>
      </c>
      <c r="B15" t="inlineStr">
        <is>
          <t>016_Debt_Schedule</t>
        </is>
      </c>
      <c r="C15" t="inlineStr">
        <is>
          <t>Debt_Schedule</t>
        </is>
      </c>
      <c r="D15" t="inlineStr">
        <is>
          <t>Navigation / module sheet</t>
        </is>
      </c>
    </row>
    <row r="16">
      <c r="A16" t="n">
        <v>13</v>
      </c>
      <c r="B16" t="inlineStr">
        <is>
          <t>020_Income_Statement</t>
        </is>
      </c>
      <c r="C16" t="inlineStr">
        <is>
          <t>Income_Statement</t>
        </is>
      </c>
      <c r="D16" t="inlineStr">
        <is>
          <t>Navigation / module sheet</t>
        </is>
      </c>
    </row>
    <row r="17">
      <c r="A17" t="n">
        <v>14</v>
      </c>
      <c r="B17" t="inlineStr">
        <is>
          <t>021_Cash_Flow</t>
        </is>
      </c>
      <c r="C17" t="inlineStr">
        <is>
          <t>Cash_Flow</t>
        </is>
      </c>
      <c r="D17" t="inlineStr">
        <is>
          <t>Navigation / module sheet</t>
        </is>
      </c>
    </row>
    <row r="18">
      <c r="A18" t="n">
        <v>15</v>
      </c>
      <c r="B18" t="inlineStr">
        <is>
          <t>022_Balance_Sheet</t>
        </is>
      </c>
      <c r="C18" t="inlineStr">
        <is>
          <t>Balance_Sheet</t>
        </is>
      </c>
      <c r="D18" t="inlineStr">
        <is>
          <t>Navigation / module sheet</t>
        </is>
      </c>
    </row>
    <row r="19">
      <c r="A19" t="n">
        <v>16</v>
      </c>
      <c r="B19" t="inlineStr">
        <is>
          <t>030_Project_Finance_Metrics</t>
        </is>
      </c>
      <c r="C19" t="inlineStr">
        <is>
          <t>Project_Finance_Metrics</t>
        </is>
      </c>
      <c r="D19" t="inlineStr">
        <is>
          <t>Navigation / module sheet</t>
        </is>
      </c>
    </row>
    <row r="20">
      <c r="A20" t="n">
        <v>17</v>
      </c>
      <c r="B20" t="inlineStr">
        <is>
          <t>031_DSCR_Model</t>
        </is>
      </c>
      <c r="C20" t="inlineStr">
        <is>
          <t>DSCR_Model</t>
        </is>
      </c>
      <c r="D20" t="inlineStr">
        <is>
          <t>Navigation / module sheet</t>
        </is>
      </c>
    </row>
    <row r="21">
      <c r="A21" t="n">
        <v>18</v>
      </c>
      <c r="B21" t="inlineStr">
        <is>
          <t>099_Dashboard</t>
        </is>
      </c>
      <c r="C21" t="inlineStr">
        <is>
          <t>Dashboard</t>
        </is>
      </c>
      <c r="D21" t="inlineStr">
        <is>
          <t>Navigation / module sheet</t>
        </is>
      </c>
    </row>
    <row r="22">
      <c r="A22" t="n">
        <v>19</v>
      </c>
      <c r="B22" t="inlineStr">
        <is>
          <t>040_CAPEX_01</t>
        </is>
      </c>
      <c r="C22" t="inlineStr">
        <is>
          <t>CAPEX_01</t>
        </is>
      </c>
      <c r="D22" t="inlineStr">
        <is>
          <t>Navigation / module sheet</t>
        </is>
      </c>
    </row>
    <row r="23">
      <c r="A23" t="n">
        <v>20</v>
      </c>
      <c r="B23" t="inlineStr">
        <is>
          <t>040_CAPEX_02</t>
        </is>
      </c>
      <c r="C23" t="inlineStr">
        <is>
          <t>CAPEX_02</t>
        </is>
      </c>
      <c r="D23" t="inlineStr">
        <is>
          <t>Navigation / module sheet</t>
        </is>
      </c>
    </row>
    <row r="24">
      <c r="A24" t="n">
        <v>21</v>
      </c>
      <c r="B24" t="inlineStr">
        <is>
          <t>040_CAPEX_03</t>
        </is>
      </c>
      <c r="C24" t="inlineStr">
        <is>
          <t>CAPEX_03</t>
        </is>
      </c>
      <c r="D24" t="inlineStr">
        <is>
          <t>Navigation / module sheet</t>
        </is>
      </c>
    </row>
    <row r="25">
      <c r="A25" t="n">
        <v>22</v>
      </c>
      <c r="B25" t="inlineStr">
        <is>
          <t>040_CAPEX_04</t>
        </is>
      </c>
      <c r="C25" t="inlineStr">
        <is>
          <t>CAPEX_04</t>
        </is>
      </c>
      <c r="D25" t="inlineStr">
        <is>
          <t>Navigation / module sheet</t>
        </is>
      </c>
    </row>
    <row r="26">
      <c r="A26" t="n">
        <v>23</v>
      </c>
      <c r="B26" t="inlineStr">
        <is>
          <t>040_CAPEX_05</t>
        </is>
      </c>
      <c r="C26" t="inlineStr">
        <is>
          <t>CAPEX_05</t>
        </is>
      </c>
      <c r="D26" t="inlineStr">
        <is>
          <t>Navigation / module sheet</t>
        </is>
      </c>
    </row>
    <row r="27">
      <c r="A27" t="n">
        <v>24</v>
      </c>
      <c r="B27" t="inlineStr">
        <is>
          <t>040_CAPEX_06</t>
        </is>
      </c>
      <c r="C27" t="inlineStr">
        <is>
          <t>CAPEX_06</t>
        </is>
      </c>
      <c r="D27" t="inlineStr">
        <is>
          <t>Navigation / module sheet</t>
        </is>
      </c>
    </row>
    <row r="28">
      <c r="A28" t="n">
        <v>25</v>
      </c>
      <c r="B28" t="inlineStr">
        <is>
          <t>040_CAPEX_07</t>
        </is>
      </c>
      <c r="C28" t="inlineStr">
        <is>
          <t>CAPEX_07</t>
        </is>
      </c>
      <c r="D28" t="inlineStr">
        <is>
          <t>Navigation / module sheet</t>
        </is>
      </c>
    </row>
    <row r="29">
      <c r="A29" t="n">
        <v>26</v>
      </c>
      <c r="B29" t="inlineStr">
        <is>
          <t>040_CAPEX_08</t>
        </is>
      </c>
      <c r="C29" t="inlineStr">
        <is>
          <t>CAPEX_08</t>
        </is>
      </c>
      <c r="D29" t="inlineStr">
        <is>
          <t>Navigation / module sheet</t>
        </is>
      </c>
    </row>
    <row r="30">
      <c r="A30" t="n">
        <v>27</v>
      </c>
      <c r="B30" t="inlineStr">
        <is>
          <t>050_Operations_01</t>
        </is>
      </c>
      <c r="C30" t="inlineStr">
        <is>
          <t>Operations_01</t>
        </is>
      </c>
      <c r="D30" t="inlineStr">
        <is>
          <t>Navigation / module sheet</t>
        </is>
      </c>
    </row>
    <row r="31">
      <c r="A31" t="n">
        <v>28</v>
      </c>
      <c r="B31" t="inlineStr">
        <is>
          <t>050_Operations_02</t>
        </is>
      </c>
      <c r="C31" t="inlineStr">
        <is>
          <t>Operations_02</t>
        </is>
      </c>
      <c r="D31" t="inlineStr">
        <is>
          <t>Navigation / module sheet</t>
        </is>
      </c>
    </row>
    <row r="32">
      <c r="A32" t="n">
        <v>29</v>
      </c>
      <c r="B32" t="inlineStr">
        <is>
          <t>050_Operations_03</t>
        </is>
      </c>
      <c r="C32" t="inlineStr">
        <is>
          <t>Operations_03</t>
        </is>
      </c>
      <c r="D32" t="inlineStr">
        <is>
          <t>Navigation / module sheet</t>
        </is>
      </c>
    </row>
    <row r="33">
      <c r="A33" t="n">
        <v>30</v>
      </c>
      <c r="B33" t="inlineStr">
        <is>
          <t>050_Operations_04</t>
        </is>
      </c>
      <c r="C33" t="inlineStr">
        <is>
          <t>Operations_04</t>
        </is>
      </c>
      <c r="D33" t="inlineStr">
        <is>
          <t>Navigation / module sheet</t>
        </is>
      </c>
    </row>
    <row r="34">
      <c r="A34" t="n">
        <v>31</v>
      </c>
      <c r="B34" t="inlineStr">
        <is>
          <t>050_Operations_05</t>
        </is>
      </c>
      <c r="C34" t="inlineStr">
        <is>
          <t>Operations_05</t>
        </is>
      </c>
      <c r="D34" t="inlineStr">
        <is>
          <t>Navigation / module sheet</t>
        </is>
      </c>
    </row>
    <row r="35">
      <c r="A35" t="n">
        <v>32</v>
      </c>
      <c r="B35" t="inlineStr">
        <is>
          <t>050_Operations_06</t>
        </is>
      </c>
      <c r="C35" t="inlineStr">
        <is>
          <t>Operations_06</t>
        </is>
      </c>
      <c r="D35" t="inlineStr">
        <is>
          <t>Navigation / module sheet</t>
        </is>
      </c>
    </row>
    <row r="36">
      <c r="A36" t="n">
        <v>33</v>
      </c>
      <c r="B36" t="inlineStr">
        <is>
          <t>050_Operations_07</t>
        </is>
      </c>
      <c r="C36" t="inlineStr">
        <is>
          <t>Operations_07</t>
        </is>
      </c>
      <c r="D36" t="inlineStr">
        <is>
          <t>Navigation / module sheet</t>
        </is>
      </c>
    </row>
    <row r="37">
      <c r="A37" t="n">
        <v>34</v>
      </c>
      <c r="B37" t="inlineStr">
        <is>
          <t>050_Operations_08</t>
        </is>
      </c>
      <c r="C37" t="inlineStr">
        <is>
          <t>Operations_08</t>
        </is>
      </c>
      <c r="D37" t="inlineStr">
        <is>
          <t>Navigation / module sheet</t>
        </is>
      </c>
    </row>
    <row r="38">
      <c r="A38" t="n">
        <v>35</v>
      </c>
      <c r="B38" t="inlineStr">
        <is>
          <t>050_Operations_09</t>
        </is>
      </c>
      <c r="C38" t="inlineStr">
        <is>
          <t>Operations_09</t>
        </is>
      </c>
      <c r="D38" t="inlineStr">
        <is>
          <t>Navigation / module sheet</t>
        </is>
      </c>
    </row>
    <row r="39">
      <c r="A39" t="n">
        <v>36</v>
      </c>
      <c r="B39" t="inlineStr">
        <is>
          <t>050_Operations_10</t>
        </is>
      </c>
      <c r="C39" t="inlineStr">
        <is>
          <t>Operations_10</t>
        </is>
      </c>
      <c r="D39" t="inlineStr">
        <is>
          <t>Navigation / module sheet</t>
        </is>
      </c>
    </row>
    <row r="40">
      <c r="A40" t="n">
        <v>37</v>
      </c>
      <c r="B40" t="inlineStr">
        <is>
          <t>060_Commodity_01</t>
        </is>
      </c>
      <c r="C40" t="inlineStr">
        <is>
          <t>Commodity_01</t>
        </is>
      </c>
      <c r="D40" t="inlineStr">
        <is>
          <t>Navigation / module sheet</t>
        </is>
      </c>
    </row>
    <row r="41">
      <c r="A41" t="n">
        <v>38</v>
      </c>
      <c r="B41" t="inlineStr">
        <is>
          <t>060_Commodity_02</t>
        </is>
      </c>
      <c r="C41" t="inlineStr">
        <is>
          <t>Commodity_02</t>
        </is>
      </c>
      <c r="D41" t="inlineStr">
        <is>
          <t>Navigation / module sheet</t>
        </is>
      </c>
    </row>
    <row r="42">
      <c r="A42" t="n">
        <v>39</v>
      </c>
      <c r="B42" t="inlineStr">
        <is>
          <t>060_Commodity_03</t>
        </is>
      </c>
      <c r="C42" t="inlineStr">
        <is>
          <t>Commodity_03</t>
        </is>
      </c>
      <c r="D42" t="inlineStr">
        <is>
          <t>Navigation / module sheet</t>
        </is>
      </c>
    </row>
    <row r="43">
      <c r="A43" t="n">
        <v>40</v>
      </c>
      <c r="B43" t="inlineStr">
        <is>
          <t>060_Commodity_04</t>
        </is>
      </c>
      <c r="C43" t="inlineStr">
        <is>
          <t>Commodity_04</t>
        </is>
      </c>
      <c r="D43" t="inlineStr">
        <is>
          <t>Navigation / module sheet</t>
        </is>
      </c>
    </row>
    <row r="44">
      <c r="A44" t="n">
        <v>41</v>
      </c>
      <c r="B44" t="inlineStr">
        <is>
          <t>060_Commodity_05</t>
        </is>
      </c>
      <c r="C44" t="inlineStr">
        <is>
          <t>Commodity_05</t>
        </is>
      </c>
      <c r="D44" t="inlineStr">
        <is>
          <t>Navigation / module sheet</t>
        </is>
      </c>
    </row>
    <row r="45">
      <c r="A45" t="n">
        <v>42</v>
      </c>
      <c r="B45" t="inlineStr">
        <is>
          <t>060_Commodity_06</t>
        </is>
      </c>
      <c r="C45" t="inlineStr">
        <is>
          <t>Commodity_06</t>
        </is>
      </c>
      <c r="D45" t="inlineStr">
        <is>
          <t>Navigation / module sheet</t>
        </is>
      </c>
    </row>
    <row r="46">
      <c r="A46" t="n">
        <v>43</v>
      </c>
      <c r="B46" t="inlineStr">
        <is>
          <t>060_Commodity_07</t>
        </is>
      </c>
      <c r="C46" t="inlineStr">
        <is>
          <t>Commodity_07</t>
        </is>
      </c>
      <c r="D46" t="inlineStr">
        <is>
          <t>Navigation / module sheet</t>
        </is>
      </c>
    </row>
    <row r="47">
      <c r="A47" t="n">
        <v>44</v>
      </c>
      <c r="B47" t="inlineStr">
        <is>
          <t>060_Commodity_08</t>
        </is>
      </c>
      <c r="C47" t="inlineStr">
        <is>
          <t>Commodity_08</t>
        </is>
      </c>
      <c r="D47" t="inlineStr">
        <is>
          <t>Navigation / module sheet</t>
        </is>
      </c>
    </row>
    <row r="48">
      <c r="A48" t="n">
        <v>45</v>
      </c>
      <c r="B48" t="inlineStr">
        <is>
          <t>070_Working_Capital_01</t>
        </is>
      </c>
      <c r="C48" t="inlineStr">
        <is>
          <t>Working_Capital_01</t>
        </is>
      </c>
      <c r="D48" t="inlineStr">
        <is>
          <t>Navigation / module sheet</t>
        </is>
      </c>
    </row>
    <row r="49">
      <c r="A49" t="n">
        <v>46</v>
      </c>
      <c r="B49" t="inlineStr">
        <is>
          <t>070_Working_Capital_02</t>
        </is>
      </c>
      <c r="C49" t="inlineStr">
        <is>
          <t>Working_Capital_02</t>
        </is>
      </c>
      <c r="D49" t="inlineStr">
        <is>
          <t>Navigation / module sheet</t>
        </is>
      </c>
    </row>
    <row r="50">
      <c r="A50" t="n">
        <v>47</v>
      </c>
      <c r="B50" t="inlineStr">
        <is>
          <t>070_Working_Capital_03</t>
        </is>
      </c>
      <c r="C50" t="inlineStr">
        <is>
          <t>Working_Capital_03</t>
        </is>
      </c>
      <c r="D50" t="inlineStr">
        <is>
          <t>Navigation / module sheet</t>
        </is>
      </c>
    </row>
    <row r="51">
      <c r="A51" t="n">
        <v>48</v>
      </c>
      <c r="B51" t="inlineStr">
        <is>
          <t>070_Working_Capital_04</t>
        </is>
      </c>
      <c r="C51" t="inlineStr">
        <is>
          <t>Working_Capital_04</t>
        </is>
      </c>
      <c r="D51" t="inlineStr">
        <is>
          <t>Navigation / module sheet</t>
        </is>
      </c>
    </row>
    <row r="52">
      <c r="A52" t="n">
        <v>49</v>
      </c>
      <c r="B52" t="inlineStr">
        <is>
          <t>070_Working_Capital_05</t>
        </is>
      </c>
      <c r="C52" t="inlineStr">
        <is>
          <t>Working_Capital_05</t>
        </is>
      </c>
      <c r="D52" t="inlineStr">
        <is>
          <t>Navigation / module sheet</t>
        </is>
      </c>
    </row>
    <row r="53">
      <c r="A53" t="n">
        <v>50</v>
      </c>
      <c r="B53" t="inlineStr">
        <is>
          <t>070_Working_Capital_06</t>
        </is>
      </c>
      <c r="C53" t="inlineStr">
        <is>
          <t>Working_Capital_06</t>
        </is>
      </c>
      <c r="D53" t="inlineStr">
        <is>
          <t>Navigation / module sheet</t>
        </is>
      </c>
    </row>
    <row r="54">
      <c r="A54" t="n">
        <v>51</v>
      </c>
      <c r="B54" t="inlineStr">
        <is>
          <t>080_Financing_01</t>
        </is>
      </c>
      <c r="C54" t="inlineStr">
        <is>
          <t>Financing_01</t>
        </is>
      </c>
      <c r="D54" t="inlineStr">
        <is>
          <t>Navigation / module sheet</t>
        </is>
      </c>
    </row>
    <row r="55">
      <c r="A55" t="n">
        <v>52</v>
      </c>
      <c r="B55" t="inlineStr">
        <is>
          <t>080_Financing_02</t>
        </is>
      </c>
      <c r="C55" t="inlineStr">
        <is>
          <t>Financing_02</t>
        </is>
      </c>
      <c r="D55" t="inlineStr">
        <is>
          <t>Navigation / module sheet</t>
        </is>
      </c>
    </row>
    <row r="56">
      <c r="A56" t="n">
        <v>53</v>
      </c>
      <c r="B56" t="inlineStr">
        <is>
          <t>080_Financing_03</t>
        </is>
      </c>
      <c r="C56" t="inlineStr">
        <is>
          <t>Financing_03</t>
        </is>
      </c>
      <c r="D56" t="inlineStr">
        <is>
          <t>Navigation / module sheet</t>
        </is>
      </c>
    </row>
    <row r="57">
      <c r="A57" t="n">
        <v>54</v>
      </c>
      <c r="B57" t="inlineStr">
        <is>
          <t>080_Financing_04</t>
        </is>
      </c>
      <c r="C57" t="inlineStr">
        <is>
          <t>Financing_04</t>
        </is>
      </c>
      <c r="D57" t="inlineStr">
        <is>
          <t>Navigation / module sheet</t>
        </is>
      </c>
    </row>
    <row r="58">
      <c r="A58" t="n">
        <v>55</v>
      </c>
      <c r="B58" t="inlineStr">
        <is>
          <t>080_Financing_05</t>
        </is>
      </c>
      <c r="C58" t="inlineStr">
        <is>
          <t>Financing_05</t>
        </is>
      </c>
      <c r="D58" t="inlineStr">
        <is>
          <t>Navigation / module sheet</t>
        </is>
      </c>
    </row>
    <row r="59">
      <c r="A59" t="n">
        <v>56</v>
      </c>
      <c r="B59" t="inlineStr">
        <is>
          <t>080_Financing_06</t>
        </is>
      </c>
      <c r="C59" t="inlineStr">
        <is>
          <t>Financing_06</t>
        </is>
      </c>
      <c r="D59" t="inlineStr">
        <is>
          <t>Navigation / module sheet</t>
        </is>
      </c>
    </row>
    <row r="60">
      <c r="A60" t="n">
        <v>57</v>
      </c>
      <c r="B60" t="inlineStr">
        <is>
          <t>080_Financing_07</t>
        </is>
      </c>
      <c r="C60" t="inlineStr">
        <is>
          <t>Financing_07</t>
        </is>
      </c>
      <c r="D60" t="inlineStr">
        <is>
          <t>Navigation / module sheet</t>
        </is>
      </c>
    </row>
    <row r="61">
      <c r="A61" t="n">
        <v>58</v>
      </c>
      <c r="B61" t="inlineStr">
        <is>
          <t>080_Financing_08</t>
        </is>
      </c>
      <c r="C61" t="inlineStr">
        <is>
          <t>Financing_08</t>
        </is>
      </c>
      <c r="D61" t="inlineStr">
        <is>
          <t>Navigation / module sheet</t>
        </is>
      </c>
    </row>
    <row r="62">
      <c r="A62" t="n">
        <v>59</v>
      </c>
      <c r="B62" t="inlineStr">
        <is>
          <t>080_Financing_09</t>
        </is>
      </c>
      <c r="C62" t="inlineStr">
        <is>
          <t>Financing_09</t>
        </is>
      </c>
      <c r="D62" t="inlineStr">
        <is>
          <t>Navigation / module sheet</t>
        </is>
      </c>
    </row>
    <row r="63">
      <c r="A63" t="n">
        <v>60</v>
      </c>
      <c r="B63" t="inlineStr">
        <is>
          <t>080_Financing_10</t>
        </is>
      </c>
      <c r="C63" t="inlineStr">
        <is>
          <t>Financing_10</t>
        </is>
      </c>
      <c r="D63" t="inlineStr">
        <is>
          <t>Navigation / module sheet</t>
        </is>
      </c>
    </row>
    <row r="64">
      <c r="A64" t="n">
        <v>61</v>
      </c>
      <c r="B64" t="inlineStr">
        <is>
          <t>090_Risk_01</t>
        </is>
      </c>
      <c r="C64" t="inlineStr">
        <is>
          <t>Risk_01</t>
        </is>
      </c>
      <c r="D64" t="inlineStr">
        <is>
          <t>Navigation / module sheet</t>
        </is>
      </c>
    </row>
    <row r="65">
      <c r="A65" t="n">
        <v>62</v>
      </c>
      <c r="B65" t="inlineStr">
        <is>
          <t>090_Risk_02</t>
        </is>
      </c>
      <c r="C65" t="inlineStr">
        <is>
          <t>Risk_02</t>
        </is>
      </c>
      <c r="D65" t="inlineStr">
        <is>
          <t>Navigation / module sheet</t>
        </is>
      </c>
    </row>
    <row r="66">
      <c r="A66" t="n">
        <v>63</v>
      </c>
      <c r="B66" t="inlineStr">
        <is>
          <t>090_Risk_03</t>
        </is>
      </c>
      <c r="C66" t="inlineStr">
        <is>
          <t>Risk_03</t>
        </is>
      </c>
      <c r="D66" t="inlineStr">
        <is>
          <t>Navigation / module sheet</t>
        </is>
      </c>
    </row>
    <row r="67">
      <c r="A67" t="n">
        <v>64</v>
      </c>
      <c r="B67" t="inlineStr">
        <is>
          <t>090_Risk_04</t>
        </is>
      </c>
      <c r="C67" t="inlineStr">
        <is>
          <t>Risk_04</t>
        </is>
      </c>
      <c r="D67" t="inlineStr">
        <is>
          <t>Navigation / module sheet</t>
        </is>
      </c>
    </row>
    <row r="68">
      <c r="A68" t="n">
        <v>65</v>
      </c>
      <c r="B68" t="inlineStr">
        <is>
          <t>090_Risk_05</t>
        </is>
      </c>
      <c r="C68" t="inlineStr">
        <is>
          <t>Risk_05</t>
        </is>
      </c>
      <c r="D68" t="inlineStr">
        <is>
          <t>Navigation / module sheet</t>
        </is>
      </c>
    </row>
    <row r="69">
      <c r="A69" t="n">
        <v>66</v>
      </c>
      <c r="B69" t="inlineStr">
        <is>
          <t>090_Risk_06</t>
        </is>
      </c>
      <c r="C69" t="inlineStr">
        <is>
          <t>Risk_06</t>
        </is>
      </c>
      <c r="D69" t="inlineStr">
        <is>
          <t>Navigation / module sheet</t>
        </is>
      </c>
    </row>
    <row r="70">
      <c r="A70" t="n">
        <v>67</v>
      </c>
      <c r="B70" t="inlineStr">
        <is>
          <t>090_Risk_07</t>
        </is>
      </c>
      <c r="C70" t="inlineStr">
        <is>
          <t>Risk_07</t>
        </is>
      </c>
      <c r="D70" t="inlineStr">
        <is>
          <t>Navigation / module sheet</t>
        </is>
      </c>
    </row>
    <row r="71">
      <c r="A71" t="n">
        <v>68</v>
      </c>
      <c r="B71" t="inlineStr">
        <is>
          <t>090_Risk_08</t>
        </is>
      </c>
      <c r="C71" t="inlineStr">
        <is>
          <t>Risk_08</t>
        </is>
      </c>
      <c r="D71" t="inlineStr">
        <is>
          <t>Navigation / module sheet</t>
        </is>
      </c>
    </row>
    <row r="72">
      <c r="A72" t="n">
        <v>69</v>
      </c>
      <c r="B72" t="inlineStr">
        <is>
          <t>090_Risk_09</t>
        </is>
      </c>
      <c r="C72" t="inlineStr">
        <is>
          <t>Risk_09</t>
        </is>
      </c>
      <c r="D72" t="inlineStr">
        <is>
          <t>Navigation / module sheet</t>
        </is>
      </c>
    </row>
    <row r="73">
      <c r="A73" t="n">
        <v>70</v>
      </c>
      <c r="B73" t="inlineStr">
        <is>
          <t>090_Risk_10</t>
        </is>
      </c>
      <c r="C73" t="inlineStr">
        <is>
          <t>Risk_10</t>
        </is>
      </c>
      <c r="D73" t="inlineStr">
        <is>
          <t>Navigation / module sheet</t>
        </is>
      </c>
    </row>
    <row r="74">
      <c r="A74" t="n">
        <v>71</v>
      </c>
      <c r="B74" t="inlineStr">
        <is>
          <t>090_Risk_11</t>
        </is>
      </c>
      <c r="C74" t="inlineStr">
        <is>
          <t>Risk_11</t>
        </is>
      </c>
      <c r="D74" t="inlineStr">
        <is>
          <t>Navigation / module sheet</t>
        </is>
      </c>
    </row>
    <row r="75">
      <c r="A75" t="n">
        <v>72</v>
      </c>
      <c r="B75" t="inlineStr">
        <is>
          <t>090_Risk_12</t>
        </is>
      </c>
      <c r="C75" t="inlineStr">
        <is>
          <t>Risk_12</t>
        </is>
      </c>
      <c r="D75" t="inlineStr">
        <is>
          <t>Navigation / module sheet</t>
        </is>
      </c>
    </row>
    <row r="76">
      <c r="A76" t="n">
        <v>73</v>
      </c>
      <c r="B76" t="inlineStr">
        <is>
          <t>100_AI_Forecast_01</t>
        </is>
      </c>
      <c r="C76" t="inlineStr">
        <is>
          <t>AI_Forecast_01</t>
        </is>
      </c>
      <c r="D76" t="inlineStr">
        <is>
          <t>Navigation / module sheet</t>
        </is>
      </c>
    </row>
    <row r="77">
      <c r="A77" t="n">
        <v>74</v>
      </c>
      <c r="B77" t="inlineStr">
        <is>
          <t>100_AI_Forecast_02</t>
        </is>
      </c>
      <c r="C77" t="inlineStr">
        <is>
          <t>AI_Forecast_02</t>
        </is>
      </c>
      <c r="D77" t="inlineStr">
        <is>
          <t>Navigation / module sheet</t>
        </is>
      </c>
    </row>
    <row r="78">
      <c r="A78" t="n">
        <v>75</v>
      </c>
      <c r="B78" t="inlineStr">
        <is>
          <t>100_AI_Forecast_03</t>
        </is>
      </c>
      <c r="C78" t="inlineStr">
        <is>
          <t>AI_Forecast_03</t>
        </is>
      </c>
      <c r="D78" t="inlineStr">
        <is>
          <t>Navigation / module sheet</t>
        </is>
      </c>
    </row>
    <row r="79">
      <c r="A79" t="n">
        <v>76</v>
      </c>
      <c r="B79" t="inlineStr">
        <is>
          <t>100_AI_Forecast_04</t>
        </is>
      </c>
      <c r="C79" t="inlineStr">
        <is>
          <t>AI_Forecast_04</t>
        </is>
      </c>
      <c r="D79" t="inlineStr">
        <is>
          <t>Navigation / module sheet</t>
        </is>
      </c>
    </row>
    <row r="80">
      <c r="A80" t="n">
        <v>77</v>
      </c>
      <c r="B80" t="inlineStr">
        <is>
          <t>100_AI_Forecast_05</t>
        </is>
      </c>
      <c r="C80" t="inlineStr">
        <is>
          <t>AI_Forecast_05</t>
        </is>
      </c>
      <c r="D80" t="inlineStr">
        <is>
          <t>Navigation / module sheet</t>
        </is>
      </c>
    </row>
    <row r="81">
      <c r="A81" t="n">
        <v>78</v>
      </c>
      <c r="B81" t="inlineStr">
        <is>
          <t>100_AI_Forecast_06</t>
        </is>
      </c>
      <c r="C81" t="inlineStr">
        <is>
          <t>AI_Forecast_06</t>
        </is>
      </c>
      <c r="D81" t="inlineStr">
        <is>
          <t>Navigation / module sheet</t>
        </is>
      </c>
    </row>
    <row r="82">
      <c r="A82" t="n">
        <v>79</v>
      </c>
      <c r="B82" t="inlineStr">
        <is>
          <t>100_AI_Forecast_07</t>
        </is>
      </c>
      <c r="C82" t="inlineStr">
        <is>
          <t>AI_Forecast_07</t>
        </is>
      </c>
      <c r="D82" t="inlineStr">
        <is>
          <t>Navigation / module sheet</t>
        </is>
      </c>
    </row>
    <row r="83">
      <c r="A83" t="n">
        <v>80</v>
      </c>
      <c r="B83" t="inlineStr">
        <is>
          <t>100_AI_Forecast_08</t>
        </is>
      </c>
      <c r="C83" t="inlineStr">
        <is>
          <t>AI_Forecast_08</t>
        </is>
      </c>
      <c r="D83" t="inlineStr">
        <is>
          <t>Navigation / module sheet</t>
        </is>
      </c>
    </row>
    <row r="84">
      <c r="A84" t="n">
        <v>81</v>
      </c>
      <c r="B84" t="inlineStr">
        <is>
          <t>100_AI_Forecast_09</t>
        </is>
      </c>
      <c r="C84" t="inlineStr">
        <is>
          <t>AI_Forecast_09</t>
        </is>
      </c>
      <c r="D84" t="inlineStr">
        <is>
          <t>Navigation / module sheet</t>
        </is>
      </c>
    </row>
    <row r="85">
      <c r="A85" t="n">
        <v>82</v>
      </c>
      <c r="B85" t="inlineStr">
        <is>
          <t>100_AI_Forecast_10</t>
        </is>
      </c>
      <c r="C85" t="inlineStr">
        <is>
          <t>AI_Forecast_10</t>
        </is>
      </c>
      <c r="D85" t="inlineStr">
        <is>
          <t>Navigation / module sheet</t>
        </is>
      </c>
    </row>
    <row r="86">
      <c r="A86" t="n">
        <v>83</v>
      </c>
      <c r="B86" t="inlineStr">
        <is>
          <t>110_Control_01</t>
        </is>
      </c>
      <c r="C86" t="inlineStr">
        <is>
          <t>Control_01</t>
        </is>
      </c>
      <c r="D86" t="inlineStr">
        <is>
          <t>Navigation / module sheet</t>
        </is>
      </c>
    </row>
    <row r="87">
      <c r="A87" t="n">
        <v>84</v>
      </c>
      <c r="B87" t="inlineStr">
        <is>
          <t>110_Control_02</t>
        </is>
      </c>
      <c r="C87" t="inlineStr">
        <is>
          <t>Control_02</t>
        </is>
      </c>
      <c r="D87" t="inlineStr">
        <is>
          <t>Navigation / module sheet</t>
        </is>
      </c>
    </row>
    <row r="88">
      <c r="A88" t="n">
        <v>85</v>
      </c>
      <c r="B88" t="inlineStr">
        <is>
          <t>110_Control_03</t>
        </is>
      </c>
      <c r="C88" t="inlineStr">
        <is>
          <t>Control_03</t>
        </is>
      </c>
      <c r="D88" t="inlineStr">
        <is>
          <t>Navigation / module sheet</t>
        </is>
      </c>
    </row>
    <row r="89">
      <c r="A89" t="n">
        <v>86</v>
      </c>
      <c r="B89" t="inlineStr">
        <is>
          <t>110_Control_04</t>
        </is>
      </c>
      <c r="C89" t="inlineStr">
        <is>
          <t>Control_04</t>
        </is>
      </c>
      <c r="D89" t="inlineStr">
        <is>
          <t>Navigation / module sheet</t>
        </is>
      </c>
    </row>
    <row r="90">
      <c r="A90" t="n">
        <v>87</v>
      </c>
      <c r="B90" t="inlineStr">
        <is>
          <t>110_Control_05</t>
        </is>
      </c>
      <c r="C90" t="inlineStr">
        <is>
          <t>Control_05</t>
        </is>
      </c>
      <c r="D90" t="inlineStr">
        <is>
          <t>Navigation / module sheet</t>
        </is>
      </c>
    </row>
    <row r="91">
      <c r="A91" t="n">
        <v>88</v>
      </c>
      <c r="B91" t="inlineStr">
        <is>
          <t>110_Control_06</t>
        </is>
      </c>
      <c r="C91" t="inlineStr">
        <is>
          <t>Control_06</t>
        </is>
      </c>
      <c r="D91" t="inlineStr">
        <is>
          <t>Navigation / module sheet</t>
        </is>
      </c>
    </row>
    <row r="92">
      <c r="A92" t="n">
        <v>89</v>
      </c>
      <c r="B92" t="inlineStr">
        <is>
          <t>110_Control_07</t>
        </is>
      </c>
      <c r="C92" t="inlineStr">
        <is>
          <t>Control_07</t>
        </is>
      </c>
      <c r="D92" t="inlineStr">
        <is>
          <t>Navigation / module sheet</t>
        </is>
      </c>
    </row>
    <row r="93">
      <c r="A93" t="n">
        <v>90</v>
      </c>
      <c r="B93" t="inlineStr">
        <is>
          <t>110_Control_08</t>
        </is>
      </c>
      <c r="C93" t="inlineStr">
        <is>
          <t>Control_08</t>
        </is>
      </c>
      <c r="D93" t="inlineStr">
        <is>
          <t>Navigation / module sheet</t>
        </is>
      </c>
    </row>
    <row r="94">
      <c r="A94" t="n">
        <v>91</v>
      </c>
      <c r="B94" t="inlineStr">
        <is>
          <t>110_Control_09</t>
        </is>
      </c>
      <c r="C94" t="inlineStr">
        <is>
          <t>Control_09</t>
        </is>
      </c>
      <c r="D94" t="inlineStr">
        <is>
          <t>Navigation / module sheet</t>
        </is>
      </c>
    </row>
    <row r="95">
      <c r="A95" t="n">
        <v>92</v>
      </c>
      <c r="B95" t="inlineStr">
        <is>
          <t>110_Control_10</t>
        </is>
      </c>
      <c r="C95" t="inlineStr">
        <is>
          <t>Control_10</t>
        </is>
      </c>
      <c r="D95" t="inlineStr">
        <is>
          <t>Navigation / module sheet</t>
        </is>
      </c>
    </row>
    <row r="96">
      <c r="A96" t="n">
        <v>93</v>
      </c>
      <c r="B96" t="inlineStr">
        <is>
          <t>110_Control_11</t>
        </is>
      </c>
      <c r="C96" t="inlineStr">
        <is>
          <t>Control_11</t>
        </is>
      </c>
      <c r="D96" t="inlineStr">
        <is>
          <t>Navigation / module sheet</t>
        </is>
      </c>
    </row>
    <row r="97">
      <c r="A97" t="n">
        <v>94</v>
      </c>
      <c r="B97" t="inlineStr">
        <is>
          <t>110_Control_12</t>
        </is>
      </c>
      <c r="C97" t="inlineStr">
        <is>
          <t>Control_12</t>
        </is>
      </c>
      <c r="D97" t="inlineStr">
        <is>
          <t>Navigation / module sheet</t>
        </is>
      </c>
    </row>
    <row r="98">
      <c r="A98" t="n">
        <v>95</v>
      </c>
      <c r="B98" t="inlineStr">
        <is>
          <t>120_Reporting_01</t>
        </is>
      </c>
      <c r="C98" t="inlineStr">
        <is>
          <t>Reporting_01</t>
        </is>
      </c>
      <c r="D98" t="inlineStr">
        <is>
          <t>Navigation / module sheet</t>
        </is>
      </c>
    </row>
    <row r="99">
      <c r="A99" t="n">
        <v>96</v>
      </c>
      <c r="B99" t="inlineStr">
        <is>
          <t>120_Reporting_02</t>
        </is>
      </c>
      <c r="C99" t="inlineStr">
        <is>
          <t>Reporting_02</t>
        </is>
      </c>
      <c r="D99" t="inlineStr">
        <is>
          <t>Navigation / module sheet</t>
        </is>
      </c>
    </row>
    <row r="100">
      <c r="A100" t="n">
        <v>97</v>
      </c>
      <c r="B100" t="inlineStr">
        <is>
          <t>120_Reporting_03</t>
        </is>
      </c>
      <c r="C100" t="inlineStr">
        <is>
          <t>Reporting_03</t>
        </is>
      </c>
      <c r="D100" t="inlineStr">
        <is>
          <t>Navigation / module sheet</t>
        </is>
      </c>
    </row>
    <row r="101">
      <c r="A101" t="n">
        <v>98</v>
      </c>
      <c r="B101" t="inlineStr">
        <is>
          <t>120_Reporting_04</t>
        </is>
      </c>
      <c r="C101" t="inlineStr">
        <is>
          <t>Reporting_04</t>
        </is>
      </c>
      <c r="D101" t="inlineStr">
        <is>
          <t>Navigation / module sheet</t>
        </is>
      </c>
    </row>
    <row r="102">
      <c r="A102" t="n">
        <v>99</v>
      </c>
      <c r="B102" t="inlineStr">
        <is>
          <t>120_Reporting_05</t>
        </is>
      </c>
      <c r="C102" t="inlineStr">
        <is>
          <t>Reporting_05</t>
        </is>
      </c>
      <c r="D102" t="inlineStr">
        <is>
          <t>Navigation / module sheet</t>
        </is>
      </c>
    </row>
    <row r="103">
      <c r="A103" t="n">
        <v>100</v>
      </c>
      <c r="B103" t="inlineStr">
        <is>
          <t>120_Reporting_06</t>
        </is>
      </c>
      <c r="C103" t="inlineStr">
        <is>
          <t>Reporting_06</t>
        </is>
      </c>
      <c r="D103" t="inlineStr">
        <is>
          <t>Navigation / module sheet</t>
        </is>
      </c>
    </row>
    <row r="104">
      <c r="A104" t="n">
        <v>101</v>
      </c>
      <c r="B104" t="inlineStr">
        <is>
          <t>120_Reporting_07</t>
        </is>
      </c>
      <c r="C104" t="inlineStr">
        <is>
          <t>Reporting_07</t>
        </is>
      </c>
      <c r="D104" t="inlineStr">
        <is>
          <t>Navigation / module sheet</t>
        </is>
      </c>
    </row>
    <row r="105">
      <c r="A105" t="n">
        <v>102</v>
      </c>
      <c r="B105" t="inlineStr">
        <is>
          <t>120_Reporting_08</t>
        </is>
      </c>
      <c r="C105" t="inlineStr">
        <is>
          <t>Reporting_08</t>
        </is>
      </c>
      <c r="D105" t="inlineStr">
        <is>
          <t>Navigation / module sheet</t>
        </is>
      </c>
    </row>
    <row r="106">
      <c r="A106" t="n">
        <v>103</v>
      </c>
      <c r="B106" t="inlineStr">
        <is>
          <t>130_MonteCarlo_Variables</t>
        </is>
      </c>
      <c r="C106" t="inlineStr">
        <is>
          <t>MonteCarlo_Variables</t>
        </is>
      </c>
      <c r="D106" t="inlineStr">
        <is>
          <t>Navigation / module sheet</t>
        </is>
      </c>
    </row>
    <row r="107">
      <c r="A107" t="n">
        <v>104</v>
      </c>
      <c r="B107" t="inlineStr">
        <is>
          <t>131_MonteCarlo_Simulations</t>
        </is>
      </c>
      <c r="C107" t="inlineStr">
        <is>
          <t>MonteCarlo_Simulations</t>
        </is>
      </c>
      <c r="D107" t="inlineStr">
        <is>
          <t>Navigation / module sheet</t>
        </is>
      </c>
    </row>
    <row r="108">
      <c r="A108" t="n">
        <v>105</v>
      </c>
      <c r="B108" t="inlineStr">
        <is>
          <t>132_MonteCarlo_Distribution</t>
        </is>
      </c>
      <c r="C108" t="inlineStr">
        <is>
          <t>MonteCarlo_Distribution</t>
        </is>
      </c>
      <c r="D108" t="inlineStr">
        <is>
          <t>Navigation / module sheet</t>
        </is>
      </c>
    </row>
    <row r="109">
      <c r="A109" t="n">
        <v>106</v>
      </c>
      <c r="B109" t="inlineStr">
        <is>
          <t>133_Tornado_Analysis</t>
        </is>
      </c>
      <c r="C109" t="inlineStr">
        <is>
          <t>Tornado_Analysis</t>
        </is>
      </c>
      <c r="D109" t="inlineStr">
        <is>
          <t>Navigation / module sheet</t>
        </is>
      </c>
    </row>
    <row r="110">
      <c r="A110" t="n">
        <v>107</v>
      </c>
      <c r="B110" t="inlineStr">
        <is>
          <t>134_Steel_Stochastic_Model</t>
        </is>
      </c>
      <c r="C110" t="inlineStr">
        <is>
          <t>Steel_Stochastic_Model</t>
        </is>
      </c>
      <c r="D110" t="inlineStr">
        <is>
          <t>Navigation / module sheet</t>
        </is>
      </c>
    </row>
    <row r="111">
      <c r="A111" t="n">
        <v>108</v>
      </c>
      <c r="B111" t="inlineStr">
        <is>
          <t>135_Energy_Stochastic_Model</t>
        </is>
      </c>
      <c r="C111" t="inlineStr">
        <is>
          <t>Energy_Stochastic_Model</t>
        </is>
      </c>
      <c r="D111" t="inlineStr">
        <is>
          <t>Navigation / module sheet</t>
        </is>
      </c>
    </row>
    <row r="112">
      <c r="A112" t="n">
        <v>109</v>
      </c>
      <c r="B112" t="inlineStr">
        <is>
          <t>136_Demand_AI_Forecast</t>
        </is>
      </c>
      <c r="C112" t="inlineStr">
        <is>
          <t>Demand_AI_Forecast</t>
        </is>
      </c>
      <c r="D112" t="inlineStr">
        <is>
          <t>Navigation / module sheet</t>
        </is>
      </c>
    </row>
    <row r="113">
      <c r="A113" t="n">
        <v>110</v>
      </c>
      <c r="B113" t="inlineStr">
        <is>
          <t>137_Price_AI_Forecast</t>
        </is>
      </c>
      <c r="C113" t="inlineStr">
        <is>
          <t>Price_AI_Forecast</t>
        </is>
      </c>
      <c r="D113" t="inlineStr">
        <is>
          <t>Navigation / module sheet</t>
        </is>
      </c>
    </row>
    <row r="114">
      <c r="A114" t="n">
        <v>111</v>
      </c>
      <c r="B114" t="inlineStr">
        <is>
          <t>138_Exit_Valuation_Model</t>
        </is>
      </c>
      <c r="C114" t="inlineStr">
        <is>
          <t>Exit_Valuation_Model</t>
        </is>
      </c>
      <c r="D114" t="inlineStr">
        <is>
          <t>Navigation / module sheet</t>
        </is>
      </c>
    </row>
    <row r="115">
      <c r="A115" t="n">
        <v>112</v>
      </c>
      <c r="B115" t="inlineStr">
        <is>
          <t>139_Equity_Waterfall</t>
        </is>
      </c>
      <c r="C115" t="inlineStr">
        <is>
          <t>Equity_Waterfall</t>
        </is>
      </c>
      <c r="D115" t="inlineStr">
        <is>
          <t>Navigation / module sheet</t>
        </is>
      </c>
    </row>
    <row r="116">
      <c r="A116" t="n">
        <v>113</v>
      </c>
      <c r="B116" t="inlineStr">
        <is>
          <t>140_Cash_Waterfall</t>
        </is>
      </c>
      <c r="C116" t="inlineStr">
        <is>
          <t>Cash_Waterfall</t>
        </is>
      </c>
      <c r="D116" t="inlineStr">
        <is>
          <t>Navigation / module sheet</t>
        </is>
      </c>
    </row>
    <row r="117">
      <c r="A117" t="n">
        <v>114</v>
      </c>
      <c r="B117" t="inlineStr">
        <is>
          <t>141_MOIC_Model</t>
        </is>
      </c>
      <c r="C117" t="inlineStr">
        <is>
          <t>MOIC_Model</t>
        </is>
      </c>
      <c r="D117" t="inlineStr">
        <is>
          <t>Navigation / module sheet</t>
        </is>
      </c>
    </row>
    <row r="118">
      <c r="A118" t="n">
        <v>115</v>
      </c>
      <c r="B118" t="inlineStr">
        <is>
          <t>142_LLCR_Model</t>
        </is>
      </c>
      <c r="C118" t="inlineStr">
        <is>
          <t>LLCR_Model</t>
        </is>
      </c>
      <c r="D118" t="inlineStr">
        <is>
          <t>Navigation / module sheet</t>
        </is>
      </c>
    </row>
    <row r="119">
      <c r="A119" t="n">
        <v>116</v>
      </c>
      <c r="B119" t="inlineStr">
        <is>
          <t>143_PLCR_Model</t>
        </is>
      </c>
      <c r="C119" t="inlineStr">
        <is>
          <t>PLCR_Model</t>
        </is>
      </c>
      <c r="D119" t="inlineStr">
        <is>
          <t>Navigation / module sheet</t>
        </is>
      </c>
    </row>
    <row r="120">
      <c r="A120" t="n">
        <v>117</v>
      </c>
      <c r="B120" t="inlineStr">
        <is>
          <t>144_Error_Check</t>
        </is>
      </c>
      <c r="C120" t="inlineStr">
        <is>
          <t>Error_Check</t>
        </is>
      </c>
      <c r="D120" t="inlineStr">
        <is>
          <t>Navigation / module sheet</t>
        </is>
      </c>
    </row>
    <row r="121">
      <c r="A121" t="n">
        <v>118</v>
      </c>
      <c r="B121" t="inlineStr">
        <is>
          <t>145_Model_Assurance</t>
        </is>
      </c>
      <c r="C121" t="inlineStr">
        <is>
          <t>Model_Assurance</t>
        </is>
      </c>
      <c r="D121" t="inlineStr">
        <is>
          <t>Navigation / module sheet</t>
        </is>
      </c>
    </row>
    <row r="122">
      <c r="A122" t="n">
        <v>119</v>
      </c>
      <c r="B122" t="inlineStr">
        <is>
          <t>146_Version_Control</t>
        </is>
      </c>
      <c r="C122" t="inlineStr">
        <is>
          <t>Version_Control</t>
        </is>
      </c>
      <c r="D122" t="inlineStr">
        <is>
          <t>Navigation / module sheet</t>
        </is>
      </c>
    </row>
    <row r="123">
      <c r="A123" t="n">
        <v>120</v>
      </c>
      <c r="B123" t="inlineStr">
        <is>
          <t>147_Credit_Committee_Pack</t>
        </is>
      </c>
      <c r="C123" t="inlineStr">
        <is>
          <t>Credit_Committee_Pack</t>
        </is>
      </c>
      <c r="D123" t="inlineStr">
        <is>
          <t>Navigation / module sheet</t>
        </is>
      </c>
    </row>
    <row r="124">
      <c r="A124" t="n">
        <v>121</v>
      </c>
      <c r="B124" t="inlineStr">
        <is>
          <t>148_Investor_Pack_Data</t>
        </is>
      </c>
      <c r="C124" t="inlineStr">
        <is>
          <t>Investor_Pack_Data</t>
        </is>
      </c>
      <c r="D124" t="inlineStr">
        <is>
          <t>Navigation / module sheet</t>
        </is>
      </c>
    </row>
    <row r="125">
      <c r="A125" t="n">
        <v>122</v>
      </c>
      <c r="B125" t="inlineStr">
        <is>
          <t>149_Board_Report</t>
        </is>
      </c>
      <c r="C125" t="inlineStr">
        <is>
          <t>Board_Report</t>
        </is>
      </c>
      <c r="D125" t="inlineStr">
        <is>
          <t>Navigation / module sheet</t>
        </is>
      </c>
    </row>
    <row r="126">
      <c r="A126" t="n">
        <v>123</v>
      </c>
      <c r="B126" t="inlineStr">
        <is>
          <t>150_Management_Report</t>
        </is>
      </c>
      <c r="C126" t="inlineStr">
        <is>
          <t>Management_Report</t>
        </is>
      </c>
      <c r="D126" t="inlineStr">
        <is>
          <t>Navigation / module sheet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  <col width="14" customWidth="1" min="8" max="8"/>
  </cols>
  <sheetData>
    <row r="1">
      <c r="A1" s="6" t="inlineStr">
        <is>
          <t>Master Assumptions</t>
        </is>
      </c>
    </row>
    <row r="2">
      <c r="A2" s="7" t="inlineStr">
        <is>
          <t>Core driver sheet for production, pricing, costs, financing and tax</t>
        </is>
      </c>
    </row>
    <row r="4">
      <c r="A4" s="5" t="inlineStr">
        <is>
          <t>Category</t>
        </is>
      </c>
      <c r="B4" s="5" t="inlineStr">
        <is>
          <t>Parameter</t>
        </is>
      </c>
      <c r="C4" s="5" t="inlineStr">
        <is>
          <t>Base</t>
        </is>
      </c>
      <c r="D4" s="5" t="inlineStr">
        <is>
          <t>Low</t>
        </is>
      </c>
      <c r="E4" s="5" t="inlineStr">
        <is>
          <t>High</t>
        </is>
      </c>
      <c r="F4" s="5" t="inlineStr">
        <is>
          <t>Unit</t>
        </is>
      </c>
      <c r="G4" s="5" t="inlineStr">
        <is>
          <t>Source / Note</t>
        </is>
      </c>
      <c r="H4" s="5" t="inlineStr">
        <is>
          <t>Input Type</t>
        </is>
      </c>
    </row>
    <row r="5">
      <c r="A5" s="8" t="inlineStr">
        <is>
          <t>Production</t>
        </is>
      </c>
      <c r="B5" s="8" t="inlineStr">
        <is>
          <t>Installed capacity</t>
        </is>
      </c>
      <c r="C5" s="9" t="n">
        <v>1800</v>
      </c>
      <c r="D5" s="9" t="n">
        <v>1500</v>
      </c>
      <c r="E5" s="9" t="n">
        <v>2000</v>
      </c>
      <c r="F5" s="8" t="inlineStr">
        <is>
          <t>units/year</t>
        </is>
      </c>
      <c r="G5" s="8" t="inlineStr">
        <is>
          <t>Factory design assumption</t>
        </is>
      </c>
      <c r="H5" s="8" t="inlineStr">
        <is>
          <t>Input</t>
        </is>
      </c>
    </row>
    <row r="6">
      <c r="A6" s="8" t="inlineStr">
        <is>
          <t>Production</t>
        </is>
      </c>
      <c r="B6" s="8" t="inlineStr">
        <is>
          <t>Utilization Y1</t>
        </is>
      </c>
      <c r="C6" s="10" t="n">
        <v>0.4</v>
      </c>
      <c r="D6" s="10" t="n">
        <v>0.3</v>
      </c>
      <c r="E6" s="10" t="n">
        <v>0.5</v>
      </c>
      <c r="F6" s="8" t="inlineStr">
        <is>
          <t>%</t>
        </is>
      </c>
      <c r="G6" s="8" t="inlineStr">
        <is>
          <t>Ramp-up curve</t>
        </is>
      </c>
      <c r="H6" s="8" t="inlineStr">
        <is>
          <t>Input</t>
        </is>
      </c>
    </row>
    <row r="7">
      <c r="A7" s="8" t="inlineStr">
        <is>
          <t>Production</t>
        </is>
      </c>
      <c r="B7" s="8" t="inlineStr">
        <is>
          <t>Utilization Y2</t>
        </is>
      </c>
      <c r="C7" s="10" t="n">
        <v>0.6</v>
      </c>
      <c r="D7" s="10" t="n">
        <v>0.5</v>
      </c>
      <c r="E7" s="10" t="n">
        <v>0.7</v>
      </c>
      <c r="F7" s="8" t="inlineStr">
        <is>
          <t>%</t>
        </is>
      </c>
      <c r="G7" s="8" t="inlineStr">
        <is>
          <t>Ramp-up curve</t>
        </is>
      </c>
      <c r="H7" s="8" t="inlineStr">
        <is>
          <t>Input</t>
        </is>
      </c>
    </row>
    <row r="8">
      <c r="A8" s="8" t="inlineStr">
        <is>
          <t>Production</t>
        </is>
      </c>
      <c r="B8" s="8" t="inlineStr">
        <is>
          <t>Utilization Y3</t>
        </is>
      </c>
      <c r="C8" s="10" t="n">
        <v>0.8</v>
      </c>
      <c r="D8" s="10" t="n">
        <v>0.7</v>
      </c>
      <c r="E8" s="10" t="n">
        <v>0.9</v>
      </c>
      <c r="F8" s="8" t="inlineStr">
        <is>
          <t>%</t>
        </is>
      </c>
      <c r="G8" s="8" t="inlineStr">
        <is>
          <t>Ramp-up curve</t>
        </is>
      </c>
      <c r="H8" s="8" t="inlineStr">
        <is>
          <t>Input</t>
        </is>
      </c>
    </row>
    <row r="9">
      <c r="A9" s="8" t="inlineStr">
        <is>
          <t>Production</t>
        </is>
      </c>
      <c r="B9" s="8" t="inlineStr">
        <is>
          <t>Utilization stable</t>
        </is>
      </c>
      <c r="C9" s="10" t="n">
        <v>0.9</v>
      </c>
      <c r="D9" s="10" t="n">
        <v>0.8</v>
      </c>
      <c r="E9" s="10" t="n">
        <v>0.95</v>
      </c>
      <c r="F9" s="8" t="inlineStr">
        <is>
          <t>%</t>
        </is>
      </c>
      <c r="G9" s="8" t="inlineStr">
        <is>
          <t>Steady-state</t>
        </is>
      </c>
      <c r="H9" s="8" t="inlineStr">
        <is>
          <t>Input</t>
        </is>
      </c>
    </row>
    <row r="10">
      <c r="A10" s="8" t="inlineStr">
        <is>
          <t>Pricing</t>
        </is>
      </c>
      <c r="B10" s="8" t="inlineStr">
        <is>
          <t>ASP</t>
        </is>
      </c>
      <c r="C10" s="9" t="n">
        <v>9000</v>
      </c>
      <c r="D10" s="9" t="n">
        <v>8200</v>
      </c>
      <c r="E10" s="9" t="n">
        <v>9800</v>
      </c>
      <c r="F10" s="8" t="inlineStr">
        <is>
          <t>€/unit</t>
        </is>
      </c>
      <c r="G10" s="8" t="inlineStr">
        <is>
          <t>Average selling price</t>
        </is>
      </c>
      <c r="H10" s="8" t="inlineStr">
        <is>
          <t>Input</t>
        </is>
      </c>
    </row>
    <row r="11">
      <c r="A11" s="8" t="inlineStr">
        <is>
          <t>COGS</t>
        </is>
      </c>
      <c r="B11" s="8" t="inlineStr">
        <is>
          <t>Steel per unit</t>
        </is>
      </c>
      <c r="C11" s="9" t="n">
        <v>4200</v>
      </c>
      <c r="D11" s="9" t="n">
        <v>3800</v>
      </c>
      <c r="E11" s="9" t="n">
        <v>4700</v>
      </c>
      <c r="F11" s="8" t="inlineStr">
        <is>
          <t>€/unit</t>
        </is>
      </c>
      <c r="G11" s="8" t="inlineStr">
        <is>
          <t>Raw material</t>
        </is>
      </c>
      <c r="H11" s="8" t="inlineStr">
        <is>
          <t>Input</t>
        </is>
      </c>
    </row>
    <row r="12">
      <c r="A12" s="8" t="inlineStr">
        <is>
          <t>COGS</t>
        </is>
      </c>
      <c r="B12" s="8" t="inlineStr">
        <is>
          <t>Energy per unit</t>
        </is>
      </c>
      <c r="C12" s="9" t="n">
        <v>350</v>
      </c>
      <c r="D12" s="9" t="n">
        <v>300</v>
      </c>
      <c r="E12" s="9" t="n">
        <v>420</v>
      </c>
      <c r="F12" s="8" t="inlineStr">
        <is>
          <t>€/unit</t>
        </is>
      </c>
      <c r="G12" s="8" t="inlineStr">
        <is>
          <t>Direct energy</t>
        </is>
      </c>
      <c r="H12" s="8" t="inlineStr">
        <is>
          <t>Input</t>
        </is>
      </c>
    </row>
    <row r="13">
      <c r="A13" s="8" t="inlineStr">
        <is>
          <t>COGS</t>
        </is>
      </c>
      <c r="B13" s="8" t="inlineStr">
        <is>
          <t>Direct labor per unit</t>
        </is>
      </c>
      <c r="C13" s="9" t="n">
        <v>650</v>
      </c>
      <c r="D13" s="9" t="n">
        <v>600</v>
      </c>
      <c r="E13" s="9" t="n">
        <v>720</v>
      </c>
      <c r="F13" s="8" t="inlineStr">
        <is>
          <t>€/unit</t>
        </is>
      </c>
      <c r="G13" s="8" t="inlineStr">
        <is>
          <t>Direct labor</t>
        </is>
      </c>
      <c r="H13" s="8" t="inlineStr">
        <is>
          <t>Input</t>
        </is>
      </c>
    </row>
    <row r="14">
      <c r="A14" s="8" t="inlineStr">
        <is>
          <t>COGS</t>
        </is>
      </c>
      <c r="B14" s="8" t="inlineStr">
        <is>
          <t>Manufacturing OH per unit</t>
        </is>
      </c>
      <c r="C14" s="9" t="n">
        <v>400</v>
      </c>
      <c r="D14" s="9" t="n">
        <v>360</v>
      </c>
      <c r="E14" s="9" t="n">
        <v>450</v>
      </c>
      <c r="F14" s="8" t="inlineStr">
        <is>
          <t>€/unit</t>
        </is>
      </c>
      <c r="G14" s="8" t="inlineStr">
        <is>
          <t>Factory overhead</t>
        </is>
      </c>
      <c r="H14" s="8" t="inlineStr">
        <is>
          <t>Input</t>
        </is>
      </c>
    </row>
    <row r="15">
      <c r="A15" s="8" t="inlineStr">
        <is>
          <t>OPEX</t>
        </is>
      </c>
      <c r="B15" s="8" t="inlineStr">
        <is>
          <t>Admin costs</t>
        </is>
      </c>
      <c r="C15" s="9" t="n">
        <v>1200000</v>
      </c>
      <c r="D15" s="9" t="n">
        <v>1100000</v>
      </c>
      <c r="E15" s="9" t="n">
        <v>1300000</v>
      </c>
      <c r="F15" s="8" t="inlineStr">
        <is>
          <t>€/year</t>
        </is>
      </c>
      <c r="G15" s="8" t="inlineStr">
        <is>
          <t>SG&amp;A</t>
        </is>
      </c>
      <c r="H15" s="8" t="inlineStr">
        <is>
          <t>Input</t>
        </is>
      </c>
    </row>
    <row r="16">
      <c r="A16" s="8" t="inlineStr">
        <is>
          <t>OPEX</t>
        </is>
      </c>
      <c r="B16" s="8" t="inlineStr">
        <is>
          <t>Sales costs</t>
        </is>
      </c>
      <c r="C16" s="9" t="n">
        <v>350000</v>
      </c>
      <c r="D16" s="9" t="n">
        <v>300000</v>
      </c>
      <c r="E16" s="9" t="n">
        <v>420000</v>
      </c>
      <c r="F16" s="8" t="inlineStr">
        <is>
          <t>€/year</t>
        </is>
      </c>
      <c r="G16" s="8" t="inlineStr">
        <is>
          <t>Commercial</t>
        </is>
      </c>
      <c r="H16" s="8" t="inlineStr">
        <is>
          <t>Input</t>
        </is>
      </c>
    </row>
    <row r="17">
      <c r="A17" s="8" t="inlineStr">
        <is>
          <t>OPEX</t>
        </is>
      </c>
      <c r="B17" s="8" t="inlineStr">
        <is>
          <t>Maintenance costs</t>
        </is>
      </c>
      <c r="C17" s="9" t="n">
        <v>250000</v>
      </c>
      <c r="D17" s="9" t="n">
        <v>220000</v>
      </c>
      <c r="E17" s="9" t="n">
        <v>300000</v>
      </c>
      <c r="F17" s="8" t="inlineStr">
        <is>
          <t>€/year</t>
        </is>
      </c>
      <c r="G17" s="8" t="inlineStr">
        <is>
          <t>Maintenance budget</t>
        </is>
      </c>
      <c r="H17" s="8" t="inlineStr">
        <is>
          <t>Input</t>
        </is>
      </c>
    </row>
    <row r="18">
      <c r="A18" s="8" t="inlineStr">
        <is>
          <t>CAPEX</t>
        </is>
      </c>
      <c r="B18" s="8" t="inlineStr">
        <is>
          <t>Land</t>
        </is>
      </c>
      <c r="C18" s="9" t="n">
        <v>1200000</v>
      </c>
      <c r="D18" s="9" t="n">
        <v>1200000</v>
      </c>
      <c r="E18" s="9" t="n">
        <v>1200000</v>
      </c>
      <c r="F18" s="8" t="inlineStr">
        <is>
          <t>€</t>
        </is>
      </c>
      <c r="G18" s="8" t="inlineStr">
        <is>
          <t>Land acquisition</t>
        </is>
      </c>
      <c r="H18" s="8" t="inlineStr">
        <is>
          <t>Input</t>
        </is>
      </c>
    </row>
    <row r="19">
      <c r="A19" s="8" t="inlineStr">
        <is>
          <t>CAPEX</t>
        </is>
      </c>
      <c r="B19" s="8" t="inlineStr">
        <is>
          <t>Construction</t>
        </is>
      </c>
      <c r="C19" s="9" t="n">
        <v>6500000</v>
      </c>
      <c r="D19" s="9" t="n">
        <v>6000000</v>
      </c>
      <c r="E19" s="9" t="n">
        <v>7200000</v>
      </c>
      <c r="F19" s="8" t="inlineStr">
        <is>
          <t>€</t>
        </is>
      </c>
      <c r="G19" s="8" t="inlineStr">
        <is>
          <t>Building and civil works</t>
        </is>
      </c>
      <c r="H19" s="8" t="inlineStr">
        <is>
          <t>Input</t>
        </is>
      </c>
    </row>
    <row r="20">
      <c r="A20" s="8" t="inlineStr">
        <is>
          <t>CAPEX</t>
        </is>
      </c>
      <c r="B20" s="8" t="inlineStr">
        <is>
          <t>Machinery</t>
        </is>
      </c>
      <c r="C20" s="9" t="n">
        <v>4000000</v>
      </c>
      <c r="D20" s="9" t="n">
        <v>3800000</v>
      </c>
      <c r="E20" s="9" t="n">
        <v>4500000</v>
      </c>
      <c r="F20" s="8" t="inlineStr">
        <is>
          <t>€</t>
        </is>
      </c>
      <c r="G20" s="8" t="inlineStr">
        <is>
          <t>Equipment</t>
        </is>
      </c>
      <c r="H20" s="8" t="inlineStr">
        <is>
          <t>Input</t>
        </is>
      </c>
    </row>
    <row r="21">
      <c r="A21" s="8" t="inlineStr">
        <is>
          <t>CAPEX</t>
        </is>
      </c>
      <c r="B21" s="8" t="inlineStr">
        <is>
          <t>Infrastructure</t>
        </is>
      </c>
      <c r="C21" s="9" t="n">
        <v>1000000</v>
      </c>
      <c r="D21" s="9" t="n">
        <v>900000</v>
      </c>
      <c r="E21" s="9" t="n">
        <v>1200000</v>
      </c>
      <c r="F21" s="8" t="inlineStr">
        <is>
          <t>€</t>
        </is>
      </c>
      <c r="G21" s="8" t="inlineStr">
        <is>
          <t>Utilities and infrastructure</t>
        </is>
      </c>
      <c r="H21" s="8" t="inlineStr">
        <is>
          <t>Input</t>
        </is>
      </c>
    </row>
    <row r="22">
      <c r="A22" s="8" t="inlineStr">
        <is>
          <t>CAPEX</t>
        </is>
      </c>
      <c r="B22" s="8" t="inlineStr">
        <is>
          <t>Contingency</t>
        </is>
      </c>
      <c r="C22" s="10" t="n">
        <v>0.1</v>
      </c>
      <c r="D22" s="10" t="n">
        <v>0.08</v>
      </c>
      <c r="E22" s="10" t="n">
        <v>0.12</v>
      </c>
      <c r="F22" s="8" t="inlineStr">
        <is>
          <t>%</t>
        </is>
      </c>
      <c r="G22" s="8" t="inlineStr">
        <is>
          <t>Contingency % on base CAPEX</t>
        </is>
      </c>
      <c r="H22" s="8" t="inlineStr">
        <is>
          <t>Input</t>
        </is>
      </c>
    </row>
    <row r="23">
      <c r="A23" s="8" t="inlineStr">
        <is>
          <t>Financing</t>
        </is>
      </c>
      <c r="B23" s="8" t="inlineStr">
        <is>
          <t>Debt ratio</t>
        </is>
      </c>
      <c r="C23" s="10" t="n">
        <v>0.6</v>
      </c>
      <c r="D23" s="10" t="n">
        <v>0.5</v>
      </c>
      <c r="E23" s="10" t="n">
        <v>0.65</v>
      </c>
      <c r="F23" s="8" t="inlineStr">
        <is>
          <t>%</t>
        </is>
      </c>
      <c r="G23" s="8" t="inlineStr">
        <is>
          <t>Senior debt share</t>
        </is>
      </c>
      <c r="H23" s="8" t="inlineStr">
        <is>
          <t>Input</t>
        </is>
      </c>
    </row>
    <row r="24">
      <c r="A24" s="8" t="inlineStr">
        <is>
          <t>Financing</t>
        </is>
      </c>
      <c r="B24" s="8" t="inlineStr">
        <is>
          <t>Interest rate</t>
        </is>
      </c>
      <c r="C24" s="10" t="n">
        <v>0.055</v>
      </c>
      <c r="D24" s="10" t="n">
        <v>0.05</v>
      </c>
      <c r="E24" s="10" t="n">
        <v>0.065</v>
      </c>
      <c r="F24" s="8" t="inlineStr">
        <is>
          <t>%</t>
        </is>
      </c>
      <c r="G24" s="8" t="inlineStr">
        <is>
          <t>Debt pricing</t>
        </is>
      </c>
      <c r="H24" s="8" t="inlineStr">
        <is>
          <t>Input</t>
        </is>
      </c>
    </row>
    <row r="25">
      <c r="A25" s="8" t="inlineStr">
        <is>
          <t>Financing</t>
        </is>
      </c>
      <c r="B25" s="8" t="inlineStr">
        <is>
          <t>Loan tenor</t>
        </is>
      </c>
      <c r="C25" s="9" t="n">
        <v>10</v>
      </c>
      <c r="D25" s="9" t="n">
        <v>8</v>
      </c>
      <c r="E25" s="9" t="n">
        <v>12</v>
      </c>
      <c r="F25" s="8" t="inlineStr">
        <is>
          <t>years</t>
        </is>
      </c>
      <c r="G25" s="8" t="inlineStr">
        <is>
          <t>Repayment tenor</t>
        </is>
      </c>
      <c r="H25" s="8" t="inlineStr">
        <is>
          <t>Input</t>
        </is>
      </c>
    </row>
    <row r="26">
      <c r="A26" s="8" t="inlineStr">
        <is>
          <t>Tax</t>
        </is>
      </c>
      <c r="B26" s="8" t="inlineStr">
        <is>
          <t>Corporate tax</t>
        </is>
      </c>
      <c r="C26" s="10" t="n">
        <v>0.09</v>
      </c>
      <c r="D26" s="10" t="n">
        <v>0.09</v>
      </c>
      <c r="E26" s="10" t="n">
        <v>0.09</v>
      </c>
      <c r="F26" s="8" t="inlineStr">
        <is>
          <t>%</t>
        </is>
      </c>
      <c r="G26" s="8" t="inlineStr">
        <is>
          <t>Montenegro CIT</t>
        </is>
      </c>
      <c r="H26" s="8" t="inlineStr">
        <is>
          <t>Input</t>
        </is>
      </c>
    </row>
    <row r="27">
      <c r="A27" s="8" t="inlineStr">
        <is>
          <t>Valuation</t>
        </is>
      </c>
      <c r="B27" s="8" t="inlineStr">
        <is>
          <t>Discount rate / WACC</t>
        </is>
      </c>
      <c r="C27" s="10" t="n">
        <v>0.1</v>
      </c>
      <c r="D27" s="10" t="n">
        <v>0.09</v>
      </c>
      <c r="E27" s="10" t="n">
        <v>0.12</v>
      </c>
      <c r="F27" s="8" t="inlineStr">
        <is>
          <t>%</t>
        </is>
      </c>
      <c r="G27" s="8" t="inlineStr">
        <is>
          <t>Project discount rate</t>
        </is>
      </c>
      <c r="H27" s="8" t="inlineStr">
        <is>
          <t>Input</t>
        </is>
      </c>
    </row>
  </sheetData>
  <printOptions gridLines="0"/>
  <pageMargins left="0.25" right="0.25" top="0.4" bottom="0.4" header="0.5" footer="0.5"/>
  <pageSetup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6" t="inlineStr">
        <is>
          <t>Scenario Manager</t>
        </is>
      </c>
    </row>
    <row r="2">
      <c r="A2" s="7" t="inlineStr">
        <is>
          <t>Select case multipliers for revenue, cost, CAPEX and financing</t>
        </is>
      </c>
    </row>
    <row r="4">
      <c r="A4" s="5" t="inlineStr">
        <is>
          <t>Scenario</t>
        </is>
      </c>
      <c r="B4" s="5" t="inlineStr">
        <is>
          <t>Revenue Mult.</t>
        </is>
      </c>
      <c r="C4" s="5" t="inlineStr">
        <is>
          <t>COGS Mult.</t>
        </is>
      </c>
      <c r="D4" s="5" t="inlineStr">
        <is>
          <t>OPEX Mult.</t>
        </is>
      </c>
      <c r="E4" s="5" t="inlineStr">
        <is>
          <t>CAPEX Mult.</t>
        </is>
      </c>
      <c r="F4" s="5" t="inlineStr">
        <is>
          <t>Rate Shock</t>
        </is>
      </c>
      <c r="G4" s="5" t="inlineStr">
        <is>
          <t>Comment</t>
        </is>
      </c>
    </row>
    <row r="5">
      <c r="A5" t="inlineStr">
        <is>
          <t>Base</t>
        </is>
      </c>
      <c r="B5" s="10" t="n">
        <v>1</v>
      </c>
      <c r="C5" s="10" t="n">
        <v>1</v>
      </c>
      <c r="D5" s="10" t="n">
        <v>1</v>
      </c>
      <c r="E5" s="10" t="n">
        <v>1</v>
      </c>
      <c r="F5" s="10" t="n">
        <v>0</v>
      </c>
      <c r="G5" t="inlineStr">
        <is>
          <t>Central case</t>
        </is>
      </c>
    </row>
    <row r="6">
      <c r="A6" t="inlineStr">
        <is>
          <t>Downside</t>
        </is>
      </c>
      <c r="B6" s="10" t="n">
        <v>0.9</v>
      </c>
      <c r="C6" s="10" t="n">
        <v>1.08</v>
      </c>
      <c r="D6" s="10" t="n">
        <v>1.05</v>
      </c>
      <c r="E6" s="10" t="n">
        <v>1.1</v>
      </c>
      <c r="F6" s="10" t="n">
        <v>0.01</v>
      </c>
      <c r="G6" t="inlineStr">
        <is>
          <t>Demand / inflation shock</t>
        </is>
      </c>
    </row>
    <row r="7">
      <c r="A7" t="inlineStr">
        <is>
          <t>Upside</t>
        </is>
      </c>
      <c r="B7" s="10" t="n">
        <v>1.08</v>
      </c>
      <c r="C7" s="10" t="n">
        <v>0.97</v>
      </c>
      <c r="D7" s="10" t="n">
        <v>0.98</v>
      </c>
      <c r="E7" s="10" t="n">
        <v>0.98</v>
      </c>
      <c r="F7" s="10" t="n">
        <v>-0.005</v>
      </c>
      <c r="G7" t="inlineStr">
        <is>
          <t>Strong pricing and efficiency</t>
        </is>
      </c>
    </row>
    <row r="9">
      <c r="A9" t="inlineStr">
        <is>
          <t>Selected Scenario</t>
        </is>
      </c>
      <c r="B9" s="11" t="inlineStr">
        <is>
          <t>Base</t>
        </is>
      </c>
    </row>
  </sheetData>
  <printOptions gridLines="0"/>
  <pageMargins left="0.25" right="0.25" top="0.4" bottom="0.4" header="0.5" footer="0.5"/>
  <pageSetup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Timebase</t>
        </is>
      </c>
    </row>
    <row r="2">
      <c r="A2" s="7" t="inlineStr">
        <is>
          <t>Operating years Y1-Y15</t>
        </is>
      </c>
    </row>
    <row r="4">
      <c r="A4" s="5" t="inlineStr">
        <is>
          <t>Metric</t>
        </is>
      </c>
      <c r="B4" t="inlineStr">
        <is>
          <t>Y1</t>
        </is>
      </c>
      <c r="C4" t="inlineStr">
        <is>
          <t>Y2</t>
        </is>
      </c>
      <c r="D4" t="inlineStr">
        <is>
          <t>Y3</t>
        </is>
      </c>
      <c r="E4" t="inlineStr">
        <is>
          <t>Y4</t>
        </is>
      </c>
      <c r="F4" t="inlineStr">
        <is>
          <t>Y5</t>
        </is>
      </c>
      <c r="G4" t="inlineStr">
        <is>
          <t>Y6</t>
        </is>
      </c>
      <c r="H4" t="inlineStr">
        <is>
          <t>Y7</t>
        </is>
      </c>
      <c r="I4" t="inlineStr">
        <is>
          <t>Y8</t>
        </is>
      </c>
      <c r="J4" t="inlineStr">
        <is>
          <t>Y9</t>
        </is>
      </c>
      <c r="K4" t="inlineStr">
        <is>
          <t>Y10</t>
        </is>
      </c>
      <c r="L4" t="inlineStr">
        <is>
          <t>Y11</t>
        </is>
      </c>
      <c r="M4" t="inlineStr">
        <is>
          <t>Y12</t>
        </is>
      </c>
      <c r="N4" t="inlineStr">
        <is>
          <t>Y13</t>
        </is>
      </c>
      <c r="O4" t="inlineStr">
        <is>
          <t>Y14</t>
        </is>
      </c>
      <c r="P4" t="inlineStr">
        <is>
          <t>Y15</t>
        </is>
      </c>
    </row>
    <row r="5">
      <c r="A5" t="inlineStr">
        <is>
          <t>Calendar Year</t>
        </is>
      </c>
      <c r="B5" t="n">
        <v>2027</v>
      </c>
      <c r="C5" t="n">
        <v>2028</v>
      </c>
      <c r="D5" t="n">
        <v>2029</v>
      </c>
      <c r="E5" t="n">
        <v>2030</v>
      </c>
      <c r="F5" t="n">
        <v>2031</v>
      </c>
      <c r="G5" t="n">
        <v>2032</v>
      </c>
      <c r="H5" t="n">
        <v>2033</v>
      </c>
      <c r="I5" t="n">
        <v>2034</v>
      </c>
      <c r="J5" t="n">
        <v>2035</v>
      </c>
      <c r="K5" t="n">
        <v>2036</v>
      </c>
      <c r="L5" t="n">
        <v>2037</v>
      </c>
      <c r="M5" t="n">
        <v>2038</v>
      </c>
      <c r="N5" t="n">
        <v>2039</v>
      </c>
      <c r="O5" t="n">
        <v>2040</v>
      </c>
      <c r="P5" t="n">
        <v>2041</v>
      </c>
    </row>
    <row r="6">
      <c r="A6" t="inlineStr">
        <is>
          <t>Operating Flag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Construction Flag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6" t="inlineStr">
        <is>
          <t>Production Model</t>
        </is>
      </c>
    </row>
    <row r="2">
      <c r="A2" s="7" t="inlineStr">
        <is>
          <t>Units produced by year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Installed Capacity</t>
        </is>
      </c>
      <c r="B5" s="12">
        <f>'002_Master_Assumptions'!C5</f>
        <v/>
      </c>
      <c r="C5" s="12">
        <f>'002_Master_Assumptions'!C5</f>
        <v/>
      </c>
      <c r="D5" s="12">
        <f>'002_Master_Assumptions'!C5</f>
        <v/>
      </c>
      <c r="E5" s="12">
        <f>'002_Master_Assumptions'!C5</f>
        <v/>
      </c>
      <c r="F5" s="12">
        <f>'002_Master_Assumptions'!C5</f>
        <v/>
      </c>
      <c r="G5" s="12">
        <f>'002_Master_Assumptions'!C5</f>
        <v/>
      </c>
      <c r="H5" s="12">
        <f>'002_Master_Assumptions'!C5</f>
        <v/>
      </c>
      <c r="I5" s="12">
        <f>'002_Master_Assumptions'!C5</f>
        <v/>
      </c>
      <c r="J5" s="12">
        <f>'002_Master_Assumptions'!C5</f>
        <v/>
      </c>
      <c r="K5" s="12">
        <f>'002_Master_Assumptions'!C5</f>
        <v/>
      </c>
      <c r="L5" s="12">
        <f>'002_Master_Assumptions'!C5</f>
        <v/>
      </c>
      <c r="M5" s="12">
        <f>'002_Master_Assumptions'!C5</f>
        <v/>
      </c>
      <c r="N5" s="12">
        <f>'002_Master_Assumptions'!C5</f>
        <v/>
      </c>
      <c r="O5" s="12">
        <f>'002_Master_Assumptions'!C5</f>
        <v/>
      </c>
      <c r="P5" s="12">
        <f>'002_Master_Assumptions'!C5</f>
        <v/>
      </c>
    </row>
    <row r="6">
      <c r="A6" t="inlineStr">
        <is>
          <t>Utilization</t>
        </is>
      </c>
      <c r="B6" s="13">
        <f>'002_Master_Assumptions'!C2</f>
        <v/>
      </c>
      <c r="C6" s="13">
        <f>'002_Master_Assumptions'!C3</f>
        <v/>
      </c>
      <c r="D6" s="13">
        <f>'002_Master_Assumptions'!C4</f>
        <v/>
      </c>
      <c r="E6" s="13">
        <f>'002_Master_Assumptions'!C5</f>
        <v/>
      </c>
      <c r="F6" s="13">
        <f>'002_Master_Assumptions'!C5</f>
        <v/>
      </c>
      <c r="G6" s="13">
        <f>'002_Master_Assumptions'!C5</f>
        <v/>
      </c>
      <c r="H6" s="13">
        <f>'002_Master_Assumptions'!C5</f>
        <v/>
      </c>
      <c r="I6" s="13">
        <f>'002_Master_Assumptions'!C5</f>
        <v/>
      </c>
      <c r="J6" s="13">
        <f>'002_Master_Assumptions'!C5</f>
        <v/>
      </c>
      <c r="K6" s="13">
        <f>'002_Master_Assumptions'!C5</f>
        <v/>
      </c>
      <c r="L6" s="13">
        <f>'002_Master_Assumptions'!C5</f>
        <v/>
      </c>
      <c r="M6" s="13">
        <f>'002_Master_Assumptions'!C5</f>
        <v/>
      </c>
      <c r="N6" s="13">
        <f>'002_Master_Assumptions'!C5</f>
        <v/>
      </c>
      <c r="O6" s="13">
        <f>'002_Master_Assumptions'!C5</f>
        <v/>
      </c>
      <c r="P6" s="13">
        <f>'002_Master_Assumptions'!C5</f>
        <v/>
      </c>
    </row>
    <row r="7">
      <c r="A7" t="inlineStr">
        <is>
          <t>Units Produced</t>
        </is>
      </c>
      <c r="B7" s="14">
        <f>B5*B6</f>
        <v/>
      </c>
      <c r="C7" s="14">
        <f>C5*C6</f>
        <v/>
      </c>
      <c r="D7" s="14">
        <f>D5*D6</f>
        <v/>
      </c>
      <c r="E7" s="14">
        <f>E5*E6</f>
        <v/>
      </c>
      <c r="F7" s="14">
        <f>F5*F6</f>
        <v/>
      </c>
      <c r="G7" s="14">
        <f>G5*G6</f>
        <v/>
      </c>
      <c r="H7" s="14">
        <f>H5*H6</f>
        <v/>
      </c>
      <c r="I7" s="14">
        <f>I5*I6</f>
        <v/>
      </c>
      <c r="J7" s="14">
        <f>J5*J6</f>
        <v/>
      </c>
      <c r="K7" s="14">
        <f>K5*K6</f>
        <v/>
      </c>
      <c r="L7" s="14">
        <f>L5*L6</f>
        <v/>
      </c>
      <c r="M7" s="14">
        <f>M5*M6</f>
        <v/>
      </c>
      <c r="N7" s="14">
        <f>N5*N6</f>
        <v/>
      </c>
      <c r="O7" s="14">
        <f>O5*O6</f>
        <v/>
      </c>
      <c r="P7" s="14">
        <f>P5*P6</f>
        <v/>
      </c>
    </row>
    <row r="9">
      <c r="A9" s="15" t="inlineStr">
        <is>
          <t>Source note: linked to Master Assumptions</t>
        </is>
      </c>
    </row>
  </sheetData>
  <printOptions gridLines="0"/>
  <pageMargins left="0.25" right="0.25" top="0.4" bottom="0.4" header="0.5" footer="0.5"/>
  <pageSetup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Revenue Model</t>
        </is>
      </c>
    </row>
    <row r="2">
      <c r="A2" s="7" t="inlineStr">
        <is>
          <t>Units × ASP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Units Sold</t>
        </is>
      </c>
      <c r="B5">
        <f>'010_Production_Model'!B7</f>
        <v/>
      </c>
      <c r="C5">
        <f>'010_Production_Model'!C7</f>
        <v/>
      </c>
      <c r="D5">
        <f>'010_Production_Model'!D7</f>
        <v/>
      </c>
      <c r="E5">
        <f>'010_Production_Model'!E7</f>
        <v/>
      </c>
      <c r="F5">
        <f>'010_Production_Model'!F7</f>
        <v/>
      </c>
      <c r="G5">
        <f>'010_Production_Model'!G7</f>
        <v/>
      </c>
      <c r="H5">
        <f>'010_Production_Model'!H7</f>
        <v/>
      </c>
      <c r="I5">
        <f>'010_Production_Model'!I7</f>
        <v/>
      </c>
      <c r="J5">
        <f>'010_Production_Model'!J7</f>
        <v/>
      </c>
      <c r="K5">
        <f>'010_Production_Model'!K7</f>
        <v/>
      </c>
      <c r="L5">
        <f>'010_Production_Model'!L7</f>
        <v/>
      </c>
      <c r="M5">
        <f>'010_Production_Model'!M7</f>
        <v/>
      </c>
      <c r="N5">
        <f>'010_Production_Model'!N7</f>
        <v/>
      </c>
      <c r="O5">
        <f>'010_Production_Model'!O7</f>
        <v/>
      </c>
      <c r="P5">
        <f>'010_Production_Model'!P7</f>
        <v/>
      </c>
    </row>
    <row r="6">
      <c r="A6" t="inlineStr">
        <is>
          <t>ASP</t>
        </is>
      </c>
      <c r="B6" s="16">
        <f>'002_Master_Assumptions'!C10</f>
        <v/>
      </c>
      <c r="C6" s="16">
        <f>'002_Master_Assumptions'!C10</f>
        <v/>
      </c>
      <c r="D6" s="16">
        <f>'002_Master_Assumptions'!C10</f>
        <v/>
      </c>
      <c r="E6" s="16">
        <f>'002_Master_Assumptions'!C10</f>
        <v/>
      </c>
      <c r="F6" s="16">
        <f>'002_Master_Assumptions'!C10</f>
        <v/>
      </c>
      <c r="G6" s="16">
        <f>'002_Master_Assumptions'!C10</f>
        <v/>
      </c>
      <c r="H6" s="16">
        <f>'002_Master_Assumptions'!C10</f>
        <v/>
      </c>
      <c r="I6" s="16">
        <f>'002_Master_Assumptions'!C10</f>
        <v/>
      </c>
      <c r="J6" s="16">
        <f>'002_Master_Assumptions'!C10</f>
        <v/>
      </c>
      <c r="K6" s="16">
        <f>'002_Master_Assumptions'!C10</f>
        <v/>
      </c>
      <c r="L6" s="16">
        <f>'002_Master_Assumptions'!C10</f>
        <v/>
      </c>
      <c r="M6" s="16">
        <f>'002_Master_Assumptions'!C10</f>
        <v/>
      </c>
      <c r="N6" s="16">
        <f>'002_Master_Assumptions'!C10</f>
        <v/>
      </c>
      <c r="O6" s="16">
        <f>'002_Master_Assumptions'!C10</f>
        <v/>
      </c>
      <c r="P6" s="16">
        <f>'002_Master_Assumptions'!C10</f>
        <v/>
      </c>
    </row>
    <row r="7">
      <c r="A7" t="inlineStr">
        <is>
          <t>Revenue</t>
        </is>
      </c>
      <c r="B7" s="16">
        <f>B5*B6</f>
        <v/>
      </c>
      <c r="C7" s="16">
        <f>C5*C6</f>
        <v/>
      </c>
      <c r="D7" s="16">
        <f>D5*D6</f>
        <v/>
      </c>
      <c r="E7" s="16">
        <f>E5*E6</f>
        <v/>
      </c>
      <c r="F7" s="16">
        <f>F5*F6</f>
        <v/>
      </c>
      <c r="G7" s="16">
        <f>G5*G6</f>
        <v/>
      </c>
      <c r="H7" s="16">
        <f>H5*H6</f>
        <v/>
      </c>
      <c r="I7" s="16">
        <f>I5*I6</f>
        <v/>
      </c>
      <c r="J7" s="16">
        <f>J5*J6</f>
        <v/>
      </c>
      <c r="K7" s="16">
        <f>K5*K6</f>
        <v/>
      </c>
      <c r="L7" s="16">
        <f>L5*L6</f>
        <v/>
      </c>
      <c r="M7" s="16">
        <f>M5*M6</f>
        <v/>
      </c>
      <c r="N7" s="16">
        <f>N5*N6</f>
        <v/>
      </c>
      <c r="O7" s="16">
        <f>O5*O6</f>
        <v/>
      </c>
      <c r="P7" s="16">
        <f>P5*P6</f>
        <v/>
      </c>
    </row>
  </sheetData>
  <printOptions gridLines="0"/>
  <pageMargins left="0.25" right="0.25" top="0.4" bottom="0.4" header="0.5" footer="0.5"/>
  <pageSetup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COGS Model</t>
        </is>
      </c>
    </row>
    <row r="2">
      <c r="A2" s="7" t="inlineStr">
        <is>
          <t>Unit costs and total cost of goods sold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Units</t>
        </is>
      </c>
      <c r="B5">
        <f>'010_Production_Model'!B7</f>
        <v/>
      </c>
      <c r="C5">
        <f>'010_Production_Model'!C7</f>
        <v/>
      </c>
      <c r="D5">
        <f>'010_Production_Model'!D7</f>
        <v/>
      </c>
      <c r="E5">
        <f>'010_Production_Model'!E7</f>
        <v/>
      </c>
      <c r="F5">
        <f>'010_Production_Model'!F7</f>
        <v/>
      </c>
      <c r="G5">
        <f>'010_Production_Model'!G7</f>
        <v/>
      </c>
      <c r="H5">
        <f>'010_Production_Model'!H7</f>
        <v/>
      </c>
      <c r="I5">
        <f>'010_Production_Model'!I7</f>
        <v/>
      </c>
      <c r="J5">
        <f>'010_Production_Model'!J7</f>
        <v/>
      </c>
      <c r="K5">
        <f>'010_Production_Model'!K7</f>
        <v/>
      </c>
      <c r="L5">
        <f>'010_Production_Model'!L7</f>
        <v/>
      </c>
      <c r="M5">
        <f>'010_Production_Model'!M7</f>
        <v/>
      </c>
      <c r="N5">
        <f>'010_Production_Model'!N7</f>
        <v/>
      </c>
      <c r="O5">
        <f>'010_Production_Model'!O7</f>
        <v/>
      </c>
      <c r="P5">
        <f>'010_Production_Model'!P7</f>
        <v/>
      </c>
    </row>
    <row r="6">
      <c r="A6" t="inlineStr">
        <is>
          <t>Steel/unit</t>
        </is>
      </c>
      <c r="B6" s="17">
        <f>'002_Master_Assumptions'!C11</f>
        <v/>
      </c>
      <c r="C6" s="17">
        <f>'002_Master_Assumptions'!C11</f>
        <v/>
      </c>
      <c r="D6" s="17">
        <f>'002_Master_Assumptions'!C11</f>
        <v/>
      </c>
      <c r="E6" s="17">
        <f>'002_Master_Assumptions'!C11</f>
        <v/>
      </c>
      <c r="F6" s="17">
        <f>'002_Master_Assumptions'!C11</f>
        <v/>
      </c>
      <c r="G6" s="17">
        <f>'002_Master_Assumptions'!C11</f>
        <v/>
      </c>
      <c r="H6" s="17">
        <f>'002_Master_Assumptions'!C11</f>
        <v/>
      </c>
      <c r="I6" s="17">
        <f>'002_Master_Assumptions'!C11</f>
        <v/>
      </c>
      <c r="J6" s="17">
        <f>'002_Master_Assumptions'!C11</f>
        <v/>
      </c>
      <c r="K6" s="17">
        <f>'002_Master_Assumptions'!C11</f>
        <v/>
      </c>
      <c r="L6" s="17">
        <f>'002_Master_Assumptions'!C11</f>
        <v/>
      </c>
      <c r="M6" s="17">
        <f>'002_Master_Assumptions'!C11</f>
        <v/>
      </c>
      <c r="N6" s="17">
        <f>'002_Master_Assumptions'!C11</f>
        <v/>
      </c>
      <c r="O6" s="17">
        <f>'002_Master_Assumptions'!C11</f>
        <v/>
      </c>
      <c r="P6" s="17">
        <f>'002_Master_Assumptions'!C11</f>
        <v/>
      </c>
    </row>
    <row r="7">
      <c r="A7" t="inlineStr">
        <is>
          <t>Energy/unit</t>
        </is>
      </c>
      <c r="B7" s="17">
        <f>'002_Master_Assumptions'!C12</f>
        <v/>
      </c>
      <c r="C7" s="17">
        <f>'002_Master_Assumptions'!C12</f>
        <v/>
      </c>
      <c r="D7" s="17">
        <f>'002_Master_Assumptions'!C12</f>
        <v/>
      </c>
      <c r="E7" s="17">
        <f>'002_Master_Assumptions'!C12</f>
        <v/>
      </c>
      <c r="F7" s="17">
        <f>'002_Master_Assumptions'!C12</f>
        <v/>
      </c>
      <c r="G7" s="17">
        <f>'002_Master_Assumptions'!C12</f>
        <v/>
      </c>
      <c r="H7" s="17">
        <f>'002_Master_Assumptions'!C12</f>
        <v/>
      </c>
      <c r="I7" s="17">
        <f>'002_Master_Assumptions'!C12</f>
        <v/>
      </c>
      <c r="J7" s="17">
        <f>'002_Master_Assumptions'!C12</f>
        <v/>
      </c>
      <c r="K7" s="17">
        <f>'002_Master_Assumptions'!C12</f>
        <v/>
      </c>
      <c r="L7" s="17">
        <f>'002_Master_Assumptions'!C12</f>
        <v/>
      </c>
      <c r="M7" s="17">
        <f>'002_Master_Assumptions'!C12</f>
        <v/>
      </c>
      <c r="N7" s="17">
        <f>'002_Master_Assumptions'!C12</f>
        <v/>
      </c>
      <c r="O7" s="17">
        <f>'002_Master_Assumptions'!C12</f>
        <v/>
      </c>
      <c r="P7" s="17">
        <f>'002_Master_Assumptions'!C12</f>
        <v/>
      </c>
    </row>
    <row r="8">
      <c r="A8" t="inlineStr">
        <is>
          <t>Labor/unit</t>
        </is>
      </c>
      <c r="B8" s="17">
        <f>'002_Master_Assumptions'!C13</f>
        <v/>
      </c>
      <c r="C8" s="17">
        <f>'002_Master_Assumptions'!C13</f>
        <v/>
      </c>
      <c r="D8" s="17">
        <f>'002_Master_Assumptions'!C13</f>
        <v/>
      </c>
      <c r="E8" s="17">
        <f>'002_Master_Assumptions'!C13</f>
        <v/>
      </c>
      <c r="F8" s="17">
        <f>'002_Master_Assumptions'!C13</f>
        <v/>
      </c>
      <c r="G8" s="17">
        <f>'002_Master_Assumptions'!C13</f>
        <v/>
      </c>
      <c r="H8" s="17">
        <f>'002_Master_Assumptions'!C13</f>
        <v/>
      </c>
      <c r="I8" s="17">
        <f>'002_Master_Assumptions'!C13</f>
        <v/>
      </c>
      <c r="J8" s="17">
        <f>'002_Master_Assumptions'!C13</f>
        <v/>
      </c>
      <c r="K8" s="17">
        <f>'002_Master_Assumptions'!C13</f>
        <v/>
      </c>
      <c r="L8" s="17">
        <f>'002_Master_Assumptions'!C13</f>
        <v/>
      </c>
      <c r="M8" s="17">
        <f>'002_Master_Assumptions'!C13</f>
        <v/>
      </c>
      <c r="N8" s="17">
        <f>'002_Master_Assumptions'!C13</f>
        <v/>
      </c>
      <c r="O8" s="17">
        <f>'002_Master_Assumptions'!C13</f>
        <v/>
      </c>
      <c r="P8" s="17">
        <f>'002_Master_Assumptions'!C13</f>
        <v/>
      </c>
    </row>
    <row r="9">
      <c r="A9" t="inlineStr">
        <is>
          <t>OH/unit</t>
        </is>
      </c>
      <c r="B9" s="17">
        <f>'002_Master_Assumptions'!C14</f>
        <v/>
      </c>
      <c r="C9" s="17">
        <f>'002_Master_Assumptions'!C14</f>
        <v/>
      </c>
      <c r="D9" s="17">
        <f>'002_Master_Assumptions'!C14</f>
        <v/>
      </c>
      <c r="E9" s="17">
        <f>'002_Master_Assumptions'!C14</f>
        <v/>
      </c>
      <c r="F9" s="17">
        <f>'002_Master_Assumptions'!C14</f>
        <v/>
      </c>
      <c r="G9" s="17">
        <f>'002_Master_Assumptions'!C14</f>
        <v/>
      </c>
      <c r="H9" s="17">
        <f>'002_Master_Assumptions'!C14</f>
        <v/>
      </c>
      <c r="I9" s="17">
        <f>'002_Master_Assumptions'!C14</f>
        <v/>
      </c>
      <c r="J9" s="17">
        <f>'002_Master_Assumptions'!C14</f>
        <v/>
      </c>
      <c r="K9" s="17">
        <f>'002_Master_Assumptions'!C14</f>
        <v/>
      </c>
      <c r="L9" s="17">
        <f>'002_Master_Assumptions'!C14</f>
        <v/>
      </c>
      <c r="M9" s="17">
        <f>'002_Master_Assumptions'!C14</f>
        <v/>
      </c>
      <c r="N9" s="17">
        <f>'002_Master_Assumptions'!C14</f>
        <v/>
      </c>
      <c r="O9" s="17">
        <f>'002_Master_Assumptions'!C14</f>
        <v/>
      </c>
      <c r="P9" s="17">
        <f>'002_Master_Assumptions'!C14</f>
        <v/>
      </c>
    </row>
    <row r="10">
      <c r="A10" t="inlineStr">
        <is>
          <t>Total COGS</t>
        </is>
      </c>
      <c r="B10" s="17">
        <f>B5*SUM(B6:B9)</f>
        <v/>
      </c>
      <c r="C10" s="17">
        <f>C5*SUM(C6:C9)</f>
        <v/>
      </c>
      <c r="D10" s="17">
        <f>D5*SUM(D6:D9)</f>
        <v/>
      </c>
      <c r="E10" s="17">
        <f>E5*SUM(E6:E9)</f>
        <v/>
      </c>
      <c r="F10" s="17">
        <f>F5*SUM(F6:F9)</f>
        <v/>
      </c>
      <c r="G10" s="17">
        <f>G5*SUM(G6:G9)</f>
        <v/>
      </c>
      <c r="H10" s="17">
        <f>H5*SUM(H6:H9)</f>
        <v/>
      </c>
      <c r="I10" s="17">
        <f>I5*SUM(I6:I9)</f>
        <v/>
      </c>
      <c r="J10" s="17">
        <f>J5*SUM(J6:J9)</f>
        <v/>
      </c>
      <c r="K10" s="17">
        <f>K5*SUM(K6:K9)</f>
        <v/>
      </c>
      <c r="L10" s="17">
        <f>L5*SUM(L6:L9)</f>
        <v/>
      </c>
      <c r="M10" s="17">
        <f>M5*SUM(M6:M9)</f>
        <v/>
      </c>
      <c r="N10" s="17">
        <f>N5*SUM(N6:N9)</f>
        <v/>
      </c>
      <c r="O10" s="17">
        <f>O5*SUM(O6:O9)</f>
        <v/>
      </c>
      <c r="P10" s="17">
        <f>P5*SUM(P6:P9)</f>
        <v/>
      </c>
    </row>
  </sheetData>
  <printOptions gridLines="0"/>
  <pageMargins left="0.25" right="0.25" top="0.4" bottom="0.4" header="0.5" footer="0.5"/>
  <pageSetup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OPEX Model</t>
        </is>
      </c>
    </row>
    <row r="2">
      <c r="A2" s="7" t="inlineStr">
        <is>
          <t>Operating expenses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Admin</t>
        </is>
      </c>
      <c r="B5" s="17">
        <f>'002_Master_Assumptions'!C15</f>
        <v/>
      </c>
      <c r="C5" s="17">
        <f>'002_Master_Assumptions'!C15</f>
        <v/>
      </c>
      <c r="D5" s="17">
        <f>'002_Master_Assumptions'!C15</f>
        <v/>
      </c>
      <c r="E5" s="17">
        <f>'002_Master_Assumptions'!C15</f>
        <v/>
      </c>
      <c r="F5" s="17">
        <f>'002_Master_Assumptions'!C15</f>
        <v/>
      </c>
      <c r="G5" s="17">
        <f>'002_Master_Assumptions'!C15</f>
        <v/>
      </c>
      <c r="H5" s="17">
        <f>'002_Master_Assumptions'!C15</f>
        <v/>
      </c>
      <c r="I5" s="17">
        <f>'002_Master_Assumptions'!C15</f>
        <v/>
      </c>
      <c r="J5" s="17">
        <f>'002_Master_Assumptions'!C15</f>
        <v/>
      </c>
      <c r="K5" s="17">
        <f>'002_Master_Assumptions'!C15</f>
        <v/>
      </c>
      <c r="L5" s="17">
        <f>'002_Master_Assumptions'!C15</f>
        <v/>
      </c>
      <c r="M5" s="17">
        <f>'002_Master_Assumptions'!C15</f>
        <v/>
      </c>
      <c r="N5" s="17">
        <f>'002_Master_Assumptions'!C15</f>
        <v/>
      </c>
      <c r="O5" s="17">
        <f>'002_Master_Assumptions'!C15</f>
        <v/>
      </c>
      <c r="P5" s="17">
        <f>'002_Master_Assumptions'!C15</f>
        <v/>
      </c>
    </row>
    <row r="6">
      <c r="A6" t="inlineStr">
        <is>
          <t>Sales</t>
        </is>
      </c>
      <c r="B6" s="17">
        <f>'002_Master_Assumptions'!C16</f>
        <v/>
      </c>
      <c r="C6" s="17">
        <f>'002_Master_Assumptions'!C16</f>
        <v/>
      </c>
      <c r="D6" s="17">
        <f>'002_Master_Assumptions'!C16</f>
        <v/>
      </c>
      <c r="E6" s="17">
        <f>'002_Master_Assumptions'!C16</f>
        <v/>
      </c>
      <c r="F6" s="17">
        <f>'002_Master_Assumptions'!C16</f>
        <v/>
      </c>
      <c r="G6" s="17">
        <f>'002_Master_Assumptions'!C16</f>
        <v/>
      </c>
      <c r="H6" s="17">
        <f>'002_Master_Assumptions'!C16</f>
        <v/>
      </c>
      <c r="I6" s="17">
        <f>'002_Master_Assumptions'!C16</f>
        <v/>
      </c>
      <c r="J6" s="17">
        <f>'002_Master_Assumptions'!C16</f>
        <v/>
      </c>
      <c r="K6" s="17">
        <f>'002_Master_Assumptions'!C16</f>
        <v/>
      </c>
      <c r="L6" s="17">
        <f>'002_Master_Assumptions'!C16</f>
        <v/>
      </c>
      <c r="M6" s="17">
        <f>'002_Master_Assumptions'!C16</f>
        <v/>
      </c>
      <c r="N6" s="17">
        <f>'002_Master_Assumptions'!C16</f>
        <v/>
      </c>
      <c r="O6" s="17">
        <f>'002_Master_Assumptions'!C16</f>
        <v/>
      </c>
      <c r="P6" s="17">
        <f>'002_Master_Assumptions'!C16</f>
        <v/>
      </c>
    </row>
    <row r="7">
      <c r="A7" t="inlineStr">
        <is>
          <t>Maintenance</t>
        </is>
      </c>
      <c r="B7" s="17">
        <f>'002_Master_Assumptions'!C17</f>
        <v/>
      </c>
      <c r="C7" s="17">
        <f>'002_Master_Assumptions'!C17</f>
        <v/>
      </c>
      <c r="D7" s="17">
        <f>'002_Master_Assumptions'!C17</f>
        <v/>
      </c>
      <c r="E7" s="17">
        <f>'002_Master_Assumptions'!C17</f>
        <v/>
      </c>
      <c r="F7" s="17">
        <f>'002_Master_Assumptions'!C17</f>
        <v/>
      </c>
      <c r="G7" s="17">
        <f>'002_Master_Assumptions'!C17</f>
        <v/>
      </c>
      <c r="H7" s="17">
        <f>'002_Master_Assumptions'!C17</f>
        <v/>
      </c>
      <c r="I7" s="17">
        <f>'002_Master_Assumptions'!C17</f>
        <v/>
      </c>
      <c r="J7" s="17">
        <f>'002_Master_Assumptions'!C17</f>
        <v/>
      </c>
      <c r="K7" s="17">
        <f>'002_Master_Assumptions'!C17</f>
        <v/>
      </c>
      <c r="L7" s="17">
        <f>'002_Master_Assumptions'!C17</f>
        <v/>
      </c>
      <c r="M7" s="17">
        <f>'002_Master_Assumptions'!C17</f>
        <v/>
      </c>
      <c r="N7" s="17">
        <f>'002_Master_Assumptions'!C17</f>
        <v/>
      </c>
      <c r="O7" s="17">
        <f>'002_Master_Assumptions'!C17</f>
        <v/>
      </c>
      <c r="P7" s="17">
        <f>'002_Master_Assumptions'!C17</f>
        <v/>
      </c>
    </row>
    <row r="8">
      <c r="A8" t="inlineStr">
        <is>
          <t>Total OPEX</t>
        </is>
      </c>
      <c r="B8" s="17">
        <f>SUM(B5:B7)</f>
        <v/>
      </c>
      <c r="C8" s="17">
        <f>SUM(C5:C7)</f>
        <v/>
      </c>
      <c r="D8" s="17">
        <f>SUM(D5:D7)</f>
        <v/>
      </c>
      <c r="E8" s="17">
        <f>SUM(E5:E7)</f>
        <v/>
      </c>
      <c r="F8" s="17">
        <f>SUM(F5:F7)</f>
        <v/>
      </c>
      <c r="G8" s="17">
        <f>SUM(G5:G7)</f>
        <v/>
      </c>
      <c r="H8" s="17">
        <f>SUM(H5:H7)</f>
        <v/>
      </c>
      <c r="I8" s="17">
        <f>SUM(I5:I7)</f>
        <v/>
      </c>
      <c r="J8" s="17">
        <f>SUM(J5:J7)</f>
        <v/>
      </c>
      <c r="K8" s="17">
        <f>SUM(K5:K7)</f>
        <v/>
      </c>
      <c r="L8" s="17">
        <f>SUM(L5:L7)</f>
        <v/>
      </c>
      <c r="M8" s="17">
        <f>SUM(M5:M7)</f>
        <v/>
      </c>
      <c r="N8" s="17">
        <f>SUM(N5:N7)</f>
        <v/>
      </c>
      <c r="O8" s="17">
        <f>SUM(O5:O7)</f>
        <v/>
      </c>
      <c r="P8" s="17">
        <f>SUM(P5:P7)</f>
        <v/>
      </c>
    </row>
  </sheetData>
  <printOptions gridLines="0"/>
  <pageMargins left="0.25" right="0.25" top="0.4" bottom="0.4" header="0.5" footer="0.5"/>
  <pageSetup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6" t="inlineStr">
        <is>
          <t>CAPEX Model</t>
        </is>
      </c>
    </row>
    <row r="2">
      <c r="A2" s="7" t="inlineStr">
        <is>
          <t>Base CAPEX and contingency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t="inlineStr">
        <is>
          <t>Land</t>
        </is>
      </c>
      <c r="B5" s="16">
        <f>'002_Master_Assumptions'!C18</f>
        <v/>
      </c>
    </row>
    <row r="6">
      <c r="A6" t="inlineStr">
        <is>
          <t>Construction</t>
        </is>
      </c>
      <c r="B6" s="16">
        <f>'002_Master_Assumptions'!C19</f>
        <v/>
      </c>
    </row>
    <row r="7">
      <c r="A7" t="inlineStr">
        <is>
          <t>Machinery</t>
        </is>
      </c>
      <c r="B7" s="16">
        <f>'002_Master_Assumptions'!C20</f>
        <v/>
      </c>
    </row>
    <row r="8">
      <c r="A8" t="inlineStr">
        <is>
          <t>Infrastructure</t>
        </is>
      </c>
      <c r="B8" s="16">
        <f>'002_Master_Assumptions'!C21</f>
        <v/>
      </c>
    </row>
    <row r="9">
      <c r="A9" t="inlineStr">
        <is>
          <t>Base CAPEX</t>
        </is>
      </c>
      <c r="B9" s="16">
        <f>SUM(B5:B8)</f>
        <v/>
      </c>
    </row>
    <row r="10">
      <c r="A10" t="inlineStr">
        <is>
          <t>Contingency %</t>
        </is>
      </c>
      <c r="B10" s="18">
        <f>'002_Master_Assumptions'!C22</f>
        <v/>
      </c>
    </row>
    <row r="11">
      <c r="A11" t="inlineStr">
        <is>
          <t>Contingency</t>
        </is>
      </c>
      <c r="B11" s="16">
        <f>B9*B10</f>
        <v/>
      </c>
    </row>
    <row r="12">
      <c r="A12" t="inlineStr">
        <is>
          <t>Total CAPEX</t>
        </is>
      </c>
      <c r="B12" s="16">
        <f>B9+B11</f>
        <v/>
      </c>
    </row>
  </sheetData>
  <printOptions gridLines="0"/>
  <pageMargins left="0.25" right="0.25" top="0.4" bottom="0.4" header="0.5" footer="0.5"/>
  <pageSetup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6" t="inlineStr">
        <is>
          <t>Financing Model</t>
        </is>
      </c>
    </row>
    <row r="2">
      <c r="A2" s="7" t="inlineStr">
        <is>
          <t>Sources and debt sizing</t>
        </is>
      </c>
    </row>
    <row r="4">
      <c r="A4" s="5" t="inlineStr">
        <is>
          <t>Metric</t>
        </is>
      </c>
      <c r="B4" s="5" t="inlineStr">
        <is>
          <t>Value</t>
        </is>
      </c>
    </row>
    <row r="5">
      <c r="A5" t="inlineStr">
        <is>
          <t>Total CAPEX</t>
        </is>
      </c>
      <c r="B5" s="16">
        <f>'014_CAPEX_Model'!B12</f>
        <v/>
      </c>
    </row>
    <row r="6">
      <c r="A6" t="inlineStr">
        <is>
          <t>Debt Ratio</t>
        </is>
      </c>
      <c r="B6" s="18">
        <f>'002_Master_Assumptions'!C23</f>
        <v/>
      </c>
    </row>
    <row r="7">
      <c r="A7" t="inlineStr">
        <is>
          <t>Debt Amount</t>
        </is>
      </c>
      <c r="B7" s="16">
        <f>B5*B6</f>
        <v/>
      </c>
    </row>
    <row r="8">
      <c r="A8" t="inlineStr">
        <is>
          <t>Equity Amount</t>
        </is>
      </c>
      <c r="B8" s="16">
        <f>B5-B7</f>
        <v/>
      </c>
    </row>
    <row r="9">
      <c r="A9" t="inlineStr">
        <is>
          <t>Interest Rate</t>
        </is>
      </c>
      <c r="B9" s="18">
        <f>'002_Master_Assumptions'!C24</f>
        <v/>
      </c>
    </row>
    <row r="10">
      <c r="A10" t="inlineStr">
        <is>
          <t>Loan Tenor</t>
        </is>
      </c>
      <c r="B10">
        <f>'002_Master_Assumptions'!C25</f>
        <v/>
      </c>
    </row>
  </sheetData>
  <printOptions gridLines="0"/>
  <pageMargins left="0.25" right="0.25" top="0.4" bottom="0.4" header="0.5" footer="0.5"/>
  <pageSetup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Debt Schedule</t>
        </is>
      </c>
    </row>
    <row r="2">
      <c r="A2" s="7" t="inlineStr">
        <is>
          <t>Straight-line debt repayment example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Opening Debt</t>
        </is>
      </c>
      <c r="B5" s="17">
        <f>'015_Financing_Model'!B7</f>
        <v/>
      </c>
      <c r="C5" s="17">
        <f>B9</f>
        <v/>
      </c>
      <c r="D5" s="17">
        <f>C9</f>
        <v/>
      </c>
      <c r="E5" s="17">
        <f>D9</f>
        <v/>
      </c>
      <c r="F5" s="17">
        <f>E9</f>
        <v/>
      </c>
      <c r="G5" s="17">
        <f>F9</f>
        <v/>
      </c>
      <c r="H5" s="17">
        <f>G9</f>
        <v/>
      </c>
      <c r="I5" s="17">
        <f>H9</f>
        <v/>
      </c>
      <c r="J5" s="17">
        <f>I9</f>
        <v/>
      </c>
      <c r="K5" s="17">
        <f>J9</f>
        <v/>
      </c>
      <c r="L5" s="17">
        <f>K9</f>
        <v/>
      </c>
      <c r="M5" s="17">
        <f>L9</f>
        <v/>
      </c>
      <c r="N5" s="17">
        <f>M9</f>
        <v/>
      </c>
      <c r="O5" s="17">
        <f>N9</f>
        <v/>
      </c>
      <c r="P5" s="17">
        <f>O9</f>
        <v/>
      </c>
    </row>
    <row r="6">
      <c r="A6" t="inlineStr">
        <is>
          <t>Interest</t>
        </is>
      </c>
      <c r="B6" s="17">
        <f>B5*'015_Financing_Model'!B9</f>
        <v/>
      </c>
      <c r="C6" s="17">
        <f>C5*'015_Financing_Model'!B9</f>
        <v/>
      </c>
      <c r="D6" s="17">
        <f>D5*'015_Financing_Model'!B9</f>
        <v/>
      </c>
      <c r="E6" s="17">
        <f>E5*'015_Financing_Model'!B9</f>
        <v/>
      </c>
      <c r="F6" s="17">
        <f>F5*'015_Financing_Model'!B9</f>
        <v/>
      </c>
      <c r="G6" s="17">
        <f>G5*'015_Financing_Model'!B9</f>
        <v/>
      </c>
      <c r="H6" s="17">
        <f>H5*'015_Financing_Model'!B9</f>
        <v/>
      </c>
      <c r="I6" s="17">
        <f>I5*'015_Financing_Model'!B9</f>
        <v/>
      </c>
      <c r="J6" s="17">
        <f>J5*'015_Financing_Model'!B9</f>
        <v/>
      </c>
      <c r="K6" s="17">
        <f>K5*'015_Financing_Model'!B9</f>
        <v/>
      </c>
      <c r="L6" s="17">
        <f>L5*'015_Financing_Model'!B9</f>
        <v/>
      </c>
      <c r="M6" s="17">
        <f>M5*'015_Financing_Model'!B9</f>
        <v/>
      </c>
      <c r="N6" s="17">
        <f>N5*'015_Financing_Model'!B9</f>
        <v/>
      </c>
      <c r="O6" s="17">
        <f>O5*'015_Financing_Model'!B9</f>
        <v/>
      </c>
      <c r="P6" s="17">
        <f>P5*'015_Financing_Model'!B9</f>
        <v/>
      </c>
    </row>
    <row r="7">
      <c r="A7" t="inlineStr">
        <is>
          <t>Principal</t>
        </is>
      </c>
      <c r="B7" s="17">
        <f>IF(COLUMN()&lt;=11,'015_Financing_Model'!B7/'015_Financing_Model'!B10,0)</f>
        <v/>
      </c>
      <c r="C7" s="17">
        <f>IF(COLUMN()&lt;=11,'015_Financing_Model'!B7/'015_Financing_Model'!B10,0)</f>
        <v/>
      </c>
      <c r="D7" s="17">
        <f>IF(COLUMN()&lt;=11,'015_Financing_Model'!B7/'015_Financing_Model'!B10,0)</f>
        <v/>
      </c>
      <c r="E7" s="17">
        <f>IF(COLUMN()&lt;=11,'015_Financing_Model'!B7/'015_Financing_Model'!B10,0)</f>
        <v/>
      </c>
      <c r="F7" s="17">
        <f>IF(COLUMN()&lt;=11,'015_Financing_Model'!B7/'015_Financing_Model'!B10,0)</f>
        <v/>
      </c>
      <c r="G7" s="17">
        <f>IF(COLUMN()&lt;=11,'015_Financing_Model'!B7/'015_Financing_Model'!B10,0)</f>
        <v/>
      </c>
      <c r="H7" s="17">
        <f>IF(COLUMN()&lt;=11,'015_Financing_Model'!B7/'015_Financing_Model'!B10,0)</f>
        <v/>
      </c>
      <c r="I7" s="17">
        <f>IF(COLUMN()&lt;=11,'015_Financing_Model'!B7/'015_Financing_Model'!B10,0)</f>
        <v/>
      </c>
      <c r="J7" s="17">
        <f>IF(COLUMN()&lt;=11,'015_Financing_Model'!B7/'015_Financing_Model'!B10,0)</f>
        <v/>
      </c>
      <c r="K7" s="17">
        <f>IF(COLUMN()&lt;=11,'015_Financing_Model'!B7/'015_Financing_Model'!B10,0)</f>
        <v/>
      </c>
      <c r="L7" s="17">
        <f>IF(COLUMN()&lt;=11,'015_Financing_Model'!B7/'015_Financing_Model'!B10,0)</f>
        <v/>
      </c>
      <c r="M7" s="17">
        <f>IF(COLUMN()&lt;=11,'015_Financing_Model'!B7/'015_Financing_Model'!B10,0)</f>
        <v/>
      </c>
      <c r="N7" s="17">
        <f>IF(COLUMN()&lt;=11,'015_Financing_Model'!B7/'015_Financing_Model'!B10,0)</f>
        <v/>
      </c>
      <c r="O7" s="17">
        <f>IF(COLUMN()&lt;=11,'015_Financing_Model'!B7/'015_Financing_Model'!B10,0)</f>
        <v/>
      </c>
      <c r="P7" s="17">
        <f>IF(COLUMN()&lt;=11,'015_Financing_Model'!B7/'015_Financing_Model'!B10,0)</f>
        <v/>
      </c>
    </row>
    <row r="8">
      <c r="A8" t="inlineStr">
        <is>
          <t>Debt Service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7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  <c r="L8" s="17">
        <f>L6+L7</f>
        <v/>
      </c>
      <c r="M8" s="17">
        <f>M6+M7</f>
        <v/>
      </c>
      <c r="N8" s="17">
        <f>N6+N7</f>
        <v/>
      </c>
      <c r="O8" s="17">
        <f>O6+O7</f>
        <v/>
      </c>
      <c r="P8" s="17">
        <f>P6+P7</f>
        <v/>
      </c>
    </row>
    <row r="9">
      <c r="A9" t="inlineStr">
        <is>
          <t>Closing Debt</t>
        </is>
      </c>
      <c r="B9" s="17">
        <f>MAX(0,B5-B7)</f>
        <v/>
      </c>
      <c r="C9" s="17">
        <f>MAX(0,C5-C7)</f>
        <v/>
      </c>
      <c r="D9" s="17">
        <f>MAX(0,D5-D7)</f>
        <v/>
      </c>
      <c r="E9" s="17">
        <f>MAX(0,E5-E7)</f>
        <v/>
      </c>
      <c r="F9" s="17">
        <f>MAX(0,F5-F7)</f>
        <v/>
      </c>
      <c r="G9" s="17">
        <f>MAX(0,G5-G7)</f>
        <v/>
      </c>
      <c r="H9" s="17">
        <f>MAX(0,H5-H7)</f>
        <v/>
      </c>
      <c r="I9" s="17">
        <f>MAX(0,I5-I7)</f>
        <v/>
      </c>
      <c r="J9" s="17">
        <f>MAX(0,J5-J7)</f>
        <v/>
      </c>
      <c r="K9" s="17">
        <f>MAX(0,K5-K7)</f>
        <v/>
      </c>
      <c r="L9" s="17">
        <f>MAX(0,L5-L7)</f>
        <v/>
      </c>
      <c r="M9" s="17">
        <f>MAX(0,M5-M7)</f>
        <v/>
      </c>
      <c r="N9" s="17">
        <f>MAX(0,N5-N7)</f>
        <v/>
      </c>
      <c r="O9" s="17">
        <f>MAX(0,O5-O7)</f>
        <v/>
      </c>
      <c r="P9" s="17">
        <f>MAX(0,P5-P7)</f>
        <v/>
      </c>
    </row>
  </sheetData>
  <printOptions gridLines="0"/>
  <pageMargins left="0.25" right="0.25" top="0.4" bottom="0.4" header="0.5" footer="0.5"/>
  <pageSetup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6" t="inlineStr">
        <is>
          <t>Income Statement</t>
        </is>
      </c>
    </row>
    <row r="2">
      <c r="A2" s="7" t="inlineStr">
        <is>
          <t>P&amp;L build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Revenue</t>
        </is>
      </c>
      <c r="B5" s="17">
        <f>'011_Revenue_Model'!B7</f>
        <v/>
      </c>
      <c r="C5" s="17">
        <f>'011_Revenue_Model'!C7</f>
        <v/>
      </c>
      <c r="D5" s="17">
        <f>'011_Revenue_Model'!D7</f>
        <v/>
      </c>
      <c r="E5" s="17">
        <f>'011_Revenue_Model'!E7</f>
        <v/>
      </c>
      <c r="F5" s="17">
        <f>'011_Revenue_Model'!F7</f>
        <v/>
      </c>
      <c r="G5" s="17">
        <f>'011_Revenue_Model'!G7</f>
        <v/>
      </c>
      <c r="H5" s="17">
        <f>'011_Revenue_Model'!H7</f>
        <v/>
      </c>
      <c r="I5" s="17">
        <f>'011_Revenue_Model'!I7</f>
        <v/>
      </c>
      <c r="J5" s="17">
        <f>'011_Revenue_Model'!J7</f>
        <v/>
      </c>
      <c r="K5" s="17">
        <f>'011_Revenue_Model'!K7</f>
        <v/>
      </c>
      <c r="L5" s="17">
        <f>'011_Revenue_Model'!L7</f>
        <v/>
      </c>
      <c r="M5" s="17">
        <f>'011_Revenue_Model'!M7</f>
        <v/>
      </c>
      <c r="N5" s="17">
        <f>'011_Revenue_Model'!N7</f>
        <v/>
      </c>
      <c r="O5" s="17">
        <f>'011_Revenue_Model'!O7</f>
        <v/>
      </c>
      <c r="P5" s="17">
        <f>'011_Revenue_Model'!P7</f>
        <v/>
      </c>
    </row>
    <row r="6">
      <c r="A6" t="inlineStr">
        <is>
          <t>COGS</t>
        </is>
      </c>
      <c r="B6" s="17">
        <f>'012_COGS_Model'!B10</f>
        <v/>
      </c>
      <c r="C6" s="17">
        <f>'012_COGS_Model'!C10</f>
        <v/>
      </c>
      <c r="D6" s="17">
        <f>'012_COGS_Model'!D10</f>
        <v/>
      </c>
      <c r="E6" s="17">
        <f>'012_COGS_Model'!E10</f>
        <v/>
      </c>
      <c r="F6" s="17">
        <f>'012_COGS_Model'!F10</f>
        <v/>
      </c>
      <c r="G6" s="17">
        <f>'012_COGS_Model'!G10</f>
        <v/>
      </c>
      <c r="H6" s="17">
        <f>'012_COGS_Model'!H10</f>
        <v/>
      </c>
      <c r="I6" s="17">
        <f>'012_COGS_Model'!I10</f>
        <v/>
      </c>
      <c r="J6" s="17">
        <f>'012_COGS_Model'!J10</f>
        <v/>
      </c>
      <c r="K6" s="17">
        <f>'012_COGS_Model'!K10</f>
        <v/>
      </c>
      <c r="L6" s="17">
        <f>'012_COGS_Model'!L10</f>
        <v/>
      </c>
      <c r="M6" s="17">
        <f>'012_COGS_Model'!M10</f>
        <v/>
      </c>
      <c r="N6" s="17">
        <f>'012_COGS_Model'!N10</f>
        <v/>
      </c>
      <c r="O6" s="17">
        <f>'012_COGS_Model'!O10</f>
        <v/>
      </c>
      <c r="P6" s="17">
        <f>'012_COGS_Model'!P10</f>
        <v/>
      </c>
    </row>
    <row r="7">
      <c r="A7" t="inlineStr">
        <is>
          <t>Gross Profit</t>
        </is>
      </c>
      <c r="B7" s="17">
        <f>B5-B6</f>
        <v/>
      </c>
      <c r="C7" s="17">
        <f>C5-C6</f>
        <v/>
      </c>
      <c r="D7" s="17">
        <f>D5-D6</f>
        <v/>
      </c>
      <c r="E7" s="17">
        <f>E5-E6</f>
        <v/>
      </c>
      <c r="F7" s="17">
        <f>F5-F6</f>
        <v/>
      </c>
      <c r="G7" s="17">
        <f>G5-G6</f>
        <v/>
      </c>
      <c r="H7" s="17">
        <f>H5-H6</f>
        <v/>
      </c>
      <c r="I7" s="17">
        <f>I5-I6</f>
        <v/>
      </c>
      <c r="J7" s="17">
        <f>J5-J6</f>
        <v/>
      </c>
      <c r="K7" s="17">
        <f>K5-K6</f>
        <v/>
      </c>
      <c r="L7" s="17">
        <f>L5-L6</f>
        <v/>
      </c>
      <c r="M7" s="17">
        <f>M5-M6</f>
        <v/>
      </c>
      <c r="N7" s="17">
        <f>N5-N6</f>
        <v/>
      </c>
      <c r="O7" s="17">
        <f>O5-O6</f>
        <v/>
      </c>
      <c r="P7" s="17">
        <f>P5-P6</f>
        <v/>
      </c>
    </row>
    <row r="8">
      <c r="A8" t="inlineStr">
        <is>
          <t>OPEX</t>
        </is>
      </c>
      <c r="B8" s="17">
        <f>'013_OPEX_Model'!B8</f>
        <v/>
      </c>
      <c r="C8" s="17">
        <f>'013_OPEX_Model'!C8</f>
        <v/>
      </c>
      <c r="D8" s="17">
        <f>'013_OPEX_Model'!D8</f>
        <v/>
      </c>
      <c r="E8" s="17">
        <f>'013_OPEX_Model'!E8</f>
        <v/>
      </c>
      <c r="F8" s="17">
        <f>'013_OPEX_Model'!F8</f>
        <v/>
      </c>
      <c r="G8" s="17">
        <f>'013_OPEX_Model'!G8</f>
        <v/>
      </c>
      <c r="H8" s="17">
        <f>'013_OPEX_Model'!H8</f>
        <v/>
      </c>
      <c r="I8" s="17">
        <f>'013_OPEX_Model'!I8</f>
        <v/>
      </c>
      <c r="J8" s="17">
        <f>'013_OPEX_Model'!J8</f>
        <v/>
      </c>
      <c r="K8" s="17">
        <f>'013_OPEX_Model'!K8</f>
        <v/>
      </c>
      <c r="L8" s="17">
        <f>'013_OPEX_Model'!L8</f>
        <v/>
      </c>
      <c r="M8" s="17">
        <f>'013_OPEX_Model'!M8</f>
        <v/>
      </c>
      <c r="N8" s="17">
        <f>'013_OPEX_Model'!N8</f>
        <v/>
      </c>
      <c r="O8" s="17">
        <f>'013_OPEX_Model'!O8</f>
        <v/>
      </c>
      <c r="P8" s="17">
        <f>'013_OPEX_Model'!P8</f>
        <v/>
      </c>
    </row>
    <row r="9">
      <c r="A9" t="inlineStr">
        <is>
          <t>EBITDA</t>
        </is>
      </c>
      <c r="B9" s="17">
        <f>B7-B8</f>
        <v/>
      </c>
      <c r="C9" s="17">
        <f>C7-C8</f>
        <v/>
      </c>
      <c r="D9" s="17">
        <f>D7-D8</f>
        <v/>
      </c>
      <c r="E9" s="17">
        <f>E7-E8</f>
        <v/>
      </c>
      <c r="F9" s="17">
        <f>F7-F8</f>
        <v/>
      </c>
      <c r="G9" s="17">
        <f>G7-G8</f>
        <v/>
      </c>
      <c r="H9" s="17">
        <f>H7-H8</f>
        <v/>
      </c>
      <c r="I9" s="17">
        <f>I7-I8</f>
        <v/>
      </c>
      <c r="J9" s="17">
        <f>J7-J8</f>
        <v/>
      </c>
      <c r="K9" s="17">
        <f>K7-K8</f>
        <v/>
      </c>
      <c r="L9" s="17">
        <f>L7-L8</f>
        <v/>
      </c>
      <c r="M9" s="17">
        <f>M7-M8</f>
        <v/>
      </c>
      <c r="N9" s="17">
        <f>N7-N8</f>
        <v/>
      </c>
      <c r="O9" s="17">
        <f>O7-O8</f>
        <v/>
      </c>
      <c r="P9" s="17">
        <f>P7-P8</f>
        <v/>
      </c>
    </row>
    <row r="10">
      <c r="A10" t="inlineStr">
        <is>
          <t>Depreciation</t>
        </is>
      </c>
      <c r="B10" s="17">
        <f>0</f>
        <v/>
      </c>
      <c r="C10" s="17">
        <f>0</f>
        <v/>
      </c>
      <c r="D10" s="17">
        <f>0</f>
        <v/>
      </c>
      <c r="E10" s="17">
        <f>0</f>
        <v/>
      </c>
      <c r="F10" s="17">
        <f>0</f>
        <v/>
      </c>
      <c r="G10" s="17">
        <f>0</f>
        <v/>
      </c>
      <c r="H10" s="17">
        <f>0</f>
        <v/>
      </c>
      <c r="I10" s="17">
        <f>0</f>
        <v/>
      </c>
      <c r="J10" s="17">
        <f>0</f>
        <v/>
      </c>
      <c r="K10" s="17">
        <f>0</f>
        <v/>
      </c>
      <c r="L10" s="17">
        <f>0</f>
        <v/>
      </c>
      <c r="M10" s="17">
        <f>0</f>
        <v/>
      </c>
      <c r="N10" s="17">
        <f>0</f>
        <v/>
      </c>
      <c r="O10" s="17">
        <f>0</f>
        <v/>
      </c>
      <c r="P10" s="17">
        <f>0</f>
        <v/>
      </c>
    </row>
    <row r="11">
      <c r="A11" t="inlineStr">
        <is>
          <t>EBIT</t>
        </is>
      </c>
      <c r="B11" s="17">
        <f>B9-B10</f>
        <v/>
      </c>
      <c r="C11" s="17">
        <f>C9-C10</f>
        <v/>
      </c>
      <c r="D11" s="17">
        <f>D9-D10</f>
        <v/>
      </c>
      <c r="E11" s="17">
        <f>E9-E10</f>
        <v/>
      </c>
      <c r="F11" s="17">
        <f>F9-F10</f>
        <v/>
      </c>
      <c r="G11" s="17">
        <f>G9-G10</f>
        <v/>
      </c>
      <c r="H11" s="17">
        <f>H9-H10</f>
        <v/>
      </c>
      <c r="I11" s="17">
        <f>I9-I10</f>
        <v/>
      </c>
      <c r="J11" s="17">
        <f>J9-J10</f>
        <v/>
      </c>
      <c r="K11" s="17">
        <f>K9-K10</f>
        <v/>
      </c>
      <c r="L11" s="17">
        <f>L9-L10</f>
        <v/>
      </c>
      <c r="M11" s="17">
        <f>M9-M10</f>
        <v/>
      </c>
      <c r="N11" s="17">
        <f>N9-N10</f>
        <v/>
      </c>
      <c r="O11" s="17">
        <f>O9-O10</f>
        <v/>
      </c>
      <c r="P11" s="17">
        <f>P9-P10</f>
        <v/>
      </c>
    </row>
    <row r="12">
      <c r="A12" t="inlineStr">
        <is>
          <t>Interest</t>
        </is>
      </c>
      <c r="B12" s="17">
        <f>'016_Debt_Schedule'!B6</f>
        <v/>
      </c>
      <c r="C12" s="17">
        <f>'016_Debt_Schedule'!C6</f>
        <v/>
      </c>
      <c r="D12" s="17">
        <f>'016_Debt_Schedule'!D6</f>
        <v/>
      </c>
      <c r="E12" s="17">
        <f>'016_Debt_Schedule'!E6</f>
        <v/>
      </c>
      <c r="F12" s="17">
        <f>'016_Debt_Schedule'!F6</f>
        <v/>
      </c>
      <c r="G12" s="17">
        <f>'016_Debt_Schedule'!G6</f>
        <v/>
      </c>
      <c r="H12" s="17">
        <f>'016_Debt_Schedule'!H6</f>
        <v/>
      </c>
      <c r="I12" s="17">
        <f>'016_Debt_Schedule'!I6</f>
        <v/>
      </c>
      <c r="J12" s="17">
        <f>'016_Debt_Schedule'!J6</f>
        <v/>
      </c>
      <c r="K12" s="17">
        <f>'016_Debt_Schedule'!K6</f>
        <v/>
      </c>
      <c r="L12" s="17">
        <f>'016_Debt_Schedule'!L6</f>
        <v/>
      </c>
      <c r="M12" s="17">
        <f>'016_Debt_Schedule'!M6</f>
        <v/>
      </c>
      <c r="N12" s="17">
        <f>'016_Debt_Schedule'!N6</f>
        <v/>
      </c>
      <c r="O12" s="17">
        <f>'016_Debt_Schedule'!O6</f>
        <v/>
      </c>
      <c r="P12" s="17">
        <f>'016_Debt_Schedule'!P6</f>
        <v/>
      </c>
    </row>
    <row r="13">
      <c r="A13" t="inlineStr">
        <is>
          <t>PBT</t>
        </is>
      </c>
      <c r="B13" s="17">
        <f>B11-B12</f>
        <v/>
      </c>
      <c r="C13" s="17">
        <f>C11-C12</f>
        <v/>
      </c>
      <c r="D13" s="17">
        <f>D11-D12</f>
        <v/>
      </c>
      <c r="E13" s="17">
        <f>E11-E12</f>
        <v/>
      </c>
      <c r="F13" s="17">
        <f>F11-F12</f>
        <v/>
      </c>
      <c r="G13" s="17">
        <f>G11-G12</f>
        <v/>
      </c>
      <c r="H13" s="17">
        <f>H11-H12</f>
        <v/>
      </c>
      <c r="I13" s="17">
        <f>I11-I12</f>
        <v/>
      </c>
      <c r="J13" s="17">
        <f>J11-J12</f>
        <v/>
      </c>
      <c r="K13" s="17">
        <f>K11-K12</f>
        <v/>
      </c>
      <c r="L13" s="17">
        <f>L11-L12</f>
        <v/>
      </c>
      <c r="M13" s="17">
        <f>M11-M12</f>
        <v/>
      </c>
      <c r="N13" s="17">
        <f>N11-N12</f>
        <v/>
      </c>
      <c r="O13" s="17">
        <f>O11-O12</f>
        <v/>
      </c>
      <c r="P13" s="17">
        <f>P11-P12</f>
        <v/>
      </c>
    </row>
    <row r="14">
      <c r="A14" t="inlineStr">
        <is>
          <t>Tax</t>
        </is>
      </c>
      <c r="B14" s="17">
        <f>MAX(0,B13)*'002_Master_Assumptions'!C26</f>
        <v/>
      </c>
      <c r="C14" s="17">
        <f>MAX(0,C13)*'002_Master_Assumptions'!C26</f>
        <v/>
      </c>
      <c r="D14" s="17">
        <f>MAX(0,D13)*'002_Master_Assumptions'!C26</f>
        <v/>
      </c>
      <c r="E14" s="17">
        <f>MAX(0,E13)*'002_Master_Assumptions'!C26</f>
        <v/>
      </c>
      <c r="F14" s="17">
        <f>MAX(0,F13)*'002_Master_Assumptions'!C26</f>
        <v/>
      </c>
      <c r="G14" s="17">
        <f>MAX(0,G13)*'002_Master_Assumptions'!C26</f>
        <v/>
      </c>
      <c r="H14" s="17">
        <f>MAX(0,H13)*'002_Master_Assumptions'!C26</f>
        <v/>
      </c>
      <c r="I14" s="17">
        <f>MAX(0,I13)*'002_Master_Assumptions'!C26</f>
        <v/>
      </c>
      <c r="J14" s="17">
        <f>MAX(0,J13)*'002_Master_Assumptions'!C26</f>
        <v/>
      </c>
      <c r="K14" s="17">
        <f>MAX(0,K13)*'002_Master_Assumptions'!C26</f>
        <v/>
      </c>
      <c r="L14" s="17">
        <f>MAX(0,L13)*'002_Master_Assumptions'!C26</f>
        <v/>
      </c>
      <c r="M14" s="17">
        <f>MAX(0,M13)*'002_Master_Assumptions'!C26</f>
        <v/>
      </c>
      <c r="N14" s="17">
        <f>MAX(0,N13)*'002_Master_Assumptions'!C26</f>
        <v/>
      </c>
      <c r="O14" s="17">
        <f>MAX(0,O13)*'002_Master_Assumptions'!C26</f>
        <v/>
      </c>
      <c r="P14" s="17">
        <f>MAX(0,P13)*'002_Master_Assumptions'!C26</f>
        <v/>
      </c>
    </row>
    <row r="15">
      <c r="A15" t="inlineStr">
        <is>
          <t>Net Income</t>
        </is>
      </c>
      <c r="B15" s="17">
        <f>B13-B14</f>
        <v/>
      </c>
      <c r="C15" s="17">
        <f>C13-C14</f>
        <v/>
      </c>
      <c r="D15" s="17">
        <f>D13-D14</f>
        <v/>
      </c>
      <c r="E15" s="17">
        <f>E13-E14</f>
        <v/>
      </c>
      <c r="F15" s="17">
        <f>F13-F14</f>
        <v/>
      </c>
      <c r="G15" s="17">
        <f>G13-G14</f>
        <v/>
      </c>
      <c r="H15" s="17">
        <f>H13-H14</f>
        <v/>
      </c>
      <c r="I15" s="17">
        <f>I13-I14</f>
        <v/>
      </c>
      <c r="J15" s="17">
        <f>J13-J14</f>
        <v/>
      </c>
      <c r="K15" s="17">
        <f>K13-K14</f>
        <v/>
      </c>
      <c r="L15" s="17">
        <f>L13-L14</f>
        <v/>
      </c>
      <c r="M15" s="17">
        <f>M13-M14</f>
        <v/>
      </c>
      <c r="N15" s="17">
        <f>N13-N14</f>
        <v/>
      </c>
      <c r="O15" s="17">
        <f>O13-O14</f>
        <v/>
      </c>
      <c r="P15" s="17">
        <f>P13-P14</f>
        <v/>
      </c>
    </row>
  </sheetData>
  <printOptions gridLines="0"/>
  <pageMargins left="0.25" right="0.25" top="0.4" bottom="0.4" header="0.5" footer="0.5"/>
  <pageSetup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" t="inlineStr">
        <is>
          <t>Cash Flow Statement</t>
        </is>
      </c>
    </row>
    <row r="2">
      <c r="A2" s="7" t="inlineStr">
        <is>
          <t>Simplified project cash flow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EBITDA</t>
        </is>
      </c>
      <c r="B5" s="17">
        <f>'020_Income_Statement'!B9</f>
        <v/>
      </c>
      <c r="C5" s="17">
        <f>'020_Income_Statement'!C9</f>
        <v/>
      </c>
      <c r="D5" s="17">
        <f>'020_Income_Statement'!D9</f>
        <v/>
      </c>
      <c r="E5" s="17">
        <f>'020_Income_Statement'!E9</f>
        <v/>
      </c>
      <c r="F5" s="17">
        <f>'020_Income_Statement'!F9</f>
        <v/>
      </c>
      <c r="G5" s="17">
        <f>'020_Income_Statement'!G9</f>
        <v/>
      </c>
      <c r="H5" s="17">
        <f>'020_Income_Statement'!H9</f>
        <v/>
      </c>
      <c r="I5" s="17">
        <f>'020_Income_Statement'!I9</f>
        <v/>
      </c>
      <c r="J5" s="17">
        <f>'020_Income_Statement'!J9</f>
        <v/>
      </c>
      <c r="K5" s="17">
        <f>'020_Income_Statement'!K9</f>
        <v/>
      </c>
      <c r="L5" s="17">
        <f>'020_Income_Statement'!L9</f>
        <v/>
      </c>
      <c r="M5" s="17">
        <f>'020_Income_Statement'!M9</f>
        <v/>
      </c>
      <c r="N5" s="17">
        <f>'020_Income_Statement'!N9</f>
        <v/>
      </c>
      <c r="O5" s="17">
        <f>'020_Income_Statement'!O9</f>
        <v/>
      </c>
      <c r="P5" s="17">
        <f>'020_Income_Statement'!P9</f>
        <v/>
      </c>
    </row>
    <row r="6">
      <c r="A6" t="inlineStr">
        <is>
          <t>Taxes</t>
        </is>
      </c>
      <c r="B6" s="17">
        <f>'020_Income_Statement'!B14</f>
        <v/>
      </c>
      <c r="C6" s="17">
        <f>'020_Income_Statement'!C14</f>
        <v/>
      </c>
      <c r="D6" s="17">
        <f>'020_Income_Statement'!D14</f>
        <v/>
      </c>
      <c r="E6" s="17">
        <f>'020_Income_Statement'!E14</f>
        <v/>
      </c>
      <c r="F6" s="17">
        <f>'020_Income_Statement'!F14</f>
        <v/>
      </c>
      <c r="G6" s="17">
        <f>'020_Income_Statement'!G14</f>
        <v/>
      </c>
      <c r="H6" s="17">
        <f>'020_Income_Statement'!H14</f>
        <v/>
      </c>
      <c r="I6" s="17">
        <f>'020_Income_Statement'!I14</f>
        <v/>
      </c>
      <c r="J6" s="17">
        <f>'020_Income_Statement'!J14</f>
        <v/>
      </c>
      <c r="K6" s="17">
        <f>'020_Income_Statement'!K14</f>
        <v/>
      </c>
      <c r="L6" s="17">
        <f>'020_Income_Statement'!L14</f>
        <v/>
      </c>
      <c r="M6" s="17">
        <f>'020_Income_Statement'!M14</f>
        <v/>
      </c>
      <c r="N6" s="17">
        <f>'020_Income_Statement'!N14</f>
        <v/>
      </c>
      <c r="O6" s="17">
        <f>'020_Income_Statement'!O14</f>
        <v/>
      </c>
      <c r="P6" s="17">
        <f>'020_Income_Statement'!P14</f>
        <v/>
      </c>
    </row>
    <row r="7">
      <c r="A7" t="inlineStr">
        <is>
          <t>CAPEX</t>
        </is>
      </c>
      <c r="B7" s="17">
        <f>0</f>
        <v/>
      </c>
      <c r="C7" s="17">
        <f>0</f>
        <v/>
      </c>
      <c r="D7" s="17">
        <f>0</f>
        <v/>
      </c>
      <c r="E7" s="17">
        <f>0</f>
        <v/>
      </c>
      <c r="F7" s="17">
        <f>0</f>
        <v/>
      </c>
      <c r="G7" s="17">
        <f>0</f>
        <v/>
      </c>
      <c r="H7" s="17">
        <f>0</f>
        <v/>
      </c>
      <c r="I7" s="17">
        <f>0</f>
        <v/>
      </c>
      <c r="J7" s="17">
        <f>0</f>
        <v/>
      </c>
      <c r="K7" s="17">
        <f>0</f>
        <v/>
      </c>
      <c r="L7" s="17">
        <f>0</f>
        <v/>
      </c>
      <c r="M7" s="17">
        <f>0</f>
        <v/>
      </c>
      <c r="N7" s="17">
        <f>0</f>
        <v/>
      </c>
      <c r="O7" s="17">
        <f>0</f>
        <v/>
      </c>
      <c r="P7" s="17">
        <f>0</f>
        <v/>
      </c>
    </row>
    <row r="8">
      <c r="A8" t="inlineStr">
        <is>
          <t>Debt Service</t>
        </is>
      </c>
      <c r="B8" s="17">
        <f>'016_Debt_Schedule'!B8</f>
        <v/>
      </c>
      <c r="C8" s="17">
        <f>'016_Debt_Schedule'!C8</f>
        <v/>
      </c>
      <c r="D8" s="17">
        <f>'016_Debt_Schedule'!D8</f>
        <v/>
      </c>
      <c r="E8" s="17">
        <f>'016_Debt_Schedule'!E8</f>
        <v/>
      </c>
      <c r="F8" s="17">
        <f>'016_Debt_Schedule'!F8</f>
        <v/>
      </c>
      <c r="G8" s="17">
        <f>'016_Debt_Schedule'!G8</f>
        <v/>
      </c>
      <c r="H8" s="17">
        <f>'016_Debt_Schedule'!H8</f>
        <v/>
      </c>
      <c r="I8" s="17">
        <f>'016_Debt_Schedule'!I8</f>
        <v/>
      </c>
      <c r="J8" s="17">
        <f>'016_Debt_Schedule'!J8</f>
        <v/>
      </c>
      <c r="K8" s="17">
        <f>'016_Debt_Schedule'!K8</f>
        <v/>
      </c>
      <c r="L8" s="17">
        <f>'016_Debt_Schedule'!L8</f>
        <v/>
      </c>
      <c r="M8" s="17">
        <f>'016_Debt_Schedule'!M8</f>
        <v/>
      </c>
      <c r="N8" s="17">
        <f>'016_Debt_Schedule'!N8</f>
        <v/>
      </c>
      <c r="O8" s="17">
        <f>'016_Debt_Schedule'!O8</f>
        <v/>
      </c>
      <c r="P8" s="17">
        <f>'016_Debt_Schedule'!P8</f>
        <v/>
      </c>
    </row>
    <row r="9">
      <c r="A9" t="inlineStr">
        <is>
          <t>Free Cash Flow</t>
        </is>
      </c>
      <c r="B9" s="17">
        <f>B5-B6-B7-B8</f>
        <v/>
      </c>
      <c r="C9" s="17">
        <f>C5-C6-C7-C8</f>
        <v/>
      </c>
      <c r="D9" s="17">
        <f>D5-D6-D7-D8</f>
        <v/>
      </c>
      <c r="E9" s="17">
        <f>E5-E6-E7-E8</f>
        <v/>
      </c>
      <c r="F9" s="17">
        <f>F5-F6-F7-F8</f>
        <v/>
      </c>
      <c r="G9" s="17">
        <f>G5-G6-G7-G8</f>
        <v/>
      </c>
      <c r="H9" s="17">
        <f>H5-H6-H7-H8</f>
        <v/>
      </c>
      <c r="I9" s="17">
        <f>I5-I6-I7-I8</f>
        <v/>
      </c>
      <c r="J9" s="17">
        <f>J5-J6-J7-J8</f>
        <v/>
      </c>
      <c r="K9" s="17">
        <f>K5-K6-K7-K8</f>
        <v/>
      </c>
      <c r="L9" s="17">
        <f>L5-L6-L7-L8</f>
        <v/>
      </c>
      <c r="M9" s="17">
        <f>M5-M6-M7-M8</f>
        <v/>
      </c>
      <c r="N9" s="17">
        <f>N5-N6-N7-N8</f>
        <v/>
      </c>
      <c r="O9" s="17">
        <f>O5-O6-O7-O8</f>
        <v/>
      </c>
      <c r="P9" s="17">
        <f>P5-P6-P7-P8</f>
        <v/>
      </c>
    </row>
  </sheetData>
  <printOptions gridLines="0"/>
  <pageMargins left="0.25" right="0.25" top="0.4" bottom="0.4" header="0.5" footer="0.5"/>
  <pageSetup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" t="inlineStr">
        <is>
          <t>Balance Sheet</t>
        </is>
      </c>
    </row>
    <row r="2">
      <c r="A2" s="7" t="inlineStr">
        <is>
          <t>Placeholder BS structure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Cash</t>
        </is>
      </c>
      <c r="B5" s="17">
        <f>'021_Cash_Flow'!B9</f>
        <v/>
      </c>
      <c r="C5" s="17">
        <f>'021_Cash_Flow'!C9</f>
        <v/>
      </c>
      <c r="D5" s="17">
        <f>'021_Cash_Flow'!D9</f>
        <v/>
      </c>
      <c r="E5" s="17">
        <f>'021_Cash_Flow'!E9</f>
        <v/>
      </c>
      <c r="F5" s="17">
        <f>'021_Cash_Flow'!F9</f>
        <v/>
      </c>
      <c r="G5" s="17">
        <f>'021_Cash_Flow'!G9</f>
        <v/>
      </c>
      <c r="H5" s="17">
        <f>'021_Cash_Flow'!H9</f>
        <v/>
      </c>
      <c r="I5" s="17">
        <f>'021_Cash_Flow'!I9</f>
        <v/>
      </c>
      <c r="J5" s="17">
        <f>'021_Cash_Flow'!J9</f>
        <v/>
      </c>
      <c r="K5" s="17">
        <f>'021_Cash_Flow'!K9</f>
        <v/>
      </c>
      <c r="L5" s="17">
        <f>'021_Cash_Flow'!L9</f>
        <v/>
      </c>
      <c r="M5" s="17">
        <f>'021_Cash_Flow'!M9</f>
        <v/>
      </c>
      <c r="N5" s="17">
        <f>'021_Cash_Flow'!N9</f>
        <v/>
      </c>
      <c r="O5" s="17">
        <f>'021_Cash_Flow'!O9</f>
        <v/>
      </c>
      <c r="P5" s="17">
        <f>'021_Cash_Flow'!P9</f>
        <v/>
      </c>
    </row>
    <row r="6">
      <c r="A6" t="inlineStr">
        <is>
          <t>PP&amp;E Net</t>
        </is>
      </c>
      <c r="B6" s="17">
        <f>'014_CAPEX_Model'!B12</f>
        <v/>
      </c>
      <c r="C6" s="17">
        <f>'014_CAPEX_Model'!B12</f>
        <v/>
      </c>
      <c r="D6" s="17">
        <f>'014_CAPEX_Model'!B12</f>
        <v/>
      </c>
      <c r="E6" s="17">
        <f>'014_CAPEX_Model'!B12</f>
        <v/>
      </c>
      <c r="F6" s="17">
        <f>'014_CAPEX_Model'!B12</f>
        <v/>
      </c>
      <c r="G6" s="17">
        <f>'014_CAPEX_Model'!B12</f>
        <v/>
      </c>
      <c r="H6" s="17">
        <f>'014_CAPEX_Model'!B12</f>
        <v/>
      </c>
      <c r="I6" s="17">
        <f>'014_CAPEX_Model'!B12</f>
        <v/>
      </c>
      <c r="J6" s="17">
        <f>'014_CAPEX_Model'!B12</f>
        <v/>
      </c>
      <c r="K6" s="17">
        <f>'014_CAPEX_Model'!B12</f>
        <v/>
      </c>
      <c r="L6" s="17">
        <f>'014_CAPEX_Model'!B12</f>
        <v/>
      </c>
      <c r="M6" s="17">
        <f>'014_CAPEX_Model'!B12</f>
        <v/>
      </c>
      <c r="N6" s="17">
        <f>'014_CAPEX_Model'!B12</f>
        <v/>
      </c>
      <c r="O6" s="17">
        <f>'014_CAPEX_Model'!B12</f>
        <v/>
      </c>
      <c r="P6" s="17">
        <f>'014_CAPEX_Model'!B12</f>
        <v/>
      </c>
    </row>
    <row r="7">
      <c r="A7" t="inlineStr">
        <is>
          <t>Total Assets</t>
        </is>
      </c>
      <c r="B7" s="17">
        <f>B5+B6</f>
        <v/>
      </c>
      <c r="C7" s="17">
        <f>C5+C6</f>
        <v/>
      </c>
      <c r="D7" s="17">
        <f>D5+D6</f>
        <v/>
      </c>
      <c r="E7" s="17">
        <f>E5+E6</f>
        <v/>
      </c>
      <c r="F7" s="17">
        <f>F5+F6</f>
        <v/>
      </c>
      <c r="G7" s="17">
        <f>G5+G6</f>
        <v/>
      </c>
      <c r="H7" s="17">
        <f>H5+H6</f>
        <v/>
      </c>
      <c r="I7" s="17">
        <f>I5+I6</f>
        <v/>
      </c>
      <c r="J7" s="17">
        <f>J5+J6</f>
        <v/>
      </c>
      <c r="K7" s="17">
        <f>K5+K6</f>
        <v/>
      </c>
      <c r="L7" s="17">
        <f>L5+L6</f>
        <v/>
      </c>
      <c r="M7" s="17">
        <f>M5+M6</f>
        <v/>
      </c>
      <c r="N7" s="17">
        <f>N5+N6</f>
        <v/>
      </c>
      <c r="O7" s="17">
        <f>O5+O6</f>
        <v/>
      </c>
      <c r="P7" s="17">
        <f>P5+P6</f>
        <v/>
      </c>
    </row>
    <row r="8">
      <c r="A8" t="inlineStr">
        <is>
          <t>Debt</t>
        </is>
      </c>
      <c r="B8" s="17">
        <f>'016_Debt_Schedule'!B9</f>
        <v/>
      </c>
      <c r="C8" s="17">
        <f>'016_Debt_Schedule'!C9</f>
        <v/>
      </c>
      <c r="D8" s="17">
        <f>'016_Debt_Schedule'!D9</f>
        <v/>
      </c>
      <c r="E8" s="17">
        <f>'016_Debt_Schedule'!E9</f>
        <v/>
      </c>
      <c r="F8" s="17">
        <f>'016_Debt_Schedule'!F9</f>
        <v/>
      </c>
      <c r="G8" s="17">
        <f>'016_Debt_Schedule'!G9</f>
        <v/>
      </c>
      <c r="H8" s="17">
        <f>'016_Debt_Schedule'!H9</f>
        <v/>
      </c>
      <c r="I8" s="17">
        <f>'016_Debt_Schedule'!I9</f>
        <v/>
      </c>
      <c r="J8" s="17">
        <f>'016_Debt_Schedule'!J9</f>
        <v/>
      </c>
      <c r="K8" s="17">
        <f>'016_Debt_Schedule'!K9</f>
        <v/>
      </c>
      <c r="L8" s="17">
        <f>'016_Debt_Schedule'!L9</f>
        <v/>
      </c>
      <c r="M8" s="17">
        <f>'016_Debt_Schedule'!M9</f>
        <v/>
      </c>
      <c r="N8" s="17">
        <f>'016_Debt_Schedule'!N9</f>
        <v/>
      </c>
      <c r="O8" s="17">
        <f>'016_Debt_Schedule'!O9</f>
        <v/>
      </c>
      <c r="P8" s="17">
        <f>'016_Debt_Schedule'!P9</f>
        <v/>
      </c>
    </row>
    <row r="9">
      <c r="A9" t="inlineStr">
        <is>
          <t>Equity</t>
        </is>
      </c>
      <c r="B9" s="17">
        <f>B7-B8</f>
        <v/>
      </c>
      <c r="C9" s="17">
        <f>C7-C8</f>
        <v/>
      </c>
      <c r="D9" s="17">
        <f>D7-D8</f>
        <v/>
      </c>
      <c r="E9" s="17">
        <f>E7-E8</f>
        <v/>
      </c>
      <c r="F9" s="17">
        <f>F7-F8</f>
        <v/>
      </c>
      <c r="G9" s="17">
        <f>G7-G8</f>
        <v/>
      </c>
      <c r="H9" s="17">
        <f>H7-H8</f>
        <v/>
      </c>
      <c r="I9" s="17">
        <f>I7-I8</f>
        <v/>
      </c>
      <c r="J9" s="17">
        <f>J7-J8</f>
        <v/>
      </c>
      <c r="K9" s="17">
        <f>K7-K8</f>
        <v/>
      </c>
      <c r="L9" s="17">
        <f>L7-L8</f>
        <v/>
      </c>
      <c r="M9" s="17">
        <f>M7-M8</f>
        <v/>
      </c>
      <c r="N9" s="17">
        <f>N7-N8</f>
        <v/>
      </c>
      <c r="O9" s="17">
        <f>O7-O8</f>
        <v/>
      </c>
      <c r="P9" s="17">
        <f>P7-P8</f>
        <v/>
      </c>
    </row>
    <row r="10">
      <c r="A10" t="inlineStr">
        <is>
          <t>Total Liabilities + Equity</t>
        </is>
      </c>
      <c r="B10" s="17">
        <f>B8+B9</f>
        <v/>
      </c>
      <c r="C10" s="17">
        <f>C8+C9</f>
        <v/>
      </c>
      <c r="D10" s="17">
        <f>D8+D9</f>
        <v/>
      </c>
      <c r="E10" s="17">
        <f>E8+E9</f>
        <v/>
      </c>
      <c r="F10" s="17">
        <f>F8+F9</f>
        <v/>
      </c>
      <c r="G10" s="17">
        <f>G8+G9</f>
        <v/>
      </c>
      <c r="H10" s="17">
        <f>H8+H9</f>
        <v/>
      </c>
      <c r="I10" s="17">
        <f>I8+I9</f>
        <v/>
      </c>
      <c r="J10" s="17">
        <f>J8+J9</f>
        <v/>
      </c>
      <c r="K10" s="17">
        <f>K8+K9</f>
        <v/>
      </c>
      <c r="L10" s="17">
        <f>L8+L9</f>
        <v/>
      </c>
      <c r="M10" s="17">
        <f>M8+M9</f>
        <v/>
      </c>
      <c r="N10" s="17">
        <f>N8+N9</f>
        <v/>
      </c>
      <c r="O10" s="17">
        <f>O8+O9</f>
        <v/>
      </c>
      <c r="P10" s="17">
        <f>P8+P9</f>
        <v/>
      </c>
    </row>
  </sheetData>
  <printOptions gridLines="0"/>
  <pageMargins left="0.25" right="0.25" top="0.4" bottom="0.4" header="0.5" footer="0.5"/>
  <pageSetup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6" t="inlineStr">
        <is>
          <t>Project Finance Metrics</t>
        </is>
      </c>
    </row>
    <row r="2">
      <c r="A2" s="7" t="inlineStr">
        <is>
          <t>Core project and lender KPIs</t>
        </is>
      </c>
    </row>
    <row r="4">
      <c r="A4" s="5" t="inlineStr">
        <is>
          <t>Metric</t>
        </is>
      </c>
      <c r="B4" s="5" t="inlineStr">
        <is>
          <t>Formula / Value</t>
        </is>
      </c>
    </row>
    <row r="5">
      <c r="A5" t="inlineStr">
        <is>
          <t>EBITDA Margin Y1</t>
        </is>
      </c>
      <c r="B5" s="18">
        <f>IF('020_Income_Statement'!B5=0,0,'020_Income_Statement'!B9/'020_Income_Statement'!B5)</f>
        <v/>
      </c>
    </row>
    <row r="6">
      <c r="A6" t="inlineStr">
        <is>
          <t>Project NPV</t>
        </is>
      </c>
      <c r="B6" s="16">
        <f>NPV('002_Master_Assumptions'!C27,'021_Cash_Flow'!B9:P9)</f>
        <v/>
      </c>
    </row>
    <row r="7">
      <c r="A7" t="inlineStr">
        <is>
          <t>Project IRR</t>
        </is>
      </c>
      <c r="B7" s="18">
        <f>IRR('021_Cash_Flow'!B9:P9)</f>
        <v/>
      </c>
    </row>
    <row r="8">
      <c r="A8" t="inlineStr">
        <is>
          <t>Average DSCR</t>
        </is>
      </c>
      <c r="B8" s="19">
        <f>AVERAGE('031_DSCR_Model'!B5:P5)</f>
        <v/>
      </c>
    </row>
    <row r="9">
      <c r="A9" t="inlineStr">
        <is>
          <t>Payback Note</t>
        </is>
      </c>
      <c r="B9" t="inlineStr">
        <is>
          <t>Cumulative FCF turns positive year noted in dashboard</t>
        </is>
      </c>
    </row>
  </sheetData>
  <printOptions gridLines="0"/>
  <pageMargins left="0.25" right="0.25" top="0.4" bottom="0.4" header="0.5" footer="0.5"/>
  <pageSetup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6" t="inlineStr">
        <is>
          <t>DSCR Model</t>
        </is>
      </c>
    </row>
    <row r="2">
      <c r="A2" s="7" t="inlineStr">
        <is>
          <t>Cash available for debt service / debt service</t>
        </is>
      </c>
    </row>
    <row r="4">
      <c r="A4" s="5" t="inlineStr">
        <is>
          <t>Metric</t>
        </is>
      </c>
      <c r="B4" s="5" t="inlineStr">
        <is>
          <t>Y1</t>
        </is>
      </c>
      <c r="C4" s="5" t="inlineStr">
        <is>
          <t>Y2</t>
        </is>
      </c>
      <c r="D4" s="5" t="inlineStr">
        <is>
          <t>Y3</t>
        </is>
      </c>
      <c r="E4" s="5" t="inlineStr">
        <is>
          <t>Y4</t>
        </is>
      </c>
      <c r="F4" s="5" t="inlineStr">
        <is>
          <t>Y5</t>
        </is>
      </c>
      <c r="G4" s="5" t="inlineStr">
        <is>
          <t>Y6</t>
        </is>
      </c>
      <c r="H4" s="5" t="inlineStr">
        <is>
          <t>Y7</t>
        </is>
      </c>
      <c r="I4" s="5" t="inlineStr">
        <is>
          <t>Y8</t>
        </is>
      </c>
      <c r="J4" s="5" t="inlineStr">
        <is>
          <t>Y9</t>
        </is>
      </c>
      <c r="K4" s="5" t="inlineStr">
        <is>
          <t>Y10</t>
        </is>
      </c>
      <c r="L4" s="5" t="inlineStr">
        <is>
          <t>Y11</t>
        </is>
      </c>
      <c r="M4" s="5" t="inlineStr">
        <is>
          <t>Y12</t>
        </is>
      </c>
      <c r="N4" s="5" t="inlineStr">
        <is>
          <t>Y13</t>
        </is>
      </c>
      <c r="O4" s="5" t="inlineStr">
        <is>
          <t>Y14</t>
        </is>
      </c>
      <c r="P4" s="5" t="inlineStr">
        <is>
          <t>Y15</t>
        </is>
      </c>
    </row>
    <row r="5">
      <c r="A5" t="inlineStr">
        <is>
          <t>CFADS</t>
        </is>
      </c>
      <c r="B5">
        <f>'021_Cash_Flow'!B9</f>
        <v/>
      </c>
      <c r="C5">
        <f>'021_Cash_Flow'!C9</f>
        <v/>
      </c>
      <c r="D5">
        <f>'021_Cash_Flow'!D9</f>
        <v/>
      </c>
      <c r="E5">
        <f>'021_Cash_Flow'!E9</f>
        <v/>
      </c>
      <c r="F5">
        <f>'021_Cash_Flow'!F9</f>
        <v/>
      </c>
      <c r="G5">
        <f>'021_Cash_Flow'!G9</f>
        <v/>
      </c>
      <c r="H5">
        <f>'021_Cash_Flow'!H9</f>
        <v/>
      </c>
      <c r="I5">
        <f>'021_Cash_Flow'!I9</f>
        <v/>
      </c>
      <c r="J5">
        <f>'021_Cash_Flow'!J9</f>
        <v/>
      </c>
      <c r="K5">
        <f>'021_Cash_Flow'!K9</f>
        <v/>
      </c>
      <c r="L5">
        <f>'021_Cash_Flow'!L9</f>
        <v/>
      </c>
      <c r="M5">
        <f>'021_Cash_Flow'!M9</f>
        <v/>
      </c>
      <c r="N5">
        <f>'021_Cash_Flow'!N9</f>
        <v/>
      </c>
      <c r="O5">
        <f>'021_Cash_Flow'!O9</f>
        <v/>
      </c>
      <c r="P5">
        <f>'021_Cash_Flow'!P9</f>
        <v/>
      </c>
    </row>
    <row r="6">
      <c r="A6" t="inlineStr">
        <is>
          <t>Debt Service</t>
        </is>
      </c>
      <c r="B6">
        <f>'016_Debt_Schedule'!B8</f>
        <v/>
      </c>
      <c r="C6">
        <f>'016_Debt_Schedule'!C8</f>
        <v/>
      </c>
      <c r="D6">
        <f>'016_Debt_Schedule'!D8</f>
        <v/>
      </c>
      <c r="E6">
        <f>'016_Debt_Schedule'!E8</f>
        <v/>
      </c>
      <c r="F6">
        <f>'016_Debt_Schedule'!F8</f>
        <v/>
      </c>
      <c r="G6">
        <f>'016_Debt_Schedule'!G8</f>
        <v/>
      </c>
      <c r="H6">
        <f>'016_Debt_Schedule'!H8</f>
        <v/>
      </c>
      <c r="I6">
        <f>'016_Debt_Schedule'!I8</f>
        <v/>
      </c>
      <c r="J6">
        <f>'016_Debt_Schedule'!J8</f>
        <v/>
      </c>
      <c r="K6">
        <f>'016_Debt_Schedule'!K8</f>
        <v/>
      </c>
      <c r="L6">
        <f>'016_Debt_Schedule'!L8</f>
        <v/>
      </c>
      <c r="M6">
        <f>'016_Debt_Schedule'!M8</f>
        <v/>
      </c>
      <c r="N6">
        <f>'016_Debt_Schedule'!N8</f>
        <v/>
      </c>
      <c r="O6">
        <f>'016_Debt_Schedule'!O8</f>
        <v/>
      </c>
      <c r="P6">
        <f>'016_Debt_Schedule'!P8</f>
        <v/>
      </c>
    </row>
    <row r="7">
      <c r="A7" t="inlineStr">
        <is>
          <t>DSCR</t>
        </is>
      </c>
      <c r="B7" s="19">
        <f>IFERROR(B5/B6,0)</f>
        <v/>
      </c>
      <c r="C7" s="19">
        <f>IFERROR(C5/C6,0)</f>
        <v/>
      </c>
      <c r="D7" s="19">
        <f>IFERROR(D5/D6,0)</f>
        <v/>
      </c>
      <c r="E7" s="19">
        <f>IFERROR(E5/E6,0)</f>
        <v/>
      </c>
      <c r="F7" s="19">
        <f>IFERROR(F5/F6,0)</f>
        <v/>
      </c>
      <c r="G7" s="19">
        <f>IFERROR(G5/G6,0)</f>
        <v/>
      </c>
      <c r="H7" s="19">
        <f>IFERROR(H5/H6,0)</f>
        <v/>
      </c>
      <c r="I7" s="19">
        <f>IFERROR(I5/I6,0)</f>
        <v/>
      </c>
      <c r="J7" s="19">
        <f>IFERROR(J5/J6,0)</f>
        <v/>
      </c>
      <c r="K7" s="19">
        <f>IFERROR(K5/K6,0)</f>
        <v/>
      </c>
      <c r="L7" s="19">
        <f>IFERROR(L5/L6,0)</f>
        <v/>
      </c>
      <c r="M7" s="19">
        <f>IFERROR(M5/M6,0)</f>
        <v/>
      </c>
      <c r="N7" s="19">
        <f>IFERROR(N5/N6,0)</f>
        <v/>
      </c>
      <c r="O7" s="19">
        <f>IFERROR(O5/O6,0)</f>
        <v/>
      </c>
      <c r="P7" s="19">
        <f>IFERROR(P5/P6,0)</f>
        <v/>
      </c>
    </row>
  </sheetData>
  <printOptions gridLines="0"/>
  <pageMargins left="0.25" right="0.25" top="0.4" bottom="0.4" header="0.5" footer="0.5"/>
  <pageSetup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6" t="inlineStr">
        <is>
          <t>Executive Dashboard</t>
        </is>
      </c>
    </row>
    <row r="2">
      <c r="A2" s="7" t="inlineStr">
        <is>
          <t>Headline investor and lender KPIs</t>
        </is>
      </c>
    </row>
    <row r="4">
      <c r="A4" s="5" t="inlineStr">
        <is>
          <t>KPI</t>
        </is>
      </c>
      <c r="B4" s="5" t="inlineStr">
        <is>
          <t>Value</t>
        </is>
      </c>
    </row>
    <row r="5">
      <c r="A5" t="inlineStr">
        <is>
          <t>Revenue Y1</t>
        </is>
      </c>
      <c r="B5" s="16">
        <f>'020_Income_Statement'!B5</f>
        <v/>
      </c>
    </row>
    <row r="6">
      <c r="A6" t="inlineStr">
        <is>
          <t>EBITDA Y1</t>
        </is>
      </c>
      <c r="B6" s="16">
        <f>'020_Income_Statement'!B9</f>
        <v/>
      </c>
    </row>
    <row r="7">
      <c r="A7" t="inlineStr">
        <is>
          <t>Net Income Y1</t>
        </is>
      </c>
      <c r="B7" s="16">
        <f>'020_Income_Statement'!B15</f>
        <v/>
      </c>
    </row>
    <row r="8">
      <c r="A8" t="inlineStr">
        <is>
          <t>Project NPV</t>
        </is>
      </c>
      <c r="B8" s="16">
        <f>'030_Project_Finance_Metrics'!B6</f>
        <v/>
      </c>
    </row>
    <row r="9">
      <c r="A9" t="inlineStr">
        <is>
          <t>Project IRR</t>
        </is>
      </c>
      <c r="B9" s="18">
        <f>'030_Project_Finance_Metrics'!B7</f>
        <v/>
      </c>
    </row>
    <row r="10">
      <c r="A10" t="inlineStr">
        <is>
          <t>Average DSCR</t>
        </is>
      </c>
      <c r="B10" s="19">
        <f>'030_Project_Finance_Metrics'!B8</f>
        <v/>
      </c>
    </row>
  </sheetData>
  <printOptions gridLines="0"/>
  <pageMargins left="0.25" right="0.25" top="0.4" bottom="0.4" header="0.5" footer="0.5"/>
  <pageSetup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040 CAPEX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Item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09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050 Operations 10</t>
        </is>
      </c>
    </row>
    <row r="2">
      <c r="A2" t="inlineStr">
        <is>
          <t>Structured placeholder module for expansion</t>
        </is>
      </c>
    </row>
    <row r="4">
      <c r="A4" s="5" t="inlineStr">
        <is>
          <t>Driver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060 Commodity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Variable</t>
        </is>
      </c>
      <c r="B4" s="5" t="inlineStr">
        <is>
          <t>Base</t>
        </is>
      </c>
      <c r="C4" s="5" t="inlineStr">
        <is>
          <t>Low</t>
        </is>
      </c>
      <c r="D4" s="5" t="inlineStr">
        <is>
          <t>High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070 Working Capital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Days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070 Working Capital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Days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070 Working Capital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Days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070 Working Capital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Days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070 Working Capital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Days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070 Working Capital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Days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09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080 Financing 10</t>
        </is>
      </c>
    </row>
    <row r="2">
      <c r="A2" t="inlineStr">
        <is>
          <t>Structured placeholder module for expansion</t>
        </is>
      </c>
    </row>
    <row r="4">
      <c r="A4" s="5" t="inlineStr">
        <is>
          <t>Metric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09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10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11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090 Risk 12</t>
        </is>
      </c>
    </row>
    <row r="2">
      <c r="A2" t="inlineStr">
        <is>
          <t>Structured placeholder module for expansion</t>
        </is>
      </c>
    </row>
    <row r="4">
      <c r="A4" s="5" t="inlineStr">
        <is>
          <t>Risk Driver</t>
        </is>
      </c>
      <c r="B4" s="5" t="inlineStr">
        <is>
          <t>Scenario</t>
        </is>
      </c>
      <c r="C4" s="5" t="inlineStr">
        <is>
          <t>Impact</t>
        </is>
      </c>
      <c r="D4" s="5" t="inlineStr">
        <is>
          <t>Mitigant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09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100 AI Forecast 10</t>
        </is>
      </c>
    </row>
    <row r="2">
      <c r="A2" t="inlineStr">
        <is>
          <t>Structured placeholder module for expansion</t>
        </is>
      </c>
    </row>
    <row r="4">
      <c r="A4" s="5" t="inlineStr">
        <is>
          <t>Forecast Driver</t>
        </is>
      </c>
      <c r="B4" s="5" t="inlineStr">
        <is>
          <t>Input</t>
        </is>
      </c>
      <c r="C4" s="5" t="inlineStr">
        <is>
          <t>Model Step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09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10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11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110 Control 12</t>
        </is>
      </c>
    </row>
    <row r="2">
      <c r="A2" t="inlineStr">
        <is>
          <t>Structured placeholder module for expansion</t>
        </is>
      </c>
    </row>
    <row r="4">
      <c r="A4" s="5" t="inlineStr">
        <is>
          <t>Check</t>
        </is>
      </c>
      <c r="B4" s="5" t="inlineStr">
        <is>
          <t>Status</t>
        </is>
      </c>
      <c r="C4" s="5" t="inlineStr">
        <is>
          <t>Threshold</t>
        </is>
      </c>
      <c r="D4" s="5" t="inlineStr">
        <is>
          <t>Result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01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02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03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04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05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06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07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120 Reporting 08</t>
        </is>
      </c>
    </row>
    <row r="2">
      <c r="A2" t="inlineStr">
        <is>
          <t>Structured placeholder module for expansion</t>
        </is>
      </c>
    </row>
    <row r="4">
      <c r="A4" s="5" t="inlineStr">
        <is>
          <t>Report Item</t>
        </is>
      </c>
      <c r="B4" s="5" t="inlineStr">
        <is>
          <t>Source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  <row r="5">
      <c r="A5" t="inlineStr">
        <is>
          <t>Line 1</t>
        </is>
      </c>
    </row>
    <row r="6">
      <c r="A6" t="inlineStr">
        <is>
          <t>Line 2</t>
        </is>
      </c>
    </row>
    <row r="7">
      <c r="A7" t="inlineStr">
        <is>
          <t>Line 3</t>
        </is>
      </c>
    </row>
    <row r="8">
      <c r="A8" t="inlineStr">
        <is>
          <t>Line 4</t>
        </is>
      </c>
    </row>
    <row r="9">
      <c r="A9" t="inlineStr">
        <is>
          <t>Line 5</t>
        </is>
      </c>
    </row>
    <row r="10">
      <c r="A10" t="inlineStr">
        <is>
          <t>Line 6</t>
        </is>
      </c>
    </row>
    <row r="11">
      <c r="A11" t="inlineStr">
        <is>
          <t>Line 7</t>
        </is>
      </c>
    </row>
    <row r="12">
      <c r="A12" t="inlineStr">
        <is>
          <t>Line 8</t>
        </is>
      </c>
    </row>
    <row r="13">
      <c r="A13" t="inlineStr">
        <is>
          <t>Line 9</t>
        </is>
      </c>
    </row>
    <row r="14">
      <c r="A14" t="inlineStr">
        <is>
          <t>Line 10</t>
        </is>
      </c>
    </row>
    <row r="15">
      <c r="A15" t="inlineStr">
        <is>
          <t>Line 11</t>
        </is>
      </c>
    </row>
    <row r="16">
      <c r="A16" t="inlineStr">
        <is>
          <t>Line 12</t>
        </is>
      </c>
    </row>
    <row r="17">
      <c r="A17" t="inlineStr">
        <is>
          <t>Line 13</t>
        </is>
      </c>
    </row>
    <row r="18">
      <c r="A18" t="inlineStr">
        <is>
          <t>Line 14</t>
        </is>
      </c>
    </row>
    <row r="19">
      <c r="A19" t="inlineStr">
        <is>
          <t>Line 15</t>
        </is>
      </c>
    </row>
    <row r="20">
      <c r="A20" t="inlineStr">
        <is>
          <t>Line 16</t>
        </is>
      </c>
    </row>
    <row r="21">
      <c r="A21" t="inlineStr">
        <is>
          <t>Line 17</t>
        </is>
      </c>
    </row>
    <row r="22">
      <c r="A22" t="inlineStr">
        <is>
          <t>Line 18</t>
        </is>
      </c>
    </row>
    <row r="23">
      <c r="A23" t="inlineStr">
        <is>
          <t>Line 19</t>
        </is>
      </c>
    </row>
    <row r="24">
      <c r="A24" t="inlineStr">
        <is>
          <t>Line 20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130 MonteCarlo Variables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131 MonteCarlo Simulations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132 MonteCarlo Distribution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133 Tornado Analysis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134 Steel Stochastic Model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135 Energy Stochastic Model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136 Demand AI Forecast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137 Price AI Forecast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138 Exit Valuation Model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139 Equity Waterfall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140 Cash Waterfall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141 MOIC Model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142 LLCR Model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143 PLCR Model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144 Error Check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145 Model Assurance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146 Version Control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147 Credit Committee Pack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148 Investor Pack Data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149 Board Report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6" customWidth="1" min="5" max="5"/>
  </cols>
  <sheetData>
    <row r="1">
      <c r="A1" s="20" t="inlineStr">
        <is>
          <t>150 Management Report</t>
        </is>
      </c>
    </row>
    <row r="4">
      <c r="A4" s="5" t="inlineStr">
        <is>
          <t>Parameter</t>
        </is>
      </c>
      <c r="B4" s="5" t="inlineStr">
        <is>
          <t>Input</t>
        </is>
      </c>
      <c r="C4" s="5" t="inlineStr">
        <is>
          <t>Calc</t>
        </is>
      </c>
      <c r="D4" s="5" t="inlineStr">
        <is>
          <t>Output</t>
        </is>
      </c>
      <c r="E4" s="5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2026-03-08T04:56:08Z</dcterms:created>
  <dcterms:modified xmlns:dcterms="http://purl.org/dc/terms/" xmlns:xsi="http://www.w3.org/2001/XMLSchema-instance" xsi:type="dcterms:W3CDTF">2026-03-08T04:56:08Z</dcterms:modified>
</cp:coreProperties>
</file>