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INDEX_NAVIGATION" sheetId="2" state="visible" r:id="rId2"/>
    <sheet xmlns:r="http://schemas.openxmlformats.org/officeDocument/2006/relationships" name="02_ASSUMPTIONS_MASTER" sheetId="3" state="visible" r:id="rId3"/>
    <sheet xmlns:r="http://schemas.openxmlformats.org/officeDocument/2006/relationships" name="03_SCENARIO_CONTROL" sheetId="4" state="visible" r:id="rId4"/>
    <sheet xmlns:r="http://schemas.openxmlformats.org/officeDocument/2006/relationships" name="10_PRODUCTION" sheetId="5" state="visible" r:id="rId5"/>
    <sheet xmlns:r="http://schemas.openxmlformats.org/officeDocument/2006/relationships" name="20_REVENUE" sheetId="6" state="visible" r:id="rId6"/>
    <sheet xmlns:r="http://schemas.openxmlformats.org/officeDocument/2006/relationships" name="30_COGS" sheetId="7" state="visible" r:id="rId7"/>
    <sheet xmlns:r="http://schemas.openxmlformats.org/officeDocument/2006/relationships" name="40_OPEX" sheetId="8" state="visible" r:id="rId8"/>
    <sheet xmlns:r="http://schemas.openxmlformats.org/officeDocument/2006/relationships" name="50_CAPEX" sheetId="9" state="visible" r:id="rId9"/>
    <sheet xmlns:r="http://schemas.openxmlformats.org/officeDocument/2006/relationships" name="60_WORKING_CAPITAL" sheetId="10" state="visible" r:id="rId10"/>
    <sheet xmlns:r="http://schemas.openxmlformats.org/officeDocument/2006/relationships" name="70_FINANCING" sheetId="11" state="visible" r:id="rId11"/>
    <sheet xmlns:r="http://schemas.openxmlformats.org/officeDocument/2006/relationships" name="80_CASHFLOW" sheetId="12" state="visible" r:id="rId12"/>
    <sheet xmlns:r="http://schemas.openxmlformats.org/officeDocument/2006/relationships" name="90_DASHBOARD_IC" sheetId="13" state="visible" r:id="rId13"/>
    <sheet xmlns:r="http://schemas.openxmlformats.org/officeDocument/2006/relationships" name="99_MODEL_CHECK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#,##0_);[Red](#,##0);-"/>
    <numFmt numFmtId="166" formatCode="#,##0.0_);[Red](#,##0.0)"/>
    <numFmt numFmtId="167" formatCode="0.00x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i val="1"/>
      <sz val="9"/>
    </font>
    <font>
      <name val="Calibri"/>
      <color rgb="000000FF"/>
      <sz val="10"/>
    </font>
    <font>
      <color rgb="000000FF"/>
      <u val="single"/>
    </font>
    <font>
      <name val="Calibri"/>
      <b val="1"/>
      <sz val="10"/>
    </font>
    <font>
      <name val="Calibri"/>
      <color rgb="00008000"/>
      <sz val="10"/>
    </font>
  </fonts>
  <fills count="6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305496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top style="medium">
        <color rgb="007F7F7F"/>
      </top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6" fillId="0" borderId="0" pivotButton="0" quotePrefix="0" xfId="0"/>
    <xf numFmtId="164" fontId="5" fillId="5" borderId="1" applyAlignment="1" pivotButton="0" quotePrefix="0" xfId="0">
      <alignment horizontal="right" vertical="center"/>
    </xf>
    <xf numFmtId="164" fontId="0" fillId="4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165" fontId="0" fillId="4" borderId="1" applyAlignment="1" pivotButton="0" quotePrefix="0" xfId="0">
      <alignment horizontal="right" vertical="center"/>
    </xf>
    <xf numFmtId="166" fontId="5" fillId="5" borderId="1" applyAlignment="1" pivotButton="0" quotePrefix="0" xfId="0">
      <alignment horizontal="right" vertical="center"/>
    </xf>
    <xf numFmtId="166" fontId="0" fillId="4" borderId="1" applyAlignment="1" pivotButton="0" quotePrefix="0" xfId="0">
      <alignment horizontal="right" vertical="center"/>
    </xf>
    <xf numFmtId="167" fontId="5" fillId="5" borderId="1" applyAlignment="1" pivotButton="0" quotePrefix="0" xfId="0">
      <alignment horizontal="right" vertical="center"/>
    </xf>
    <xf numFmtId="167" fontId="0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165" fontId="8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0" fontId="7" fillId="0" borderId="2" applyAlignment="1" pivotButton="0" quotePrefix="0" xfId="0">
      <alignment horizontal="left" vertical="center"/>
    </xf>
    <xf numFmtId="165" fontId="0" fillId="0" borderId="2" applyAlignment="1" pivotButton="0" quotePrefix="0" xfId="0">
      <alignment horizontal="right" vertical="center"/>
    </xf>
    <xf numFmtId="164" fontId="0" fillId="0" borderId="2" applyAlignment="1" pivotButton="0" quotePrefix="0" xfId="0">
      <alignment horizontal="right" vertical="center"/>
    </xf>
    <xf numFmtId="167" fontId="0" fillId="0" borderId="2" applyAlignment="1" pivotButton="0" quotePrefix="0" xfId="0">
      <alignment horizontal="right" vertical="center"/>
    </xf>
    <xf numFmtId="0" fontId="0" fillId="4" borderId="1" applyAlignment="1" pivotButton="0" quotePrefix="0" xfId="0">
      <alignment horizontal="right" vertical="center"/>
    </xf>
    <xf numFmtId="167" fontId="0" fillId="0" borderId="1" applyAlignment="1" pivotButton="0" quotePrefix="0" xfId="0">
      <alignment horizontal="right" vertical="center"/>
    </xf>
    <xf numFmtId="2" fontId="0" fillId="4" borderId="1" applyAlignment="1" pivotButton="0" quotePrefix="0" xfId="0">
      <alignment horizontal="right" vertical="center"/>
    </xf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EBITDA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'80_CASHFLOW'!$B$4:$K$4</f>
            </numRef>
          </cat>
          <val>
            <numRef>
              <f>'80_CASHFLOW'!$B$5:$K$5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'80_CASHFLOW'!$B$4:$K$4</f>
            </numRef>
          </cat>
          <val>
            <numRef>
              <f>'80_CASHFLOW'!$B$6:$K$6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'80_CASHFLOW'!$B$4:$K$4</f>
            </numRef>
          </cat>
          <val>
            <numRef>
              <f>'80_CASHFLOW'!$B$7:$K$7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'80_CASHFLOW'!$B$4:$K$4</f>
            </numRef>
          </cat>
          <val>
            <numRef>
              <f>'80_CASHFLOW'!$B$8:$K$8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'80_CASHFLOW'!$B$4:$K$4</f>
            </numRef>
          </cat>
          <val>
            <numRef>
              <f>'80_CASHFLOW'!$B$9:$K$9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DSCR Profile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'80_CASHFLOW'!$B$4:$K$4</f>
            </numRef>
          </cat>
          <val>
            <numRef>
              <f>'80_CASHFLOW'!$B$19:$K$19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OpenAI</author>
  </authors>
  <commentList>
    <comment ref="E5" authorId="0" shapeId="0">
      <text>
        <t>Source: Macro</t>
      </text>
    </comment>
    <comment ref="H5" authorId="0" shapeId="0">
      <text>
        <t>Source: Macro</t>
      </text>
    </comment>
    <comment ref="E6" authorId="0" shapeId="0">
      <text>
        <t>Source: Macro</t>
      </text>
    </comment>
    <comment ref="H6" authorId="0" shapeId="0">
      <text>
        <t>Source: Macro</t>
      </text>
    </comment>
    <comment ref="E7" authorId="0" shapeId="0">
      <text>
        <t>Source: Financing</t>
      </text>
    </comment>
    <comment ref="H7" authorId="0" shapeId="0">
      <text>
        <t>Source: Financing</t>
      </text>
    </comment>
    <comment ref="E8" authorId="0" shapeId="0">
      <text>
        <t>Source: COGS/OPEX</t>
      </text>
    </comment>
    <comment ref="H8" authorId="0" shapeId="0">
      <text>
        <t>Source: COGS/OPEX</t>
      </text>
    </comment>
    <comment ref="E9" authorId="0" shapeId="0">
      <text>
        <t>Source: COGS</t>
      </text>
    </comment>
    <comment ref="H9" authorId="0" shapeId="0">
      <text>
        <t>Source: COGS</t>
      </text>
    </comment>
    <comment ref="E10" authorId="0" shapeId="0">
      <text>
        <t>Source: P&amp;L</t>
      </text>
    </comment>
    <comment ref="H10" authorId="0" shapeId="0">
      <text>
        <t>Source: P&amp;L</t>
      </text>
    </comment>
    <comment ref="E11" authorId="0" shapeId="0">
      <text>
        <t>Source: Production</t>
      </text>
    </comment>
    <comment ref="H11" authorId="0" shapeId="0">
      <text>
        <t>Source: Production</t>
      </text>
    </comment>
    <comment ref="E12" authorId="0" shapeId="0">
      <text>
        <t>Source: Production</t>
      </text>
    </comment>
    <comment ref="H12" authorId="0" shapeId="0">
      <text>
        <t>Source: Production</t>
      </text>
    </comment>
    <comment ref="E13" authorId="0" shapeId="0">
      <text>
        <t>Source: Production</t>
      </text>
    </comment>
    <comment ref="H13" authorId="0" shapeId="0">
      <text>
        <t>Source: Production</t>
      </text>
    </comment>
    <comment ref="E14" authorId="0" shapeId="0">
      <text>
        <t>Source: Production</t>
      </text>
    </comment>
    <comment ref="H14" authorId="0" shapeId="0">
      <text>
        <t>Source: Production</t>
      </text>
    </comment>
    <comment ref="E15" authorId="0" shapeId="0">
      <text>
        <t>Source: Production</t>
      </text>
    </comment>
    <comment ref="H15" authorId="0" shapeId="0">
      <text>
        <t>Source: Production</t>
      </text>
    </comment>
    <comment ref="E16" authorId="0" shapeId="0">
      <text>
        <t>Source: COGS</t>
      </text>
    </comment>
    <comment ref="H16" authorId="0" shapeId="0">
      <text>
        <t>Source: COGS</t>
      </text>
    </comment>
    <comment ref="E17" authorId="0" shapeId="0">
      <text>
        <t>Source: COGS</t>
      </text>
    </comment>
    <comment ref="H17" authorId="0" shapeId="0">
      <text>
        <t>Source: COGS</t>
      </text>
    </comment>
    <comment ref="E18" authorId="0" shapeId="0">
      <text>
        <t>Source: Revenue</t>
      </text>
    </comment>
    <comment ref="H18" authorId="0" shapeId="0">
      <text>
        <t>Source: Revenue</t>
      </text>
    </comment>
    <comment ref="E19" authorId="0" shapeId="0">
      <text>
        <t>Source: Revenue</t>
      </text>
    </comment>
    <comment ref="H19" authorId="0" shapeId="0">
      <text>
        <t>Source: Revenue</t>
      </text>
    </comment>
    <comment ref="E20" authorId="0" shapeId="0">
      <text>
        <t>Source: Revenue</t>
      </text>
    </comment>
    <comment ref="H20" authorId="0" shapeId="0">
      <text>
        <t>Source: Revenue</t>
      </text>
    </comment>
    <comment ref="E21" authorId="0" shapeId="0">
      <text>
        <t>Source: COGS</t>
      </text>
    </comment>
    <comment ref="H21" authorId="0" shapeId="0">
      <text>
        <t>Source: COGS</t>
      </text>
    </comment>
    <comment ref="E22" authorId="0" shapeId="0">
      <text>
        <t>Source: COGS</t>
      </text>
    </comment>
    <comment ref="H22" authorId="0" shapeId="0">
      <text>
        <t>Source: COGS</t>
      </text>
    </comment>
    <comment ref="E23" authorId="0" shapeId="0">
      <text>
        <t>Source: COGS</t>
      </text>
    </comment>
    <comment ref="H23" authorId="0" shapeId="0">
      <text>
        <t>Source: COGS</t>
      </text>
    </comment>
    <comment ref="E24" authorId="0" shapeId="0">
      <text>
        <t>Source: COGS</t>
      </text>
    </comment>
    <comment ref="H24" authorId="0" shapeId="0">
      <text>
        <t>Source: COGS</t>
      </text>
    </comment>
    <comment ref="E25" authorId="0" shapeId="0">
      <text>
        <t>Source: COGS</t>
      </text>
    </comment>
    <comment ref="H25" authorId="0" shapeId="0">
      <text>
        <t>Source: COGS</t>
      </text>
    </comment>
    <comment ref="E26" authorId="0" shapeId="0">
      <text>
        <t>Source: OPEX</t>
      </text>
    </comment>
    <comment ref="H26" authorId="0" shapeId="0">
      <text>
        <t>Source: OPEX</t>
      </text>
    </comment>
    <comment ref="E27" authorId="0" shapeId="0">
      <text>
        <t>Source: OPEX</t>
      </text>
    </comment>
    <comment ref="H27" authorId="0" shapeId="0">
      <text>
        <t>Source: OPEX</t>
      </text>
    </comment>
    <comment ref="E28" authorId="0" shapeId="0">
      <text>
        <t>Source: OPEX</t>
      </text>
    </comment>
    <comment ref="H28" authorId="0" shapeId="0">
      <text>
        <t>Source: OPEX</t>
      </text>
    </comment>
    <comment ref="E29" authorId="0" shapeId="0">
      <text>
        <t>Source: OPEX</t>
      </text>
    </comment>
    <comment ref="H29" authorId="0" shapeId="0">
      <text>
        <t>Source: OPEX</t>
      </text>
    </comment>
    <comment ref="E30" authorId="0" shapeId="0">
      <text>
        <t>Source: OPEX</t>
      </text>
    </comment>
    <comment ref="H30" authorId="0" shapeId="0">
      <text>
        <t>Source: OPEX</t>
      </text>
    </comment>
    <comment ref="E31" authorId="0" shapeId="0">
      <text>
        <t>Source: OPEX</t>
      </text>
    </comment>
    <comment ref="H31" authorId="0" shapeId="0">
      <text>
        <t>Source: OPEX</t>
      </text>
    </comment>
    <comment ref="E32" authorId="0" shapeId="0">
      <text>
        <t>Source: OPEX</t>
      </text>
    </comment>
    <comment ref="H32" authorId="0" shapeId="0">
      <text>
        <t>Source: OPEX</t>
      </text>
    </comment>
    <comment ref="E33" authorId="0" shapeId="0">
      <text>
        <t>Source: CAPEX</t>
      </text>
    </comment>
    <comment ref="H33" authorId="0" shapeId="0">
      <text>
        <t>Source: CAPEX</t>
      </text>
    </comment>
    <comment ref="E34" authorId="0" shapeId="0">
      <text>
        <t>Source: CAPEX</t>
      </text>
    </comment>
    <comment ref="H34" authorId="0" shapeId="0">
      <text>
        <t>Source: CAPEX</t>
      </text>
    </comment>
    <comment ref="E35" authorId="0" shapeId="0">
      <text>
        <t>Source: CAPEX</t>
      </text>
    </comment>
    <comment ref="H35" authorId="0" shapeId="0">
      <text>
        <t>Source: CAPEX</t>
      </text>
    </comment>
    <comment ref="E36" authorId="0" shapeId="0">
      <text>
        <t>Source: CAPEX</t>
      </text>
    </comment>
    <comment ref="H36" authorId="0" shapeId="0">
      <text>
        <t>Source: CAPEX</t>
      </text>
    </comment>
    <comment ref="E37" authorId="0" shapeId="0">
      <text>
        <t>Source: CAPEX</t>
      </text>
    </comment>
    <comment ref="H37" authorId="0" shapeId="0">
      <text>
        <t>Source: CAPEX</t>
      </text>
    </comment>
    <comment ref="E38" authorId="0" shapeId="0">
      <text>
        <t>Source: CAPEX</t>
      </text>
    </comment>
    <comment ref="H38" authorId="0" shapeId="0">
      <text>
        <t>Source: CAPEX</t>
      </text>
    </comment>
    <comment ref="E39" authorId="0" shapeId="0">
      <text>
        <t>Source: Working Capital</t>
      </text>
    </comment>
    <comment ref="H39" authorId="0" shapeId="0">
      <text>
        <t>Source: Working Capital</t>
      </text>
    </comment>
    <comment ref="E40" authorId="0" shapeId="0">
      <text>
        <t>Source: Working Capital</t>
      </text>
    </comment>
    <comment ref="H40" authorId="0" shapeId="0">
      <text>
        <t>Source: Working Capital</t>
      </text>
    </comment>
    <comment ref="E41" authorId="0" shapeId="0">
      <text>
        <t>Source: Working Capital</t>
      </text>
    </comment>
    <comment ref="H41" authorId="0" shapeId="0">
      <text>
        <t>Source: Working Capital</t>
      </text>
    </comment>
    <comment ref="E42" authorId="0" shapeId="0">
      <text>
        <t>Source: Financing</t>
      </text>
    </comment>
    <comment ref="H42" authorId="0" shapeId="0">
      <text>
        <t>Source: Financing</t>
      </text>
    </comment>
    <comment ref="E43" authorId="0" shapeId="0">
      <text>
        <t>Source: Financing</t>
      </text>
    </comment>
    <comment ref="H43" authorId="0" shapeId="0">
      <text>
        <t>Source: Financing</t>
      </text>
    </comment>
    <comment ref="E44" authorId="0" shapeId="0">
      <text>
        <t>Source: Financing</t>
      </text>
    </comment>
    <comment ref="H44" authorId="0" shapeId="0">
      <text>
        <t>Source: Financing</t>
      </text>
    </comment>
    <comment ref="E45" authorId="0" shapeId="0">
      <text>
        <t>Source: Financing</t>
      </text>
    </comment>
    <comment ref="H45" authorId="0" shapeId="0">
      <text>
        <t>Source: Financing</t>
      </text>
    </comment>
    <comment ref="E46" authorId="0" shapeId="0">
      <text>
        <t>Source: Financing</t>
      </text>
    </comment>
    <comment ref="H46" authorId="0" shapeId="0">
      <text>
        <t>Source: Financing</t>
      </text>
    </comment>
    <comment ref="E47" authorId="0" shapeId="0">
      <text>
        <t>Source: Financing</t>
      </text>
    </comment>
    <comment ref="H47" authorId="0" shapeId="0">
      <text>
        <t>Source: Financing</t>
      </text>
    </comment>
    <comment ref="E48" authorId="0" shapeId="0">
      <text>
        <t>Source: Scenario</t>
      </text>
    </comment>
    <comment ref="H48" authorId="0" shapeId="0">
      <text>
        <t>Source: Scenario</t>
      </text>
    </comment>
    <comment ref="E49" authorId="0" shapeId="0">
      <text>
        <t>Source: Scenario</t>
      </text>
    </comment>
    <comment ref="H49" authorId="0" shapeId="0">
      <text>
        <t>Source: Scenario</t>
      </text>
    </comment>
    <comment ref="E50" authorId="0" shapeId="0">
      <text>
        <t>Source: Scenario</t>
      </text>
    </comment>
    <comment ref="H50" authorId="0" shapeId="0">
      <text>
        <t>Source: Scenario</t>
      </text>
    </comment>
    <comment ref="E51" authorId="0" shapeId="0">
      <text>
        <t>Source: Scenario</t>
      </text>
    </comment>
    <comment ref="H51" authorId="0" shapeId="0">
      <text>
        <t>Source: Scenario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30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6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2">
      <c r="A2" s="1" t="inlineStr">
        <is>
          <t>ARS METAL INDUSTRIES – FULL V3.0 PROJECT FINANCE MODEL</t>
        </is>
      </c>
      <c r="B2" s="2" t="n"/>
      <c r="C2" s="2" t="n"/>
      <c r="D2" s="2" t="n"/>
      <c r="E2" s="2" t="n"/>
      <c r="F2" s="2" t="n"/>
      <c r="G2" s="2" t="n"/>
      <c r="H2" s="2" t="n"/>
    </row>
    <row r="4">
      <c r="B4" s="3" t="inlineStr">
        <is>
          <t>Model Version</t>
        </is>
      </c>
      <c r="C4" s="4" t="inlineStr">
        <is>
          <t>v3.1</t>
        </is>
      </c>
    </row>
    <row r="5">
      <c r="B5" s="3" t="inlineStr">
        <is>
          <t>Prepared For</t>
        </is>
      </c>
      <c r="C5" s="4" t="inlineStr">
        <is>
          <t>Investor / Lender / IC review</t>
        </is>
      </c>
    </row>
    <row r="6">
      <c r="B6" s="3" t="inlineStr">
        <is>
          <t>Project</t>
        </is>
      </c>
      <c r="C6" s="4" t="inlineStr">
        <is>
          <t>Industrial transformer tank manufacturing facility</t>
        </is>
      </c>
    </row>
    <row r="7">
      <c r="B7" s="3" t="inlineStr">
        <is>
          <t>Location</t>
        </is>
      </c>
      <c r="C7" s="4" t="inlineStr">
        <is>
          <t>Tuzi, Montenegro</t>
        </is>
      </c>
    </row>
    <row r="8">
      <c r="B8" s="3" t="inlineStr">
        <is>
          <t>Currency</t>
        </is>
      </c>
      <c r="C8" s="4" t="inlineStr">
        <is>
          <t>EUR</t>
        </is>
      </c>
    </row>
    <row r="9">
      <c r="B9" s="3" t="inlineStr">
        <is>
          <t>Date</t>
        </is>
      </c>
      <c r="C9" s="4" t="inlineStr">
        <is>
          <t>2026-03-23</t>
        </is>
      </c>
    </row>
    <row r="10">
      <c r="B10" s="3" t="inlineStr">
        <is>
          <t>Purpose</t>
        </is>
      </c>
      <c r="C10" s="4" t="inlineStr">
        <is>
          <t>Integrated project finance model covering assumptions, scenarios, operating model, funding and debt service.</t>
        </is>
      </c>
    </row>
    <row r="13">
      <c r="B13" s="5" t="inlineStr">
        <is>
          <t>Confidential</t>
        </is>
      </c>
    </row>
  </sheetData>
  <mergeCells count="1">
    <mergeCell ref="A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D16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58" customWidth="1" min="4" max="4"/>
  </cols>
  <sheetData>
    <row r="2">
      <c r="A2" s="1" t="inlineStr">
        <is>
          <t>INDEX / NAVIGATION</t>
        </is>
      </c>
      <c r="B2" s="2" t="n"/>
      <c r="C2" s="2" t="n"/>
      <c r="D2" s="2" t="n"/>
    </row>
    <row r="4">
      <c r="A4" s="6" t="inlineStr">
        <is>
          <t>No.</t>
        </is>
      </c>
      <c r="B4" s="6" t="inlineStr">
        <is>
          <t>Sheet</t>
        </is>
      </c>
      <c r="C4" s="6" t="inlineStr">
        <is>
          <t>Link</t>
        </is>
      </c>
      <c r="D4" s="6" t="inlineStr">
        <is>
          <t>Description</t>
        </is>
      </c>
    </row>
    <row r="5">
      <c r="A5" s="7" t="n">
        <v>1</v>
      </c>
      <c r="B5" s="8" t="inlineStr">
        <is>
          <t>02_ASSUMPTIONS_MASTER</t>
        </is>
      </c>
      <c r="C5" s="8">
        <f>HYPERLINK("#'02_ASSUMPTIONS_MASTER'!A1","Open")</f>
        <v/>
      </c>
      <c r="D5" s="8" t="inlineStr">
        <is>
          <t>Central assumptions bank</t>
        </is>
      </c>
    </row>
    <row r="6">
      <c r="A6" s="7" t="n">
        <v>2</v>
      </c>
      <c r="B6" s="8" t="inlineStr">
        <is>
          <t>03_SCENARIO_CONTROL</t>
        </is>
      </c>
      <c r="C6" s="8">
        <f>HYPERLINK("#'03_SCENARIO_CONTROL'!A1","Open")</f>
        <v/>
      </c>
      <c r="D6" s="8" t="inlineStr">
        <is>
          <t>Scenario selector and overrides</t>
        </is>
      </c>
    </row>
    <row r="7">
      <c r="A7" s="7" t="n">
        <v>3</v>
      </c>
      <c r="B7" s="8" t="inlineStr">
        <is>
          <t>10_PRODUCTION</t>
        </is>
      </c>
      <c r="C7" s="8">
        <f>HYPERLINK("#'10_PRODUCTION'!A1","Open")</f>
        <v/>
      </c>
      <c r="D7" s="8" t="inlineStr">
        <is>
          <t>Capacity and utilization</t>
        </is>
      </c>
    </row>
    <row r="8">
      <c r="A8" s="7" t="n">
        <v>4</v>
      </c>
      <c r="B8" s="8" t="inlineStr">
        <is>
          <t>20_REVENUE</t>
        </is>
      </c>
      <c r="C8" s="8">
        <f>HYPERLINK("#'20_REVENUE'!A1","Open")</f>
        <v/>
      </c>
      <c r="D8" s="8" t="inlineStr">
        <is>
          <t>Prices, volume, sales</t>
        </is>
      </c>
    </row>
    <row r="9">
      <c r="A9" s="7" t="n">
        <v>5</v>
      </c>
      <c r="B9" s="8" t="inlineStr">
        <is>
          <t>30_COGS</t>
        </is>
      </c>
      <c r="C9" s="8">
        <f>HYPERLINK("#'30_COGS'!A1","Open")</f>
        <v/>
      </c>
      <c r="D9" s="8" t="inlineStr">
        <is>
          <t>Variable manufacturing costs</t>
        </is>
      </c>
    </row>
    <row r="10">
      <c r="A10" s="7" t="n">
        <v>6</v>
      </c>
      <c r="B10" s="8" t="inlineStr">
        <is>
          <t>40_OPEX</t>
        </is>
      </c>
      <c r="C10" s="8">
        <f>HYPERLINK("#'40_OPEX'!A1","Open")</f>
        <v/>
      </c>
      <c r="D10" s="8" t="inlineStr">
        <is>
          <t>Fixed operating costs</t>
        </is>
      </c>
    </row>
    <row r="11">
      <c r="A11" s="7" t="n">
        <v>7</v>
      </c>
      <c r="B11" s="8" t="inlineStr">
        <is>
          <t>50_CAPEX</t>
        </is>
      </c>
      <c r="C11" s="8">
        <f>HYPERLINK("#'50_CAPEX'!A1","Open")</f>
        <v/>
      </c>
      <c r="D11" s="8" t="inlineStr">
        <is>
          <t>Construction and equipment phasing</t>
        </is>
      </c>
    </row>
    <row r="12">
      <c r="A12" s="7" t="n">
        <v>8</v>
      </c>
      <c r="B12" s="8" t="inlineStr">
        <is>
          <t>60_WORKING_CAPITAL</t>
        </is>
      </c>
      <c r="C12" s="8">
        <f>HYPERLINK("#'60_WORKING_CAPITAL'!A1","Open")</f>
        <v/>
      </c>
      <c r="D12" s="8" t="inlineStr">
        <is>
          <t>Inventory / AR / AP</t>
        </is>
      </c>
    </row>
    <row r="13">
      <c r="A13" s="7" t="n">
        <v>9</v>
      </c>
      <c r="B13" s="8" t="inlineStr">
        <is>
          <t>70_FINANCING</t>
        </is>
      </c>
      <c r="C13" s="8">
        <f>HYPERLINK("#'70_FINANCING'!A1","Open")</f>
        <v/>
      </c>
      <c r="D13" s="8" t="inlineStr">
        <is>
          <t>Sources and debt schedule</t>
        </is>
      </c>
    </row>
    <row r="14">
      <c r="A14" s="7" t="n">
        <v>10</v>
      </c>
      <c r="B14" s="8" t="inlineStr">
        <is>
          <t>80_CASHFLOW</t>
        </is>
      </c>
      <c r="C14" s="8">
        <f>HYPERLINK("#'80_CASHFLOW'!A1","Open")</f>
        <v/>
      </c>
      <c r="D14" s="8" t="inlineStr">
        <is>
          <t>Integrated CFADS and DSCR</t>
        </is>
      </c>
    </row>
    <row r="15">
      <c r="A15" s="7" t="n">
        <v>11</v>
      </c>
      <c r="B15" s="8" t="inlineStr">
        <is>
          <t>90_DASHBOARD_IC</t>
        </is>
      </c>
      <c r="C15" s="8">
        <f>HYPERLINK("#'90_DASHBOARD_IC'!A1","Open")</f>
        <v/>
      </c>
      <c r="D15" s="8" t="inlineStr">
        <is>
          <t>IC dashboard</t>
        </is>
      </c>
    </row>
    <row r="16">
      <c r="A16" s="7" t="n">
        <v>12</v>
      </c>
      <c r="B16" s="8" t="inlineStr">
        <is>
          <t>99_MODEL_CHECKS</t>
        </is>
      </c>
      <c r="C16" s="8">
        <f>HYPERLINK("#'99_MODEL_CHECKS'!A1","Open")</f>
        <v/>
      </c>
      <c r="D16" s="8" t="inlineStr">
        <is>
          <t>Audit checks and flags</t>
        </is>
      </c>
    </row>
  </sheetData>
  <mergeCells count="1"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9" customWidth="1" min="2" max="2"/>
    <col width="34" customWidth="1" min="3" max="3"/>
    <col width="14" customWidth="1" min="4" max="4"/>
    <col width="13" customWidth="1" min="5" max="5"/>
    <col width="13" customWidth="1" min="6" max="6"/>
    <col width="13" customWidth="1" min="7" max="7"/>
    <col width="13" customWidth="1" min="8" max="8"/>
    <col width="26" customWidth="1" min="9" max="9"/>
    <col width="20" customWidth="1" min="10" max="10"/>
    <col width="36" customWidth="1" min="11" max="11"/>
  </cols>
  <sheetData>
    <row r="1">
      <c r="K1" s="9">
        <f>HYPERLINK("#'01_INDEX_NAVIGATION'!A1","Back to Index")</f>
        <v/>
      </c>
    </row>
    <row r="2">
      <c r="A2" s="1" t="inlineStr">
        <is>
          <t>ASSUMPTIONS MASTER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>
      <c r="A4" s="6" t="inlineStr">
        <is>
          <t>Block</t>
        </is>
      </c>
      <c r="B4" s="6" t="inlineStr">
        <is>
          <t>Code</t>
        </is>
      </c>
      <c r="C4" s="6" t="inlineStr">
        <is>
          <t>Assumption Name</t>
        </is>
      </c>
      <c r="D4" s="6" t="inlineStr">
        <is>
          <t>Unit</t>
        </is>
      </c>
      <c r="E4" s="6" t="inlineStr">
        <is>
          <t>Base Case</t>
        </is>
      </c>
      <c r="F4" s="6" t="inlineStr">
        <is>
          <t>Downside</t>
        </is>
      </c>
      <c r="G4" s="6" t="inlineStr">
        <is>
          <t>Upside</t>
        </is>
      </c>
      <c r="H4" s="6" t="inlineStr">
        <is>
          <t>Active</t>
        </is>
      </c>
      <c r="I4" s="6" t="inlineStr">
        <is>
          <t>Source</t>
        </is>
      </c>
      <c r="J4" s="6" t="inlineStr">
        <is>
          <t>Impact Area</t>
        </is>
      </c>
      <c r="K4" s="6" t="inlineStr">
        <is>
          <t>Notes</t>
        </is>
      </c>
    </row>
    <row r="5">
      <c r="A5" s="7" t="inlineStr">
        <is>
          <t>A</t>
        </is>
      </c>
      <c r="B5" s="8" t="inlineStr">
        <is>
          <t>A1</t>
        </is>
      </c>
      <c r="C5" s="8" t="inlineStr">
        <is>
          <t>EU inflation</t>
        </is>
      </c>
      <c r="D5" s="8" t="inlineStr">
        <is>
          <t>%</t>
        </is>
      </c>
      <c r="E5" s="10" t="n">
        <v>0.025</v>
      </c>
      <c r="F5" s="10" t="n">
        <v>0.035</v>
      </c>
      <c r="G5" s="10" t="n">
        <v>0.02</v>
      </c>
      <c r="H5" s="11">
        <f>CHOOSE('03_SCENARIO_CONTROL'!$B$6,F5,E5,G5)</f>
        <v/>
      </c>
      <c r="I5" s="8" t="inlineStr">
        <is>
          <t>Macro</t>
        </is>
      </c>
      <c r="J5" s="8" t="inlineStr">
        <is>
          <t>Long-term CPI</t>
        </is>
      </c>
      <c r="K5" s="8" t="n"/>
    </row>
    <row r="6">
      <c r="A6" s="7" t="inlineStr">
        <is>
          <t>A</t>
        </is>
      </c>
      <c r="B6" s="8" t="inlineStr">
        <is>
          <t>A2</t>
        </is>
      </c>
      <c r="C6" s="8" t="inlineStr">
        <is>
          <t>Montenegro inflation</t>
        </is>
      </c>
      <c r="D6" s="8" t="inlineStr">
        <is>
          <t>%</t>
        </is>
      </c>
      <c r="E6" s="10" t="n">
        <v>0.03</v>
      </c>
      <c r="F6" s="10" t="n">
        <v>0.045</v>
      </c>
      <c r="G6" s="10" t="n">
        <v>0.025</v>
      </c>
      <c r="H6" s="11">
        <f>CHOOSE('03_SCENARIO_CONTROL'!$B$6,F6,E6,G6)</f>
        <v/>
      </c>
      <c r="I6" s="8" t="inlineStr">
        <is>
          <t>Macro</t>
        </is>
      </c>
      <c r="J6" s="8" t="inlineStr">
        <is>
          <t>Domestic CPI</t>
        </is>
      </c>
      <c r="K6" s="8" t="n"/>
    </row>
    <row r="7">
      <c r="A7" s="7" t="inlineStr">
        <is>
          <t>A</t>
        </is>
      </c>
      <c r="B7" s="8" t="inlineStr">
        <is>
          <t>A3</t>
        </is>
      </c>
      <c r="C7" s="8" t="inlineStr">
        <is>
          <t>Reference debt interest rate</t>
        </is>
      </c>
      <c r="D7" s="8" t="inlineStr">
        <is>
          <t>%</t>
        </is>
      </c>
      <c r="E7" s="10" t="n">
        <v>0.045</v>
      </c>
      <c r="F7" s="10" t="n">
        <v>0.06</v>
      </c>
      <c r="G7" s="10" t="n">
        <v>0.038</v>
      </c>
      <c r="H7" s="11">
        <f>CHOOSE('03_SCENARIO_CONTROL'!$B$6,F7,E7,G7)</f>
        <v/>
      </c>
      <c r="I7" s="8" t="inlineStr">
        <is>
          <t>Financing</t>
        </is>
      </c>
      <c r="J7" s="8" t="inlineStr">
        <is>
          <t>All-in rate</t>
        </is>
      </c>
      <c r="K7" s="8" t="n"/>
    </row>
    <row r="8">
      <c r="A8" s="7" t="inlineStr">
        <is>
          <t>A</t>
        </is>
      </c>
      <c r="B8" s="8" t="inlineStr">
        <is>
          <t>A4</t>
        </is>
      </c>
      <c r="C8" s="8" t="inlineStr">
        <is>
          <t>Industrial electricity price</t>
        </is>
      </c>
      <c r="D8" s="8" t="inlineStr">
        <is>
          <t>EUR/MWh</t>
        </is>
      </c>
      <c r="E8" s="12" t="n">
        <v>120</v>
      </c>
      <c r="F8" s="12" t="n">
        <v>160</v>
      </c>
      <c r="G8" s="12" t="n">
        <v>95</v>
      </c>
      <c r="H8" s="13">
        <f>CHOOSE('03_SCENARIO_CONTROL'!$B$6,F8,E8,G8)</f>
        <v/>
      </c>
      <c r="I8" s="8" t="inlineStr">
        <is>
          <t>COGS/OPEX</t>
        </is>
      </c>
      <c r="J8" s="8" t="inlineStr">
        <is>
          <t>Gross tariff</t>
        </is>
      </c>
      <c r="K8" s="8" t="n"/>
    </row>
    <row r="9">
      <c r="A9" s="7" t="inlineStr">
        <is>
          <t>A</t>
        </is>
      </c>
      <c r="B9" s="8" t="inlineStr">
        <is>
          <t>A5</t>
        </is>
      </c>
      <c r="C9" s="8" t="inlineStr">
        <is>
          <t>Steel price</t>
        </is>
      </c>
      <c r="D9" s="8" t="inlineStr">
        <is>
          <t>EUR/t</t>
        </is>
      </c>
      <c r="E9" s="12" t="n">
        <v>850</v>
      </c>
      <c r="F9" s="12" t="n">
        <v>1050</v>
      </c>
      <c r="G9" s="12" t="n">
        <v>760</v>
      </c>
      <c r="H9" s="13">
        <f>CHOOSE('03_SCENARIO_CONTROL'!$B$6,F9,E9,G9)</f>
        <v/>
      </c>
      <c r="I9" s="8" t="inlineStr">
        <is>
          <t>COGS</t>
        </is>
      </c>
      <c r="J9" s="8" t="inlineStr">
        <is>
          <t>Raw material</t>
        </is>
      </c>
      <c r="K9" s="8" t="n"/>
    </row>
    <row r="10">
      <c r="A10" s="7" t="inlineStr">
        <is>
          <t>A</t>
        </is>
      </c>
      <c r="B10" s="8" t="inlineStr">
        <is>
          <t>A6</t>
        </is>
      </c>
      <c r="C10" s="8" t="inlineStr">
        <is>
          <t>Corporate tax rate</t>
        </is>
      </c>
      <c r="D10" s="8" t="inlineStr">
        <is>
          <t>%</t>
        </is>
      </c>
      <c r="E10" s="10" t="n">
        <v>0.09</v>
      </c>
      <c r="F10" s="10" t="n">
        <v>0.12</v>
      </c>
      <c r="G10" s="10" t="n">
        <v>0.09</v>
      </c>
      <c r="H10" s="11">
        <f>CHOOSE('03_SCENARIO_CONTROL'!$B$6,F10,E10,G10)</f>
        <v/>
      </c>
      <c r="I10" s="8" t="inlineStr">
        <is>
          <t>P&amp;L</t>
        </is>
      </c>
      <c r="J10" s="8" t="inlineStr">
        <is>
          <t>Illustrative</t>
        </is>
      </c>
      <c r="K10" s="8" t="n"/>
    </row>
    <row r="11">
      <c r="A11" s="7" t="inlineStr">
        <is>
          <t>B</t>
        </is>
      </c>
      <c r="B11" s="8" t="inlineStr">
        <is>
          <t>B1</t>
        </is>
      </c>
      <c r="C11" s="8" t="inlineStr">
        <is>
          <t>Design annual capacity</t>
        </is>
      </c>
      <c r="D11" s="8" t="inlineStr">
        <is>
          <t>units</t>
        </is>
      </c>
      <c r="E11" s="14" t="n">
        <v>1200</v>
      </c>
      <c r="F11" s="14" t="n">
        <v>1000</v>
      </c>
      <c r="G11" s="14" t="n">
        <v>1300</v>
      </c>
      <c r="H11" s="15">
        <f>CHOOSE('03_SCENARIO_CONTROL'!$B$6,F11,E11,G11)</f>
        <v/>
      </c>
      <c r="I11" s="8" t="inlineStr">
        <is>
          <t>Production</t>
        </is>
      </c>
      <c r="J11" s="8" t="inlineStr">
        <is>
          <t>Nameplate</t>
        </is>
      </c>
      <c r="K11" s="8" t="n"/>
    </row>
    <row r="12">
      <c r="A12" s="7" t="inlineStr">
        <is>
          <t>B</t>
        </is>
      </c>
      <c r="B12" s="8" t="inlineStr">
        <is>
          <t>B2</t>
        </is>
      </c>
      <c r="C12" s="8" t="inlineStr">
        <is>
          <t>Utilization Y1</t>
        </is>
      </c>
      <c r="D12" s="8" t="inlineStr">
        <is>
          <t>%</t>
        </is>
      </c>
      <c r="E12" s="10" t="n">
        <v>0.55</v>
      </c>
      <c r="F12" s="10" t="n">
        <v>0.45</v>
      </c>
      <c r="G12" s="10" t="n">
        <v>0.65</v>
      </c>
      <c r="H12" s="11">
        <f>CHOOSE('03_SCENARIO_CONTROL'!$B$6,F12,E12,G12)</f>
        <v/>
      </c>
      <c r="I12" s="8" t="inlineStr">
        <is>
          <t>Production</t>
        </is>
      </c>
      <c r="J12" s="8" t="inlineStr"/>
      <c r="K12" s="8" t="n"/>
    </row>
    <row r="13">
      <c r="A13" s="7" t="inlineStr">
        <is>
          <t>B</t>
        </is>
      </c>
      <c r="B13" s="8" t="inlineStr">
        <is>
          <t>B3</t>
        </is>
      </c>
      <c r="C13" s="8" t="inlineStr">
        <is>
          <t>Utilization Y2</t>
        </is>
      </c>
      <c r="D13" s="8" t="inlineStr">
        <is>
          <t>%</t>
        </is>
      </c>
      <c r="E13" s="10" t="n">
        <v>0.7</v>
      </c>
      <c r="F13" s="10" t="n">
        <v>0.58</v>
      </c>
      <c r="G13" s="10" t="n">
        <v>0.78</v>
      </c>
      <c r="H13" s="11">
        <f>CHOOSE('03_SCENARIO_CONTROL'!$B$6,F13,E13,G13)</f>
        <v/>
      </c>
      <c r="I13" s="8" t="inlineStr">
        <is>
          <t>Production</t>
        </is>
      </c>
      <c r="J13" s="8" t="inlineStr"/>
      <c r="K13" s="8" t="n"/>
    </row>
    <row r="14">
      <c r="A14" s="7" t="inlineStr">
        <is>
          <t>B</t>
        </is>
      </c>
      <c r="B14" s="8" t="inlineStr">
        <is>
          <t>B4</t>
        </is>
      </c>
      <c r="C14" s="8" t="inlineStr">
        <is>
          <t>Utilization Y3</t>
        </is>
      </c>
      <c r="D14" s="8" t="inlineStr">
        <is>
          <t>%</t>
        </is>
      </c>
      <c r="E14" s="10" t="n">
        <v>0.82</v>
      </c>
      <c r="F14" s="10" t="n">
        <v>0.68</v>
      </c>
      <c r="G14" s="10" t="n">
        <v>0.9</v>
      </c>
      <c r="H14" s="11">
        <f>CHOOSE('03_SCENARIO_CONTROL'!$B$6,F14,E14,G14)</f>
        <v/>
      </c>
      <c r="I14" s="8" t="inlineStr">
        <is>
          <t>Production</t>
        </is>
      </c>
      <c r="J14" s="8" t="inlineStr"/>
      <c r="K14" s="8" t="n"/>
    </row>
    <row r="15">
      <c r="A15" s="7" t="inlineStr">
        <is>
          <t>B</t>
        </is>
      </c>
      <c r="B15" s="8" t="inlineStr">
        <is>
          <t>B5</t>
        </is>
      </c>
      <c r="C15" s="8" t="inlineStr">
        <is>
          <t>Utilization Y4+</t>
        </is>
      </c>
      <c r="D15" s="8" t="inlineStr">
        <is>
          <t>%</t>
        </is>
      </c>
      <c r="E15" s="10" t="n">
        <v>0.88</v>
      </c>
      <c r="F15" s="10" t="n">
        <v>0.75</v>
      </c>
      <c r="G15" s="10" t="n">
        <v>0.95</v>
      </c>
      <c r="H15" s="11">
        <f>CHOOSE('03_SCENARIO_CONTROL'!$B$6,F15,E15,G15)</f>
        <v/>
      </c>
      <c r="I15" s="8" t="inlineStr">
        <is>
          <t>Production</t>
        </is>
      </c>
      <c r="J15" s="8" t="inlineStr"/>
      <c r="K15" s="8" t="n"/>
    </row>
    <row r="16">
      <c r="A16" s="7" t="inlineStr">
        <is>
          <t>B</t>
        </is>
      </c>
      <c r="B16" s="8" t="inlineStr">
        <is>
          <t>B6</t>
        </is>
      </c>
      <c r="C16" s="8" t="inlineStr">
        <is>
          <t>Energy intensity</t>
        </is>
      </c>
      <c r="D16" s="8" t="inlineStr">
        <is>
          <t>MWh/unit</t>
        </is>
      </c>
      <c r="E16" s="14" t="n">
        <v>0.42</v>
      </c>
      <c r="F16" s="14" t="n">
        <v>0.48</v>
      </c>
      <c r="G16" s="14" t="n">
        <v>0.38</v>
      </c>
      <c r="H16" s="15">
        <f>CHOOSE('03_SCENARIO_CONTROL'!$B$6,F16,E16,G16)</f>
        <v/>
      </c>
      <c r="I16" s="8" t="inlineStr">
        <is>
          <t>COGS</t>
        </is>
      </c>
      <c r="J16" s="8" t="inlineStr"/>
      <c r="K16" s="8" t="n"/>
    </row>
    <row r="17">
      <c r="A17" s="7" t="inlineStr">
        <is>
          <t>B</t>
        </is>
      </c>
      <c r="B17" s="8" t="inlineStr">
        <is>
          <t>B7</t>
        </is>
      </c>
      <c r="C17" s="8" t="inlineStr">
        <is>
          <t>Direct labour hours per unit</t>
        </is>
      </c>
      <c r="D17" s="8" t="inlineStr">
        <is>
          <t>hours</t>
        </is>
      </c>
      <c r="E17" s="14" t="n">
        <v>18</v>
      </c>
      <c r="F17" s="14" t="n">
        <v>22</v>
      </c>
      <c r="G17" s="14" t="n">
        <v>16</v>
      </c>
      <c r="H17" s="15">
        <f>CHOOSE('03_SCENARIO_CONTROL'!$B$6,F17,E17,G17)</f>
        <v/>
      </c>
      <c r="I17" s="8" t="inlineStr">
        <is>
          <t>COGS</t>
        </is>
      </c>
      <c r="J17" s="8" t="inlineStr"/>
      <c r="K17" s="8" t="n"/>
    </row>
    <row r="18">
      <c r="A18" s="7" t="inlineStr">
        <is>
          <t>C</t>
        </is>
      </c>
      <c r="B18" s="8" t="inlineStr">
        <is>
          <t>C1</t>
        </is>
      </c>
      <c r="C18" s="8" t="inlineStr">
        <is>
          <t>Average selling price Y1</t>
        </is>
      </c>
      <c r="D18" s="8" t="inlineStr">
        <is>
          <t>EUR/unit</t>
        </is>
      </c>
      <c r="E18" s="12" t="n">
        <v>17500</v>
      </c>
      <c r="F18" s="12" t="n">
        <v>16000</v>
      </c>
      <c r="G18" s="12" t="n">
        <v>18500</v>
      </c>
      <c r="H18" s="13">
        <f>CHOOSE('03_SCENARIO_CONTROL'!$B$6,F18,E18,G18)</f>
        <v/>
      </c>
      <c r="I18" s="8" t="inlineStr">
        <is>
          <t>Revenue</t>
        </is>
      </c>
      <c r="J18" s="8" t="inlineStr"/>
      <c r="K18" s="8" t="n"/>
    </row>
    <row r="19">
      <c r="A19" s="7" t="inlineStr">
        <is>
          <t>C</t>
        </is>
      </c>
      <c r="B19" s="8" t="inlineStr">
        <is>
          <t>C2</t>
        </is>
      </c>
      <c r="C19" s="8" t="inlineStr">
        <is>
          <t>Annual price escalation</t>
        </is>
      </c>
      <c r="D19" s="8" t="inlineStr">
        <is>
          <t>%</t>
        </is>
      </c>
      <c r="E19" s="10" t="n">
        <v>0.02</v>
      </c>
      <c r="F19" s="10" t="n">
        <v>0.01</v>
      </c>
      <c r="G19" s="10" t="n">
        <v>0.03</v>
      </c>
      <c r="H19" s="11">
        <f>CHOOSE('03_SCENARIO_CONTROL'!$B$6,F19,E19,G19)</f>
        <v/>
      </c>
      <c r="I19" s="8" t="inlineStr">
        <is>
          <t>Revenue</t>
        </is>
      </c>
      <c r="J19" s="8" t="inlineStr"/>
      <c r="K19" s="8" t="n"/>
    </row>
    <row r="20">
      <c r="A20" s="7" t="inlineStr">
        <is>
          <t>C</t>
        </is>
      </c>
      <c r="B20" s="8" t="inlineStr">
        <is>
          <t>C3</t>
        </is>
      </c>
      <c r="C20" s="8" t="inlineStr">
        <is>
          <t>Service revenue share</t>
        </is>
      </c>
      <c r="D20" s="8" t="inlineStr">
        <is>
          <t>%</t>
        </is>
      </c>
      <c r="E20" s="10" t="n">
        <v>0.06</v>
      </c>
      <c r="F20" s="10" t="n">
        <v>0.04</v>
      </c>
      <c r="G20" s="10" t="n">
        <v>0.08</v>
      </c>
      <c r="H20" s="11">
        <f>CHOOSE('03_SCENARIO_CONTROL'!$B$6,F20,E20,G20)</f>
        <v/>
      </c>
      <c r="I20" s="8" t="inlineStr">
        <is>
          <t>Revenue</t>
        </is>
      </c>
      <c r="J20" s="8" t="inlineStr">
        <is>
          <t>Aftermarket</t>
        </is>
      </c>
      <c r="K20" s="8" t="n"/>
    </row>
    <row r="21">
      <c r="A21" s="7" t="inlineStr">
        <is>
          <t>D</t>
        </is>
      </c>
      <c r="B21" s="8" t="inlineStr">
        <is>
          <t>D1</t>
        </is>
      </c>
      <c r="C21" s="8" t="inlineStr">
        <is>
          <t>Steel consumption per unit</t>
        </is>
      </c>
      <c r="D21" s="8" t="inlineStr">
        <is>
          <t>t/unit</t>
        </is>
      </c>
      <c r="E21" s="14" t="n">
        <v>3.2</v>
      </c>
      <c r="F21" s="14" t="n">
        <v>3.4</v>
      </c>
      <c r="G21" s="14" t="n">
        <v>3</v>
      </c>
      <c r="H21" s="15">
        <f>CHOOSE('03_SCENARIO_CONTROL'!$B$6,F21,E21,G21)</f>
        <v/>
      </c>
      <c r="I21" s="8" t="inlineStr">
        <is>
          <t>COGS</t>
        </is>
      </c>
      <c r="J21" s="8" t="inlineStr"/>
      <c r="K21" s="8" t="n"/>
    </row>
    <row r="22">
      <c r="A22" s="7" t="inlineStr">
        <is>
          <t>D</t>
        </is>
      </c>
      <c r="B22" s="8" t="inlineStr">
        <is>
          <t>D2</t>
        </is>
      </c>
      <c r="C22" s="8" t="inlineStr">
        <is>
          <t>Other materials per unit</t>
        </is>
      </c>
      <c r="D22" s="8" t="inlineStr">
        <is>
          <t>EUR/unit</t>
        </is>
      </c>
      <c r="E22" s="12" t="n">
        <v>2200</v>
      </c>
      <c r="F22" s="12" t="n">
        <v>2600</v>
      </c>
      <c r="G22" s="12" t="n">
        <v>2000</v>
      </c>
      <c r="H22" s="13">
        <f>CHOOSE('03_SCENARIO_CONTROL'!$B$6,F22,E22,G22)</f>
        <v/>
      </c>
      <c r="I22" s="8" t="inlineStr">
        <is>
          <t>COGS</t>
        </is>
      </c>
      <c r="J22" s="8" t="inlineStr"/>
      <c r="K22" s="8" t="n"/>
    </row>
    <row r="23">
      <c r="A23" s="7" t="inlineStr">
        <is>
          <t>D</t>
        </is>
      </c>
      <c r="B23" s="8" t="inlineStr">
        <is>
          <t>D3</t>
        </is>
      </c>
      <c r="C23" s="8" t="inlineStr">
        <is>
          <t>Direct labour hourly cost</t>
        </is>
      </c>
      <c r="D23" s="8" t="inlineStr">
        <is>
          <t>EUR/hour</t>
        </is>
      </c>
      <c r="E23" s="12" t="n">
        <v>9.5</v>
      </c>
      <c r="F23" s="12" t="n">
        <v>11</v>
      </c>
      <c r="G23" s="12" t="n">
        <v>8.5</v>
      </c>
      <c r="H23" s="13">
        <f>CHOOSE('03_SCENARIO_CONTROL'!$B$6,F23,E23,G23)</f>
        <v/>
      </c>
      <c r="I23" s="8" t="inlineStr">
        <is>
          <t>COGS</t>
        </is>
      </c>
      <c r="J23" s="8" t="inlineStr"/>
      <c r="K23" s="8" t="n"/>
    </row>
    <row r="24">
      <c r="A24" s="7" t="inlineStr">
        <is>
          <t>D</t>
        </is>
      </c>
      <c r="B24" s="8" t="inlineStr">
        <is>
          <t>D4</t>
        </is>
      </c>
      <c r="C24" s="8" t="inlineStr">
        <is>
          <t>Logistics cost as % of sales</t>
        </is>
      </c>
      <c r="D24" s="8" t="inlineStr">
        <is>
          <t>%</t>
        </is>
      </c>
      <c r="E24" s="10" t="n">
        <v>0.03</v>
      </c>
      <c r="F24" s="10" t="n">
        <v>0.045</v>
      </c>
      <c r="G24" s="10" t="n">
        <v>0.025</v>
      </c>
      <c r="H24" s="11">
        <f>CHOOSE('03_SCENARIO_CONTROL'!$B$6,F24,E24,G24)</f>
        <v/>
      </c>
      <c r="I24" s="8" t="inlineStr">
        <is>
          <t>COGS</t>
        </is>
      </c>
      <c r="J24" s="8" t="inlineStr"/>
      <c r="K24" s="8" t="n"/>
    </row>
    <row r="25">
      <c r="A25" s="7" t="inlineStr">
        <is>
          <t>D</t>
        </is>
      </c>
      <c r="B25" s="8" t="inlineStr">
        <is>
          <t>D5</t>
        </is>
      </c>
      <c r="C25" s="8" t="inlineStr">
        <is>
          <t>Variable overhead as % of sales</t>
        </is>
      </c>
      <c r="D25" s="8" t="inlineStr">
        <is>
          <t>%</t>
        </is>
      </c>
      <c r="E25" s="10" t="n">
        <v>0.015</v>
      </c>
      <c r="F25" s="10" t="n">
        <v>0.022</v>
      </c>
      <c r="G25" s="10" t="n">
        <v>0.012</v>
      </c>
      <c r="H25" s="11">
        <f>CHOOSE('03_SCENARIO_CONTROL'!$B$6,F25,E25,G25)</f>
        <v/>
      </c>
      <c r="I25" s="8" t="inlineStr">
        <is>
          <t>COGS</t>
        </is>
      </c>
      <c r="J25" s="8" t="inlineStr"/>
      <c r="K25" s="8" t="n"/>
    </row>
    <row r="26">
      <c r="A26" s="7" t="inlineStr">
        <is>
          <t>E</t>
        </is>
      </c>
      <c r="B26" s="8" t="inlineStr">
        <is>
          <t>E1</t>
        </is>
      </c>
      <c r="C26" s="8" t="inlineStr">
        <is>
          <t>Headcount Y1</t>
        </is>
      </c>
      <c r="D26" s="8" t="inlineStr">
        <is>
          <t>FTE</t>
        </is>
      </c>
      <c r="E26" s="14" t="n">
        <v>95</v>
      </c>
      <c r="F26" s="14" t="n">
        <v>105</v>
      </c>
      <c r="G26" s="14" t="n">
        <v>90</v>
      </c>
      <c r="H26" s="15">
        <f>CHOOSE('03_SCENARIO_CONTROL'!$B$6,F26,E26,G26)</f>
        <v/>
      </c>
      <c r="I26" s="8" t="inlineStr">
        <is>
          <t>OPEX</t>
        </is>
      </c>
      <c r="J26" s="8" t="inlineStr"/>
      <c r="K26" s="8" t="n"/>
    </row>
    <row r="27">
      <c r="A27" s="7" t="inlineStr">
        <is>
          <t>E</t>
        </is>
      </c>
      <c r="B27" s="8" t="inlineStr">
        <is>
          <t>E2</t>
        </is>
      </c>
      <c r="C27" s="8" t="inlineStr">
        <is>
          <t>Headcount Y4+</t>
        </is>
      </c>
      <c r="D27" s="8" t="inlineStr">
        <is>
          <t>FTE</t>
        </is>
      </c>
      <c r="E27" s="14" t="n">
        <v>120</v>
      </c>
      <c r="F27" s="14" t="n">
        <v>135</v>
      </c>
      <c r="G27" s="14" t="n">
        <v>115</v>
      </c>
      <c r="H27" s="15">
        <f>CHOOSE('03_SCENARIO_CONTROL'!$B$6,F27,E27,G27)</f>
        <v/>
      </c>
      <c r="I27" s="8" t="inlineStr">
        <is>
          <t>OPEX</t>
        </is>
      </c>
      <c r="J27" s="8" t="inlineStr"/>
      <c r="K27" s="8" t="n"/>
    </row>
    <row r="28">
      <c r="A28" s="7" t="inlineStr">
        <is>
          <t>E</t>
        </is>
      </c>
      <c r="B28" s="8" t="inlineStr">
        <is>
          <t>E3</t>
        </is>
      </c>
      <c r="C28" s="8" t="inlineStr">
        <is>
          <t>Average annual salary</t>
        </is>
      </c>
      <c r="D28" s="8" t="inlineStr">
        <is>
          <t>EUR/FTE</t>
        </is>
      </c>
      <c r="E28" s="12" t="n">
        <v>16800</v>
      </c>
      <c r="F28" s="12" t="n">
        <v>18200</v>
      </c>
      <c r="G28" s="12" t="n">
        <v>16000</v>
      </c>
      <c r="H28" s="13">
        <f>CHOOSE('03_SCENARIO_CONTROL'!$B$6,F28,E28,G28)</f>
        <v/>
      </c>
      <c r="I28" s="8" t="inlineStr">
        <is>
          <t>OPEX</t>
        </is>
      </c>
      <c r="J28" s="8" t="inlineStr"/>
      <c r="K28" s="8" t="n"/>
    </row>
    <row r="29">
      <c r="A29" s="7" t="inlineStr">
        <is>
          <t>E</t>
        </is>
      </c>
      <c r="B29" s="8" t="inlineStr">
        <is>
          <t>E4</t>
        </is>
      </c>
      <c r="C29" s="8" t="inlineStr">
        <is>
          <t>Admin cost as % of sales</t>
        </is>
      </c>
      <c r="D29" s="8" t="inlineStr">
        <is>
          <t>%</t>
        </is>
      </c>
      <c r="E29" s="10" t="n">
        <v>0.03</v>
      </c>
      <c r="F29" s="10" t="n">
        <v>0.035</v>
      </c>
      <c r="G29" s="10" t="n">
        <v>0.025</v>
      </c>
      <c r="H29" s="11">
        <f>CHOOSE('03_SCENARIO_CONTROL'!$B$6,F29,E29,G29)</f>
        <v/>
      </c>
      <c r="I29" s="8" t="inlineStr">
        <is>
          <t>OPEX</t>
        </is>
      </c>
      <c r="J29" s="8" t="inlineStr"/>
      <c r="K29" s="8" t="n"/>
    </row>
    <row r="30">
      <c r="A30" s="7" t="inlineStr">
        <is>
          <t>E</t>
        </is>
      </c>
      <c r="B30" s="8" t="inlineStr">
        <is>
          <t>E5</t>
        </is>
      </c>
      <c r="C30" s="8" t="inlineStr">
        <is>
          <t>Maintenance as % of gross PP&amp;E</t>
        </is>
      </c>
      <c r="D30" s="8" t="inlineStr">
        <is>
          <t>%</t>
        </is>
      </c>
      <c r="E30" s="10" t="n">
        <v>0.03</v>
      </c>
      <c r="F30" s="10" t="n">
        <v>0.04</v>
      </c>
      <c r="G30" s="10" t="n">
        <v>0.025</v>
      </c>
      <c r="H30" s="11">
        <f>CHOOSE('03_SCENARIO_CONTROL'!$B$6,F30,E30,G30)</f>
        <v/>
      </c>
      <c r="I30" s="8" t="inlineStr">
        <is>
          <t>OPEX</t>
        </is>
      </c>
      <c r="J30" s="8" t="inlineStr"/>
      <c r="K30" s="8" t="n"/>
    </row>
    <row r="31">
      <c r="A31" s="7" t="inlineStr">
        <is>
          <t>E</t>
        </is>
      </c>
      <c r="B31" s="8" t="inlineStr">
        <is>
          <t>E6</t>
        </is>
      </c>
      <c r="C31" s="8" t="inlineStr">
        <is>
          <t>Insurance as % of gross PP&amp;E</t>
        </is>
      </c>
      <c r="D31" s="8" t="inlineStr">
        <is>
          <t>%</t>
        </is>
      </c>
      <c r="E31" s="10" t="n">
        <v>0.005</v>
      </c>
      <c r="F31" s="10" t="n">
        <v>0.007</v>
      </c>
      <c r="G31" s="10" t="n">
        <v>0.004</v>
      </c>
      <c r="H31" s="11">
        <f>CHOOSE('03_SCENARIO_CONTROL'!$B$6,F31,E31,G31)</f>
        <v/>
      </c>
      <c r="I31" s="8" t="inlineStr">
        <is>
          <t>OPEX</t>
        </is>
      </c>
      <c r="J31" s="8" t="inlineStr"/>
      <c r="K31" s="8" t="n"/>
    </row>
    <row r="32">
      <c r="A32" s="7" t="inlineStr">
        <is>
          <t>E</t>
        </is>
      </c>
      <c r="B32" s="8" t="inlineStr">
        <is>
          <t>E7</t>
        </is>
      </c>
      <c r="C32" s="8" t="inlineStr">
        <is>
          <t>Other fixed OPEX</t>
        </is>
      </c>
      <c r="D32" s="8" t="inlineStr">
        <is>
          <t>EUR/year</t>
        </is>
      </c>
      <c r="E32" s="12" t="n">
        <v>350000</v>
      </c>
      <c r="F32" s="12" t="n">
        <v>450000</v>
      </c>
      <c r="G32" s="12" t="n">
        <v>300000</v>
      </c>
      <c r="H32" s="13">
        <f>CHOOSE('03_SCENARIO_CONTROL'!$B$6,F32,E32,G32)</f>
        <v/>
      </c>
      <c r="I32" s="8" t="inlineStr">
        <is>
          <t>OPEX</t>
        </is>
      </c>
      <c r="J32" s="8" t="inlineStr"/>
      <c r="K32" s="8" t="n"/>
    </row>
    <row r="33">
      <c r="A33" s="7" t="inlineStr">
        <is>
          <t>F</t>
        </is>
      </c>
      <c r="B33" s="8" t="inlineStr">
        <is>
          <t>F1</t>
        </is>
      </c>
      <c r="C33" s="8" t="inlineStr">
        <is>
          <t>Land acquisition</t>
        </is>
      </c>
      <c r="D33" s="8" t="inlineStr">
        <is>
          <t>EUR</t>
        </is>
      </c>
      <c r="E33" s="12" t="n">
        <v>500000</v>
      </c>
      <c r="F33" s="12" t="n">
        <v>550000</v>
      </c>
      <c r="G33" s="12" t="n">
        <v>500000</v>
      </c>
      <c r="H33" s="13">
        <f>CHOOSE('03_SCENARIO_CONTROL'!$B$6,F33,E33,G33)</f>
        <v/>
      </c>
      <c r="I33" s="8" t="inlineStr">
        <is>
          <t>CAPEX</t>
        </is>
      </c>
      <c r="J33" s="8" t="inlineStr"/>
      <c r="K33" s="8" t="n"/>
    </row>
    <row r="34">
      <c r="A34" s="7" t="inlineStr">
        <is>
          <t>F</t>
        </is>
      </c>
      <c r="B34" s="8" t="inlineStr">
        <is>
          <t>F2</t>
        </is>
      </c>
      <c r="C34" s="8" t="inlineStr">
        <is>
          <t>Building and civil works</t>
        </is>
      </c>
      <c r="D34" s="8" t="inlineStr">
        <is>
          <t>EUR</t>
        </is>
      </c>
      <c r="E34" s="12" t="n">
        <v>6500000</v>
      </c>
      <c r="F34" s="12" t="n">
        <v>7300000</v>
      </c>
      <c r="G34" s="12" t="n">
        <v>6000000</v>
      </c>
      <c r="H34" s="13">
        <f>CHOOSE('03_SCENARIO_CONTROL'!$B$6,F34,E34,G34)</f>
        <v/>
      </c>
      <c r="I34" s="8" t="inlineStr">
        <is>
          <t>CAPEX</t>
        </is>
      </c>
      <c r="J34" s="8" t="inlineStr"/>
      <c r="K34" s="8" t="n"/>
    </row>
    <row r="35">
      <c r="A35" s="7" t="inlineStr">
        <is>
          <t>F</t>
        </is>
      </c>
      <c r="B35" s="8" t="inlineStr">
        <is>
          <t>F3</t>
        </is>
      </c>
      <c r="C35" s="8" t="inlineStr">
        <is>
          <t>Machinery and production lines</t>
        </is>
      </c>
      <c r="D35" s="8" t="inlineStr">
        <is>
          <t>EUR</t>
        </is>
      </c>
      <c r="E35" s="12" t="n">
        <v>4200000</v>
      </c>
      <c r="F35" s="12" t="n">
        <v>4700000</v>
      </c>
      <c r="G35" s="12" t="n">
        <v>3900000</v>
      </c>
      <c r="H35" s="13">
        <f>CHOOSE('03_SCENARIO_CONTROL'!$B$6,F35,E35,G35)</f>
        <v/>
      </c>
      <c r="I35" s="8" t="inlineStr">
        <is>
          <t>CAPEX</t>
        </is>
      </c>
      <c r="J35" s="8" t="inlineStr"/>
      <c r="K35" s="8" t="n"/>
    </row>
    <row r="36">
      <c r="A36" s="7" t="inlineStr">
        <is>
          <t>F</t>
        </is>
      </c>
      <c r="B36" s="8" t="inlineStr">
        <is>
          <t>F4</t>
        </is>
      </c>
      <c r="C36" s="8" t="inlineStr">
        <is>
          <t>Solar plant</t>
        </is>
      </c>
      <c r="D36" s="8" t="inlineStr">
        <is>
          <t>EUR</t>
        </is>
      </c>
      <c r="E36" s="12" t="n">
        <v>900000</v>
      </c>
      <c r="F36" s="12" t="n">
        <v>1000000</v>
      </c>
      <c r="G36" s="12" t="n">
        <v>850000</v>
      </c>
      <c r="H36" s="13">
        <f>CHOOSE('03_SCENARIO_CONTROL'!$B$6,F36,E36,G36)</f>
        <v/>
      </c>
      <c r="I36" s="8" t="inlineStr">
        <is>
          <t>CAPEX</t>
        </is>
      </c>
      <c r="J36" s="8" t="inlineStr"/>
      <c r="K36" s="8" t="n"/>
    </row>
    <row r="37">
      <c r="A37" s="7" t="inlineStr">
        <is>
          <t>F</t>
        </is>
      </c>
      <c r="B37" s="8" t="inlineStr">
        <is>
          <t>F5</t>
        </is>
      </c>
      <c r="C37" s="8" t="inlineStr">
        <is>
          <t>Pre-operating and permits</t>
        </is>
      </c>
      <c r="D37" s="8" t="inlineStr">
        <is>
          <t>EUR</t>
        </is>
      </c>
      <c r="E37" s="12" t="n">
        <v>900000</v>
      </c>
      <c r="F37" s="12" t="n">
        <v>1100000</v>
      </c>
      <c r="G37" s="12" t="n">
        <v>800000</v>
      </c>
      <c r="H37" s="13">
        <f>CHOOSE('03_SCENARIO_CONTROL'!$B$6,F37,E37,G37)</f>
        <v/>
      </c>
      <c r="I37" s="8" t="inlineStr">
        <is>
          <t>CAPEX</t>
        </is>
      </c>
      <c r="J37" s="8" t="inlineStr"/>
      <c r="K37" s="8" t="n"/>
    </row>
    <row r="38">
      <c r="A38" s="7" t="inlineStr">
        <is>
          <t>F</t>
        </is>
      </c>
      <c r="B38" s="8" t="inlineStr">
        <is>
          <t>F6</t>
        </is>
      </c>
      <c r="C38" s="8" t="inlineStr">
        <is>
          <t>Contingency</t>
        </is>
      </c>
      <c r="D38" s="8" t="inlineStr">
        <is>
          <t>%</t>
        </is>
      </c>
      <c r="E38" s="10" t="n">
        <v>0.1</v>
      </c>
      <c r="F38" s="10" t="n">
        <v>0.14</v>
      </c>
      <c r="G38" s="10" t="n">
        <v>0.08</v>
      </c>
      <c r="H38" s="11">
        <f>CHOOSE('03_SCENARIO_CONTROL'!$B$6,F38,E38,G38)</f>
        <v/>
      </c>
      <c r="I38" s="8" t="inlineStr">
        <is>
          <t>CAPEX</t>
        </is>
      </c>
      <c r="J38" s="8" t="inlineStr">
        <is>
          <t>of base capex</t>
        </is>
      </c>
      <c r="K38" s="8" t="n"/>
    </row>
    <row r="39">
      <c r="A39" s="7" t="inlineStr">
        <is>
          <t>G</t>
        </is>
      </c>
      <c r="B39" s="8" t="inlineStr">
        <is>
          <t>G1</t>
        </is>
      </c>
      <c r="C39" s="8" t="inlineStr">
        <is>
          <t>Inventory days</t>
        </is>
      </c>
      <c r="D39" s="8" t="inlineStr">
        <is>
          <t>days</t>
        </is>
      </c>
      <c r="E39" s="14" t="n">
        <v>60</v>
      </c>
      <c r="F39" s="14" t="n">
        <v>75</v>
      </c>
      <c r="G39" s="14" t="n">
        <v>50</v>
      </c>
      <c r="H39" s="15">
        <f>CHOOSE('03_SCENARIO_CONTROL'!$B$6,F39,E39,G39)</f>
        <v/>
      </c>
      <c r="I39" s="8" t="inlineStr">
        <is>
          <t>Working Capital</t>
        </is>
      </c>
      <c r="J39" s="8" t="inlineStr"/>
      <c r="K39" s="8" t="n"/>
    </row>
    <row r="40">
      <c r="A40" s="7" t="inlineStr">
        <is>
          <t>G</t>
        </is>
      </c>
      <c r="B40" s="8" t="inlineStr">
        <is>
          <t>G2</t>
        </is>
      </c>
      <c r="C40" s="8" t="inlineStr">
        <is>
          <t>Receivables days</t>
        </is>
      </c>
      <c r="D40" s="8" t="inlineStr">
        <is>
          <t>days</t>
        </is>
      </c>
      <c r="E40" s="14" t="n">
        <v>45</v>
      </c>
      <c r="F40" s="14" t="n">
        <v>60</v>
      </c>
      <c r="G40" s="14" t="n">
        <v>35</v>
      </c>
      <c r="H40" s="15">
        <f>CHOOSE('03_SCENARIO_CONTROL'!$B$6,F40,E40,G40)</f>
        <v/>
      </c>
      <c r="I40" s="8" t="inlineStr">
        <is>
          <t>Working Capital</t>
        </is>
      </c>
      <c r="J40" s="8" t="inlineStr"/>
      <c r="K40" s="8" t="n"/>
    </row>
    <row r="41">
      <c r="A41" s="7" t="inlineStr">
        <is>
          <t>G</t>
        </is>
      </c>
      <c r="B41" s="8" t="inlineStr">
        <is>
          <t>G3</t>
        </is>
      </c>
      <c r="C41" s="8" t="inlineStr">
        <is>
          <t>Payables days</t>
        </is>
      </c>
      <c r="D41" s="8" t="inlineStr">
        <is>
          <t>days</t>
        </is>
      </c>
      <c r="E41" s="14" t="n">
        <v>40</v>
      </c>
      <c r="F41" s="14" t="n">
        <v>30</v>
      </c>
      <c r="G41" s="14" t="n">
        <v>50</v>
      </c>
      <c r="H41" s="15">
        <f>CHOOSE('03_SCENARIO_CONTROL'!$B$6,F41,E41,G41)</f>
        <v/>
      </c>
      <c r="I41" s="8" t="inlineStr">
        <is>
          <t>Working Capital</t>
        </is>
      </c>
      <c r="J41" s="8" t="inlineStr"/>
      <c r="K41" s="8" t="n"/>
    </row>
    <row r="42">
      <c r="A42" s="7" t="inlineStr">
        <is>
          <t>H</t>
        </is>
      </c>
      <c r="B42" s="8" t="inlineStr">
        <is>
          <t>H1</t>
        </is>
      </c>
      <c r="C42" s="8" t="inlineStr">
        <is>
          <t>Senior debt share</t>
        </is>
      </c>
      <c r="D42" s="8" t="inlineStr">
        <is>
          <t>%</t>
        </is>
      </c>
      <c r="E42" s="10" t="n">
        <v>0.6</v>
      </c>
      <c r="F42" s="10" t="n">
        <v>0.5</v>
      </c>
      <c r="G42" s="10" t="n">
        <v>0.65</v>
      </c>
      <c r="H42" s="11">
        <f>CHOOSE('03_SCENARIO_CONTROL'!$B$6,F42,E42,G42)</f>
        <v/>
      </c>
      <c r="I42" s="8" t="inlineStr">
        <is>
          <t>Financing</t>
        </is>
      </c>
      <c r="J42" s="8" t="inlineStr"/>
      <c r="K42" s="8" t="n"/>
    </row>
    <row r="43">
      <c r="A43" s="7" t="inlineStr">
        <is>
          <t>H</t>
        </is>
      </c>
      <c r="B43" s="8" t="inlineStr">
        <is>
          <t>H2</t>
        </is>
      </c>
      <c r="C43" s="8" t="inlineStr">
        <is>
          <t>Equity share</t>
        </is>
      </c>
      <c r="D43" s="8" t="inlineStr">
        <is>
          <t>%</t>
        </is>
      </c>
      <c r="E43" s="10" t="n">
        <v>0.25</v>
      </c>
      <c r="F43" s="10" t="n">
        <v>0.35</v>
      </c>
      <c r="G43" s="10" t="n">
        <v>0.2</v>
      </c>
      <c r="H43" s="11">
        <f>CHOOSE('03_SCENARIO_CONTROL'!$B$6,F43,E43,G43)</f>
        <v/>
      </c>
      <c r="I43" s="8" t="inlineStr">
        <is>
          <t>Financing</t>
        </is>
      </c>
      <c r="J43" s="8" t="inlineStr"/>
      <c r="K43" s="8" t="n"/>
    </row>
    <row r="44">
      <c r="A44" s="7" t="inlineStr">
        <is>
          <t>H</t>
        </is>
      </c>
      <c r="B44" s="8" t="inlineStr">
        <is>
          <t>H3</t>
        </is>
      </c>
      <c r="C44" s="8" t="inlineStr">
        <is>
          <t>Grant share</t>
        </is>
      </c>
      <c r="D44" s="8" t="inlineStr">
        <is>
          <t>%</t>
        </is>
      </c>
      <c r="E44" s="10" t="n">
        <v>0.15</v>
      </c>
      <c r="F44" s="10" t="n">
        <v>0.15</v>
      </c>
      <c r="G44" s="10" t="n">
        <v>0.15</v>
      </c>
      <c r="H44" s="11">
        <f>CHOOSE('03_SCENARIO_CONTROL'!$B$6,F44,E44,G44)</f>
        <v/>
      </c>
      <c r="I44" s="8" t="inlineStr">
        <is>
          <t>Financing</t>
        </is>
      </c>
      <c r="J44" s="8" t="inlineStr"/>
      <c r="K44" s="8" t="n"/>
    </row>
    <row r="45">
      <c r="A45" s="7" t="inlineStr">
        <is>
          <t>H</t>
        </is>
      </c>
      <c r="B45" s="8" t="inlineStr">
        <is>
          <t>H4</t>
        </is>
      </c>
      <c r="C45" s="8" t="inlineStr">
        <is>
          <t>Loan tenor</t>
        </is>
      </c>
      <c r="D45" s="8" t="inlineStr">
        <is>
          <t>years</t>
        </is>
      </c>
      <c r="E45" s="14" t="n">
        <v>10</v>
      </c>
      <c r="F45" s="14" t="n">
        <v>8</v>
      </c>
      <c r="G45" s="14" t="n">
        <v>12</v>
      </c>
      <c r="H45" s="15">
        <f>CHOOSE('03_SCENARIO_CONTROL'!$B$6,F45,E45,G45)</f>
        <v/>
      </c>
      <c r="I45" s="8" t="inlineStr">
        <is>
          <t>Financing</t>
        </is>
      </c>
      <c r="J45" s="8" t="inlineStr"/>
      <c r="K45" s="8" t="n"/>
    </row>
    <row r="46">
      <c r="A46" s="7" t="inlineStr">
        <is>
          <t>H</t>
        </is>
      </c>
      <c r="B46" s="8" t="inlineStr">
        <is>
          <t>H5</t>
        </is>
      </c>
      <c r="C46" s="8" t="inlineStr">
        <is>
          <t>Grace period principal</t>
        </is>
      </c>
      <c r="D46" s="8" t="inlineStr">
        <is>
          <t>years</t>
        </is>
      </c>
      <c r="E46" s="14" t="n">
        <v>2</v>
      </c>
      <c r="F46" s="14" t="n">
        <v>1</v>
      </c>
      <c r="G46" s="14" t="n">
        <v>3</v>
      </c>
      <c r="H46" s="15">
        <f>CHOOSE('03_SCENARIO_CONTROL'!$B$6,F46,E46,G46)</f>
        <v/>
      </c>
      <c r="I46" s="8" t="inlineStr">
        <is>
          <t>Financing</t>
        </is>
      </c>
      <c r="J46" s="8" t="inlineStr"/>
      <c r="K46" s="8" t="n"/>
    </row>
    <row r="47">
      <c r="A47" s="7" t="inlineStr">
        <is>
          <t>H</t>
        </is>
      </c>
      <c r="B47" s="8" t="inlineStr">
        <is>
          <t>H6</t>
        </is>
      </c>
      <c r="C47" s="8" t="inlineStr">
        <is>
          <t>Target minimum DSCR</t>
        </is>
      </c>
      <c r="D47" s="8" t="inlineStr">
        <is>
          <t>x</t>
        </is>
      </c>
      <c r="E47" s="16" t="n">
        <v>1.25</v>
      </c>
      <c r="F47" s="16" t="n">
        <v>1.2</v>
      </c>
      <c r="G47" s="16" t="n">
        <v>1.3</v>
      </c>
      <c r="H47" s="17">
        <f>CHOOSE('03_SCENARIO_CONTROL'!$B$6,F47,E47,G47)</f>
        <v/>
      </c>
      <c r="I47" s="8" t="inlineStr">
        <is>
          <t>Financing</t>
        </is>
      </c>
      <c r="J47" s="8" t="inlineStr"/>
      <c r="K47" s="8" t="n"/>
    </row>
    <row r="48">
      <c r="A48" s="7" t="inlineStr">
        <is>
          <t>J</t>
        </is>
      </c>
      <c r="B48" s="8" t="inlineStr">
        <is>
          <t>J1</t>
        </is>
      </c>
      <c r="C48" s="8" t="inlineStr">
        <is>
          <t>Demand shock</t>
        </is>
      </c>
      <c r="D48" s="8" t="inlineStr">
        <is>
          <t>%</t>
        </is>
      </c>
      <c r="E48" s="10" t="n">
        <v>0</v>
      </c>
      <c r="F48" s="10" t="n">
        <v>-0.1</v>
      </c>
      <c r="G48" s="10" t="n">
        <v>0.08</v>
      </c>
      <c r="H48" s="11">
        <f>CHOOSE('03_SCENARIO_CONTROL'!$B$6,F48,E48,G48)</f>
        <v/>
      </c>
      <c r="I48" s="8" t="inlineStr">
        <is>
          <t>Scenario</t>
        </is>
      </c>
      <c r="J48" s="8" t="inlineStr"/>
      <c r="K48" s="8" t="n"/>
    </row>
    <row r="49">
      <c r="A49" s="7" t="inlineStr">
        <is>
          <t>J</t>
        </is>
      </c>
      <c r="B49" s="8" t="inlineStr">
        <is>
          <t>J2</t>
        </is>
      </c>
      <c r="C49" s="8" t="inlineStr">
        <is>
          <t>Price shock</t>
        </is>
      </c>
      <c r="D49" s="8" t="inlineStr">
        <is>
          <t>%</t>
        </is>
      </c>
      <c r="E49" s="10" t="n">
        <v>0</v>
      </c>
      <c r="F49" s="10" t="n">
        <v>-0.05</v>
      </c>
      <c r="G49" s="10" t="n">
        <v>0.05</v>
      </c>
      <c r="H49" s="11">
        <f>CHOOSE('03_SCENARIO_CONTROL'!$B$6,F49,E49,G49)</f>
        <v/>
      </c>
      <c r="I49" s="8" t="inlineStr">
        <is>
          <t>Scenario</t>
        </is>
      </c>
      <c r="J49" s="8" t="inlineStr"/>
      <c r="K49" s="8" t="n"/>
    </row>
    <row r="50">
      <c r="A50" s="7" t="inlineStr">
        <is>
          <t>J</t>
        </is>
      </c>
      <c r="B50" s="8" t="inlineStr">
        <is>
          <t>J3</t>
        </is>
      </c>
      <c r="C50" s="8" t="inlineStr">
        <is>
          <t>COGS shock</t>
        </is>
      </c>
      <c r="D50" s="8" t="inlineStr">
        <is>
          <t>%</t>
        </is>
      </c>
      <c r="E50" s="10" t="n">
        <v>0</v>
      </c>
      <c r="F50" s="10" t="n">
        <v>0.08</v>
      </c>
      <c r="G50" s="10" t="n">
        <v>-0.04</v>
      </c>
      <c r="H50" s="11">
        <f>CHOOSE('03_SCENARIO_CONTROL'!$B$6,F50,E50,G50)</f>
        <v/>
      </c>
      <c r="I50" s="8" t="inlineStr">
        <is>
          <t>Scenario</t>
        </is>
      </c>
      <c r="J50" s="8" t="inlineStr"/>
      <c r="K50" s="8" t="n"/>
    </row>
    <row r="51">
      <c r="A51" s="7" t="inlineStr">
        <is>
          <t>J</t>
        </is>
      </c>
      <c r="B51" s="8" t="inlineStr">
        <is>
          <t>J4</t>
        </is>
      </c>
      <c r="C51" s="8" t="inlineStr">
        <is>
          <t>CAPEX shock</t>
        </is>
      </c>
      <c r="D51" s="8" t="inlineStr">
        <is>
          <t>%</t>
        </is>
      </c>
      <c r="E51" s="10" t="n">
        <v>0</v>
      </c>
      <c r="F51" s="10" t="n">
        <v>0.1</v>
      </c>
      <c r="G51" s="10" t="n">
        <v>-0.03</v>
      </c>
      <c r="H51" s="11">
        <f>CHOOSE('03_SCENARIO_CONTROL'!$B$6,F51,E51,G51)</f>
        <v/>
      </c>
      <c r="I51" s="8" t="inlineStr">
        <is>
          <t>Scenario</t>
        </is>
      </c>
      <c r="J51" s="8" t="inlineStr"/>
      <c r="K51" s="8" t="n"/>
    </row>
  </sheetData>
  <mergeCells count="1">
    <mergeCell ref="A2:K2"/>
  </mergeCells>
  <pageMargins left="0.75" right="0.75" top="1" bottom="1" header="0.5" footer="0.5"/>
  <pageSetup orientation="landscape" fitToWidth="1"/>
  <headerFooter>
    <oddHeader>&amp;CARS METAL INDUSTRIES – Confidential</oddHeader>
    <oddFooter>&amp;RPage &amp;P of &amp;N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30" customWidth="1" min="4" max="4"/>
    <col width="24" customWidth="1" min="5" max="5"/>
  </cols>
  <sheetData>
    <row r="1">
      <c r="K1" s="9">
        <f>HYPERLINK("#'01_INDEX_NAVIGATION'!A1","Back to Index")</f>
        <v/>
      </c>
    </row>
    <row r="2">
      <c r="A2" s="1" t="inlineStr">
        <is>
          <t>SCENARIO CONTROL PANEL</t>
        </is>
      </c>
      <c r="B2" s="2" t="n"/>
      <c r="C2" s="2" t="n"/>
      <c r="D2" s="2" t="n"/>
      <c r="E2" s="2" t="n"/>
    </row>
    <row r="4">
      <c r="A4" s="6" t="inlineStr">
        <is>
          <t>Parameter</t>
        </is>
      </c>
      <c r="B4" s="6" t="inlineStr">
        <is>
          <t>Value</t>
        </is>
      </c>
      <c r="C4" s="6" t="inlineStr">
        <is>
          <t>Unit</t>
        </is>
      </c>
      <c r="D4" s="6" t="inlineStr">
        <is>
          <t>Comment</t>
        </is>
      </c>
      <c r="E4" s="6" t="inlineStr">
        <is>
          <t>Logic</t>
        </is>
      </c>
    </row>
    <row r="5">
      <c r="A5" s="7" t="inlineStr">
        <is>
          <t>Scenario Selector</t>
        </is>
      </c>
      <c r="B5" s="18" t="inlineStr">
        <is>
          <t>Base</t>
        </is>
      </c>
      <c r="C5" s="8" t="inlineStr">
        <is>
          <t>text</t>
        </is>
      </c>
      <c r="D5" s="8" t="inlineStr">
        <is>
          <t>Dropdown control</t>
        </is>
      </c>
      <c r="E5" s="8" t="inlineStr"/>
    </row>
    <row r="6">
      <c r="A6" s="7" t="inlineStr">
        <is>
          <t>Scenario Index</t>
        </is>
      </c>
      <c r="B6" s="18">
        <f>MATCH(B5,{"Downside","Base","Upside"},0)</f>
        <v/>
      </c>
      <c r="C6" s="8" t="inlineStr">
        <is>
          <t>index</t>
        </is>
      </c>
      <c r="D6" s="8" t="inlineStr">
        <is>
          <t>1=Downside 2=Base 3=Upside</t>
        </is>
      </c>
      <c r="E6" s="8" t="inlineStr">
        <is>
          <t>MATCH</t>
        </is>
      </c>
    </row>
    <row r="7">
      <c r="A7" s="7" t="inlineStr">
        <is>
          <t>Stress Override</t>
        </is>
      </c>
      <c r="B7" s="18" t="inlineStr">
        <is>
          <t>0.0%</t>
        </is>
      </c>
      <c r="C7" s="8" t="inlineStr">
        <is>
          <t>%</t>
        </is>
      </c>
      <c r="D7" s="8" t="inlineStr">
        <is>
          <t>Optional manual overlay</t>
        </is>
      </c>
      <c r="E7" s="8" t="inlineStr">
        <is>
          <t>Manual</t>
        </is>
      </c>
    </row>
    <row r="8">
      <c r="A8" s="7" t="inlineStr">
        <is>
          <t>Construction Delay Override</t>
        </is>
      </c>
      <c r="B8" s="18" t="inlineStr">
        <is>
          <t>0</t>
        </is>
      </c>
      <c r="C8" s="8" t="inlineStr">
        <is>
          <t>months</t>
        </is>
      </c>
      <c r="D8" s="8" t="inlineStr">
        <is>
          <t>Optional manual override</t>
        </is>
      </c>
      <c r="E8" s="8" t="inlineStr">
        <is>
          <t>Manual</t>
        </is>
      </c>
    </row>
  </sheetData>
  <mergeCells count="1">
    <mergeCell ref="A2:E2"/>
  </mergeCells>
  <dataValidations count="1">
    <dataValidation sqref="B5" showDropDown="0" showInputMessage="0" showErrorMessage="0" allowBlank="0" type="list">
      <formula1>"Downside,Base,Upside"</formula1>
    </dataValidation>
  </dataValidations>
  <pageMargins left="0.75" right="0.75" top="1" bottom="1" header="0.5" footer="0.5"/>
  <pageSetup orientation="landscape" fitToWidth="1"/>
  <headerFooter>
    <oddHeader>&amp;CARS METAL INDUSTRIES – Confidential</oddHeader>
    <oddFooter>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K1" s="9">
        <f>HYPERLINK("#'01_INDEX_NAVIGATION'!A1","Back to Index")</f>
        <v/>
      </c>
    </row>
    <row r="2">
      <c r="A2" s="1" t="inlineStr">
        <is>
          <t>PRODUCTION MODEL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>
      <c r="A4" s="6" t="inlineStr">
        <is>
          <t>Metric</t>
        </is>
      </c>
      <c r="B4" s="6" t="n">
        <v>2026</v>
      </c>
      <c r="C4" s="6" t="n">
        <v>2027</v>
      </c>
      <c r="D4" s="6" t="n">
        <v>2028</v>
      </c>
      <c r="E4" s="6" t="n">
        <v>2029</v>
      </c>
      <c r="F4" s="6" t="n">
        <v>2030</v>
      </c>
      <c r="G4" s="6" t="n">
        <v>2031</v>
      </c>
      <c r="H4" s="6" t="n">
        <v>2032</v>
      </c>
      <c r="I4" s="6" t="n">
        <v>2033</v>
      </c>
      <c r="J4" s="6" t="n">
        <v>2034</v>
      </c>
      <c r="K4" s="6" t="n">
        <v>2035</v>
      </c>
    </row>
    <row r="5">
      <c r="A5" s="19" t="inlineStr">
        <is>
          <t>Design capacity (units)</t>
        </is>
      </c>
      <c r="B5" s="20">
        <f>'02_ASSUMPTIONS_MASTER'!$H$11</f>
        <v/>
      </c>
      <c r="C5" s="20">
        <f>'02_ASSUMPTIONS_MASTER'!$H$11</f>
        <v/>
      </c>
      <c r="D5" s="20">
        <f>'02_ASSUMPTIONS_MASTER'!$H$11</f>
        <v/>
      </c>
      <c r="E5" s="20">
        <f>'02_ASSUMPTIONS_MASTER'!$H$11</f>
        <v/>
      </c>
      <c r="F5" s="20">
        <f>'02_ASSUMPTIONS_MASTER'!$H$11</f>
        <v/>
      </c>
      <c r="G5" s="20">
        <f>'02_ASSUMPTIONS_MASTER'!$H$11</f>
        <v/>
      </c>
      <c r="H5" s="20">
        <f>'02_ASSUMPTIONS_MASTER'!$H$11</f>
        <v/>
      </c>
      <c r="I5" s="20">
        <f>'02_ASSUMPTIONS_MASTER'!$H$11</f>
        <v/>
      </c>
      <c r="J5" s="20">
        <f>'02_ASSUMPTIONS_MASTER'!$H$11</f>
        <v/>
      </c>
      <c r="K5" s="20">
        <f>'02_ASSUMPTIONS_MASTER'!$H$11</f>
        <v/>
      </c>
    </row>
    <row r="6">
      <c r="A6" s="19" t="inlineStr">
        <is>
          <t>Utilization</t>
        </is>
      </c>
      <c r="B6" s="21" t="n">
        <v>0</v>
      </c>
      <c r="C6" s="21">
        <f>'02_ASSUMPTIONS_MASTER'!$H$12*(1+'02_ASSUMPTIONS_MASTER'!$H$48)</f>
        <v/>
      </c>
      <c r="D6" s="21">
        <f>'02_ASSUMPTIONS_MASTER'!$H$13*(1+'02_ASSUMPTIONS_MASTER'!$H$48)</f>
        <v/>
      </c>
      <c r="E6" s="21">
        <f>'02_ASSUMPTIONS_MASTER'!$H$14*(1+'02_ASSUMPTIONS_MASTER'!$H$48)</f>
        <v/>
      </c>
      <c r="F6" s="21">
        <f>'02_ASSUMPTIONS_MASTER'!$H$15*(1+'02_ASSUMPTIONS_MASTER'!$H$48)</f>
        <v/>
      </c>
      <c r="G6" s="21">
        <f>'02_ASSUMPTIONS_MASTER'!$H$15*(1+'02_ASSUMPTIONS_MASTER'!$H$48)</f>
        <v/>
      </c>
      <c r="H6" s="21">
        <f>'02_ASSUMPTIONS_MASTER'!$H$15*(1+'02_ASSUMPTIONS_MASTER'!$H$48)</f>
        <v/>
      </c>
      <c r="I6" s="21">
        <f>'02_ASSUMPTIONS_MASTER'!$H$15*(1+'02_ASSUMPTIONS_MASTER'!$H$48)</f>
        <v/>
      </c>
      <c r="J6" s="21">
        <f>'02_ASSUMPTIONS_MASTER'!$H$15*(1+'02_ASSUMPTIONS_MASTER'!$H$48)</f>
        <v/>
      </c>
      <c r="K6" s="21">
        <f>'02_ASSUMPTIONS_MASTER'!$H$15*(1+'02_ASSUMPTIONS_MASTER'!$H$48)</f>
        <v/>
      </c>
    </row>
    <row r="7">
      <c r="A7" s="19" t="inlineStr">
        <is>
          <t>Units produced</t>
        </is>
      </c>
      <c r="B7" s="20">
        <f>B5*B6</f>
        <v/>
      </c>
      <c r="C7" s="20">
        <f>C5*C6</f>
        <v/>
      </c>
      <c r="D7" s="20">
        <f>D5*D6</f>
        <v/>
      </c>
      <c r="E7" s="20">
        <f>E5*E6</f>
        <v/>
      </c>
      <c r="F7" s="20">
        <f>F5*F6</f>
        <v/>
      </c>
      <c r="G7" s="20">
        <f>G5*G6</f>
        <v/>
      </c>
      <c r="H7" s="20">
        <f>H5*H6</f>
        <v/>
      </c>
      <c r="I7" s="20">
        <f>I5*I6</f>
        <v/>
      </c>
      <c r="J7" s="20">
        <f>J5*J6</f>
        <v/>
      </c>
      <c r="K7" s="20">
        <f>K5*K6</f>
        <v/>
      </c>
    </row>
    <row r="8">
      <c r="A8" s="19" t="inlineStr">
        <is>
          <t>Units sold</t>
        </is>
      </c>
      <c r="B8" s="20">
        <f>B7</f>
        <v/>
      </c>
      <c r="C8" s="20">
        <f>C7</f>
        <v/>
      </c>
      <c r="D8" s="20">
        <f>D7</f>
        <v/>
      </c>
      <c r="E8" s="20">
        <f>E7</f>
        <v/>
      </c>
      <c r="F8" s="20">
        <f>F7</f>
        <v/>
      </c>
      <c r="G8" s="20">
        <f>G7</f>
        <v/>
      </c>
      <c r="H8" s="20">
        <f>H7</f>
        <v/>
      </c>
      <c r="I8" s="20">
        <f>I7</f>
        <v/>
      </c>
      <c r="J8" s="20">
        <f>J7</f>
        <v/>
      </c>
      <c r="K8" s="20">
        <f>K7</f>
        <v/>
      </c>
    </row>
  </sheetData>
  <mergeCells count="1">
    <mergeCell ref="A2:K2"/>
  </mergeCells>
  <pageMargins left="0.75" right="0.75" top="1" bottom="1" header="0.5" footer="0.5"/>
  <pageSetup orientation="landscape" fitToWidth="1"/>
  <headerFooter>
    <oddHeader>&amp;CARS METAL INDUSTRIES – Confidential</oddHeader>
    <oddFooter>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K1" s="9">
        <f>HYPERLINK("#'01_INDEX_NAVIGATION'!A1","Back to Index")</f>
        <v/>
      </c>
    </row>
    <row r="2">
      <c r="A2" s="1" t="inlineStr">
        <is>
          <t>REVENUE MODEL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>
      <c r="A4" s="6" t="inlineStr">
        <is>
          <t>Metric</t>
        </is>
      </c>
      <c r="B4" s="6" t="n">
        <v>2026</v>
      </c>
      <c r="C4" s="6" t="n">
        <v>2027</v>
      </c>
      <c r="D4" s="6" t="n">
        <v>2028</v>
      </c>
      <c r="E4" s="6" t="n">
        <v>2029</v>
      </c>
      <c r="F4" s="6" t="n">
        <v>2030</v>
      </c>
      <c r="G4" s="6" t="n">
        <v>2031</v>
      </c>
      <c r="H4" s="6" t="n">
        <v>2032</v>
      </c>
      <c r="I4" s="6" t="n">
        <v>2033</v>
      </c>
      <c r="J4" s="6" t="n">
        <v>2034</v>
      </c>
      <c r="K4" s="6" t="n">
        <v>2035</v>
      </c>
    </row>
    <row r="5">
      <c r="A5" s="19" t="inlineStr">
        <is>
          <t>Units sold</t>
        </is>
      </c>
      <c r="B5" s="22">
        <f>'10_PRODUCTION'!B8</f>
        <v/>
      </c>
      <c r="C5" s="22">
        <f>'10_PRODUCTION'!C8</f>
        <v/>
      </c>
      <c r="D5" s="22">
        <f>'10_PRODUCTION'!D8</f>
        <v/>
      </c>
      <c r="E5" s="22">
        <f>'10_PRODUCTION'!E8</f>
        <v/>
      </c>
      <c r="F5" s="22">
        <f>'10_PRODUCTION'!F8</f>
        <v/>
      </c>
      <c r="G5" s="22">
        <f>'10_PRODUCTION'!G8</f>
        <v/>
      </c>
      <c r="H5" s="22">
        <f>'10_PRODUCTION'!H8</f>
        <v/>
      </c>
      <c r="I5" s="22">
        <f>'10_PRODUCTION'!I8</f>
        <v/>
      </c>
      <c r="J5" s="22">
        <f>'10_PRODUCTION'!J8</f>
        <v/>
      </c>
      <c r="K5" s="22">
        <f>'10_PRODUCTION'!K8</f>
        <v/>
      </c>
    </row>
    <row r="6">
      <c r="A6" s="19" t="inlineStr">
        <is>
          <t>Average selling price</t>
        </is>
      </c>
      <c r="B6" s="23" t="n">
        <v>0</v>
      </c>
      <c r="C6" s="23">
        <f>'02_ASSUMPTIONS_MASTER'!$H$18*(1+'02_ASSUMPTIONS_MASTER'!$H$49)</f>
        <v/>
      </c>
      <c r="D6" s="23">
        <f>C6*(1+'02_ASSUMPTIONS_MASTER'!$H$19)</f>
        <v/>
      </c>
      <c r="E6" s="23">
        <f>D6*(1+'02_ASSUMPTIONS_MASTER'!$H$19)</f>
        <v/>
      </c>
      <c r="F6" s="23">
        <f>E6*(1+'02_ASSUMPTIONS_MASTER'!$H$19)</f>
        <v/>
      </c>
      <c r="G6" s="23">
        <f>F6*(1+'02_ASSUMPTIONS_MASTER'!$H$19)</f>
        <v/>
      </c>
      <c r="H6" s="23">
        <f>G6*(1+'02_ASSUMPTIONS_MASTER'!$H$19)</f>
        <v/>
      </c>
      <c r="I6" s="23">
        <f>H6*(1+'02_ASSUMPTIONS_MASTER'!$H$19)</f>
        <v/>
      </c>
      <c r="J6" s="23">
        <f>I6*(1+'02_ASSUMPTIONS_MASTER'!$H$19)</f>
        <v/>
      </c>
      <c r="K6" s="23">
        <f>J6*(1+'02_ASSUMPTIONS_MASTER'!$H$19)</f>
        <v/>
      </c>
    </row>
    <row r="7">
      <c r="A7" s="19" t="inlineStr">
        <is>
          <t>Product revenue</t>
        </is>
      </c>
      <c r="B7" s="23">
        <f>B5*B6</f>
        <v/>
      </c>
      <c r="C7" s="23">
        <f>C5*C6</f>
        <v/>
      </c>
      <c r="D7" s="23">
        <f>D5*D6</f>
        <v/>
      </c>
      <c r="E7" s="23">
        <f>E5*E6</f>
        <v/>
      </c>
      <c r="F7" s="23">
        <f>F5*F6</f>
        <v/>
      </c>
      <c r="G7" s="23">
        <f>G5*G6</f>
        <v/>
      </c>
      <c r="H7" s="23">
        <f>H5*H6</f>
        <v/>
      </c>
      <c r="I7" s="23">
        <f>I5*I6</f>
        <v/>
      </c>
      <c r="J7" s="23">
        <f>J5*J6</f>
        <v/>
      </c>
      <c r="K7" s="23">
        <f>K5*K6</f>
        <v/>
      </c>
    </row>
    <row r="8">
      <c r="A8" s="19" t="inlineStr">
        <is>
          <t>Service revenue</t>
        </is>
      </c>
      <c r="B8" s="23">
        <f>B7*'02_ASSUMPTIONS_MASTER'!$H$20</f>
        <v/>
      </c>
      <c r="C8" s="23">
        <f>C7*'02_ASSUMPTIONS_MASTER'!$H$20</f>
        <v/>
      </c>
      <c r="D8" s="23">
        <f>D7*'02_ASSUMPTIONS_MASTER'!$H$20</f>
        <v/>
      </c>
      <c r="E8" s="23">
        <f>E7*'02_ASSUMPTIONS_MASTER'!$H$20</f>
        <v/>
      </c>
      <c r="F8" s="23">
        <f>F7*'02_ASSUMPTIONS_MASTER'!$H$20</f>
        <v/>
      </c>
      <c r="G8" s="23">
        <f>G7*'02_ASSUMPTIONS_MASTER'!$H$20</f>
        <v/>
      </c>
      <c r="H8" s="23">
        <f>H7*'02_ASSUMPTIONS_MASTER'!$H$20</f>
        <v/>
      </c>
      <c r="I8" s="23">
        <f>I7*'02_ASSUMPTIONS_MASTER'!$H$20</f>
        <v/>
      </c>
      <c r="J8" s="23">
        <f>J7*'02_ASSUMPTIONS_MASTER'!$H$20</f>
        <v/>
      </c>
      <c r="K8" s="23">
        <f>K7*'02_ASSUMPTIONS_MASTER'!$H$20</f>
        <v/>
      </c>
    </row>
    <row r="9">
      <c r="A9" s="24" t="inlineStr">
        <is>
          <t>Total revenue</t>
        </is>
      </c>
      <c r="B9" s="25">
        <f>B7+B8</f>
        <v/>
      </c>
      <c r="C9" s="25">
        <f>C7+C8</f>
        <v/>
      </c>
      <c r="D9" s="25">
        <f>D7+D8</f>
        <v/>
      </c>
      <c r="E9" s="25">
        <f>E7+E8</f>
        <v/>
      </c>
      <c r="F9" s="25">
        <f>F7+F8</f>
        <v/>
      </c>
      <c r="G9" s="25">
        <f>G7+G8</f>
        <v/>
      </c>
      <c r="H9" s="25">
        <f>H7+H8</f>
        <v/>
      </c>
      <c r="I9" s="25">
        <f>I7+I8</f>
        <v/>
      </c>
      <c r="J9" s="25">
        <f>J7+J8</f>
        <v/>
      </c>
      <c r="K9" s="25">
        <f>K7+K8</f>
        <v/>
      </c>
    </row>
  </sheetData>
  <mergeCells count="1">
    <mergeCell ref="A2:K2"/>
  </mergeCells>
  <pageMargins left="0.75" right="0.75" top="1" bottom="1" header="0.5" footer="0.5"/>
  <pageSetup orientation="landscape" fitToWidth="1"/>
  <headerFooter>
    <oddHeader>&amp;CARS METAL INDUSTRIES – Confidential</oddHeader>
    <oddFooter>&amp;RPage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K1" s="9">
        <f>HYPERLINK("#'01_INDEX_NAVIGATION'!A1","Back to Index")</f>
        <v/>
      </c>
    </row>
    <row r="2">
      <c r="A2" s="1" t="inlineStr">
        <is>
          <t>COGS MODEL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>
      <c r="A4" s="6" t="inlineStr">
        <is>
          <t>Metric</t>
        </is>
      </c>
      <c r="B4" s="6" t="n">
        <v>2026</v>
      </c>
      <c r="C4" s="6" t="n">
        <v>2027</v>
      </c>
      <c r="D4" s="6" t="n">
        <v>2028</v>
      </c>
      <c r="E4" s="6" t="n">
        <v>2029</v>
      </c>
      <c r="F4" s="6" t="n">
        <v>2030</v>
      </c>
      <c r="G4" s="6" t="n">
        <v>2031</v>
      </c>
      <c r="H4" s="6" t="n">
        <v>2032</v>
      </c>
      <c r="I4" s="6" t="n">
        <v>2033</v>
      </c>
      <c r="J4" s="6" t="n">
        <v>2034</v>
      </c>
      <c r="K4" s="6" t="n">
        <v>2035</v>
      </c>
    </row>
    <row r="5">
      <c r="A5" s="19" t="inlineStr">
        <is>
          <t>Units produced</t>
        </is>
      </c>
      <c r="B5" s="20">
        <f>'10_PRODUCTION'!B7</f>
        <v/>
      </c>
      <c r="C5" s="20">
        <f>'10_PRODUCTION'!C7</f>
        <v/>
      </c>
      <c r="D5" s="20">
        <f>'10_PRODUCTION'!D7</f>
        <v/>
      </c>
      <c r="E5" s="20">
        <f>'10_PRODUCTION'!E7</f>
        <v/>
      </c>
      <c r="F5" s="20">
        <f>'10_PRODUCTION'!F7</f>
        <v/>
      </c>
      <c r="G5" s="20">
        <f>'10_PRODUCTION'!G7</f>
        <v/>
      </c>
      <c r="H5" s="20">
        <f>'10_PRODUCTION'!H7</f>
        <v/>
      </c>
      <c r="I5" s="20">
        <f>'10_PRODUCTION'!I7</f>
        <v/>
      </c>
      <c r="J5" s="20">
        <f>'10_PRODUCTION'!J7</f>
        <v/>
      </c>
      <c r="K5" s="20">
        <f>'10_PRODUCTION'!K7</f>
        <v/>
      </c>
    </row>
    <row r="6">
      <c r="A6" s="19" t="inlineStr">
        <is>
          <t>Steel cost per unit</t>
        </is>
      </c>
      <c r="B6" s="23">
        <f>'02_ASSUMPTIONS_MASTER'!$H$21*'02_ASSUMPTIONS_MASTER'!$H$9*(1+'02_ASSUMPTIONS_MASTER'!$H$50)</f>
        <v/>
      </c>
      <c r="C6" s="23">
        <f>'02_ASSUMPTIONS_MASTER'!$H$21*'02_ASSUMPTIONS_MASTER'!$H$9*(1+'02_ASSUMPTIONS_MASTER'!$H$50)</f>
        <v/>
      </c>
      <c r="D6" s="23">
        <f>'02_ASSUMPTIONS_MASTER'!$H$21*'02_ASSUMPTIONS_MASTER'!$H$9*(1+'02_ASSUMPTIONS_MASTER'!$H$50)</f>
        <v/>
      </c>
      <c r="E6" s="23">
        <f>'02_ASSUMPTIONS_MASTER'!$H$21*'02_ASSUMPTIONS_MASTER'!$H$9*(1+'02_ASSUMPTIONS_MASTER'!$H$50)</f>
        <v/>
      </c>
      <c r="F6" s="23">
        <f>'02_ASSUMPTIONS_MASTER'!$H$21*'02_ASSUMPTIONS_MASTER'!$H$9*(1+'02_ASSUMPTIONS_MASTER'!$H$50)</f>
        <v/>
      </c>
      <c r="G6" s="23">
        <f>'02_ASSUMPTIONS_MASTER'!$H$21*'02_ASSUMPTIONS_MASTER'!$H$9*(1+'02_ASSUMPTIONS_MASTER'!$H$50)</f>
        <v/>
      </c>
      <c r="H6" s="23">
        <f>'02_ASSUMPTIONS_MASTER'!$H$21*'02_ASSUMPTIONS_MASTER'!$H$9*(1+'02_ASSUMPTIONS_MASTER'!$H$50)</f>
        <v/>
      </c>
      <c r="I6" s="23">
        <f>'02_ASSUMPTIONS_MASTER'!$H$21*'02_ASSUMPTIONS_MASTER'!$H$9*(1+'02_ASSUMPTIONS_MASTER'!$H$50)</f>
        <v/>
      </c>
      <c r="J6" s="23">
        <f>'02_ASSUMPTIONS_MASTER'!$H$21*'02_ASSUMPTIONS_MASTER'!$H$9*(1+'02_ASSUMPTIONS_MASTER'!$H$50)</f>
        <v/>
      </c>
      <c r="K6" s="23">
        <f>'02_ASSUMPTIONS_MASTER'!$H$21*'02_ASSUMPTIONS_MASTER'!$H$9*(1+'02_ASSUMPTIONS_MASTER'!$H$50)</f>
        <v/>
      </c>
    </row>
    <row r="7">
      <c r="A7" s="19" t="inlineStr">
        <is>
          <t>Other materials per unit</t>
        </is>
      </c>
      <c r="B7" s="23">
        <f>'02_ASSUMPTIONS_MASTER'!$H$22*(1+'02_ASSUMPTIONS_MASTER'!$H$50)</f>
        <v/>
      </c>
      <c r="C7" s="23">
        <f>'02_ASSUMPTIONS_MASTER'!$H$22*(1+'02_ASSUMPTIONS_MASTER'!$H$50)</f>
        <v/>
      </c>
      <c r="D7" s="23">
        <f>'02_ASSUMPTIONS_MASTER'!$H$22*(1+'02_ASSUMPTIONS_MASTER'!$H$50)</f>
        <v/>
      </c>
      <c r="E7" s="23">
        <f>'02_ASSUMPTIONS_MASTER'!$H$22*(1+'02_ASSUMPTIONS_MASTER'!$H$50)</f>
        <v/>
      </c>
      <c r="F7" s="23">
        <f>'02_ASSUMPTIONS_MASTER'!$H$22*(1+'02_ASSUMPTIONS_MASTER'!$H$50)</f>
        <v/>
      </c>
      <c r="G7" s="23">
        <f>'02_ASSUMPTIONS_MASTER'!$H$22*(1+'02_ASSUMPTIONS_MASTER'!$H$50)</f>
        <v/>
      </c>
      <c r="H7" s="23">
        <f>'02_ASSUMPTIONS_MASTER'!$H$22*(1+'02_ASSUMPTIONS_MASTER'!$H$50)</f>
        <v/>
      </c>
      <c r="I7" s="23">
        <f>'02_ASSUMPTIONS_MASTER'!$H$22*(1+'02_ASSUMPTIONS_MASTER'!$H$50)</f>
        <v/>
      </c>
      <c r="J7" s="23">
        <f>'02_ASSUMPTIONS_MASTER'!$H$22*(1+'02_ASSUMPTIONS_MASTER'!$H$50)</f>
        <v/>
      </c>
      <c r="K7" s="23">
        <f>'02_ASSUMPTIONS_MASTER'!$H$22*(1+'02_ASSUMPTIONS_MASTER'!$H$50)</f>
        <v/>
      </c>
    </row>
    <row r="8">
      <c r="A8" s="19" t="inlineStr">
        <is>
          <t>Direct labour per unit</t>
        </is>
      </c>
      <c r="B8" s="23">
        <f>'02_ASSUMPTIONS_MASTER'!$H$17*'02_ASSUMPTIONS_MASTER'!$H$23*(1+'02_ASSUMPTIONS_MASTER'!$H$50)</f>
        <v/>
      </c>
      <c r="C8" s="23">
        <f>'02_ASSUMPTIONS_MASTER'!$H$17*'02_ASSUMPTIONS_MASTER'!$H$23*(1+'02_ASSUMPTIONS_MASTER'!$H$50)</f>
        <v/>
      </c>
      <c r="D8" s="23">
        <f>'02_ASSUMPTIONS_MASTER'!$H$17*'02_ASSUMPTIONS_MASTER'!$H$23*(1+'02_ASSUMPTIONS_MASTER'!$H$50)</f>
        <v/>
      </c>
      <c r="E8" s="23">
        <f>'02_ASSUMPTIONS_MASTER'!$H$17*'02_ASSUMPTIONS_MASTER'!$H$23*(1+'02_ASSUMPTIONS_MASTER'!$H$50)</f>
        <v/>
      </c>
      <c r="F8" s="23">
        <f>'02_ASSUMPTIONS_MASTER'!$H$17*'02_ASSUMPTIONS_MASTER'!$H$23*(1+'02_ASSUMPTIONS_MASTER'!$H$50)</f>
        <v/>
      </c>
      <c r="G8" s="23">
        <f>'02_ASSUMPTIONS_MASTER'!$H$17*'02_ASSUMPTIONS_MASTER'!$H$23*(1+'02_ASSUMPTIONS_MASTER'!$H$50)</f>
        <v/>
      </c>
      <c r="H8" s="23">
        <f>'02_ASSUMPTIONS_MASTER'!$H$17*'02_ASSUMPTIONS_MASTER'!$H$23*(1+'02_ASSUMPTIONS_MASTER'!$H$50)</f>
        <v/>
      </c>
      <c r="I8" s="23">
        <f>'02_ASSUMPTIONS_MASTER'!$H$17*'02_ASSUMPTIONS_MASTER'!$H$23*(1+'02_ASSUMPTIONS_MASTER'!$H$50)</f>
        <v/>
      </c>
      <c r="J8" s="23">
        <f>'02_ASSUMPTIONS_MASTER'!$H$17*'02_ASSUMPTIONS_MASTER'!$H$23*(1+'02_ASSUMPTIONS_MASTER'!$H$50)</f>
        <v/>
      </c>
      <c r="K8" s="23">
        <f>'02_ASSUMPTIONS_MASTER'!$H$17*'02_ASSUMPTIONS_MASTER'!$H$23*(1+'02_ASSUMPTIONS_MASTER'!$H$50)</f>
        <v/>
      </c>
    </row>
    <row r="9">
      <c r="A9" s="19" t="inlineStr">
        <is>
          <t>Energy cost per unit</t>
        </is>
      </c>
      <c r="B9" s="23">
        <f>'02_ASSUMPTIONS_MASTER'!$H$16*'02_ASSUMPTIONS_MASTER'!$H$8*(1+'02_ASSUMPTIONS_MASTER'!$H$50)</f>
        <v/>
      </c>
      <c r="C9" s="23">
        <f>'02_ASSUMPTIONS_MASTER'!$H$16*'02_ASSUMPTIONS_MASTER'!$H$8*(1+'02_ASSUMPTIONS_MASTER'!$H$50)</f>
        <v/>
      </c>
      <c r="D9" s="23">
        <f>'02_ASSUMPTIONS_MASTER'!$H$16*'02_ASSUMPTIONS_MASTER'!$H$8*(1+'02_ASSUMPTIONS_MASTER'!$H$50)</f>
        <v/>
      </c>
      <c r="E9" s="23">
        <f>'02_ASSUMPTIONS_MASTER'!$H$16*'02_ASSUMPTIONS_MASTER'!$H$8*(1+'02_ASSUMPTIONS_MASTER'!$H$50)</f>
        <v/>
      </c>
      <c r="F9" s="23">
        <f>'02_ASSUMPTIONS_MASTER'!$H$16*'02_ASSUMPTIONS_MASTER'!$H$8*(1+'02_ASSUMPTIONS_MASTER'!$H$50)</f>
        <v/>
      </c>
      <c r="G9" s="23">
        <f>'02_ASSUMPTIONS_MASTER'!$H$16*'02_ASSUMPTIONS_MASTER'!$H$8*(1+'02_ASSUMPTIONS_MASTER'!$H$50)</f>
        <v/>
      </c>
      <c r="H9" s="23">
        <f>'02_ASSUMPTIONS_MASTER'!$H$16*'02_ASSUMPTIONS_MASTER'!$H$8*(1+'02_ASSUMPTIONS_MASTER'!$H$50)</f>
        <v/>
      </c>
      <c r="I9" s="23">
        <f>'02_ASSUMPTIONS_MASTER'!$H$16*'02_ASSUMPTIONS_MASTER'!$H$8*(1+'02_ASSUMPTIONS_MASTER'!$H$50)</f>
        <v/>
      </c>
      <c r="J9" s="23">
        <f>'02_ASSUMPTIONS_MASTER'!$H$16*'02_ASSUMPTIONS_MASTER'!$H$8*(1+'02_ASSUMPTIONS_MASTER'!$H$50)</f>
        <v/>
      </c>
      <c r="K9" s="23">
        <f>'02_ASSUMPTIONS_MASTER'!$H$16*'02_ASSUMPTIONS_MASTER'!$H$8*(1+'02_ASSUMPTIONS_MASTER'!$H$50)</f>
        <v/>
      </c>
    </row>
    <row r="10">
      <c r="A10" s="19" t="inlineStr">
        <is>
          <t>Logistics cost</t>
        </is>
      </c>
      <c r="B10" s="23">
        <f>'20_REVENUE'!B9*'02_ASSUMPTIONS_MASTER'!$H$24</f>
        <v/>
      </c>
      <c r="C10" s="23">
        <f>'20_REVENUE'!C9*'02_ASSUMPTIONS_MASTER'!$H$24</f>
        <v/>
      </c>
      <c r="D10" s="23">
        <f>'20_REVENUE'!D9*'02_ASSUMPTIONS_MASTER'!$H$24</f>
        <v/>
      </c>
      <c r="E10" s="23">
        <f>'20_REVENUE'!E9*'02_ASSUMPTIONS_MASTER'!$H$24</f>
        <v/>
      </c>
      <c r="F10" s="23">
        <f>'20_REVENUE'!F9*'02_ASSUMPTIONS_MASTER'!$H$24</f>
        <v/>
      </c>
      <c r="G10" s="23">
        <f>'20_REVENUE'!G9*'02_ASSUMPTIONS_MASTER'!$H$24</f>
        <v/>
      </c>
      <c r="H10" s="23">
        <f>'20_REVENUE'!H9*'02_ASSUMPTIONS_MASTER'!$H$24</f>
        <v/>
      </c>
      <c r="I10" s="23">
        <f>'20_REVENUE'!I9*'02_ASSUMPTIONS_MASTER'!$H$24</f>
        <v/>
      </c>
      <c r="J10" s="23">
        <f>'20_REVENUE'!J9*'02_ASSUMPTIONS_MASTER'!$H$24</f>
        <v/>
      </c>
      <c r="K10" s="23">
        <f>'20_REVENUE'!K9*'02_ASSUMPTIONS_MASTER'!$H$24</f>
        <v/>
      </c>
    </row>
    <row r="11">
      <c r="A11" s="19" t="inlineStr">
        <is>
          <t>Variable overhead</t>
        </is>
      </c>
      <c r="B11" s="23">
        <f>'20_REVENUE'!B9*'02_ASSUMPTIONS_MASTER'!$H$25</f>
        <v/>
      </c>
      <c r="C11" s="23">
        <f>'20_REVENUE'!C9*'02_ASSUMPTIONS_MASTER'!$H$25</f>
        <v/>
      </c>
      <c r="D11" s="23">
        <f>'20_REVENUE'!D9*'02_ASSUMPTIONS_MASTER'!$H$25</f>
        <v/>
      </c>
      <c r="E11" s="23">
        <f>'20_REVENUE'!E9*'02_ASSUMPTIONS_MASTER'!$H$25</f>
        <v/>
      </c>
      <c r="F11" s="23">
        <f>'20_REVENUE'!F9*'02_ASSUMPTIONS_MASTER'!$H$25</f>
        <v/>
      </c>
      <c r="G11" s="23">
        <f>'20_REVENUE'!G9*'02_ASSUMPTIONS_MASTER'!$H$25</f>
        <v/>
      </c>
      <c r="H11" s="23">
        <f>'20_REVENUE'!H9*'02_ASSUMPTIONS_MASTER'!$H$25</f>
        <v/>
      </c>
      <c r="I11" s="23">
        <f>'20_REVENUE'!I9*'02_ASSUMPTIONS_MASTER'!$H$25</f>
        <v/>
      </c>
      <c r="J11" s="23">
        <f>'20_REVENUE'!J9*'02_ASSUMPTIONS_MASTER'!$H$25</f>
        <v/>
      </c>
      <c r="K11" s="23">
        <f>'20_REVENUE'!K9*'02_ASSUMPTIONS_MASTER'!$H$25</f>
        <v/>
      </c>
    </row>
    <row r="12">
      <c r="A12" s="24" t="inlineStr">
        <is>
          <t>Total COGS</t>
        </is>
      </c>
      <c r="B12" s="25">
        <f>(B6+B7+B8+B9)*B5+B10+B11</f>
        <v/>
      </c>
      <c r="C12" s="25">
        <f>(C6+C7+C8+C9)*C5+C10+C11</f>
        <v/>
      </c>
      <c r="D12" s="25">
        <f>(D6+D7+D8+D9)*D5+D10+D11</f>
        <v/>
      </c>
      <c r="E12" s="25">
        <f>(E6+E7+E8+E9)*E5+E10+E11</f>
        <v/>
      </c>
      <c r="F12" s="25">
        <f>(F6+F7+F8+F9)*F5+F10+F11</f>
        <v/>
      </c>
      <c r="G12" s="25">
        <f>(G6+G7+G8+G9)*G5+G10+G11</f>
        <v/>
      </c>
      <c r="H12" s="25">
        <f>(H6+H7+H8+H9)*H5+H10+H11</f>
        <v/>
      </c>
      <c r="I12" s="25">
        <f>(I6+I7+I8+I9)*I5+I10+I11</f>
        <v/>
      </c>
      <c r="J12" s="25">
        <f>(J6+J7+J8+J9)*J5+J10+J11</f>
        <v/>
      </c>
      <c r="K12" s="25">
        <f>(K6+K7+K8+K9)*K5+K10+K11</f>
        <v/>
      </c>
    </row>
    <row r="13">
      <c r="A13" s="24" t="inlineStr">
        <is>
          <t>COGS as % sales</t>
        </is>
      </c>
      <c r="B13" s="26">
        <f>IFERROR(B12/'20_REVENUE'!B9,0)</f>
        <v/>
      </c>
      <c r="C13" s="26">
        <f>IFERROR(C12/'20_REVENUE'!C9,0)</f>
        <v/>
      </c>
      <c r="D13" s="26">
        <f>IFERROR(D12/'20_REVENUE'!D9,0)</f>
        <v/>
      </c>
      <c r="E13" s="26">
        <f>IFERROR(E12/'20_REVENUE'!E9,0)</f>
        <v/>
      </c>
      <c r="F13" s="26">
        <f>IFERROR(F12/'20_REVENUE'!F9,0)</f>
        <v/>
      </c>
      <c r="G13" s="26">
        <f>IFERROR(G12/'20_REVENUE'!G9,0)</f>
        <v/>
      </c>
      <c r="H13" s="26">
        <f>IFERROR(H12/'20_REVENUE'!H9,0)</f>
        <v/>
      </c>
      <c r="I13" s="26">
        <f>IFERROR(I12/'20_REVENUE'!I9,0)</f>
        <v/>
      </c>
      <c r="J13" s="26">
        <f>IFERROR(J12/'20_REVENUE'!J9,0)</f>
        <v/>
      </c>
      <c r="K13" s="26">
        <f>IFERROR(K12/'20_REVENUE'!K9,0)</f>
        <v/>
      </c>
    </row>
  </sheetData>
  <mergeCells count="1">
    <mergeCell ref="A2:K2"/>
  </mergeCells>
  <pageMargins left="0.75" right="0.75" top="1" bottom="1" header="0.5" footer="0.5"/>
  <pageSetup orientation="landscape" fitToWidth="1"/>
  <headerFooter>
    <oddHeader>&amp;CARS METAL INDUSTRIES – Confidential</oddHeader>
    <oddFooter>&amp;RPage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K1" s="9">
        <f>HYPERLINK("#'01_INDEX_NAVIGATION'!A1","Back to Index")</f>
        <v/>
      </c>
    </row>
    <row r="2">
      <c r="A2" s="1" t="inlineStr">
        <is>
          <t>OPEX MODEL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>
      <c r="A4" s="6" t="inlineStr">
        <is>
          <t>Metric</t>
        </is>
      </c>
      <c r="B4" s="6" t="n">
        <v>2026</v>
      </c>
      <c r="C4" s="6" t="n">
        <v>2027</v>
      </c>
      <c r="D4" s="6" t="n">
        <v>2028</v>
      </c>
      <c r="E4" s="6" t="n">
        <v>2029</v>
      </c>
      <c r="F4" s="6" t="n">
        <v>2030</v>
      </c>
      <c r="G4" s="6" t="n">
        <v>2031</v>
      </c>
      <c r="H4" s="6" t="n">
        <v>2032</v>
      </c>
      <c r="I4" s="6" t="n">
        <v>2033</v>
      </c>
      <c r="J4" s="6" t="n">
        <v>2034</v>
      </c>
      <c r="K4" s="6" t="n">
        <v>2035</v>
      </c>
    </row>
    <row r="5">
      <c r="A5" s="19" t="inlineStr">
        <is>
          <t>Headcount</t>
        </is>
      </c>
      <c r="B5" s="23" t="n">
        <v>0</v>
      </c>
      <c r="C5" s="23">
        <f>'02_ASSUMPTIONS_MASTER'!$H$26*0.85</f>
        <v/>
      </c>
      <c r="D5" s="23">
        <f>'02_ASSUMPTIONS_MASTER'!$H$26*0.92</f>
        <v/>
      </c>
      <c r="E5" s="23">
        <f>'02_ASSUMPTIONS_MASTER'!$H$26*0.98</f>
        <v/>
      </c>
      <c r="F5" s="23">
        <f>'02_ASSUMPTIONS_MASTER'!$H$27</f>
        <v/>
      </c>
      <c r="G5" s="23">
        <f>'02_ASSUMPTIONS_MASTER'!$H$27</f>
        <v/>
      </c>
      <c r="H5" s="23">
        <f>'02_ASSUMPTIONS_MASTER'!$H$27</f>
        <v/>
      </c>
      <c r="I5" s="23">
        <f>'02_ASSUMPTIONS_MASTER'!$H$27</f>
        <v/>
      </c>
      <c r="J5" s="23">
        <f>'02_ASSUMPTIONS_MASTER'!$H$27</f>
        <v/>
      </c>
      <c r="K5" s="23">
        <f>'02_ASSUMPTIONS_MASTER'!$H$27</f>
        <v/>
      </c>
    </row>
    <row r="6">
      <c r="A6" s="19" t="inlineStr">
        <is>
          <t>Payroll</t>
        </is>
      </c>
      <c r="B6" s="23">
        <f>B5*'02_ASSUMPTIONS_MASTER'!$H$28*1</f>
        <v/>
      </c>
      <c r="C6" s="23">
        <f>C5*'02_ASSUMPTIONS_MASTER'!$H$28*(1+'02_ASSUMPTIONS_MASTER'!$H$6)^(1)</f>
        <v/>
      </c>
      <c r="D6" s="23">
        <f>D5*'02_ASSUMPTIONS_MASTER'!$H$28*(1+'02_ASSUMPTIONS_MASTER'!$H$6)^(2)</f>
        <v/>
      </c>
      <c r="E6" s="23">
        <f>E5*'02_ASSUMPTIONS_MASTER'!$H$28*(1+'02_ASSUMPTIONS_MASTER'!$H$6)^(3)</f>
        <v/>
      </c>
      <c r="F6" s="23">
        <f>F5*'02_ASSUMPTIONS_MASTER'!$H$28*(1+'02_ASSUMPTIONS_MASTER'!$H$6)^(4)</f>
        <v/>
      </c>
      <c r="G6" s="23">
        <f>G5*'02_ASSUMPTIONS_MASTER'!$H$28*(1+'02_ASSUMPTIONS_MASTER'!$H$6)^(5)</f>
        <v/>
      </c>
      <c r="H6" s="23">
        <f>H5*'02_ASSUMPTIONS_MASTER'!$H$28*(1+'02_ASSUMPTIONS_MASTER'!$H$6)^(6)</f>
        <v/>
      </c>
      <c r="I6" s="23">
        <f>I5*'02_ASSUMPTIONS_MASTER'!$H$28*(1+'02_ASSUMPTIONS_MASTER'!$H$6)^(7)</f>
        <v/>
      </c>
      <c r="J6" s="23">
        <f>J5*'02_ASSUMPTIONS_MASTER'!$H$28*(1+'02_ASSUMPTIONS_MASTER'!$H$6)^(8)</f>
        <v/>
      </c>
      <c r="K6" s="23">
        <f>K5*'02_ASSUMPTIONS_MASTER'!$H$28*(1+'02_ASSUMPTIONS_MASTER'!$H$6)^(9)</f>
        <v/>
      </c>
    </row>
    <row r="7">
      <c r="A7" s="19" t="inlineStr">
        <is>
          <t>Admin cost</t>
        </is>
      </c>
      <c r="B7" s="23">
        <f>'20_REVENUE'!B9*'02_ASSUMPTIONS_MASTER'!$H$29</f>
        <v/>
      </c>
      <c r="C7" s="23">
        <f>'20_REVENUE'!C9*'02_ASSUMPTIONS_MASTER'!$H$29</f>
        <v/>
      </c>
      <c r="D7" s="23">
        <f>'20_REVENUE'!D9*'02_ASSUMPTIONS_MASTER'!$H$29</f>
        <v/>
      </c>
      <c r="E7" s="23">
        <f>'20_REVENUE'!E9*'02_ASSUMPTIONS_MASTER'!$H$29</f>
        <v/>
      </c>
      <c r="F7" s="23">
        <f>'20_REVENUE'!F9*'02_ASSUMPTIONS_MASTER'!$H$29</f>
        <v/>
      </c>
      <c r="G7" s="23">
        <f>'20_REVENUE'!G9*'02_ASSUMPTIONS_MASTER'!$H$29</f>
        <v/>
      </c>
      <c r="H7" s="23">
        <f>'20_REVENUE'!H9*'02_ASSUMPTIONS_MASTER'!$H$29</f>
        <v/>
      </c>
      <c r="I7" s="23">
        <f>'20_REVENUE'!I9*'02_ASSUMPTIONS_MASTER'!$H$29</f>
        <v/>
      </c>
      <c r="J7" s="23">
        <f>'20_REVENUE'!J9*'02_ASSUMPTIONS_MASTER'!$H$29</f>
        <v/>
      </c>
      <c r="K7" s="23">
        <f>'20_REVENUE'!K9*'02_ASSUMPTIONS_MASTER'!$H$29</f>
        <v/>
      </c>
    </row>
    <row r="8">
      <c r="A8" s="19" t="inlineStr">
        <is>
          <t>Maintenance</t>
        </is>
      </c>
      <c r="B8" s="23">
        <f>'50_CAPEX'!B14*'02_ASSUMPTIONS_MASTER'!$H$30</f>
        <v/>
      </c>
      <c r="C8" s="23">
        <f>'50_CAPEX'!C14*'02_ASSUMPTIONS_MASTER'!$H$30</f>
        <v/>
      </c>
      <c r="D8" s="23">
        <f>'50_CAPEX'!D14*'02_ASSUMPTIONS_MASTER'!$H$30</f>
        <v/>
      </c>
      <c r="E8" s="23">
        <f>'50_CAPEX'!E14*'02_ASSUMPTIONS_MASTER'!$H$30</f>
        <v/>
      </c>
      <c r="F8" s="23">
        <f>'50_CAPEX'!F14*'02_ASSUMPTIONS_MASTER'!$H$30</f>
        <v/>
      </c>
      <c r="G8" s="23">
        <f>'50_CAPEX'!G14*'02_ASSUMPTIONS_MASTER'!$H$30</f>
        <v/>
      </c>
      <c r="H8" s="23">
        <f>'50_CAPEX'!H14*'02_ASSUMPTIONS_MASTER'!$H$30</f>
        <v/>
      </c>
      <c r="I8" s="23">
        <f>'50_CAPEX'!I14*'02_ASSUMPTIONS_MASTER'!$H$30</f>
        <v/>
      </c>
      <c r="J8" s="23">
        <f>'50_CAPEX'!J14*'02_ASSUMPTIONS_MASTER'!$H$30</f>
        <v/>
      </c>
      <c r="K8" s="23">
        <f>'50_CAPEX'!K14*'02_ASSUMPTIONS_MASTER'!$H$30</f>
        <v/>
      </c>
    </row>
    <row r="9">
      <c r="A9" s="19" t="inlineStr">
        <is>
          <t>Insurance</t>
        </is>
      </c>
      <c r="B9" s="23">
        <f>'50_CAPEX'!B14*'02_ASSUMPTIONS_MASTER'!$H$31</f>
        <v/>
      </c>
      <c r="C9" s="23">
        <f>'50_CAPEX'!C14*'02_ASSUMPTIONS_MASTER'!$H$31</f>
        <v/>
      </c>
      <c r="D9" s="23">
        <f>'50_CAPEX'!D14*'02_ASSUMPTIONS_MASTER'!$H$31</f>
        <v/>
      </c>
      <c r="E9" s="23">
        <f>'50_CAPEX'!E14*'02_ASSUMPTIONS_MASTER'!$H$31</f>
        <v/>
      </c>
      <c r="F9" s="23">
        <f>'50_CAPEX'!F14*'02_ASSUMPTIONS_MASTER'!$H$31</f>
        <v/>
      </c>
      <c r="G9" s="23">
        <f>'50_CAPEX'!G14*'02_ASSUMPTIONS_MASTER'!$H$31</f>
        <v/>
      </c>
      <c r="H9" s="23">
        <f>'50_CAPEX'!H14*'02_ASSUMPTIONS_MASTER'!$H$31</f>
        <v/>
      </c>
      <c r="I9" s="23">
        <f>'50_CAPEX'!I14*'02_ASSUMPTIONS_MASTER'!$H$31</f>
        <v/>
      </c>
      <c r="J9" s="23">
        <f>'50_CAPEX'!J14*'02_ASSUMPTIONS_MASTER'!$H$31</f>
        <v/>
      </c>
      <c r="K9" s="23">
        <f>'50_CAPEX'!K14*'02_ASSUMPTIONS_MASTER'!$H$31</f>
        <v/>
      </c>
    </row>
    <row r="10">
      <c r="A10" s="19" t="inlineStr">
        <is>
          <t>Other fixed OPEX</t>
        </is>
      </c>
      <c r="B10" s="23">
        <f>'02_ASSUMPTIONS_MASTER'!$H$32*1</f>
        <v/>
      </c>
      <c r="C10" s="23">
        <f>'02_ASSUMPTIONS_MASTER'!$H$32*(1+'02_ASSUMPTIONS_MASTER'!$H$6)^(1)</f>
        <v/>
      </c>
      <c r="D10" s="23">
        <f>'02_ASSUMPTIONS_MASTER'!$H$32*(1+'02_ASSUMPTIONS_MASTER'!$H$6)^(2)</f>
        <v/>
      </c>
      <c r="E10" s="23">
        <f>'02_ASSUMPTIONS_MASTER'!$H$32*(1+'02_ASSUMPTIONS_MASTER'!$H$6)^(3)</f>
        <v/>
      </c>
      <c r="F10" s="23">
        <f>'02_ASSUMPTIONS_MASTER'!$H$32*(1+'02_ASSUMPTIONS_MASTER'!$H$6)^(4)</f>
        <v/>
      </c>
      <c r="G10" s="23">
        <f>'02_ASSUMPTIONS_MASTER'!$H$32*(1+'02_ASSUMPTIONS_MASTER'!$H$6)^(5)</f>
        <v/>
      </c>
      <c r="H10" s="23">
        <f>'02_ASSUMPTIONS_MASTER'!$H$32*(1+'02_ASSUMPTIONS_MASTER'!$H$6)^(6)</f>
        <v/>
      </c>
      <c r="I10" s="23">
        <f>'02_ASSUMPTIONS_MASTER'!$H$32*(1+'02_ASSUMPTIONS_MASTER'!$H$6)^(7)</f>
        <v/>
      </c>
      <c r="J10" s="23">
        <f>'02_ASSUMPTIONS_MASTER'!$H$32*(1+'02_ASSUMPTIONS_MASTER'!$H$6)^(8)</f>
        <v/>
      </c>
      <c r="K10" s="23">
        <f>'02_ASSUMPTIONS_MASTER'!$H$32*(1+'02_ASSUMPTIONS_MASTER'!$H$6)^(9)</f>
        <v/>
      </c>
    </row>
    <row r="11">
      <c r="A11" s="24" t="inlineStr">
        <is>
          <t>Total OPEX</t>
        </is>
      </c>
      <c r="B11" s="25">
        <f>SUM(B6:B10)</f>
        <v/>
      </c>
      <c r="C11" s="25">
        <f>SUM(C6:C10)</f>
        <v/>
      </c>
      <c r="D11" s="25">
        <f>SUM(D6:D10)</f>
        <v/>
      </c>
      <c r="E11" s="25">
        <f>SUM(E6:E10)</f>
        <v/>
      </c>
      <c r="F11" s="25">
        <f>SUM(F6:F10)</f>
        <v/>
      </c>
      <c r="G11" s="25">
        <f>SUM(G6:G10)</f>
        <v/>
      </c>
      <c r="H11" s="25">
        <f>SUM(H6:H10)</f>
        <v/>
      </c>
      <c r="I11" s="25">
        <f>SUM(I6:I10)</f>
        <v/>
      </c>
      <c r="J11" s="25">
        <f>SUM(J6:J10)</f>
        <v/>
      </c>
      <c r="K11" s="25">
        <f>SUM(K6:K10)</f>
        <v/>
      </c>
    </row>
  </sheetData>
  <mergeCells count="1">
    <mergeCell ref="A2:K2"/>
  </mergeCells>
  <pageMargins left="0.75" right="0.75" top="1" bottom="1" header="0.5" footer="0.5"/>
  <pageSetup orientation="landscape" fitToWidth="1"/>
  <headerFooter>
    <oddHeader>&amp;CARS METAL INDUSTRIES – Confidential</oddHeader>
    <oddFooter>&amp;RPage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K1" s="9">
        <f>HYPERLINK("#'01_INDEX_NAVIGATION'!A1","Back to Index")</f>
        <v/>
      </c>
    </row>
    <row r="2">
      <c r="A2" s="1" t="inlineStr">
        <is>
          <t>CAPEX PHASING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>
      <c r="A4" s="6" t="inlineStr">
        <is>
          <t>Metric</t>
        </is>
      </c>
      <c r="B4" s="6" t="n">
        <v>2026</v>
      </c>
      <c r="C4" s="6" t="n">
        <v>2027</v>
      </c>
      <c r="D4" s="6" t="n">
        <v>2028</v>
      </c>
      <c r="E4" s="6" t="n">
        <v>2029</v>
      </c>
      <c r="F4" s="6" t="n">
        <v>2030</v>
      </c>
      <c r="G4" s="6" t="n">
        <v>2031</v>
      </c>
      <c r="H4" s="6" t="n">
        <v>2032</v>
      </c>
      <c r="I4" s="6" t="n">
        <v>2033</v>
      </c>
      <c r="J4" s="6" t="n">
        <v>2034</v>
      </c>
      <c r="K4" s="6" t="n">
        <v>2035</v>
      </c>
    </row>
    <row r="5">
      <c r="A5" s="19" t="inlineStr">
        <is>
          <t>Land acquisition</t>
        </is>
      </c>
      <c r="B5" s="23">
        <f>'02_ASSUMPTIONS_MASTER'!$H$33*1.0*(1+'02_ASSUMPTIONS_MASTER'!$H$51)</f>
        <v/>
      </c>
      <c r="C5" s="23">
        <f>'02_ASSUMPTIONS_MASTER'!$H$33*0.0*(1+'02_ASSUMPTIONS_MASTER'!$H$51)</f>
        <v/>
      </c>
      <c r="D5" s="23">
        <f>'02_ASSUMPTIONS_MASTER'!$H$33*0.0*(1+'02_ASSUMPTIONS_MASTER'!$H$51)</f>
        <v/>
      </c>
      <c r="E5" s="23">
        <f>'02_ASSUMPTIONS_MASTER'!$H$33*0.0*(1+'02_ASSUMPTIONS_MASTER'!$H$51)</f>
        <v/>
      </c>
      <c r="F5" s="23">
        <f>'02_ASSUMPTIONS_MASTER'!$H$33*0*(1+'02_ASSUMPTIONS_MASTER'!$H$51)</f>
        <v/>
      </c>
      <c r="G5" s="23">
        <f>'02_ASSUMPTIONS_MASTER'!$H$33*0*(1+'02_ASSUMPTIONS_MASTER'!$H$51)</f>
        <v/>
      </c>
      <c r="H5" s="23">
        <f>'02_ASSUMPTIONS_MASTER'!$H$33*0*(1+'02_ASSUMPTIONS_MASTER'!$H$51)</f>
        <v/>
      </c>
      <c r="I5" s="23">
        <f>'02_ASSUMPTIONS_MASTER'!$H$33*0*(1+'02_ASSUMPTIONS_MASTER'!$H$51)</f>
        <v/>
      </c>
      <c r="J5" s="23">
        <f>'02_ASSUMPTIONS_MASTER'!$H$33*0*(1+'02_ASSUMPTIONS_MASTER'!$H$51)</f>
        <v/>
      </c>
      <c r="K5" s="23">
        <f>'02_ASSUMPTIONS_MASTER'!$H$33*0*(1+'02_ASSUMPTIONS_MASTER'!$H$51)</f>
        <v/>
      </c>
    </row>
    <row r="6">
      <c r="A6" s="19" t="inlineStr">
        <is>
          <t>Building &amp; civil works</t>
        </is>
      </c>
      <c r="B6" s="23">
        <f>'02_ASSUMPTIONS_MASTER'!$H$34*0.15*(1+'02_ASSUMPTIONS_MASTER'!$H$51)</f>
        <v/>
      </c>
      <c r="C6" s="23">
        <f>'02_ASSUMPTIONS_MASTER'!$H$34*0.45*(1+'02_ASSUMPTIONS_MASTER'!$H$51)</f>
        <v/>
      </c>
      <c r="D6" s="23">
        <f>'02_ASSUMPTIONS_MASTER'!$H$34*0.3*(1+'02_ASSUMPTIONS_MASTER'!$H$51)</f>
        <v/>
      </c>
      <c r="E6" s="23">
        <f>'02_ASSUMPTIONS_MASTER'!$H$34*0.1*(1+'02_ASSUMPTIONS_MASTER'!$H$51)</f>
        <v/>
      </c>
      <c r="F6" s="23">
        <f>'02_ASSUMPTIONS_MASTER'!$H$34*0*(1+'02_ASSUMPTIONS_MASTER'!$H$51)</f>
        <v/>
      </c>
      <c r="G6" s="23">
        <f>'02_ASSUMPTIONS_MASTER'!$H$34*0*(1+'02_ASSUMPTIONS_MASTER'!$H$51)</f>
        <v/>
      </c>
      <c r="H6" s="23">
        <f>'02_ASSUMPTIONS_MASTER'!$H$34*0*(1+'02_ASSUMPTIONS_MASTER'!$H$51)</f>
        <v/>
      </c>
      <c r="I6" s="23">
        <f>'02_ASSUMPTIONS_MASTER'!$H$34*0*(1+'02_ASSUMPTIONS_MASTER'!$H$51)</f>
        <v/>
      </c>
      <c r="J6" s="23">
        <f>'02_ASSUMPTIONS_MASTER'!$H$34*0*(1+'02_ASSUMPTIONS_MASTER'!$H$51)</f>
        <v/>
      </c>
      <c r="K6" s="23">
        <f>'02_ASSUMPTIONS_MASTER'!$H$34*0*(1+'02_ASSUMPTIONS_MASTER'!$H$51)</f>
        <v/>
      </c>
    </row>
    <row r="7">
      <c r="A7" s="19" t="inlineStr">
        <is>
          <t>Machinery and lines</t>
        </is>
      </c>
      <c r="B7" s="23">
        <f>'02_ASSUMPTIONS_MASTER'!$H$35*0.05*(1+'02_ASSUMPTIONS_MASTER'!$H$51)</f>
        <v/>
      </c>
      <c r="C7" s="23">
        <f>'02_ASSUMPTIONS_MASTER'!$H$35*0.35*(1+'02_ASSUMPTIONS_MASTER'!$H$51)</f>
        <v/>
      </c>
      <c r="D7" s="23">
        <f>'02_ASSUMPTIONS_MASTER'!$H$35*0.4*(1+'02_ASSUMPTIONS_MASTER'!$H$51)</f>
        <v/>
      </c>
      <c r="E7" s="23">
        <f>'02_ASSUMPTIONS_MASTER'!$H$35*0.2*(1+'02_ASSUMPTIONS_MASTER'!$H$51)</f>
        <v/>
      </c>
      <c r="F7" s="23">
        <f>'02_ASSUMPTIONS_MASTER'!$H$35*0*(1+'02_ASSUMPTIONS_MASTER'!$H$51)</f>
        <v/>
      </c>
      <c r="G7" s="23">
        <f>'02_ASSUMPTIONS_MASTER'!$H$35*0*(1+'02_ASSUMPTIONS_MASTER'!$H$51)</f>
        <v/>
      </c>
      <c r="H7" s="23">
        <f>'02_ASSUMPTIONS_MASTER'!$H$35*0*(1+'02_ASSUMPTIONS_MASTER'!$H$51)</f>
        <v/>
      </c>
      <c r="I7" s="23">
        <f>'02_ASSUMPTIONS_MASTER'!$H$35*0*(1+'02_ASSUMPTIONS_MASTER'!$H$51)</f>
        <v/>
      </c>
      <c r="J7" s="23">
        <f>'02_ASSUMPTIONS_MASTER'!$H$35*0*(1+'02_ASSUMPTIONS_MASTER'!$H$51)</f>
        <v/>
      </c>
      <c r="K7" s="23">
        <f>'02_ASSUMPTIONS_MASTER'!$H$35*0*(1+'02_ASSUMPTIONS_MASTER'!$H$51)</f>
        <v/>
      </c>
    </row>
    <row r="8">
      <c r="A8" s="19" t="inlineStr">
        <is>
          <t>Solar plant</t>
        </is>
      </c>
      <c r="B8" s="23">
        <f>'02_ASSUMPTIONS_MASTER'!$H$36*0.0*(1+'02_ASSUMPTIONS_MASTER'!$H$51)</f>
        <v/>
      </c>
      <c r="C8" s="23">
        <f>'02_ASSUMPTIONS_MASTER'!$H$36*0.15*(1+'02_ASSUMPTIONS_MASTER'!$H$51)</f>
        <v/>
      </c>
      <c r="D8" s="23">
        <f>'02_ASSUMPTIONS_MASTER'!$H$36*0.45*(1+'02_ASSUMPTIONS_MASTER'!$H$51)</f>
        <v/>
      </c>
      <c r="E8" s="23">
        <f>'02_ASSUMPTIONS_MASTER'!$H$36*0.4*(1+'02_ASSUMPTIONS_MASTER'!$H$51)</f>
        <v/>
      </c>
      <c r="F8" s="23">
        <f>'02_ASSUMPTIONS_MASTER'!$H$36*0*(1+'02_ASSUMPTIONS_MASTER'!$H$51)</f>
        <v/>
      </c>
      <c r="G8" s="23">
        <f>'02_ASSUMPTIONS_MASTER'!$H$36*0*(1+'02_ASSUMPTIONS_MASTER'!$H$51)</f>
        <v/>
      </c>
      <c r="H8" s="23">
        <f>'02_ASSUMPTIONS_MASTER'!$H$36*0*(1+'02_ASSUMPTIONS_MASTER'!$H$51)</f>
        <v/>
      </c>
      <c r="I8" s="23">
        <f>'02_ASSUMPTIONS_MASTER'!$H$36*0*(1+'02_ASSUMPTIONS_MASTER'!$H$51)</f>
        <v/>
      </c>
      <c r="J8" s="23">
        <f>'02_ASSUMPTIONS_MASTER'!$H$36*0*(1+'02_ASSUMPTIONS_MASTER'!$H$51)</f>
        <v/>
      </c>
      <c r="K8" s="23">
        <f>'02_ASSUMPTIONS_MASTER'!$H$36*0*(1+'02_ASSUMPTIONS_MASTER'!$H$51)</f>
        <v/>
      </c>
    </row>
    <row r="9">
      <c r="A9" s="19" t="inlineStr">
        <is>
          <t>Pre-op and permits</t>
        </is>
      </c>
      <c r="B9" s="23">
        <f>'02_ASSUMPTIONS_MASTER'!$H$37*0.4*(1+'02_ASSUMPTIONS_MASTER'!$H$51)</f>
        <v/>
      </c>
      <c r="C9" s="23">
        <f>'02_ASSUMPTIONS_MASTER'!$H$37*0.35*(1+'02_ASSUMPTIONS_MASTER'!$H$51)</f>
        <v/>
      </c>
      <c r="D9" s="23">
        <f>'02_ASSUMPTIONS_MASTER'!$H$37*0.2*(1+'02_ASSUMPTIONS_MASTER'!$H$51)</f>
        <v/>
      </c>
      <c r="E9" s="23">
        <f>'02_ASSUMPTIONS_MASTER'!$H$37*0.05*(1+'02_ASSUMPTIONS_MASTER'!$H$51)</f>
        <v/>
      </c>
      <c r="F9" s="23">
        <f>'02_ASSUMPTIONS_MASTER'!$H$37*0*(1+'02_ASSUMPTIONS_MASTER'!$H$51)</f>
        <v/>
      </c>
      <c r="G9" s="23">
        <f>'02_ASSUMPTIONS_MASTER'!$H$37*0*(1+'02_ASSUMPTIONS_MASTER'!$H$51)</f>
        <v/>
      </c>
      <c r="H9" s="23">
        <f>'02_ASSUMPTIONS_MASTER'!$H$37*0*(1+'02_ASSUMPTIONS_MASTER'!$H$51)</f>
        <v/>
      </c>
      <c r="I9" s="23">
        <f>'02_ASSUMPTIONS_MASTER'!$H$37*0*(1+'02_ASSUMPTIONS_MASTER'!$H$51)</f>
        <v/>
      </c>
      <c r="J9" s="23">
        <f>'02_ASSUMPTIONS_MASTER'!$H$37*0*(1+'02_ASSUMPTIONS_MASTER'!$H$51)</f>
        <v/>
      </c>
      <c r="K9" s="23">
        <f>'02_ASSUMPTIONS_MASTER'!$H$37*0*(1+'02_ASSUMPTIONS_MASTER'!$H$51)</f>
        <v/>
      </c>
    </row>
    <row r="10">
      <c r="A10" s="24" t="inlineStr">
        <is>
          <t>Base CAPEX</t>
        </is>
      </c>
      <c r="B10" s="25">
        <f>SUM(B5:B9)</f>
        <v/>
      </c>
      <c r="C10" s="25">
        <f>SUM(C5:C9)</f>
        <v/>
      </c>
      <c r="D10" s="25">
        <f>SUM(D5:D9)</f>
        <v/>
      </c>
      <c r="E10" s="25">
        <f>SUM(E5:E9)</f>
        <v/>
      </c>
      <c r="F10" s="25">
        <f>SUM(F5:F9)</f>
        <v/>
      </c>
      <c r="G10" s="25">
        <f>SUM(G5:G9)</f>
        <v/>
      </c>
      <c r="H10" s="25">
        <f>SUM(H5:H9)</f>
        <v/>
      </c>
      <c r="I10" s="25">
        <f>SUM(I5:I9)</f>
        <v/>
      </c>
      <c r="J10" s="25">
        <f>SUM(J5:J9)</f>
        <v/>
      </c>
      <c r="K10" s="25">
        <f>SUM(K5:K9)</f>
        <v/>
      </c>
    </row>
    <row r="11">
      <c r="A11" s="19" t="inlineStr">
        <is>
          <t>Contingency</t>
        </is>
      </c>
      <c r="B11" s="23">
        <f>B10*'02_ASSUMPTIONS_MASTER'!$H$38</f>
        <v/>
      </c>
      <c r="C11" s="23">
        <f>C10*'02_ASSUMPTIONS_MASTER'!$H$38</f>
        <v/>
      </c>
      <c r="D11" s="23">
        <f>D10*'02_ASSUMPTIONS_MASTER'!$H$38</f>
        <v/>
      </c>
      <c r="E11" s="23">
        <f>E10*'02_ASSUMPTIONS_MASTER'!$H$38</f>
        <v/>
      </c>
      <c r="F11" s="23">
        <f>F10*'02_ASSUMPTIONS_MASTER'!$H$38</f>
        <v/>
      </c>
      <c r="G11" s="23">
        <f>G10*'02_ASSUMPTIONS_MASTER'!$H$38</f>
        <v/>
      </c>
      <c r="H11" s="23">
        <f>H10*'02_ASSUMPTIONS_MASTER'!$H$38</f>
        <v/>
      </c>
      <c r="I11" s="23">
        <f>I10*'02_ASSUMPTIONS_MASTER'!$H$38</f>
        <v/>
      </c>
      <c r="J11" s="23">
        <f>J10*'02_ASSUMPTIONS_MASTER'!$H$38</f>
        <v/>
      </c>
      <c r="K11" s="23">
        <f>K10*'02_ASSUMPTIONS_MASTER'!$H$38</f>
        <v/>
      </c>
    </row>
    <row r="12">
      <c r="A12" s="24" t="inlineStr">
        <is>
          <t>Total CAPEX</t>
        </is>
      </c>
      <c r="B12" s="25">
        <f>B10+B11</f>
        <v/>
      </c>
      <c r="C12" s="25">
        <f>C10+C11</f>
        <v/>
      </c>
      <c r="D12" s="25">
        <f>D10+D11</f>
        <v/>
      </c>
      <c r="E12" s="25">
        <f>E10+E11</f>
        <v/>
      </c>
      <c r="F12" s="25">
        <f>F10+F11</f>
        <v/>
      </c>
      <c r="G12" s="25">
        <f>G10+G11</f>
        <v/>
      </c>
      <c r="H12" s="25">
        <f>H10+H11</f>
        <v/>
      </c>
      <c r="I12" s="25">
        <f>I10+I11</f>
        <v/>
      </c>
      <c r="J12" s="25">
        <f>J10+J11</f>
        <v/>
      </c>
      <c r="K12" s="25">
        <f>K10+K11</f>
        <v/>
      </c>
    </row>
    <row r="13">
      <c r="A13" s="24" t="inlineStr">
        <is>
          <t>Cumulative CAPEX</t>
        </is>
      </c>
      <c r="B13" s="25">
        <f>B12</f>
        <v/>
      </c>
      <c r="C13" s="25">
        <f>B13+C12</f>
        <v/>
      </c>
      <c r="D13" s="25">
        <f>C13+D12</f>
        <v/>
      </c>
      <c r="E13" s="25">
        <f>D13+E12</f>
        <v/>
      </c>
      <c r="F13" s="25">
        <f>E13+F12</f>
        <v/>
      </c>
      <c r="G13" s="25">
        <f>F13+G12</f>
        <v/>
      </c>
      <c r="H13" s="25">
        <f>G13+H12</f>
        <v/>
      </c>
      <c r="I13" s="25">
        <f>H13+I12</f>
        <v/>
      </c>
      <c r="J13" s="25">
        <f>I13+J12</f>
        <v/>
      </c>
      <c r="K13" s="25">
        <f>J13+K12</f>
        <v/>
      </c>
    </row>
    <row r="14">
      <c r="A14" s="24" t="inlineStr">
        <is>
          <t>Gross PP&amp;E closing</t>
        </is>
      </c>
      <c r="B14" s="25">
        <f>B12</f>
        <v/>
      </c>
      <c r="C14" s="25">
        <f>B14+C12</f>
        <v/>
      </c>
      <c r="D14" s="25">
        <f>C14+D12</f>
        <v/>
      </c>
      <c r="E14" s="25">
        <f>D14+E12</f>
        <v/>
      </c>
      <c r="F14" s="25">
        <f>E14+F12</f>
        <v/>
      </c>
      <c r="G14" s="25">
        <f>F14+G12</f>
        <v/>
      </c>
      <c r="H14" s="25">
        <f>G14+H12</f>
        <v/>
      </c>
      <c r="I14" s="25">
        <f>H14+I12</f>
        <v/>
      </c>
      <c r="J14" s="25">
        <f>I14+J12</f>
        <v/>
      </c>
      <c r="K14" s="25">
        <f>J14+K12</f>
        <v/>
      </c>
    </row>
  </sheetData>
  <mergeCells count="1">
    <mergeCell ref="A2:K2"/>
  </mergeCells>
  <pageMargins left="0.75" right="0.75" top="1" bottom="1" header="0.5" footer="0.5"/>
  <pageSetup orientation="landscape" fitToWidth="1"/>
  <headerFooter>
    <oddHeader>&amp;CARS METAL INDUSTRIES – Confidential</oddHeader>
    <oddFooter>&amp;RPage &amp;P of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K1" s="9">
        <f>HYPERLINK("#'01_INDEX_NAVIGATION'!A1","Back to Index")</f>
        <v/>
      </c>
    </row>
    <row r="2">
      <c r="A2" s="1" t="inlineStr">
        <is>
          <t>WORKING CAPITAL MODEL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>
      <c r="A4" s="6" t="inlineStr">
        <is>
          <t>Metric</t>
        </is>
      </c>
      <c r="B4" s="6" t="n">
        <v>2026</v>
      </c>
      <c r="C4" s="6" t="n">
        <v>2027</v>
      </c>
      <c r="D4" s="6" t="n">
        <v>2028</v>
      </c>
      <c r="E4" s="6" t="n">
        <v>2029</v>
      </c>
      <c r="F4" s="6" t="n">
        <v>2030</v>
      </c>
      <c r="G4" s="6" t="n">
        <v>2031</v>
      </c>
      <c r="H4" s="6" t="n">
        <v>2032</v>
      </c>
      <c r="I4" s="6" t="n">
        <v>2033</v>
      </c>
      <c r="J4" s="6" t="n">
        <v>2034</v>
      </c>
      <c r="K4" s="6" t="n">
        <v>2035</v>
      </c>
    </row>
    <row r="5">
      <c r="A5" s="19" t="inlineStr">
        <is>
          <t>Revenue</t>
        </is>
      </c>
      <c r="B5" s="20">
        <f>'20_REVENUE'!B9</f>
        <v/>
      </c>
      <c r="C5" s="20">
        <f>'20_REVENUE'!C9</f>
        <v/>
      </c>
      <c r="D5" s="20">
        <f>'20_REVENUE'!D9</f>
        <v/>
      </c>
      <c r="E5" s="20">
        <f>'20_REVENUE'!E9</f>
        <v/>
      </c>
      <c r="F5" s="20">
        <f>'20_REVENUE'!F9</f>
        <v/>
      </c>
      <c r="G5" s="20">
        <f>'20_REVENUE'!G9</f>
        <v/>
      </c>
      <c r="H5" s="20">
        <f>'20_REVENUE'!H9</f>
        <v/>
      </c>
      <c r="I5" s="20">
        <f>'20_REVENUE'!I9</f>
        <v/>
      </c>
      <c r="J5" s="20">
        <f>'20_REVENUE'!J9</f>
        <v/>
      </c>
      <c r="K5" s="20">
        <f>'20_REVENUE'!K9</f>
        <v/>
      </c>
    </row>
    <row r="6">
      <c r="A6" s="19" t="inlineStr">
        <is>
          <t>COGS</t>
        </is>
      </c>
      <c r="B6" s="20">
        <f>'30_COGS'!B12</f>
        <v/>
      </c>
      <c r="C6" s="20">
        <f>'30_COGS'!C12</f>
        <v/>
      </c>
      <c r="D6" s="20">
        <f>'30_COGS'!D12</f>
        <v/>
      </c>
      <c r="E6" s="20">
        <f>'30_COGS'!E12</f>
        <v/>
      </c>
      <c r="F6" s="20">
        <f>'30_COGS'!F12</f>
        <v/>
      </c>
      <c r="G6" s="20">
        <f>'30_COGS'!G12</f>
        <v/>
      </c>
      <c r="H6" s="20">
        <f>'30_COGS'!H12</f>
        <v/>
      </c>
      <c r="I6" s="20">
        <f>'30_COGS'!I12</f>
        <v/>
      </c>
      <c r="J6" s="20">
        <f>'30_COGS'!J12</f>
        <v/>
      </c>
      <c r="K6" s="20">
        <f>'30_COGS'!K12</f>
        <v/>
      </c>
    </row>
    <row r="7">
      <c r="A7" s="19" t="inlineStr">
        <is>
          <t>Inventory</t>
        </is>
      </c>
      <c r="B7" s="23">
        <f>B6/365*'02_ASSUMPTIONS_MASTER'!$H$39</f>
        <v/>
      </c>
      <c r="C7" s="23">
        <f>C6/365*'02_ASSUMPTIONS_MASTER'!$H$39</f>
        <v/>
      </c>
      <c r="D7" s="23">
        <f>D6/365*'02_ASSUMPTIONS_MASTER'!$H$39</f>
        <v/>
      </c>
      <c r="E7" s="23">
        <f>E6/365*'02_ASSUMPTIONS_MASTER'!$H$39</f>
        <v/>
      </c>
      <c r="F7" s="23">
        <f>F6/365*'02_ASSUMPTIONS_MASTER'!$H$39</f>
        <v/>
      </c>
      <c r="G7" s="23">
        <f>G6/365*'02_ASSUMPTIONS_MASTER'!$H$39</f>
        <v/>
      </c>
      <c r="H7" s="23">
        <f>H6/365*'02_ASSUMPTIONS_MASTER'!$H$39</f>
        <v/>
      </c>
      <c r="I7" s="23">
        <f>I6/365*'02_ASSUMPTIONS_MASTER'!$H$39</f>
        <v/>
      </c>
      <c r="J7" s="23">
        <f>J6/365*'02_ASSUMPTIONS_MASTER'!$H$39</f>
        <v/>
      </c>
      <c r="K7" s="23">
        <f>K6/365*'02_ASSUMPTIONS_MASTER'!$H$39</f>
        <v/>
      </c>
    </row>
    <row r="8">
      <c r="A8" s="19" t="inlineStr">
        <is>
          <t>Receivables</t>
        </is>
      </c>
      <c r="B8" s="23">
        <f>B5/365*'02_ASSUMPTIONS_MASTER'!$H$40</f>
        <v/>
      </c>
      <c r="C8" s="23">
        <f>C5/365*'02_ASSUMPTIONS_MASTER'!$H$40</f>
        <v/>
      </c>
      <c r="D8" s="23">
        <f>D5/365*'02_ASSUMPTIONS_MASTER'!$H$40</f>
        <v/>
      </c>
      <c r="E8" s="23">
        <f>E5/365*'02_ASSUMPTIONS_MASTER'!$H$40</f>
        <v/>
      </c>
      <c r="F8" s="23">
        <f>F5/365*'02_ASSUMPTIONS_MASTER'!$H$40</f>
        <v/>
      </c>
      <c r="G8" s="23">
        <f>G5/365*'02_ASSUMPTIONS_MASTER'!$H$40</f>
        <v/>
      </c>
      <c r="H8" s="23">
        <f>H5/365*'02_ASSUMPTIONS_MASTER'!$H$40</f>
        <v/>
      </c>
      <c r="I8" s="23">
        <f>I5/365*'02_ASSUMPTIONS_MASTER'!$H$40</f>
        <v/>
      </c>
      <c r="J8" s="23">
        <f>J5/365*'02_ASSUMPTIONS_MASTER'!$H$40</f>
        <v/>
      </c>
      <c r="K8" s="23">
        <f>K5/365*'02_ASSUMPTIONS_MASTER'!$H$40</f>
        <v/>
      </c>
    </row>
    <row r="9">
      <c r="A9" s="19" t="inlineStr">
        <is>
          <t>Payables</t>
        </is>
      </c>
      <c r="B9" s="23">
        <f>B6/365*'02_ASSUMPTIONS_MASTER'!$H$41</f>
        <v/>
      </c>
      <c r="C9" s="23">
        <f>C6/365*'02_ASSUMPTIONS_MASTER'!$H$41</f>
        <v/>
      </c>
      <c r="D9" s="23">
        <f>D6/365*'02_ASSUMPTIONS_MASTER'!$H$41</f>
        <v/>
      </c>
      <c r="E9" s="23">
        <f>E6/365*'02_ASSUMPTIONS_MASTER'!$H$41</f>
        <v/>
      </c>
      <c r="F9" s="23">
        <f>F6/365*'02_ASSUMPTIONS_MASTER'!$H$41</f>
        <v/>
      </c>
      <c r="G9" s="23">
        <f>G6/365*'02_ASSUMPTIONS_MASTER'!$H$41</f>
        <v/>
      </c>
      <c r="H9" s="23">
        <f>H6/365*'02_ASSUMPTIONS_MASTER'!$H$41</f>
        <v/>
      </c>
      <c r="I9" s="23">
        <f>I6/365*'02_ASSUMPTIONS_MASTER'!$H$41</f>
        <v/>
      </c>
      <c r="J9" s="23">
        <f>J6/365*'02_ASSUMPTIONS_MASTER'!$H$41</f>
        <v/>
      </c>
      <c r="K9" s="23">
        <f>K6/365*'02_ASSUMPTIONS_MASTER'!$H$41</f>
        <v/>
      </c>
    </row>
    <row r="10">
      <c r="A10" s="24" t="inlineStr">
        <is>
          <t>Net working capital</t>
        </is>
      </c>
      <c r="B10" s="25">
        <f>B7+B8-B9</f>
        <v/>
      </c>
      <c r="C10" s="25">
        <f>C7+C8-C9</f>
        <v/>
      </c>
      <c r="D10" s="25">
        <f>D7+D8-D9</f>
        <v/>
      </c>
      <c r="E10" s="25">
        <f>E7+E8-E9</f>
        <v/>
      </c>
      <c r="F10" s="25">
        <f>F7+F8-F9</f>
        <v/>
      </c>
      <c r="G10" s="25">
        <f>G7+G8-G9</f>
        <v/>
      </c>
      <c r="H10" s="25">
        <f>H7+H8-H9</f>
        <v/>
      </c>
      <c r="I10" s="25">
        <f>I7+I8-I9</f>
        <v/>
      </c>
      <c r="J10" s="25">
        <f>J7+J8-J9</f>
        <v/>
      </c>
      <c r="K10" s="25">
        <f>K7+K8-K9</f>
        <v/>
      </c>
    </row>
    <row r="11">
      <c r="A11" s="24" t="inlineStr">
        <is>
          <t>Change in NWC</t>
        </is>
      </c>
      <c r="B11" s="25">
        <f>B10</f>
        <v/>
      </c>
      <c r="C11" s="25">
        <f>C10-B10</f>
        <v/>
      </c>
      <c r="D11" s="25">
        <f>D10-C10</f>
        <v/>
      </c>
      <c r="E11" s="25">
        <f>E10-D10</f>
        <v/>
      </c>
      <c r="F11" s="25">
        <f>F10-E10</f>
        <v/>
      </c>
      <c r="G11" s="25">
        <f>G10-F10</f>
        <v/>
      </c>
      <c r="H11" s="25">
        <f>H10-G10</f>
        <v/>
      </c>
      <c r="I11" s="25">
        <f>I10-H10</f>
        <v/>
      </c>
      <c r="J11" s="25">
        <f>J10-I10</f>
        <v/>
      </c>
      <c r="K11" s="25">
        <f>K10-J10</f>
        <v/>
      </c>
    </row>
  </sheetData>
  <mergeCells count="1">
    <mergeCell ref="A2:K2"/>
  </mergeCells>
  <pageMargins left="0.75" right="0.75" top="1" bottom="1" header="0.5" footer="0.5"/>
  <pageSetup orientation="landscape" fitToWidth="1"/>
  <headerFooter>
    <oddHeader>&amp;CARS METAL INDUSTRIES – Confidential</oddHeader>
    <oddFooter>&amp;RPage &amp;P of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K1" s="9">
        <f>HYPERLINK("#'01_INDEX_NAVIGATION'!A1","Back to Index")</f>
        <v/>
      </c>
    </row>
    <row r="2">
      <c r="A2" s="1" t="inlineStr">
        <is>
          <t>FINANCING MODEL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>
      <c r="A4" s="6" t="inlineStr">
        <is>
          <t>Metric</t>
        </is>
      </c>
      <c r="B4" s="6" t="n">
        <v>2026</v>
      </c>
      <c r="C4" s="6" t="n">
        <v>2027</v>
      </c>
      <c r="D4" s="6" t="n">
        <v>2028</v>
      </c>
      <c r="E4" s="6" t="n">
        <v>2029</v>
      </c>
      <c r="F4" s="6" t="n">
        <v>2030</v>
      </c>
      <c r="G4" s="6" t="n">
        <v>2031</v>
      </c>
      <c r="H4" s="6" t="n">
        <v>2032</v>
      </c>
      <c r="I4" s="6" t="n">
        <v>2033</v>
      </c>
      <c r="J4" s="6" t="n">
        <v>2034</v>
      </c>
      <c r="K4" s="6" t="n">
        <v>2035</v>
      </c>
    </row>
    <row r="5">
      <c r="A5" s="19" t="inlineStr">
        <is>
          <t>Total CAPEX</t>
        </is>
      </c>
      <c r="B5" s="20">
        <f>'50_CAPEX'!B12</f>
        <v/>
      </c>
      <c r="C5" s="20">
        <f>'50_CAPEX'!C12</f>
        <v/>
      </c>
      <c r="D5" s="20">
        <f>'50_CAPEX'!D12</f>
        <v/>
      </c>
      <c r="E5" s="20">
        <f>'50_CAPEX'!E12</f>
        <v/>
      </c>
      <c r="F5" s="20">
        <f>'50_CAPEX'!F12</f>
        <v/>
      </c>
      <c r="G5" s="20">
        <f>'50_CAPEX'!G12</f>
        <v/>
      </c>
      <c r="H5" s="20">
        <f>'50_CAPEX'!H12</f>
        <v/>
      </c>
      <c r="I5" s="20">
        <f>'50_CAPEX'!I12</f>
        <v/>
      </c>
      <c r="J5" s="20">
        <f>'50_CAPEX'!J12</f>
        <v/>
      </c>
      <c r="K5" s="20">
        <f>'50_CAPEX'!K12</f>
        <v/>
      </c>
    </row>
    <row r="6">
      <c r="A6" s="19" t="inlineStr">
        <is>
          <t>Debt draw</t>
        </is>
      </c>
      <c r="B6" s="23">
        <f>B5*'02_ASSUMPTIONS_MASTER'!$H$42</f>
        <v/>
      </c>
      <c r="C6" s="23">
        <f>C5*'02_ASSUMPTIONS_MASTER'!$H$42</f>
        <v/>
      </c>
      <c r="D6" s="23">
        <f>D5*'02_ASSUMPTIONS_MASTER'!$H$42</f>
        <v/>
      </c>
      <c r="E6" s="23">
        <f>E5*'02_ASSUMPTIONS_MASTER'!$H$42</f>
        <v/>
      </c>
      <c r="F6" s="23" t="n">
        <v>0</v>
      </c>
      <c r="G6" s="23" t="n">
        <v>0</v>
      </c>
      <c r="H6" s="23" t="n">
        <v>0</v>
      </c>
      <c r="I6" s="23" t="n">
        <v>0</v>
      </c>
      <c r="J6" s="23" t="n">
        <v>0</v>
      </c>
      <c r="K6" s="23" t="n">
        <v>0</v>
      </c>
    </row>
    <row r="7">
      <c r="A7" s="19" t="inlineStr">
        <is>
          <t>Equity injection</t>
        </is>
      </c>
      <c r="B7" s="23">
        <f>B5*'02_ASSUMPTIONS_MASTER'!$H$43</f>
        <v/>
      </c>
      <c r="C7" s="23">
        <f>C5*'02_ASSUMPTIONS_MASTER'!$H$43</f>
        <v/>
      </c>
      <c r="D7" s="23">
        <f>D5*'02_ASSUMPTIONS_MASTER'!$H$43</f>
        <v/>
      </c>
      <c r="E7" s="23">
        <f>E5*'02_ASSUMPTIONS_MASTER'!$H$43</f>
        <v/>
      </c>
      <c r="F7" s="23" t="n">
        <v>0</v>
      </c>
      <c r="G7" s="23" t="n">
        <v>0</v>
      </c>
      <c r="H7" s="23" t="n">
        <v>0</v>
      </c>
      <c r="I7" s="23" t="n">
        <v>0</v>
      </c>
      <c r="J7" s="23" t="n">
        <v>0</v>
      </c>
      <c r="K7" s="23" t="n">
        <v>0</v>
      </c>
    </row>
    <row r="8">
      <c r="A8" s="19" t="inlineStr">
        <is>
          <t>Grant inflow</t>
        </is>
      </c>
      <c r="B8" s="23">
        <f>B5*'02_ASSUMPTIONS_MASTER'!$H$44</f>
        <v/>
      </c>
      <c r="C8" s="23">
        <f>C5*'02_ASSUMPTIONS_MASTER'!$H$44</f>
        <v/>
      </c>
      <c r="D8" s="23">
        <f>D5*'02_ASSUMPTIONS_MASTER'!$H$44</f>
        <v/>
      </c>
      <c r="E8" s="23">
        <f>E5*'02_ASSUMPTIONS_MASTER'!$H$44</f>
        <v/>
      </c>
      <c r="F8" s="23" t="n">
        <v>0</v>
      </c>
      <c r="G8" s="23" t="n">
        <v>0</v>
      </c>
      <c r="H8" s="23" t="n">
        <v>0</v>
      </c>
      <c r="I8" s="23" t="n">
        <v>0</v>
      </c>
      <c r="J8" s="23" t="n">
        <v>0</v>
      </c>
      <c r="K8" s="23" t="n">
        <v>0</v>
      </c>
    </row>
    <row r="9">
      <c r="A9" s="19" t="inlineStr">
        <is>
          <t>Opening debt</t>
        </is>
      </c>
      <c r="B9" s="23" t="n">
        <v>0</v>
      </c>
      <c r="C9" s="23">
        <f>B12</f>
        <v/>
      </c>
      <c r="D9" s="23">
        <f>C12</f>
        <v/>
      </c>
      <c r="E9" s="23">
        <f>D12</f>
        <v/>
      </c>
      <c r="F9" s="23">
        <f>E12</f>
        <v/>
      </c>
      <c r="G9" s="23">
        <f>F12</f>
        <v/>
      </c>
      <c r="H9" s="23">
        <f>G12</f>
        <v/>
      </c>
      <c r="I9" s="23">
        <f>H12</f>
        <v/>
      </c>
      <c r="J9" s="23">
        <f>I12</f>
        <v/>
      </c>
      <c r="K9" s="23">
        <f>J12</f>
        <v/>
      </c>
    </row>
    <row r="10">
      <c r="A10" s="19" t="inlineStr">
        <is>
          <t>Interest expense</t>
        </is>
      </c>
      <c r="B10" s="23">
        <f>(B9+B6/2)*'02_ASSUMPTIONS_MASTER'!$H$7</f>
        <v/>
      </c>
      <c r="C10" s="23">
        <f>(C9+C6/2)*'02_ASSUMPTIONS_MASTER'!$H$7</f>
        <v/>
      </c>
      <c r="D10" s="23">
        <f>(D9+D6/2)*'02_ASSUMPTIONS_MASTER'!$H$7</f>
        <v/>
      </c>
      <c r="E10" s="23">
        <f>(E9+E6/2)*'02_ASSUMPTIONS_MASTER'!$H$7</f>
        <v/>
      </c>
      <c r="F10" s="23">
        <f>(F9+F6/2)*'02_ASSUMPTIONS_MASTER'!$H$7</f>
        <v/>
      </c>
      <c r="G10" s="23">
        <f>(G9+G6/2)*'02_ASSUMPTIONS_MASTER'!$H$7</f>
        <v/>
      </c>
      <c r="H10" s="23">
        <f>(H9+H6/2)*'02_ASSUMPTIONS_MASTER'!$H$7</f>
        <v/>
      </c>
      <c r="I10" s="23">
        <f>(I9+I6/2)*'02_ASSUMPTIONS_MASTER'!$H$7</f>
        <v/>
      </c>
      <c r="J10" s="23">
        <f>(J9+J6/2)*'02_ASSUMPTIONS_MASTER'!$H$7</f>
        <v/>
      </c>
      <c r="K10" s="23">
        <f>(K9+K6/2)*'02_ASSUMPTIONS_MASTER'!$H$7</f>
        <v/>
      </c>
    </row>
    <row r="11">
      <c r="A11" s="19" t="inlineStr">
        <is>
          <t>Principal repayment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>
        <f>IF(2030&lt;=2029+'02_ASSUMPTIONS_MASTER'!$H$46,0,SUM(B6:E6)/MAX(1,('02_ASSUMPTIONS_MASTER'!$H$45-'02_ASSUMPTIONS_MASTER'!$H$46)))</f>
        <v/>
      </c>
      <c r="G11" s="23">
        <f>IF(2031&lt;=2029+'02_ASSUMPTIONS_MASTER'!$H$46,0,SUM(B6:E6)/MAX(1,('02_ASSUMPTIONS_MASTER'!$H$45-'02_ASSUMPTIONS_MASTER'!$H$46)))</f>
        <v/>
      </c>
      <c r="H11" s="23">
        <f>IF(2032&lt;=2029+'02_ASSUMPTIONS_MASTER'!$H$46,0,SUM(B6:E6)/MAX(1,('02_ASSUMPTIONS_MASTER'!$H$45-'02_ASSUMPTIONS_MASTER'!$H$46)))</f>
        <v/>
      </c>
      <c r="I11" s="23">
        <f>IF(2033&lt;=2029+'02_ASSUMPTIONS_MASTER'!$H$46,0,SUM(B6:E6)/MAX(1,('02_ASSUMPTIONS_MASTER'!$H$45-'02_ASSUMPTIONS_MASTER'!$H$46)))</f>
        <v/>
      </c>
      <c r="J11" s="23">
        <f>IF(2034&lt;=2029+'02_ASSUMPTIONS_MASTER'!$H$46,0,SUM(B6:E6)/MAX(1,('02_ASSUMPTIONS_MASTER'!$H$45-'02_ASSUMPTIONS_MASTER'!$H$46)))</f>
        <v/>
      </c>
      <c r="K11" s="23">
        <f>IF(2035&lt;=2029+'02_ASSUMPTIONS_MASTER'!$H$46,0,SUM(B6:E6)/MAX(1,('02_ASSUMPTIONS_MASTER'!$H$45-'02_ASSUMPTIONS_MASTER'!$H$46)))</f>
        <v/>
      </c>
    </row>
    <row r="12">
      <c r="A12" s="24" t="inlineStr">
        <is>
          <t>Closing debt</t>
        </is>
      </c>
      <c r="B12" s="25">
        <f>MAX(0,B9+B6-B11)</f>
        <v/>
      </c>
      <c r="C12" s="25">
        <f>MAX(0,C9+C6-C11)</f>
        <v/>
      </c>
      <c r="D12" s="25">
        <f>MAX(0,D9+D6-D11)</f>
        <v/>
      </c>
      <c r="E12" s="25">
        <f>MAX(0,E9+E6-E11)</f>
        <v/>
      </c>
      <c r="F12" s="25">
        <f>MAX(0,F9+F6-F11)</f>
        <v/>
      </c>
      <c r="G12" s="25">
        <f>MAX(0,G9+G6-G11)</f>
        <v/>
      </c>
      <c r="H12" s="25">
        <f>MAX(0,H9+H6-H11)</f>
        <v/>
      </c>
      <c r="I12" s="25">
        <f>MAX(0,I9+I6-I11)</f>
        <v/>
      </c>
      <c r="J12" s="25">
        <f>MAX(0,J9+J6-J11)</f>
        <v/>
      </c>
      <c r="K12" s="25">
        <f>MAX(0,K9+K6-K11)</f>
        <v/>
      </c>
    </row>
  </sheetData>
  <mergeCells count="1">
    <mergeCell ref="A2:K2"/>
  </mergeCells>
  <pageMargins left="0.75" right="0.75" top="1" bottom="1" header="0.5" footer="0.5"/>
  <pageSetup orientation="landscape" fitToWidth="1"/>
  <headerFooter>
    <oddHeader>&amp;CARS METAL INDUSTRIES – Confidential</oddHeader>
    <oddFooter>&amp;RPage &amp;P of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K1" s="9">
        <f>HYPERLINK("#'01_INDEX_NAVIGATION'!A1","Back to Index")</f>
        <v/>
      </c>
    </row>
    <row r="2">
      <c r="A2" s="1" t="inlineStr">
        <is>
          <t>INTEGRATED CASH FLOW / DSCR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>
      <c r="A4" s="6" t="inlineStr">
        <is>
          <t>Metric</t>
        </is>
      </c>
      <c r="B4" s="6" t="n">
        <v>2026</v>
      </c>
      <c r="C4" s="6" t="n">
        <v>2027</v>
      </c>
      <c r="D4" s="6" t="n">
        <v>2028</v>
      </c>
      <c r="E4" s="6" t="n">
        <v>2029</v>
      </c>
      <c r="F4" s="6" t="n">
        <v>2030</v>
      </c>
      <c r="G4" s="6" t="n">
        <v>2031</v>
      </c>
      <c r="H4" s="6" t="n">
        <v>2032</v>
      </c>
      <c r="I4" s="6" t="n">
        <v>2033</v>
      </c>
      <c r="J4" s="6" t="n">
        <v>2034</v>
      </c>
      <c r="K4" s="6" t="n">
        <v>2035</v>
      </c>
    </row>
    <row r="5">
      <c r="A5" s="19" t="inlineStr">
        <is>
          <t>Total revenue</t>
        </is>
      </c>
      <c r="B5" s="20">
        <f>'20_REVENUE'!B9</f>
        <v/>
      </c>
      <c r="C5" s="20">
        <f>'20_REVENUE'!C9</f>
        <v/>
      </c>
      <c r="D5" s="20">
        <f>'20_REVENUE'!D9</f>
        <v/>
      </c>
      <c r="E5" s="20">
        <f>'20_REVENUE'!E9</f>
        <v/>
      </c>
      <c r="F5" s="20">
        <f>'20_REVENUE'!F9</f>
        <v/>
      </c>
      <c r="G5" s="20">
        <f>'20_REVENUE'!G9</f>
        <v/>
      </c>
      <c r="H5" s="20">
        <f>'20_REVENUE'!H9</f>
        <v/>
      </c>
      <c r="I5" s="20">
        <f>'20_REVENUE'!I9</f>
        <v/>
      </c>
      <c r="J5" s="20">
        <f>'20_REVENUE'!J9</f>
        <v/>
      </c>
      <c r="K5" s="20">
        <f>'20_REVENUE'!K9</f>
        <v/>
      </c>
    </row>
    <row r="6">
      <c r="A6" s="19" t="inlineStr">
        <is>
          <t>Total COGS</t>
        </is>
      </c>
      <c r="B6" s="20">
        <f>'30_COGS'!B12</f>
        <v/>
      </c>
      <c r="C6" s="20">
        <f>'30_COGS'!C12</f>
        <v/>
      </c>
      <c r="D6" s="20">
        <f>'30_COGS'!D12</f>
        <v/>
      </c>
      <c r="E6" s="20">
        <f>'30_COGS'!E12</f>
        <v/>
      </c>
      <c r="F6" s="20">
        <f>'30_COGS'!F12</f>
        <v/>
      </c>
      <c r="G6" s="20">
        <f>'30_COGS'!G12</f>
        <v/>
      </c>
      <c r="H6" s="20">
        <f>'30_COGS'!H12</f>
        <v/>
      </c>
      <c r="I6" s="20">
        <f>'30_COGS'!I12</f>
        <v/>
      </c>
      <c r="J6" s="20">
        <f>'30_COGS'!J12</f>
        <v/>
      </c>
      <c r="K6" s="20">
        <f>'30_COGS'!K12</f>
        <v/>
      </c>
    </row>
    <row r="7">
      <c r="A7" s="19" t="inlineStr">
        <is>
          <t>Gross profit</t>
        </is>
      </c>
      <c r="B7" s="23">
        <f>B5-B6</f>
        <v/>
      </c>
      <c r="C7" s="23">
        <f>C5-C6</f>
        <v/>
      </c>
      <c r="D7" s="23">
        <f>D5-D6</f>
        <v/>
      </c>
      <c r="E7" s="23">
        <f>E5-E6</f>
        <v/>
      </c>
      <c r="F7" s="23">
        <f>F5-F6</f>
        <v/>
      </c>
      <c r="G7" s="23">
        <f>G5-G6</f>
        <v/>
      </c>
      <c r="H7" s="23">
        <f>H5-H6</f>
        <v/>
      </c>
      <c r="I7" s="23">
        <f>I5-I6</f>
        <v/>
      </c>
      <c r="J7" s="23">
        <f>J5-J6</f>
        <v/>
      </c>
      <c r="K7" s="23">
        <f>K5-K6</f>
        <v/>
      </c>
    </row>
    <row r="8">
      <c r="A8" s="19" t="inlineStr">
        <is>
          <t>Total OPEX</t>
        </is>
      </c>
      <c r="B8" s="20">
        <f>'40_OPEX'!B11</f>
        <v/>
      </c>
      <c r="C8" s="20">
        <f>'40_OPEX'!C11</f>
        <v/>
      </c>
      <c r="D8" s="20">
        <f>'40_OPEX'!D11</f>
        <v/>
      </c>
      <c r="E8" s="20">
        <f>'40_OPEX'!E11</f>
        <v/>
      </c>
      <c r="F8" s="20">
        <f>'40_OPEX'!F11</f>
        <v/>
      </c>
      <c r="G8" s="20">
        <f>'40_OPEX'!G11</f>
        <v/>
      </c>
      <c r="H8" s="20">
        <f>'40_OPEX'!H11</f>
        <v/>
      </c>
      <c r="I8" s="20">
        <f>'40_OPEX'!I11</f>
        <v/>
      </c>
      <c r="J8" s="20">
        <f>'40_OPEX'!J11</f>
        <v/>
      </c>
      <c r="K8" s="20">
        <f>'40_OPEX'!K11</f>
        <v/>
      </c>
    </row>
    <row r="9">
      <c r="A9" s="24" t="inlineStr">
        <is>
          <t>EBITDA</t>
        </is>
      </c>
      <c r="B9" s="25">
        <f>B7-B8</f>
        <v/>
      </c>
      <c r="C9" s="25">
        <f>C7-C8</f>
        <v/>
      </c>
      <c r="D9" s="25">
        <f>D7-D8</f>
        <v/>
      </c>
      <c r="E9" s="25">
        <f>E7-E8</f>
        <v/>
      </c>
      <c r="F9" s="25">
        <f>F7-F8</f>
        <v/>
      </c>
      <c r="G9" s="25">
        <f>G7-G8</f>
        <v/>
      </c>
      <c r="H9" s="25">
        <f>H7-H8</f>
        <v/>
      </c>
      <c r="I9" s="25">
        <f>I7-I8</f>
        <v/>
      </c>
      <c r="J9" s="25">
        <f>J7-J8</f>
        <v/>
      </c>
      <c r="K9" s="25">
        <f>K7-K8</f>
        <v/>
      </c>
    </row>
    <row r="10">
      <c r="A10" s="19" t="inlineStr">
        <is>
          <t>Taxes</t>
        </is>
      </c>
      <c r="B10" s="23">
        <f>MAX(0,B9*'02_ASSUMPTIONS_MASTER'!$H$10)</f>
        <v/>
      </c>
      <c r="C10" s="23">
        <f>MAX(0,C9*'02_ASSUMPTIONS_MASTER'!$H$10)</f>
        <v/>
      </c>
      <c r="D10" s="23">
        <f>MAX(0,D9*'02_ASSUMPTIONS_MASTER'!$H$10)</f>
        <v/>
      </c>
      <c r="E10" s="23">
        <f>MAX(0,E9*'02_ASSUMPTIONS_MASTER'!$H$10)</f>
        <v/>
      </c>
      <c r="F10" s="23">
        <f>MAX(0,F9*'02_ASSUMPTIONS_MASTER'!$H$10)</f>
        <v/>
      </c>
      <c r="G10" s="23">
        <f>MAX(0,G9*'02_ASSUMPTIONS_MASTER'!$H$10)</f>
        <v/>
      </c>
      <c r="H10" s="23">
        <f>MAX(0,H9*'02_ASSUMPTIONS_MASTER'!$H$10)</f>
        <v/>
      </c>
      <c r="I10" s="23">
        <f>MAX(0,I9*'02_ASSUMPTIONS_MASTER'!$H$10)</f>
        <v/>
      </c>
      <c r="J10" s="23">
        <f>MAX(0,J9*'02_ASSUMPTIONS_MASTER'!$H$10)</f>
        <v/>
      </c>
      <c r="K10" s="23">
        <f>MAX(0,K9*'02_ASSUMPTIONS_MASTER'!$H$10)</f>
        <v/>
      </c>
    </row>
    <row r="11">
      <c r="A11" s="24" t="inlineStr">
        <is>
          <t>Operating cash flow pre-WC</t>
        </is>
      </c>
      <c r="B11" s="25">
        <f>B9-B10</f>
        <v/>
      </c>
      <c r="C11" s="25">
        <f>C9-C10</f>
        <v/>
      </c>
      <c r="D11" s="25">
        <f>D9-D10</f>
        <v/>
      </c>
      <c r="E11" s="25">
        <f>E9-E10</f>
        <v/>
      </c>
      <c r="F11" s="25">
        <f>F9-F10</f>
        <v/>
      </c>
      <c r="G11" s="25">
        <f>G9-G10</f>
        <v/>
      </c>
      <c r="H11" s="25">
        <f>H9-H10</f>
        <v/>
      </c>
      <c r="I11" s="25">
        <f>I9-I10</f>
        <v/>
      </c>
      <c r="J11" s="25">
        <f>J9-J10</f>
        <v/>
      </c>
      <c r="K11" s="25">
        <f>K9-K10</f>
        <v/>
      </c>
    </row>
    <row r="12">
      <c r="A12" s="19" t="inlineStr">
        <is>
          <t>Change in NWC</t>
        </is>
      </c>
      <c r="B12" s="20">
        <f>'60_WORKING_CAPITAL'!B11</f>
        <v/>
      </c>
      <c r="C12" s="20">
        <f>'60_WORKING_CAPITAL'!C11</f>
        <v/>
      </c>
      <c r="D12" s="20">
        <f>'60_WORKING_CAPITAL'!D11</f>
        <v/>
      </c>
      <c r="E12" s="20">
        <f>'60_WORKING_CAPITAL'!E11</f>
        <v/>
      </c>
      <c r="F12" s="20">
        <f>'60_WORKING_CAPITAL'!F11</f>
        <v/>
      </c>
      <c r="G12" s="20">
        <f>'60_WORKING_CAPITAL'!G11</f>
        <v/>
      </c>
      <c r="H12" s="20">
        <f>'60_WORKING_CAPITAL'!H11</f>
        <v/>
      </c>
      <c r="I12" s="20">
        <f>'60_WORKING_CAPITAL'!I11</f>
        <v/>
      </c>
      <c r="J12" s="20">
        <f>'60_WORKING_CAPITAL'!J11</f>
        <v/>
      </c>
      <c r="K12" s="20">
        <f>'60_WORKING_CAPITAL'!K11</f>
        <v/>
      </c>
    </row>
    <row r="13">
      <c r="A13" s="24" t="inlineStr">
        <is>
          <t>Operating cash flow post-WC</t>
        </is>
      </c>
      <c r="B13" s="25">
        <f>B11-B12</f>
        <v/>
      </c>
      <c r="C13" s="25">
        <f>C11-C12</f>
        <v/>
      </c>
      <c r="D13" s="25">
        <f>D11-D12</f>
        <v/>
      </c>
      <c r="E13" s="25">
        <f>E11-E12</f>
        <v/>
      </c>
      <c r="F13" s="25">
        <f>F11-F12</f>
        <v/>
      </c>
      <c r="G13" s="25">
        <f>G11-G12</f>
        <v/>
      </c>
      <c r="H13" s="25">
        <f>H11-H12</f>
        <v/>
      </c>
      <c r="I13" s="25">
        <f>I11-I12</f>
        <v/>
      </c>
      <c r="J13" s="25">
        <f>J11-J12</f>
        <v/>
      </c>
      <c r="K13" s="25">
        <f>K11-K12</f>
        <v/>
      </c>
    </row>
    <row r="14">
      <c r="A14" s="19" t="inlineStr">
        <is>
          <t>CAPEX</t>
        </is>
      </c>
      <c r="B14" s="20">
        <f>'50_CAPEX'!B12</f>
        <v/>
      </c>
      <c r="C14" s="20">
        <f>'50_CAPEX'!C12</f>
        <v/>
      </c>
      <c r="D14" s="20">
        <f>'50_CAPEX'!D12</f>
        <v/>
      </c>
      <c r="E14" s="20">
        <f>'50_CAPEX'!E12</f>
        <v/>
      </c>
      <c r="F14" s="20">
        <f>'50_CAPEX'!F12</f>
        <v/>
      </c>
      <c r="G14" s="20">
        <f>'50_CAPEX'!G12</f>
        <v/>
      </c>
      <c r="H14" s="20">
        <f>'50_CAPEX'!H12</f>
        <v/>
      </c>
      <c r="I14" s="20">
        <f>'50_CAPEX'!I12</f>
        <v/>
      </c>
      <c r="J14" s="20">
        <f>'50_CAPEX'!J12</f>
        <v/>
      </c>
      <c r="K14" s="20">
        <f>'50_CAPEX'!K12</f>
        <v/>
      </c>
    </row>
    <row r="15">
      <c r="A15" s="24" t="inlineStr">
        <is>
          <t>CFADS</t>
        </is>
      </c>
      <c r="B15" s="25">
        <f>B13-B14+'70_FINANCING'!B8</f>
        <v/>
      </c>
      <c r="C15" s="25">
        <f>C13-C14+'70_FINANCING'!C8</f>
        <v/>
      </c>
      <c r="D15" s="25">
        <f>D13-D14+'70_FINANCING'!D8</f>
        <v/>
      </c>
      <c r="E15" s="25">
        <f>E13-E14+'70_FINANCING'!E8</f>
        <v/>
      </c>
      <c r="F15" s="25">
        <f>F13-F14+'70_FINANCING'!F8</f>
        <v/>
      </c>
      <c r="G15" s="25">
        <f>G13-G14+'70_FINANCING'!G8</f>
        <v/>
      </c>
      <c r="H15" s="25">
        <f>H13-H14+'70_FINANCING'!H8</f>
        <v/>
      </c>
      <c r="I15" s="25">
        <f>I13-I14+'70_FINANCING'!I8</f>
        <v/>
      </c>
      <c r="J15" s="25">
        <f>J13-J14+'70_FINANCING'!J8</f>
        <v/>
      </c>
      <c r="K15" s="25">
        <f>K13-K14+'70_FINANCING'!K8</f>
        <v/>
      </c>
    </row>
    <row r="16">
      <c r="A16" s="19" t="inlineStr">
        <is>
          <t>Interest</t>
        </is>
      </c>
      <c r="B16" s="20">
        <f>'70_FINANCING'!B10</f>
        <v/>
      </c>
      <c r="C16" s="20">
        <f>'70_FINANCING'!C10</f>
        <v/>
      </c>
      <c r="D16" s="20">
        <f>'70_FINANCING'!D10</f>
        <v/>
      </c>
      <c r="E16" s="20">
        <f>'70_FINANCING'!E10</f>
        <v/>
      </c>
      <c r="F16" s="20">
        <f>'70_FINANCING'!F10</f>
        <v/>
      </c>
      <c r="G16" s="20">
        <f>'70_FINANCING'!G10</f>
        <v/>
      </c>
      <c r="H16" s="20">
        <f>'70_FINANCING'!H10</f>
        <v/>
      </c>
      <c r="I16" s="20">
        <f>'70_FINANCING'!I10</f>
        <v/>
      </c>
      <c r="J16" s="20">
        <f>'70_FINANCING'!J10</f>
        <v/>
      </c>
      <c r="K16" s="20">
        <f>'70_FINANCING'!K10</f>
        <v/>
      </c>
    </row>
    <row r="17">
      <c r="A17" s="19" t="inlineStr">
        <is>
          <t>Principal</t>
        </is>
      </c>
      <c r="B17" s="20">
        <f>'70_FINANCING'!B11</f>
        <v/>
      </c>
      <c r="C17" s="20">
        <f>'70_FINANCING'!C11</f>
        <v/>
      </c>
      <c r="D17" s="20">
        <f>'70_FINANCING'!D11</f>
        <v/>
      </c>
      <c r="E17" s="20">
        <f>'70_FINANCING'!E11</f>
        <v/>
      </c>
      <c r="F17" s="20">
        <f>'70_FINANCING'!F11</f>
        <v/>
      </c>
      <c r="G17" s="20">
        <f>'70_FINANCING'!G11</f>
        <v/>
      </c>
      <c r="H17" s="20">
        <f>'70_FINANCING'!H11</f>
        <v/>
      </c>
      <c r="I17" s="20">
        <f>'70_FINANCING'!I11</f>
        <v/>
      </c>
      <c r="J17" s="20">
        <f>'70_FINANCING'!J11</f>
        <v/>
      </c>
      <c r="K17" s="20">
        <f>'70_FINANCING'!K11</f>
        <v/>
      </c>
    </row>
    <row r="18">
      <c r="A18" s="24" t="inlineStr">
        <is>
          <t>Debt service</t>
        </is>
      </c>
      <c r="B18" s="25">
        <f>B16+B17</f>
        <v/>
      </c>
      <c r="C18" s="25">
        <f>C16+C17</f>
        <v/>
      </c>
      <c r="D18" s="25">
        <f>D16+D17</f>
        <v/>
      </c>
      <c r="E18" s="25">
        <f>E16+E17</f>
        <v/>
      </c>
      <c r="F18" s="25">
        <f>F16+F17</f>
        <v/>
      </c>
      <c r="G18" s="25">
        <f>G16+G17</f>
        <v/>
      </c>
      <c r="H18" s="25">
        <f>H16+H17</f>
        <v/>
      </c>
      <c r="I18" s="25">
        <f>I16+I17</f>
        <v/>
      </c>
      <c r="J18" s="25">
        <f>J16+J17</f>
        <v/>
      </c>
      <c r="K18" s="25">
        <f>K16+K17</f>
        <v/>
      </c>
    </row>
    <row r="19">
      <c r="A19" s="24" t="inlineStr">
        <is>
          <t>DSCR</t>
        </is>
      </c>
      <c r="B19" s="27">
        <f>IFERROR(B15/B18,0)</f>
        <v/>
      </c>
      <c r="C19" s="27">
        <f>IFERROR(C15/C18,0)</f>
        <v/>
      </c>
      <c r="D19" s="27">
        <f>IFERROR(D15/D18,0)</f>
        <v/>
      </c>
      <c r="E19" s="27">
        <f>IFERROR(E15/E18,0)</f>
        <v/>
      </c>
      <c r="F19" s="27">
        <f>IFERROR(F15/F18,0)</f>
        <v/>
      </c>
      <c r="G19" s="27">
        <f>IFERROR(G15/G18,0)</f>
        <v/>
      </c>
      <c r="H19" s="27">
        <f>IFERROR(H15/H18,0)</f>
        <v/>
      </c>
      <c r="I19" s="27">
        <f>IFERROR(I15/I18,0)</f>
        <v/>
      </c>
      <c r="J19" s="27">
        <f>IFERROR(J15/J18,0)</f>
        <v/>
      </c>
      <c r="K19" s="27">
        <f>IFERROR(K15/K18,0)</f>
        <v/>
      </c>
    </row>
    <row r="20">
      <c r="A20" s="24" t="inlineStr">
        <is>
          <t>Free cash flow after debt</t>
        </is>
      </c>
      <c r="B20" s="25">
        <f>B15-B18+'70_FINANCING'!B7</f>
        <v/>
      </c>
      <c r="C20" s="25">
        <f>C15-C18+'70_FINANCING'!C7</f>
        <v/>
      </c>
      <c r="D20" s="25">
        <f>D15-D18+'70_FINANCING'!D7</f>
        <v/>
      </c>
      <c r="E20" s="25">
        <f>E15-E18+'70_FINANCING'!E7</f>
        <v/>
      </c>
      <c r="F20" s="25">
        <f>F15-F18+'70_FINANCING'!F7</f>
        <v/>
      </c>
      <c r="G20" s="25">
        <f>G15-G18+'70_FINANCING'!G7</f>
        <v/>
      </c>
      <c r="H20" s="25">
        <f>H15-H18+'70_FINANCING'!H7</f>
        <v/>
      </c>
      <c r="I20" s="25">
        <f>I15-I18+'70_FINANCING'!I7</f>
        <v/>
      </c>
      <c r="J20" s="25">
        <f>J15-J18+'70_FINANCING'!J7</f>
        <v/>
      </c>
      <c r="K20" s="25">
        <f>K15-K18+'70_FINANCING'!K7</f>
        <v/>
      </c>
    </row>
  </sheetData>
  <mergeCells count="1">
    <mergeCell ref="A2:K2"/>
  </mergeCells>
  <pageMargins left="0.75" right="0.75" top="1" bottom="1" header="0.5" footer="0.5"/>
  <pageSetup orientation="landscape" fitToWidth="1"/>
  <headerFooter>
    <oddHeader>&amp;CARS METAL INDUSTRIES – Confidential</oddHeader>
    <oddFooter>&amp;RPage &amp;P of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6" customWidth="1" min="4" max="4"/>
    <col width="42" customWidth="1" min="5" max="5"/>
    <col width="18" customWidth="1" min="6" max="6"/>
  </cols>
  <sheetData>
    <row r="1">
      <c r="K1" s="9">
        <f>HYPERLINK("#'01_INDEX_NAVIGATION'!A1","Back to Index")</f>
        <v/>
      </c>
    </row>
    <row r="2">
      <c r="A2" s="1" t="inlineStr">
        <is>
          <t>INVESTMENT COMMITTEE DASHBOARD</t>
        </is>
      </c>
      <c r="B2" s="2" t="n"/>
      <c r="C2" s="2" t="n"/>
      <c r="D2" s="2" t="n"/>
      <c r="E2" s="2" t="n"/>
      <c r="F2" s="2" t="n"/>
    </row>
    <row r="4">
      <c r="A4" s="6" t="inlineStr">
        <is>
          <t>KPI</t>
        </is>
      </c>
      <c r="B4" s="6" t="inlineStr">
        <is>
          <t>Value</t>
        </is>
      </c>
      <c r="C4" s="6" t="inlineStr">
        <is>
          <t>Threshold</t>
        </is>
      </c>
      <c r="D4" s="6" t="inlineStr">
        <is>
          <t>Status</t>
        </is>
      </c>
      <c r="E4" s="6" t="inlineStr">
        <is>
          <t>Comment</t>
        </is>
      </c>
      <c r="F4" s="6" t="inlineStr">
        <is>
          <t>Source</t>
        </is>
      </c>
    </row>
    <row r="5">
      <c r="A5" s="19" t="inlineStr">
        <is>
          <t>Scenario</t>
        </is>
      </c>
      <c r="B5" s="28">
        <f>'03_SCENARIO_CONTROL'!B5</f>
        <v/>
      </c>
      <c r="C5" s="8" t="inlineStr"/>
      <c r="D5" s="8" t="inlineStr">
        <is>
          <t>INFO</t>
        </is>
      </c>
      <c r="E5" s="8" t="inlineStr">
        <is>
          <t>Active case</t>
        </is>
      </c>
      <c r="F5" s="8" t="inlineStr">
        <is>
          <t>Scenario</t>
        </is>
      </c>
    </row>
    <row r="6">
      <c r="A6" s="19" t="inlineStr">
        <is>
          <t>Total CAPEX</t>
        </is>
      </c>
      <c r="B6" s="13">
        <f>SUM('50_CAPEX'!B12:K12)</f>
        <v/>
      </c>
      <c r="C6" s="8" t="inlineStr"/>
      <c r="D6" s="8" t="inlineStr">
        <is>
          <t>INFO</t>
        </is>
      </c>
      <c r="E6" s="8" t="inlineStr">
        <is>
          <t>Total uses</t>
        </is>
      </c>
      <c r="F6" s="8" t="inlineStr">
        <is>
          <t>CAPEX</t>
        </is>
      </c>
    </row>
    <row r="7">
      <c r="A7" s="19" t="inlineStr">
        <is>
          <t>Peak Revenue</t>
        </is>
      </c>
      <c r="B7" s="13">
        <f>MAX('20_REVENUE'!B9:K9)</f>
        <v/>
      </c>
      <c r="C7" s="8" t="inlineStr"/>
      <c r="D7" s="8" t="inlineStr">
        <is>
          <t>INFO</t>
        </is>
      </c>
      <c r="E7" s="8" t="inlineStr">
        <is>
          <t>Maximum annual sales</t>
        </is>
      </c>
      <c r="F7" s="8" t="inlineStr">
        <is>
          <t>Revenue</t>
        </is>
      </c>
    </row>
    <row r="8">
      <c r="A8" s="19" t="inlineStr">
        <is>
          <t>Peak EBITDA</t>
        </is>
      </c>
      <c r="B8" s="13">
        <f>MAX('80_CASHFLOW'!B9:K9)</f>
        <v/>
      </c>
      <c r="C8" s="8" t="inlineStr"/>
      <c r="D8" s="8" t="inlineStr">
        <is>
          <t>INFO</t>
        </is>
      </c>
      <c r="E8" s="8" t="inlineStr">
        <is>
          <t>Maximum annual EBITDA</t>
        </is>
      </c>
      <c r="F8" s="8" t="inlineStr">
        <is>
          <t>Cash flow</t>
        </is>
      </c>
    </row>
    <row r="9">
      <c r="A9" s="19" t="inlineStr">
        <is>
          <t>Minimum DSCR</t>
        </is>
      </c>
      <c r="B9" s="17">
        <f>MIN('80_CASHFLOW'!B19:K19)</f>
        <v/>
      </c>
      <c r="C9" s="29">
        <f>'02_ASSUMPTIONS_MASTER'!$H$47</f>
        <v/>
      </c>
      <c r="D9" s="8">
        <f>IF(B9&gt;=C9,"PASS","FAIL")</f>
        <v/>
      </c>
      <c r="E9" s="8" t="inlineStr">
        <is>
          <t>Coverage floor</t>
        </is>
      </c>
      <c r="F9" s="8" t="inlineStr">
        <is>
          <t>Cash flow</t>
        </is>
      </c>
    </row>
    <row r="10">
      <c r="A10" s="19" t="inlineStr">
        <is>
          <t>Ending Debt</t>
        </is>
      </c>
      <c r="B10" s="13">
        <f>'70_FINANCING'!K12</f>
        <v/>
      </c>
      <c r="C10" s="8" t="inlineStr"/>
      <c r="D10" s="8" t="inlineStr">
        <is>
          <t>INFO</t>
        </is>
      </c>
      <c r="E10" s="8" t="inlineStr">
        <is>
          <t>Residual balance</t>
        </is>
      </c>
      <c r="F10" s="8" t="inlineStr">
        <is>
          <t>Financing</t>
        </is>
      </c>
    </row>
    <row r="11">
      <c r="A11" s="19" t="inlineStr">
        <is>
          <t>Total Equity</t>
        </is>
      </c>
      <c r="B11" s="13">
        <f>SUM('70_FINANCING'!B7:K7)</f>
        <v/>
      </c>
      <c r="C11" s="8" t="inlineStr"/>
      <c r="D11" s="8" t="inlineStr">
        <is>
          <t>INFO</t>
        </is>
      </c>
      <c r="E11" s="8" t="inlineStr">
        <is>
          <t>Sponsor funds</t>
        </is>
      </c>
      <c r="F11" s="8" t="inlineStr">
        <is>
          <t>Financing</t>
        </is>
      </c>
    </row>
    <row r="12">
      <c r="A12" s="19" t="inlineStr">
        <is>
          <t>Total Grants</t>
        </is>
      </c>
      <c r="B12" s="13">
        <f>SUM('70_FINANCING'!B8:K8)</f>
        <v/>
      </c>
      <c r="C12" s="8" t="inlineStr"/>
      <c r="D12" s="8" t="inlineStr">
        <is>
          <t>INFO</t>
        </is>
      </c>
      <c r="E12" s="8" t="inlineStr">
        <is>
          <t>Grant funds</t>
        </is>
      </c>
      <c r="F12" s="8" t="inlineStr">
        <is>
          <t>Financing</t>
        </is>
      </c>
    </row>
  </sheetData>
  <mergeCells count="1">
    <mergeCell ref="A2:F2"/>
  </mergeCells>
  <pageMargins left="0.75" right="0.75" top="1" bottom="1" header="0.5" footer="0.5"/>
  <pageSetup orientation="landscape" fitToWidth="1"/>
  <headerFooter>
    <oddHeader>&amp;CARS METAL INDUSTRIES – Confidential</oddHeader>
    <oddFooter>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6" customWidth="1" min="4" max="4"/>
    <col width="48" customWidth="1" min="5" max="5"/>
  </cols>
  <sheetData>
    <row r="1">
      <c r="K1" s="9">
        <f>HYPERLINK("#'01_INDEX_NAVIGATION'!A1","Back to Index")</f>
        <v/>
      </c>
    </row>
    <row r="2">
      <c r="A2" s="1" t="inlineStr">
        <is>
          <t>MODEL CHECKS</t>
        </is>
      </c>
      <c r="B2" s="2" t="n"/>
      <c r="C2" s="2" t="n"/>
      <c r="D2" s="2" t="n"/>
      <c r="E2" s="2" t="n"/>
    </row>
    <row r="4">
      <c r="A4" s="6" t="inlineStr">
        <is>
          <t>Check</t>
        </is>
      </c>
      <c r="B4" s="6" t="inlineStr">
        <is>
          <t>Result</t>
        </is>
      </c>
      <c r="C4" s="6" t="inlineStr">
        <is>
          <t>Tolerance</t>
        </is>
      </c>
      <c r="D4" s="6" t="inlineStr">
        <is>
          <t>Status</t>
        </is>
      </c>
      <c r="E4" s="6" t="inlineStr">
        <is>
          <t>Comment</t>
        </is>
      </c>
    </row>
    <row r="5">
      <c r="A5" s="19" t="inlineStr">
        <is>
          <t>Sources less Uses</t>
        </is>
      </c>
      <c r="B5" s="30">
        <f>ABS(SUM('70_FINANCING'!B6:K8)-SUM('50_CAPEX'!B12:K12))</f>
        <v/>
      </c>
      <c r="C5" s="8" t="n">
        <v>1</v>
      </c>
      <c r="D5" s="8">
        <f>IF(B5&lt;=C5,"PASS","FAIL")</f>
        <v/>
      </c>
      <c r="E5" s="8" t="inlineStr">
        <is>
          <t>Should be near zero</t>
        </is>
      </c>
    </row>
    <row r="6">
      <c r="A6" s="19" t="inlineStr">
        <is>
          <t>Ending debt residual</t>
        </is>
      </c>
      <c r="B6" s="30">
        <f>ABS('70_FINANCING'!K12)</f>
        <v/>
      </c>
      <c r="C6" s="8" t="n">
        <v>1</v>
      </c>
      <c r="D6" s="8">
        <f>IF(B6&lt;=C6,"PASS","FAIL")</f>
        <v/>
      </c>
      <c r="E6" s="8" t="inlineStr">
        <is>
          <t>Should be near zero</t>
        </is>
      </c>
    </row>
    <row r="7">
      <c r="A7" s="19" t="inlineStr">
        <is>
          <t>DSCR vs threshold</t>
        </is>
      </c>
      <c r="B7" s="30">
        <f>MIN('80_CASHFLOW'!B19:K19)-'02_ASSUMPTIONS_MASTER'!$H$47</f>
        <v/>
      </c>
      <c r="C7" s="8" t="n">
        <v>0</v>
      </c>
      <c r="D7" s="8">
        <f>IF(B7&gt;=C7,"PASS","FAIL")</f>
        <v/>
      </c>
      <c r="E7" s="8" t="inlineStr">
        <is>
          <t>Positive means pass</t>
        </is>
      </c>
    </row>
    <row r="8">
      <c r="A8" s="19" t="inlineStr">
        <is>
          <t>No negative revenue</t>
        </is>
      </c>
      <c r="B8" s="30">
        <f>MIN('20_REVENUE'!B9:K9)</f>
        <v/>
      </c>
      <c r="C8" s="8" t="n">
        <v>0</v>
      </c>
      <c r="D8" s="8">
        <f>IF(B8&gt;=C8,"PASS","FAIL")</f>
        <v/>
      </c>
      <c r="E8" s="8" t="inlineStr">
        <is>
          <t>Should be non-negative</t>
        </is>
      </c>
    </row>
    <row r="9">
      <c r="A9" s="19" t="inlineStr">
        <is>
          <t>No negative gross PP&amp;E</t>
        </is>
      </c>
      <c r="B9" s="30">
        <f>MIN('50_CAPEX'!B14:K14)</f>
        <v/>
      </c>
      <c r="C9" s="8" t="n">
        <v>0</v>
      </c>
      <c r="D9" s="8">
        <f>IF(B9&gt;=C9,"PASS","FAIL")</f>
        <v/>
      </c>
      <c r="E9" s="8" t="inlineStr">
        <is>
          <t>Should be non-negative</t>
        </is>
      </c>
    </row>
  </sheetData>
  <mergeCells count="1">
    <mergeCell ref="A2:E2"/>
  </mergeCells>
  <conditionalFormatting sqref="D5:D20">
    <cfRule type="cellIs" priority="1" operator="equal" dxfId="0">
      <formula>"PASS"</formula>
    </cfRule>
    <cfRule type="cellIs" priority="2" operator="equal" dxfId="1">
      <formula>"FAIL"</formula>
    </cfRule>
  </conditionalFormatting>
  <pageMargins left="0.75" right="0.75" top="1" bottom="1" header="0.5" footer="0.5"/>
  <pageSetup orientation="landscape" fitToWidth="1"/>
  <headerFooter>
    <oddHeader>&amp;CARS METAL INDUSTRIES – Confidential</oddHeader>
    <oddFooter>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2026-03-23T04:56:04Z</dcterms:created>
  <dcterms:modified xmlns:dcterms="http://purl.org/dc/terms/" xmlns:xsi="http://www.w3.org/2001/XMLSchema-instance" xsi:type="dcterms:W3CDTF">2026-03-23T04:57:27Z</dcterms:modified>
</cp:coreProperties>
</file>