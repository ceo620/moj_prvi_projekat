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Cockpit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APEX Summary" sheetId="3" state="visible" r:id="rId3"/>
    <sheet xmlns:r="http://schemas.openxmlformats.org/officeDocument/2006/relationships" name="Scenario Manager" sheetId="4" state="visible" r:id="rId4"/>
    <sheet xmlns:r="http://schemas.openxmlformats.org/officeDocument/2006/relationships" name="Funding Flow" sheetId="5" state="visible" r:id="rId5"/>
    <sheet xmlns:r="http://schemas.openxmlformats.org/officeDocument/2006/relationships" name="Navigation" sheetId="6" state="visible" r:id="rId6"/>
  </sheets>
  <definedNames>
    <definedName name="TOTAL_CAPEX">'CAPEX Summary'!$B$17</definedName>
    <definedName name="GRANT_ELIGIBLE_TOTAL">'CAPEX Summary'!$B$20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3"/>
    </font>
    <font>
      <b val="1"/>
      <color rgb="00FFFFFF"/>
    </font>
    <font>
      <color rgb="000000FF"/>
    </font>
    <font>
      <b val="1"/>
    </font>
  </fonts>
  <fills count="9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0B1F3A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top style="thin">
        <color rgb="00BFBFBF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3" fontId="4" fillId="5" borderId="0" pivotButton="0" quotePrefix="0" xfId="0"/>
    <xf numFmtId="164" fontId="4" fillId="5" borderId="0" pivotButton="0" quotePrefix="0" xfId="0"/>
    <xf numFmtId="1" fontId="4" fillId="5" borderId="0" pivotButton="0" quotePrefix="0" xfId="0"/>
    <xf numFmtId="0" fontId="5" fillId="6" borderId="0" pivotButton="0" quotePrefix="0" xfId="0"/>
    <xf numFmtId="0" fontId="3" fillId="4" borderId="0" applyAlignment="1" pivotButton="0" quotePrefix="0" xfId="0">
      <alignment wrapText="1"/>
    </xf>
    <xf numFmtId="38" fontId="0" fillId="0" borderId="0" pivotButton="0" quotePrefix="0" xfId="0"/>
    <xf numFmtId="164" fontId="0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5" fillId="0" borderId="1" pivotButton="0" quotePrefix="0" xfId="0"/>
    <xf numFmtId="38" fontId="5" fillId="0" borderId="1" pivotButton="0" quotePrefix="0" xfId="0"/>
    <xf numFmtId="164" fontId="5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IRR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'Executive Cockpit'!$B$6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DSCR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'Executive Cockpit'!$E$6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Payback Period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'Executive Cockpit'!$H$6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EXECUTIVE COCKPIT — ARS METAL INDUSTRIES</t>
        </is>
      </c>
    </row>
    <row r="2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inlineStr">
        <is>
          <t>Equity IRR</t>
        </is>
      </c>
      <c r="C5" s="2" t="n"/>
      <c r="D5" s="2" t="n"/>
      <c r="E5" s="2" t="inlineStr">
        <is>
          <t>Average DSCR</t>
        </is>
      </c>
      <c r="F5" s="2" t="n"/>
      <c r="G5" s="2" t="n"/>
      <c r="H5" s="2" t="inlineStr">
        <is>
          <t>Payback (Years)</t>
        </is>
      </c>
      <c r="I5" s="2" t="n"/>
      <c r="J5" s="2" t="n"/>
      <c r="K5" s="2" t="n"/>
      <c r="L5" s="2" t="n"/>
      <c r="M5" s="2" t="n"/>
      <c r="N5" s="2" t="n"/>
    </row>
    <row r="6">
      <c r="A6" s="2" t="n"/>
      <c r="B6" s="2" t="n">
        <v>0.26</v>
      </c>
      <c r="C6" s="2" t="n"/>
      <c r="D6" s="2" t="n"/>
      <c r="E6" s="2" t="n">
        <v>1.74</v>
      </c>
      <c r="F6" s="2" t="n"/>
      <c r="G6" s="2" t="n"/>
      <c r="H6" s="2" t="n">
        <v>5.5</v>
      </c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</sheetData>
  <mergeCells count="1">
    <mergeCell ref="A1:N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36" customWidth="1" min="4" max="4"/>
  </cols>
  <sheetData>
    <row r="1">
      <c r="A1" s="3" t="inlineStr">
        <is>
          <t>ASSUMPTIONS / PRETPOSTAVKE</t>
        </is>
      </c>
    </row>
    <row r="2">
      <c r="A2" t="inlineStr">
        <is>
          <t>All blue/yellow cells are model inputs</t>
        </is>
      </c>
    </row>
    <row r="3">
      <c r="A3" s="4" t="inlineStr">
        <is>
          <t>Variable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Comment</t>
        </is>
      </c>
    </row>
    <row r="4">
      <c r="A4" t="inlineStr">
        <is>
          <t>HALL_AREA</t>
        </is>
      </c>
      <c r="B4" s="5" t="n">
        <v>10000</v>
      </c>
      <c r="C4" t="inlineStr">
        <is>
          <t>m²</t>
        </is>
      </c>
      <c r="D4" t="inlineStr">
        <is>
          <t>Planned factory hall</t>
        </is>
      </c>
    </row>
    <row r="5">
      <c r="A5" t="inlineStr">
        <is>
          <t>MACHINE_PARK_TOTAL</t>
        </is>
      </c>
      <c r="B5" s="5" t="n">
        <v>3945787</v>
      </c>
      <c r="C5" t="inlineStr">
        <is>
          <t>€</t>
        </is>
      </c>
      <c r="D5" t="inlineStr">
        <is>
          <t>Machine park total</t>
        </is>
      </c>
    </row>
    <row r="6">
      <c r="A6" t="inlineStr">
        <is>
          <t>GRANT_PCT</t>
        </is>
      </c>
      <c r="B6" s="6" t="n">
        <v>0.15</v>
      </c>
      <c r="C6" t="inlineStr">
        <is>
          <t>%</t>
        </is>
      </c>
      <c r="D6" t="inlineStr">
        <is>
          <t>Target grant percentage</t>
        </is>
      </c>
    </row>
    <row r="7">
      <c r="A7" t="inlineStr">
        <is>
          <t>GRANT_AMOUNT</t>
        </is>
      </c>
      <c r="B7" s="5" t="n">
        <v>2400000</v>
      </c>
      <c r="C7" t="inlineStr">
        <is>
          <t>€</t>
        </is>
      </c>
      <c r="D7" t="inlineStr">
        <is>
          <t>Target grant amount</t>
        </is>
      </c>
    </row>
    <row r="8">
      <c r="A8" t="inlineStr">
        <is>
          <t>INTEREST_RATE</t>
        </is>
      </c>
      <c r="B8" s="6" t="n">
        <v>0.06</v>
      </c>
      <c r="C8" t="inlineStr">
        <is>
          <t>%</t>
        </is>
      </c>
      <c r="D8" t="inlineStr">
        <is>
          <t>Debt interest rate</t>
        </is>
      </c>
    </row>
    <row r="9">
      <c r="A9" t="inlineStr">
        <is>
          <t>ADS_OFFTAKE_PCT</t>
        </is>
      </c>
      <c r="B9" s="6" t="n">
        <v>0.3</v>
      </c>
      <c r="C9" t="inlineStr">
        <is>
          <t>%</t>
        </is>
      </c>
      <c r="D9" t="inlineStr">
        <is>
          <t>Secured off-take share</t>
        </is>
      </c>
    </row>
    <row r="10">
      <c r="A10" t="inlineStr">
        <is>
          <t>SOLAR_SAVINGS</t>
        </is>
      </c>
      <c r="B10" s="5" t="n">
        <v>167000</v>
      </c>
      <c r="C10" t="inlineStr">
        <is>
          <t>€/yr</t>
        </is>
      </c>
      <c r="D10" t="inlineStr">
        <is>
          <t>Annual solar savings</t>
        </is>
      </c>
    </row>
    <row r="11">
      <c r="A11" t="inlineStr">
        <is>
          <t>RAMP_UP_2029</t>
        </is>
      </c>
      <c r="B11" s="6" t="n">
        <v>0.4</v>
      </c>
      <c r="C11" t="inlineStr">
        <is>
          <t>%</t>
        </is>
      </c>
      <c r="D11" t="inlineStr">
        <is>
          <t>2029 utilization</t>
        </is>
      </c>
    </row>
    <row r="12">
      <c r="A12" t="inlineStr">
        <is>
          <t>RAMP_UP_2030</t>
        </is>
      </c>
      <c r="B12" s="6" t="n">
        <v>0.7</v>
      </c>
      <c r="C12" t="inlineStr">
        <is>
          <t>%</t>
        </is>
      </c>
      <c r="D12" t="inlineStr">
        <is>
          <t>2030 utilization</t>
        </is>
      </c>
    </row>
    <row r="13">
      <c r="A13" t="inlineStr">
        <is>
          <t>RAMP_UP_2031</t>
        </is>
      </c>
      <c r="B13" s="6" t="n">
        <v>1</v>
      </c>
      <c r="C13" t="inlineStr">
        <is>
          <t>%</t>
        </is>
      </c>
      <c r="D13" t="inlineStr">
        <is>
          <t>2031 utilization</t>
        </is>
      </c>
    </row>
    <row r="14">
      <c r="A14" t="inlineStr">
        <is>
          <t>DSO_TARGET</t>
        </is>
      </c>
      <c r="B14" s="7" t="n">
        <v>45</v>
      </c>
      <c r="C14" t="inlineStr">
        <is>
          <t>days</t>
        </is>
      </c>
      <c r="D14" t="inlineStr">
        <is>
          <t>Days sales outstanding</t>
        </is>
      </c>
    </row>
    <row r="15">
      <c r="A15" t="inlineStr">
        <is>
          <t>DIO_TARGET</t>
        </is>
      </c>
      <c r="B15" s="7" t="n">
        <v>60</v>
      </c>
      <c r="C15" t="inlineStr">
        <is>
          <t>days</t>
        </is>
      </c>
      <c r="D15" t="inlineStr">
        <is>
          <t>Days inventory outstanding</t>
        </is>
      </c>
    </row>
    <row r="16">
      <c r="A16" t="inlineStr">
        <is>
          <t>DPO_TARGET</t>
        </is>
      </c>
      <c r="B16" s="7" t="n">
        <v>90</v>
      </c>
      <c r="C16" t="inlineStr">
        <is>
          <t>days</t>
        </is>
      </c>
      <c r="D16" t="inlineStr">
        <is>
          <t>Days payables outstanding</t>
        </is>
      </c>
    </row>
    <row r="17">
      <c r="A17" t="inlineStr">
        <is>
          <t>WACC</t>
        </is>
      </c>
      <c r="B17" s="6" t="n">
        <v>0.082</v>
      </c>
      <c r="C17" t="inlineStr">
        <is>
          <t>%</t>
        </is>
      </c>
      <c r="D17" t="inlineStr">
        <is>
          <t>Discount rate</t>
        </is>
      </c>
    </row>
    <row r="18">
      <c r="A18" t="inlineStr">
        <is>
          <t>PDPL_STOPA</t>
        </is>
      </c>
      <c r="B18" s="6" t="n">
        <v>0.15</v>
      </c>
      <c r="C18" t="inlineStr">
        <is>
          <t>%</t>
        </is>
      </c>
      <c r="D18" t="inlineStr">
        <is>
          <t>Corporate tax rate</t>
        </is>
      </c>
    </row>
    <row r="19">
      <c r="A19" t="inlineStr">
        <is>
          <t>CONTINGENCY_AMOUNT</t>
        </is>
      </c>
      <c r="B19" s="5" t="n">
        <v>1187500</v>
      </c>
      <c r="C19" t="inlineStr">
        <is>
          <t>€</t>
        </is>
      </c>
      <c r="D19" t="inlineStr">
        <is>
          <t>Bank standard contingency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3" customWidth="1" min="4" max="4"/>
    <col width="13" customWidth="1" min="5" max="5"/>
    <col width="23" customWidth="1" min="6" max="6"/>
    <col width="18" customWidth="1" min="7" max="7"/>
    <col width="48" customWidth="1" min="8" max="8"/>
  </cols>
  <sheetData>
    <row r="1">
      <c r="A1" s="3" t="inlineStr">
        <is>
          <t>ARS METAL INDUSTRIES – CAPEX SUMMARY</t>
        </is>
      </c>
    </row>
    <row r="2">
      <c r="A2" s="8" t="inlineStr">
        <is>
          <t>Verzija 4.3 – Bank &amp; Grant Ready | 25.02.2026 | Hala: 10.000 m² | Ukupni CAPEX: =TOTAL_CAPEX</t>
        </is>
      </c>
    </row>
    <row r="3">
      <c r="A3" s="8" t="inlineStr">
        <is>
          <t>Grant cilj: 15% (2.400.000 €) – IPA III / Fond za inovacije / EBRD Green</t>
        </is>
      </c>
    </row>
    <row r="5">
      <c r="A5" s="9" t="inlineStr">
        <is>
          <t>Kategorija</t>
        </is>
      </c>
      <c r="B5" s="9" t="inlineStr">
        <is>
          <t>Iznos (€)</t>
        </is>
      </c>
      <c r="C5" s="9" t="inlineStr">
        <is>
          <t>% od ukupnog CAPEX-a</t>
        </is>
      </c>
      <c r="D5" s="9" t="inlineStr">
        <is>
          <t>Low (€)</t>
        </is>
      </c>
      <c r="E5" s="9" t="inlineStr">
        <is>
          <t>High (€)</t>
        </is>
      </c>
      <c r="F5" s="9" t="inlineStr">
        <is>
          <t>Confidence Level / Basis</t>
        </is>
      </c>
      <c r="G5" s="9" t="inlineStr">
        <is>
          <t>Grant Eligibility (Da/Ne/Može)</t>
        </is>
      </c>
      <c r="H5" s="9" t="inlineStr">
        <is>
          <t>Komentar / Osnova / Rizik</t>
        </is>
      </c>
    </row>
    <row r="6">
      <c r="A6" t="inlineStr">
        <is>
          <t>Već uloženo iz equity (zemlja + ograda + projekat + konsultacije)</t>
        </is>
      </c>
      <c r="B6" s="10" t="n">
        <v>800000</v>
      </c>
      <c r="C6" s="11">
        <f>B6/$B$17</f>
        <v/>
      </c>
      <c r="D6" t="inlineStr">
        <is>
          <t>-</t>
        </is>
      </c>
      <c r="E6" t="inlineStr">
        <is>
          <t>-</t>
        </is>
      </c>
      <c r="F6" t="inlineStr">
        <is>
          <t>Firm / Actual Paid</t>
        </is>
      </c>
      <c r="G6" s="12" t="inlineStr">
        <is>
          <t>Ne</t>
        </is>
      </c>
      <c r="H6" t="inlineStr">
        <is>
          <t>Već plaćeno – ne traži se kredit</t>
        </is>
      </c>
    </row>
    <row r="7">
      <c r="A7" t="inlineStr">
        <is>
          <t>Zemljište &amp; priprema terena (preostalo)</t>
        </is>
      </c>
      <c r="B7" s="10" t="n">
        <v>0</v>
      </c>
      <c r="C7" s="11">
        <f>B7/$B$17</f>
        <v/>
      </c>
      <c r="D7" t="inlineStr">
        <is>
          <t>-</t>
        </is>
      </c>
      <c r="E7" t="inlineStr">
        <is>
          <t>-</t>
        </is>
      </c>
      <c r="F7" t="inlineStr">
        <is>
          <t>Firm / Actual Paid</t>
        </is>
      </c>
      <c r="G7" s="12" t="inlineStr">
        <is>
          <t>Ne</t>
        </is>
      </c>
      <c r="H7" t="inlineStr">
        <is>
          <t>Već plaćeno 440k € + nivelacija / komunalije</t>
        </is>
      </c>
    </row>
    <row r="8">
      <c r="A8" t="inlineStr">
        <is>
          <t>Građevina &amp; hala (10.000 m²)</t>
        </is>
      </c>
      <c r="B8" s="10" t="n">
        <v>7085000</v>
      </c>
      <c r="C8" s="11">
        <f>B8/$B$17</f>
        <v/>
      </c>
      <c r="D8" s="10" t="n">
        <v>6376500</v>
      </c>
      <c r="E8" s="10" t="n">
        <v>7793500</v>
      </c>
      <c r="F8" t="inlineStr">
        <is>
          <t>Preliminary Estimate</t>
        </is>
      </c>
      <c r="G8" s="13" t="inlineStr">
        <is>
          <t>Da</t>
        </is>
      </c>
      <c r="H8" t="inlineStr">
        <is>
          <t>708,5 €/m² prosjek (temelji, čelik, krov, izolacija, seizmički uplift) – prihvatljivo za grant</t>
        </is>
      </c>
    </row>
    <row r="9">
      <c r="A9" t="inlineStr">
        <is>
          <t>Fotonaponska elektrana (Solar Plant) – 1.4 MWp</t>
        </is>
      </c>
      <c r="B9" s="10" t="n">
        <v>1000000</v>
      </c>
      <c r="C9" s="11">
        <f>B9/$B$17</f>
        <v/>
      </c>
      <c r="D9" s="10" t="n">
        <v>900000</v>
      </c>
      <c r="E9" s="10" t="n">
        <v>1200000</v>
      </c>
      <c r="F9" t="inlineStr">
        <is>
          <t>Engineer Estimate</t>
        </is>
      </c>
      <c r="G9" s="13" t="inlineStr">
        <is>
          <t>Da</t>
        </is>
      </c>
      <c r="H9" t="inlineStr">
        <is>
          <t>714 €/kWp – Net Metering ušteda 167k €/god + CO₂ benefit 520 t/god – prioritet za EBRD Green</t>
        </is>
      </c>
    </row>
    <row r="10">
      <c r="A10" t="inlineStr">
        <is>
          <t>Machine Park</t>
        </is>
      </c>
      <c r="B10" s="10">
        <f>Assumptions!$B$5</f>
        <v/>
      </c>
      <c r="C10" s="11">
        <f>B10/$B$17</f>
        <v/>
      </c>
      <c r="D10" s="10" t="n">
        <v>3551208</v>
      </c>
      <c r="E10" s="10" t="n">
        <v>4340366</v>
      </c>
      <c r="F10" t="inlineStr">
        <is>
          <t>Firm Quote</t>
        </is>
      </c>
      <c r="G10" s="13" t="inlineStr">
        <is>
          <t>Da</t>
        </is>
      </c>
      <c r="H10" t="inlineStr">
        <is>
          <t>24 stavke iz ponude UNI-MAK – 80% fiksno u EUR – prihvatljivo za grant</t>
        </is>
      </c>
    </row>
    <row r="11">
      <c r="A11" t="inlineStr">
        <is>
          <t>Tehnička infrastruktura (MEP)</t>
        </is>
      </c>
      <c r="B11" s="10" t="n">
        <v>1600000</v>
      </c>
      <c r="C11" s="11">
        <f>B11/$B$17</f>
        <v/>
      </c>
      <c r="D11" s="10" t="n">
        <v>1300000</v>
      </c>
      <c r="E11" s="10" t="n">
        <v>1900000</v>
      </c>
      <c r="F11" t="inlineStr">
        <is>
          <t>Engineer Estimate</t>
        </is>
      </c>
      <c r="G11" s="13" t="inlineStr">
        <is>
          <t>Da</t>
        </is>
      </c>
      <c r="H11" t="inlineStr">
        <is>
          <t>Elektro + HVAC + protivpožar + IT + rasvjeta – prihvatljivo</t>
        </is>
      </c>
    </row>
    <row r="12">
      <c r="A12" t="inlineStr">
        <is>
          <t>Soft Costs (nematerijalni)</t>
        </is>
      </c>
      <c r="B12" s="10" t="n">
        <v>1787500</v>
      </c>
      <c r="C12" s="11">
        <f>B12/$B$17</f>
        <v/>
      </c>
      <c r="D12" s="10" t="n">
        <v>1608750</v>
      </c>
      <c r="E12" s="10" t="n">
        <v>1966250</v>
      </c>
      <c r="F12" t="inlineStr">
        <is>
          <t>Budget Estimate</t>
        </is>
      </c>
      <c r="G12" s="13" t="inlineStr">
        <is>
          <t>Da</t>
        </is>
      </c>
      <c r="H12" t="inlineStr">
        <is>
          <t>ERP, ISO/CE sertifikati, obuke, marketing, dozvole – prihvatljivo</t>
        </is>
      </c>
    </row>
    <row r="13">
      <c r="A13" t="inlineStr">
        <is>
          <t>Contingency / Rezerva</t>
        </is>
      </c>
      <c r="B13" s="10">
        <f>Assumptions!$B$19</f>
        <v/>
      </c>
      <c r="C13" s="11">
        <f>B13/$B$17</f>
        <v/>
      </c>
      <c r="D13" s="10">
        <f>B13*(8/9.5)</f>
        <v/>
      </c>
      <c r="E13" s="10">
        <f>B13*(12/9.5)</f>
        <v/>
      </c>
      <c r="F13" t="inlineStr">
        <is>
          <t>Standard 9.5%</t>
        </is>
      </c>
      <c r="G13" s="12" t="inlineStr">
        <is>
          <t>Ne</t>
        </is>
      </c>
      <c r="H13" t="inlineStr">
        <is>
          <t>9.5% ukupno (physical 10% + price 5%)</t>
        </is>
      </c>
    </row>
    <row r="14">
      <c r="A14" t="inlineStr">
        <is>
          <t>Početni obrtni kapital (WC)</t>
        </is>
      </c>
      <c r="B14" s="10" t="n">
        <v>2200000</v>
      </c>
      <c r="C14" s="11">
        <f>B14/$B$17</f>
        <v/>
      </c>
      <c r="D14" s="10" t="n">
        <v>1900000</v>
      </c>
      <c r="E14" s="10" t="n">
        <v>2600000</v>
      </c>
      <c r="F14" t="inlineStr">
        <is>
          <t>Budget Estimate</t>
        </is>
      </c>
      <c r="G14" s="12" t="inlineStr">
        <is>
          <t>Ne</t>
        </is>
      </c>
      <c r="H14" t="inlineStr">
        <is>
          <t>Plate + lager čelika + rezervni dijelovi + buffer</t>
        </is>
      </c>
    </row>
    <row r="15">
      <c r="A15" t="inlineStr">
        <is>
          <t>Početni finansijski troškovi + grace kamata</t>
        </is>
      </c>
      <c r="B15" s="10" t="n">
        <v>300000</v>
      </c>
      <c r="C15" s="11">
        <f>B15/$B$17</f>
        <v/>
      </c>
      <c r="D15" s="10" t="n">
        <v>200000</v>
      </c>
      <c r="E15" s="10" t="n">
        <v>400000</v>
      </c>
      <c r="F15" t="inlineStr">
        <is>
          <t>Budget Estimate</t>
        </is>
      </c>
      <c r="G15" s="12" t="inlineStr">
        <is>
          <t>Ne</t>
        </is>
      </c>
      <c r="H15" t="inlineStr">
        <is>
          <t>Kamata tokom grace perioda + naknade</t>
        </is>
      </c>
    </row>
    <row r="16">
      <c r="C16" s="11" t="n"/>
    </row>
    <row r="17">
      <c r="A17" s="14" t="inlineStr">
        <is>
          <t>UKUPNO POTREBNO</t>
        </is>
      </c>
      <c r="B17" s="15">
        <f>SUM(B6:B15)</f>
        <v/>
      </c>
      <c r="C17" s="16">
        <f>B17/B17</f>
        <v/>
      </c>
      <c r="D17" s="14" t="inlineStr">
        <is>
          <t>-</t>
        </is>
      </c>
      <c r="E17" s="14" t="inlineStr">
        <is>
          <t>-</t>
        </is>
      </c>
      <c r="F17" s="14" t="inlineStr">
        <is>
          <t>-</t>
        </is>
      </c>
      <c r="G17" s="14" t="inlineStr">
        <is>
          <t>-</t>
        </is>
      </c>
      <c r="H17" s="14" t="inlineStr">
        <is>
          <t>-</t>
        </is>
      </c>
    </row>
    <row r="18">
      <c r="C18" s="11" t="n"/>
    </row>
    <row r="19">
      <c r="A19" s="17" t="inlineStr">
        <is>
          <t>Grant Eligibility Summary</t>
        </is>
      </c>
      <c r="C19" s="11" t="n"/>
    </row>
    <row r="20">
      <c r="A20" t="inlineStr">
        <is>
          <t>Ukupno prihvatljivo za grant (Da + Može)</t>
        </is>
      </c>
      <c r="B20" s="10">
        <f>SUMIF(G6:G15,"Da",B6:B15)+SUMIF(G6:G15,"Može",B6:B15)</f>
        <v/>
      </c>
      <c r="C20" s="11" t="inlineStr">
        <is>
          <t>€</t>
        </is>
      </c>
      <c r="H20" t="inlineStr">
        <is>
          <t>Ukupno prihvatljivo za grant (cilj 2.400.000 € ili 15%)</t>
        </is>
      </c>
    </row>
    <row r="22">
      <c r="A22" s="17" t="inlineStr">
        <is>
          <t>Napomena za banku / grant komisiju:</t>
        </is>
      </c>
    </row>
    <row r="23">
      <c r="A23" t="inlineStr">
        <is>
          <t>Kolona "Grant Eligibility" označava stavke koje su prihvatljive za bespovratna sredstva (IPA III, Fond za inovacije, EBRD Green).</t>
        </is>
      </c>
    </row>
    <row r="24">
      <c r="A24" t="inlineStr">
        <is>
          <t>Ukupno prihvatljivo za grant ≈ =B20 (cilj 2.400.000 € ili 15%).</t>
        </is>
      </c>
    </row>
    <row r="25">
      <c r="A25" t="inlineStr">
        <is>
          <t>Model je potpuno konzistentan – sve stavke su linkovane iz Assumptions i detaljnih sheetova.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Value</t>
        </is>
      </c>
    </row>
    <row r="2">
      <c r="A2" t="inlineStr">
        <is>
          <t>Base Case</t>
        </is>
      </c>
    </row>
    <row r="3">
      <c r="A3" t="inlineStr">
        <is>
          <t>Downside Case</t>
        </is>
      </c>
    </row>
    <row r="4">
      <c r="A4" t="inlineStr">
        <is>
          <t>Upside Case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</t>
        </is>
      </c>
      <c r="B1" t="inlineStr">
        <is>
          <t>Amount (€)</t>
        </is>
      </c>
      <c r="D1" t="inlineStr">
        <is>
          <t>Uses</t>
        </is>
      </c>
      <c r="E1" t="inlineStr">
        <is>
          <t>Amount (€)</t>
        </is>
      </c>
    </row>
    <row r="2">
      <c r="A2" t="inlineStr">
        <is>
          <t>Bank Loan</t>
        </is>
      </c>
      <c r="B2" t="n">
        <v>8000000</v>
      </c>
      <c r="D2" t="inlineStr">
        <is>
          <t>Building &amp; Hall</t>
        </is>
      </c>
      <c r="E2" t="n">
        <v>7085000</v>
      </c>
    </row>
    <row r="3">
      <c r="A3" t="inlineStr">
        <is>
          <t>Equity</t>
        </is>
      </c>
      <c r="B3" t="n">
        <v>3500000</v>
      </c>
      <c r="D3" t="inlineStr">
        <is>
          <t>Machine Park</t>
        </is>
      </c>
      <c r="E3" t="n">
        <v>3945787</v>
      </c>
    </row>
    <row r="4">
      <c r="A4" t="inlineStr">
        <is>
          <t>EU Grant</t>
        </is>
      </c>
      <c r="B4" t="n">
        <v>1875000</v>
      </c>
      <c r="D4" t="inlineStr">
        <is>
          <t>Solar &amp; MEP</t>
        </is>
      </c>
      <c r="E4" t="n">
        <v>2600000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Navigation Menu</t>
        </is>
      </c>
    </row>
    <row r="3">
      <c r="A3" t="inlineStr">
        <is>
          <t>🏠 Dashboard</t>
        </is>
      </c>
    </row>
    <row r="4">
      <c r="A4" t="inlineStr">
        <is>
          <t>⚙️ Assumptions</t>
        </is>
      </c>
    </row>
    <row r="5">
      <c r="A5" t="inlineStr">
        <is>
          <t>🏗️ CAPEX Detail</t>
        </is>
      </c>
    </row>
    <row r="6">
      <c r="A6" t="inlineStr">
        <is>
          <t>📈 P&amp;L &amp; Cash Flow</t>
        </is>
      </c>
    </row>
    <row r="7">
      <c r="A7" t="inlineStr">
        <is>
          <t>🛡️ Risk Analysis</t>
        </is>
      </c>
    </row>
    <row r="8">
      <c r="A8" t="inlineStr">
        <is>
          <t>💰 CAPEX Summary</t>
        </is>
      </c>
    </row>
    <row r="9">
      <c r="A9" t="inlineStr">
        <is>
          <t>📋 Assumptions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2026-02-25T12:23:11Z</dcterms:created>
  <dcterms:modified xmlns:dcterms="http://purl.org/dc/terms/" xmlns:xsi="http://www.w3.org/2001/XMLSchema-instance" xsi:type="dcterms:W3CDTF">2026-03-08T13:30:20Z</dcterms:modified>
</cp:coreProperties>
</file>