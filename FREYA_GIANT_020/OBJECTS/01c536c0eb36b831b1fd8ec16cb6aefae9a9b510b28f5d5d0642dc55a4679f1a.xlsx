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ssumptions" sheetId="1" state="visible" r:id="rId1"/>
    <sheet xmlns:r="http://schemas.openxmlformats.org/officeDocument/2006/relationships" name="02A_CAPEX_Annual" sheetId="2" state="visible" r:id="rId2"/>
    <sheet xmlns:r="http://schemas.openxmlformats.org/officeDocument/2006/relationships" name="11_Sources_&amp;_Uses" sheetId="3" state="visible" r:id="rId3"/>
    <sheet xmlns:r="http://schemas.openxmlformats.org/officeDocument/2006/relationships" name="12_Debt_Drawdown" sheetId="4" state="visible" r:id="rId4"/>
    <sheet xmlns:r="http://schemas.openxmlformats.org/officeDocument/2006/relationships" name="13_DSCR" sheetId="5" state="visible" r:id="rId5"/>
  </sheets>
  <definedNames>
    <definedName name="base_year">'01_Assumptions'!$G$2</definedName>
    <definedName name="scenario">'01_Assumptions'!$G$3</definedName>
    <definedName name="euribor">'01_Assumptions'!$G$4</definedName>
    <definedName name="debt_ratio">'01_Assumptions'!$G$5</definedName>
    <definedName name="t2_start">'01_Assumptions'!$G$6</definedName>
    <definedName name="t3_start">'01_Assumptions'!$G$7</definedName>
    <definedName name="t2_capex_mult">'01_Assumptions'!$G$8</definedName>
    <definedName name="t3_capex_mult">'01_Assumptions'!$G$9</definedName>
    <definedName name="t2_delay">'01_Assumptions'!$G$10</definedName>
    <definedName name="t3_delay">'01_Assumptions'!$G$11</definedName>
    <definedName name="t2_civil_base">'01_Assumptions'!$G$12</definedName>
    <definedName name="t2_equip_base">'01_Assumptions'!$G$13</definedName>
    <definedName name="t3_civil_base">'01_Assumptions'!$G$14</definedName>
    <definedName name="t3_equip_base">'01_Assumptions'!$G$15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Code</t>
        </is>
      </c>
      <c r="C1" t="inlineStr">
        <is>
          <t>Parameter</t>
        </is>
      </c>
      <c r="D1" t="inlineStr">
        <is>
          <t>Base</t>
        </is>
      </c>
      <c r="E1" t="inlineStr">
        <is>
          <t>Downside</t>
        </is>
      </c>
      <c r="F1" t="inlineStr">
        <is>
          <t>Upside</t>
        </is>
      </c>
      <c r="G1" t="inlineStr">
        <is>
          <t>Active</t>
        </is>
      </c>
      <c r="H1" t="inlineStr">
        <is>
          <t>Unit</t>
        </is>
      </c>
      <c r="I1" t="inlineStr">
        <is>
          <t>Source_Note</t>
        </is>
      </c>
      <c r="J1" t="inlineStr">
        <is>
          <t>Named_Range</t>
        </is>
      </c>
      <c r="K1" t="inlineStr">
        <is>
          <t>Driver_Flag</t>
        </is>
      </c>
    </row>
    <row r="2">
      <c r="A2" t="inlineStr">
        <is>
          <t>HEADER</t>
        </is>
      </c>
      <c r="B2" t="inlineStr">
        <is>
          <t>H3</t>
        </is>
      </c>
      <c r="C2" t="inlineStr">
        <is>
          <t>Base Year</t>
        </is>
      </c>
      <c r="D2" t="n">
        <v>2026</v>
      </c>
      <c r="E2" t="inlineStr"/>
      <c r="F2" t="inlineStr"/>
      <c r="G2" t="n">
        <v>2026</v>
      </c>
      <c r="H2" t="inlineStr">
        <is>
          <t>year</t>
        </is>
      </c>
      <c r="I2" t="inlineStr">
        <is>
          <t>Project setup</t>
        </is>
      </c>
      <c r="J2" t="inlineStr">
        <is>
          <t>base_year</t>
        </is>
      </c>
      <c r="K2" t="inlineStr">
        <is>
          <t>CONST</t>
        </is>
      </c>
    </row>
    <row r="3">
      <c r="A3" t="inlineStr">
        <is>
          <t>HEADER</t>
        </is>
      </c>
      <c r="B3" t="inlineStr">
        <is>
          <t>H4</t>
        </is>
      </c>
      <c r="C3" t="inlineStr">
        <is>
          <t>Scenario Selector</t>
        </is>
      </c>
      <c r="D3" t="n">
        <v>1</v>
      </c>
      <c r="E3" t="n">
        <v>2</v>
      </c>
      <c r="F3" t="n">
        <v>3</v>
      </c>
      <c r="G3" t="n">
        <v>1</v>
      </c>
      <c r="H3" t="inlineStr">
        <is>
          <t>index</t>
        </is>
      </c>
      <c r="I3" t="inlineStr">
        <is>
          <t>1=Base 2=Down 3=Up</t>
        </is>
      </c>
      <c r="J3" t="inlineStr">
        <is>
          <t>scenario</t>
        </is>
      </c>
      <c r="K3" t="inlineStr">
        <is>
          <t>SWITCH</t>
        </is>
      </c>
    </row>
    <row r="4">
      <c r="A4" t="inlineStr">
        <is>
          <t>MAKRO</t>
        </is>
      </c>
      <c r="B4" t="inlineStr">
        <is>
          <t>A4</t>
        </is>
      </c>
      <c r="C4" t="inlineStr">
        <is>
          <t>EURIBOR 6M</t>
        </is>
      </c>
      <c r="D4" t="n">
        <v>0.032</v>
      </c>
      <c r="E4" t="n">
        <v>0.045</v>
      </c>
      <c r="F4" t="n">
        <v>0.025</v>
      </c>
      <c r="G4">
        <f>CHOOSE($G$2,D3,E3,F3)</f>
        <v/>
      </c>
      <c r="H4" t="inlineStr">
        <is>
          <t>ratio</t>
        </is>
      </c>
      <c r="I4" t="inlineStr">
        <is>
          <t>Bloomberg</t>
        </is>
      </c>
      <c r="J4" t="inlineStr">
        <is>
          <t>euribor</t>
        </is>
      </c>
      <c r="K4" t="inlineStr">
        <is>
          <t>DRIVER</t>
        </is>
      </c>
    </row>
    <row r="5">
      <c r="A5" t="inlineStr">
        <is>
          <t>KAPITAL</t>
        </is>
      </c>
      <c r="B5" t="inlineStr">
        <is>
          <t>B3</t>
        </is>
      </c>
      <c r="C5" t="inlineStr">
        <is>
          <t>Debt Ratio</t>
        </is>
      </c>
      <c r="D5" t="n">
        <v>0.6</v>
      </c>
      <c r="E5" t="n">
        <v>0.55</v>
      </c>
      <c r="F5" t="n">
        <v>0.65</v>
      </c>
      <c r="G5">
        <f>CHOOSE($G$2,D4,E4,F4)</f>
        <v/>
      </c>
      <c r="H5" t="inlineStr">
        <is>
          <t>ratio</t>
        </is>
      </c>
      <c r="I5" t="inlineStr">
        <is>
          <t>Structure</t>
        </is>
      </c>
      <c r="J5" t="inlineStr">
        <is>
          <t>debt_ratio</t>
        </is>
      </c>
      <c r="K5" t="inlineStr">
        <is>
          <t>CONTROL</t>
        </is>
      </c>
    </row>
    <row r="6">
      <c r="A6" t="inlineStr">
        <is>
          <t>PLATFORM</t>
        </is>
      </c>
      <c r="B6" t="inlineStr">
        <is>
          <t>P4</t>
        </is>
      </c>
      <c r="C6" t="inlineStr">
        <is>
          <t>T2 Start Year</t>
        </is>
      </c>
      <c r="D6" t="n">
        <v>2029</v>
      </c>
      <c r="E6" t="n">
        <v>2030</v>
      </c>
      <c r="F6" t="n">
        <v>2028</v>
      </c>
      <c r="G6">
        <f>CHOOSE($G$2,D5,E5,F5)</f>
        <v/>
      </c>
      <c r="H6" t="inlineStr">
        <is>
          <t>year</t>
        </is>
      </c>
      <c r="I6" t="inlineStr">
        <is>
          <t>Expansion</t>
        </is>
      </c>
      <c r="J6" t="inlineStr">
        <is>
          <t>t2_start</t>
        </is>
      </c>
      <c r="K6" t="inlineStr">
        <is>
          <t>DRIVER</t>
        </is>
      </c>
    </row>
    <row r="7">
      <c r="A7" t="inlineStr">
        <is>
          <t>PLATFORM</t>
        </is>
      </c>
      <c r="B7" t="inlineStr">
        <is>
          <t>P5</t>
        </is>
      </c>
      <c r="C7" t="inlineStr">
        <is>
          <t>T3 Start Year</t>
        </is>
      </c>
      <c r="D7" t="n">
        <v>2031</v>
      </c>
      <c r="E7" t="n">
        <v>2032</v>
      </c>
      <c r="F7" t="n">
        <v>2030</v>
      </c>
      <c r="G7">
        <f>CHOOSE($G$2,D6,E6,F6)</f>
        <v/>
      </c>
      <c r="H7" t="inlineStr">
        <is>
          <t>year</t>
        </is>
      </c>
      <c r="I7" t="inlineStr">
        <is>
          <t>Expansion</t>
        </is>
      </c>
      <c r="J7" t="inlineStr">
        <is>
          <t>t3_start</t>
        </is>
      </c>
      <c r="K7" t="inlineStr">
        <is>
          <t>DRIVER</t>
        </is>
      </c>
    </row>
    <row r="8">
      <c r="A8" t="inlineStr">
        <is>
          <t>PLATFORM</t>
        </is>
      </c>
      <c r="B8" t="inlineStr">
        <is>
          <t>P6</t>
        </is>
      </c>
      <c r="C8" t="inlineStr">
        <is>
          <t>T2 CAPEX Multiplier</t>
        </is>
      </c>
      <c r="D8" t="n">
        <v>0.95</v>
      </c>
      <c r="E8" t="n">
        <v>1</v>
      </c>
      <c r="F8" t="n">
        <v>0.9</v>
      </c>
      <c r="G8">
        <f>CHOOSE($G$2,D7,E7,F7)</f>
        <v/>
      </c>
      <c r="H8" t="inlineStr">
        <is>
          <t>ratio</t>
        </is>
      </c>
      <c r="I8" t="inlineStr">
        <is>
          <t>Learning</t>
        </is>
      </c>
      <c r="J8" t="inlineStr">
        <is>
          <t>t2_capex_mult</t>
        </is>
      </c>
      <c r="K8" t="inlineStr">
        <is>
          <t>DRIVER</t>
        </is>
      </c>
    </row>
    <row r="9">
      <c r="A9" t="inlineStr">
        <is>
          <t>PLATFORM</t>
        </is>
      </c>
      <c r="B9" t="inlineStr">
        <is>
          <t>P7</t>
        </is>
      </c>
      <c r="C9" t="inlineStr">
        <is>
          <t>T3 CAPEX Multiplier</t>
        </is>
      </c>
      <c r="D9" t="n">
        <v>0.9</v>
      </c>
      <c r="E9" t="n">
        <v>0.95</v>
      </c>
      <c r="F9" t="n">
        <v>0.85</v>
      </c>
      <c r="G9">
        <f>CHOOSE($G$2,D8,E8,F8)</f>
        <v/>
      </c>
      <c r="H9" t="inlineStr">
        <is>
          <t>ratio</t>
        </is>
      </c>
      <c r="I9" t="inlineStr">
        <is>
          <t>Learning</t>
        </is>
      </c>
      <c r="J9" t="inlineStr">
        <is>
          <t>t3_capex_mult</t>
        </is>
      </c>
      <c r="K9" t="inlineStr">
        <is>
          <t>DRIVER</t>
        </is>
      </c>
    </row>
    <row r="10">
      <c r="A10" t="inlineStr">
        <is>
          <t>PLATFORM</t>
        </is>
      </c>
      <c r="B10" t="inlineStr">
        <is>
          <t>P10</t>
        </is>
      </c>
      <c r="C10" t="inlineStr">
        <is>
          <t>T2 Delay</t>
        </is>
      </c>
      <c r="D10" t="n">
        <v>0</v>
      </c>
      <c r="E10" t="n">
        <v>1</v>
      </c>
      <c r="F10" t="n">
        <v>0</v>
      </c>
      <c r="G10">
        <f>CHOOSE($G$2,D9,E9,F9)</f>
        <v/>
      </c>
      <c r="H10" t="inlineStr">
        <is>
          <t>years</t>
        </is>
      </c>
      <c r="I10" t="inlineStr">
        <is>
          <t>Execution</t>
        </is>
      </c>
      <c r="J10" t="inlineStr">
        <is>
          <t>t2_delay</t>
        </is>
      </c>
      <c r="K10" t="inlineStr">
        <is>
          <t>DRIVER</t>
        </is>
      </c>
    </row>
    <row r="11">
      <c r="A11" t="inlineStr">
        <is>
          <t>PLATFORM</t>
        </is>
      </c>
      <c r="B11" t="inlineStr">
        <is>
          <t>P11</t>
        </is>
      </c>
      <c r="C11" t="inlineStr">
        <is>
          <t>T3 Delay</t>
        </is>
      </c>
      <c r="D11" t="n">
        <v>0</v>
      </c>
      <c r="E11" t="n">
        <v>1</v>
      </c>
      <c r="F11" t="n">
        <v>0</v>
      </c>
      <c r="G11">
        <f>CHOOSE($G$2,D10,E10,F10)</f>
        <v/>
      </c>
      <c r="H11" t="inlineStr">
        <is>
          <t>years</t>
        </is>
      </c>
      <c r="I11" t="inlineStr">
        <is>
          <t>Execution</t>
        </is>
      </c>
      <c r="J11" t="inlineStr">
        <is>
          <t>t3_delay</t>
        </is>
      </c>
      <c r="K11" t="inlineStr">
        <is>
          <t>DRIVER</t>
        </is>
      </c>
    </row>
    <row r="12">
      <c r="A12" t="inlineStr">
        <is>
          <t>CAPEXDRV</t>
        </is>
      </c>
      <c r="B12" t="inlineStr">
        <is>
          <t>X3</t>
        </is>
      </c>
      <c r="C12" t="inlineStr">
        <is>
          <t>T2 Civil Base CAPEX</t>
        </is>
      </c>
      <c r="D12" t="n">
        <v>6000000</v>
      </c>
      <c r="E12" t="n">
        <v>6500000</v>
      </c>
      <c r="F12" t="n">
        <v>5750000</v>
      </c>
      <c r="G12">
        <f>CHOOSE($G$2,D11,E11,F11)</f>
        <v/>
      </c>
      <c r="H12" t="inlineStr">
        <is>
          <t>eur</t>
        </is>
      </c>
      <c r="I12" t="inlineStr">
        <is>
          <t>Driver</t>
        </is>
      </c>
      <c r="J12" t="inlineStr">
        <is>
          <t>t2_civil_base</t>
        </is>
      </c>
      <c r="K12" t="inlineStr">
        <is>
          <t>DRIVER</t>
        </is>
      </c>
    </row>
    <row r="13">
      <c r="A13" t="inlineStr">
        <is>
          <t>CAPEXDRV</t>
        </is>
      </c>
      <c r="B13" t="inlineStr">
        <is>
          <t>X4</t>
        </is>
      </c>
      <c r="C13" t="inlineStr">
        <is>
          <t>T2 Equipment Base CAPEX</t>
        </is>
      </c>
      <c r="D13" t="n">
        <v>7500000</v>
      </c>
      <c r="E13" t="n">
        <v>8000000</v>
      </c>
      <c r="F13" t="n">
        <v>7200000</v>
      </c>
      <c r="G13">
        <f>CHOOSE($G$2,D12,E12,F12)</f>
        <v/>
      </c>
      <c r="H13" t="inlineStr">
        <is>
          <t>eur</t>
        </is>
      </c>
      <c r="I13" t="inlineStr">
        <is>
          <t>Driver</t>
        </is>
      </c>
      <c r="J13" t="inlineStr">
        <is>
          <t>t2_equip_base</t>
        </is>
      </c>
      <c r="K13" t="inlineStr">
        <is>
          <t>DRIVER</t>
        </is>
      </c>
    </row>
    <row r="14">
      <c r="A14" t="inlineStr">
        <is>
          <t>CAPEXDRV</t>
        </is>
      </c>
      <c r="B14" t="inlineStr">
        <is>
          <t>X5</t>
        </is>
      </c>
      <c r="C14" t="inlineStr">
        <is>
          <t>T3 Civil Base CAPEX</t>
        </is>
      </c>
      <c r="D14" t="n">
        <v>6000000</v>
      </c>
      <c r="E14" t="n">
        <v>6500000</v>
      </c>
      <c r="F14" t="n">
        <v>5750000</v>
      </c>
      <c r="G14">
        <f>CHOOSE($G$2,D13,E13,F13)</f>
        <v/>
      </c>
      <c r="H14" t="inlineStr">
        <is>
          <t>eur</t>
        </is>
      </c>
      <c r="I14" t="inlineStr">
        <is>
          <t>Driver</t>
        </is>
      </c>
      <c r="J14" t="inlineStr">
        <is>
          <t>t3_civil_base</t>
        </is>
      </c>
      <c r="K14" t="inlineStr">
        <is>
          <t>DRIVER</t>
        </is>
      </c>
    </row>
    <row r="15">
      <c r="A15" t="inlineStr">
        <is>
          <t>CAPEXDRV</t>
        </is>
      </c>
      <c r="B15" t="inlineStr">
        <is>
          <t>X6</t>
        </is>
      </c>
      <c r="C15" t="inlineStr">
        <is>
          <t>T3 Equipment Base CAPEX</t>
        </is>
      </c>
      <c r="D15" t="n">
        <v>7500000</v>
      </c>
      <c r="E15" t="n">
        <v>8000000</v>
      </c>
      <c r="F15" t="n">
        <v>7200000</v>
      </c>
      <c r="G15">
        <f>CHOOSE($G$2,D14,E14,F14)</f>
        <v/>
      </c>
      <c r="H15" t="inlineStr">
        <is>
          <t>eur</t>
        </is>
      </c>
      <c r="I15" t="inlineStr">
        <is>
          <t>Driver</t>
        </is>
      </c>
      <c r="J15" t="inlineStr">
        <is>
          <t>t3_equip_base</t>
        </is>
      </c>
      <c r="K15" t="inlineStr">
        <is>
          <t>DRIVER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Phase</t>
        </is>
      </c>
      <c r="C1" t="inlineStr">
        <is>
          <t>Shell</t>
        </is>
      </c>
      <c r="D1" t="inlineStr">
        <is>
          <t>Equipment</t>
        </is>
      </c>
      <c r="E1" t="inlineStr">
        <is>
          <t>Solar</t>
        </is>
      </c>
      <c r="F1" t="inlineStr">
        <is>
          <t>Cont</t>
        </is>
      </c>
      <c r="G1" t="inlineStr">
        <is>
          <t>PreOps</t>
        </is>
      </c>
      <c r="H1" t="inlineStr">
        <is>
          <t>T2</t>
        </is>
      </c>
      <c r="I1" t="inlineStr">
        <is>
          <t>T3</t>
        </is>
      </c>
      <c r="J1" t="inlineStr">
        <is>
          <t>Total</t>
        </is>
      </c>
      <c r="K1" t="inlineStr">
        <is>
          <t>Cumulative</t>
        </is>
      </c>
    </row>
    <row r="2">
      <c r="A2" t="n">
        <v>2026</v>
      </c>
      <c r="B2" t="inlineStr">
        <is>
          <t>Permitting</t>
        </is>
      </c>
      <c r="C2" t="n">
        <v>1.6</v>
      </c>
      <c r="D2" t="n">
        <v>0.8</v>
      </c>
      <c r="E2" t="n">
        <v>0</v>
      </c>
      <c r="F2" t="n">
        <v>0.35</v>
      </c>
      <c r="G2" t="n">
        <v>0.8</v>
      </c>
      <c r="H2" t="n">
        <v>0</v>
      </c>
      <c r="I2" t="n">
        <v>0</v>
      </c>
      <c r="J2">
        <f>SUM(C2:I2)</f>
        <v/>
      </c>
      <c r="K2">
        <f>J2</f>
        <v/>
      </c>
    </row>
    <row r="3">
      <c r="A3" t="n">
        <v>2026</v>
      </c>
      <c r="B3" t="inlineStr">
        <is>
          <t>Structure</t>
        </is>
      </c>
      <c r="C3" t="n">
        <v>2.4</v>
      </c>
      <c r="D3" t="n">
        <v>2.4</v>
      </c>
      <c r="E3" t="n">
        <v>0.3</v>
      </c>
      <c r="F3" t="n">
        <v>0.42</v>
      </c>
      <c r="G3" t="n">
        <v>0.6</v>
      </c>
      <c r="H3" t="n">
        <v>0</v>
      </c>
      <c r="I3" t="n">
        <v>0</v>
      </c>
      <c r="J3">
        <f>SUM(C3:I3)</f>
        <v/>
      </c>
      <c r="K3">
        <f>K2+J3</f>
        <v/>
      </c>
    </row>
    <row r="4">
      <c r="A4" t="n">
        <v>2027</v>
      </c>
      <c r="B4" t="inlineStr">
        <is>
          <t>Install</t>
        </is>
      </c>
      <c r="C4" t="n">
        <v>2</v>
      </c>
      <c r="D4" t="n">
        <v>3.6</v>
      </c>
      <c r="E4" t="n">
        <v>0.6</v>
      </c>
      <c r="F4" t="n">
        <v>0.35</v>
      </c>
      <c r="G4" t="n">
        <v>0.4</v>
      </c>
      <c r="H4" t="n">
        <v>0</v>
      </c>
      <c r="I4" t="n">
        <v>0</v>
      </c>
      <c r="J4">
        <f>SUM(C4:I4)</f>
        <v/>
      </c>
      <c r="K4">
        <f>K3+J4</f>
        <v/>
      </c>
    </row>
    <row r="5">
      <c r="A5" t="n">
        <v>2027</v>
      </c>
      <c r="B5" t="inlineStr">
        <is>
          <t>Commission</t>
        </is>
      </c>
      <c r="C5" t="n">
        <v>0.4</v>
      </c>
      <c r="D5" t="n">
        <v>1.2</v>
      </c>
      <c r="E5" t="n">
        <v>0.3</v>
      </c>
      <c r="F5" t="n">
        <v>0.27</v>
      </c>
      <c r="G5" t="n">
        <v>0.2</v>
      </c>
      <c r="H5" t="n">
        <v>0</v>
      </c>
      <c r="I5" t="n">
        <v>0</v>
      </c>
      <c r="J5">
        <f>SUM(C5:I5)</f>
        <v/>
      </c>
      <c r="K5">
        <f>K4+J5</f>
        <v/>
      </c>
    </row>
    <row r="6">
      <c r="A6" t="n">
        <v>2028</v>
      </c>
      <c r="B6" t="inlineStr">
        <is>
          <t>PreOps</t>
        </is>
      </c>
      <c r="C6" t="n">
        <v>0</v>
      </c>
      <c r="D6" t="n">
        <v>0</v>
      </c>
      <c r="E6" t="n">
        <v>0</v>
      </c>
      <c r="F6" t="n">
        <v>0</v>
      </c>
      <c r="G6" t="n">
        <v>0.32</v>
      </c>
      <c r="H6" t="n">
        <v>0</v>
      </c>
      <c r="I6" t="n">
        <v>0</v>
      </c>
      <c r="J6">
        <f>SUM(C6:I6)</f>
        <v/>
      </c>
      <c r="K6">
        <f>K5+J6</f>
        <v/>
      </c>
    </row>
    <row r="7">
      <c r="A7" t="n">
        <v>2029</v>
      </c>
      <c r="B7" t="inlineStr">
        <is>
          <t>T2 Start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>
        <f>IF(A7=t2_start,0.3*(t2_civil_base+t2_equip_base)*t2_capex_mult/1000000,0)</f>
        <v/>
      </c>
      <c r="I7" t="n">
        <v>0</v>
      </c>
      <c r="J7">
        <f>SUM(C7:I7)</f>
        <v/>
      </c>
      <c r="K7">
        <f>K6+J7</f>
        <v/>
      </c>
    </row>
    <row r="8">
      <c r="A8" t="n">
        <v>2030</v>
      </c>
      <c r="B8" t="inlineStr">
        <is>
          <t>T2 Ramp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>
        <f>IF(A8=t2_start+1+t2_delay,0.7*(t2_civil_base+t2_equip_base)*t2_capex_mult/1000000,0)</f>
        <v/>
      </c>
      <c r="I8" t="n">
        <v>0</v>
      </c>
      <c r="J8">
        <f>SUM(C8:I8)</f>
        <v/>
      </c>
      <c r="K8">
        <f>K7+J8</f>
        <v/>
      </c>
    </row>
    <row r="9">
      <c r="A9" t="n">
        <v>2031</v>
      </c>
      <c r="B9" t="inlineStr">
        <is>
          <t>T3 Start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>
        <f>IF(A9=t3_start,0.3*(t3_civil_base+t3_equip_base)*t3_capex_mult/1000000,0)</f>
        <v/>
      </c>
      <c r="J9">
        <f>SUM(C9:I9)</f>
        <v/>
      </c>
      <c r="K9">
        <f>K8+J9</f>
        <v/>
      </c>
    </row>
    <row r="10">
      <c r="A10" t="n">
        <v>2032</v>
      </c>
      <c r="B10" t="inlineStr">
        <is>
          <t>T3 Ramp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>
        <f>IF(A10=t3_start+1+t3_delay,0.7*(t3_civil_base+t3_equip_base)*t3_capex_mult/1000000,0)</f>
        <v/>
      </c>
      <c r="J10">
        <f>SUM(C10:I10)</f>
        <v/>
      </c>
      <c r="K10">
        <f>K9+J10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(M€)</t>
        </is>
      </c>
      <c r="C1" t="inlineStr">
        <is>
          <t>Note</t>
        </is>
      </c>
    </row>
    <row r="2">
      <c r="A2" t="inlineStr">
        <is>
          <t>Total CAPEX</t>
        </is>
      </c>
      <c r="B2">
        <f>02A_CAPEX_Annual!K10</f>
        <v/>
      </c>
      <c r="C2" t="inlineStr">
        <is>
          <t>Link</t>
        </is>
      </c>
    </row>
    <row r="3">
      <c r="A3" t="inlineStr">
        <is>
          <t>Equity</t>
        </is>
      </c>
      <c r="B3">
        <f>B2*(1-debt_ratio)</f>
        <v/>
      </c>
      <c r="C3" t="inlineStr"/>
    </row>
    <row r="4">
      <c r="A4" t="inlineStr">
        <is>
          <t>Debt</t>
        </is>
      </c>
      <c r="B4">
        <f>B2*debt_ratio</f>
        <v/>
      </c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CAPEX</t>
        </is>
      </c>
      <c r="C1" t="inlineStr">
        <is>
          <t>Debt Draw</t>
        </is>
      </c>
      <c r="D1" t="inlineStr">
        <is>
          <t>Outstanding</t>
        </is>
      </c>
    </row>
    <row r="2">
      <c r="A2" t="n">
        <v>2026</v>
      </c>
      <c r="B2">
        <f>SUMIF(02A_CAPEX_Annual!A2:A10,A2,02A_CAPEX_Annual!J2:J10)</f>
        <v/>
      </c>
      <c r="C2">
        <f>B2*debt_ratio</f>
        <v/>
      </c>
      <c r="D2">
        <f>C2</f>
        <v/>
      </c>
    </row>
    <row r="3">
      <c r="A3" t="n">
        <v>2027</v>
      </c>
      <c r="B3">
        <f>SUMIF(02A_CAPEX_Annual!A2:A10,A3,02A_CAPEX_Annual!J2:J10)</f>
        <v/>
      </c>
      <c r="C3">
        <f>B3*debt_ratio</f>
        <v/>
      </c>
      <c r="D3">
        <f>D2+C3</f>
        <v/>
      </c>
    </row>
    <row r="4">
      <c r="A4" t="n">
        <v>2028</v>
      </c>
      <c r="B4">
        <f>SUMIF(02A_CAPEX_Annual!A2:A10,A4,02A_CAPEX_Annual!J2:J10)</f>
        <v/>
      </c>
      <c r="C4">
        <f>B4*debt_ratio</f>
        <v/>
      </c>
      <c r="D4">
        <f>D3+C4</f>
        <v/>
      </c>
    </row>
    <row r="5">
      <c r="A5" t="n">
        <v>2029</v>
      </c>
      <c r="B5">
        <f>SUMIF(02A_CAPEX_Annual!A2:A10,A5,02A_CAPEX_Annual!J2:J10)</f>
        <v/>
      </c>
      <c r="C5">
        <f>B5*debt_ratio</f>
        <v/>
      </c>
      <c r="D5">
        <f>D4+C5</f>
        <v/>
      </c>
    </row>
    <row r="6">
      <c r="A6" t="n">
        <v>2030</v>
      </c>
      <c r="B6">
        <f>SUMIF(02A_CAPEX_Annual!A2:A10,A6,02A_CAPEX_Annual!J2:J10)</f>
        <v/>
      </c>
      <c r="C6">
        <f>B6*debt_ratio</f>
        <v/>
      </c>
      <c r="D6">
        <f>D5+C6</f>
        <v/>
      </c>
    </row>
    <row r="7">
      <c r="A7" t="n">
        <v>2031</v>
      </c>
      <c r="B7">
        <f>SUMIF(02A_CAPEX_Annual!A2:A10,A7,02A_CAPEX_Annual!J2:J10)</f>
        <v/>
      </c>
      <c r="C7">
        <f>B7*debt_ratio</f>
        <v/>
      </c>
      <c r="D7">
        <f>D6+C7</f>
        <v/>
      </c>
    </row>
    <row r="8">
      <c r="A8" t="n">
        <v>2032</v>
      </c>
      <c r="B8">
        <f>SUMIF(02A_CAPEX_Annual!A2:A10,A8,02A_CAPEX_Annual!J2:J10)</f>
        <v/>
      </c>
      <c r="C8">
        <f>B8*debt_ratio</f>
        <v/>
      </c>
      <c r="D8">
        <f>D7+C8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EBITDA</t>
        </is>
      </c>
      <c r="C1" t="inlineStr">
        <is>
          <t>Debt Service</t>
        </is>
      </c>
      <c r="D1" t="inlineStr">
        <is>
          <t>DSCR</t>
        </is>
      </c>
    </row>
    <row r="2">
      <c r="A2" t="n">
        <v>2026</v>
      </c>
      <c r="B2">
        <f>IF(A2&gt;=2029,20*0.285,0)</f>
        <v/>
      </c>
      <c r="C2">
        <f>12_Debt_Drawdown!C2*euribor</f>
        <v/>
      </c>
      <c r="D2">
        <f>IF(C2&gt;0,B2/C2,"")</f>
        <v/>
      </c>
    </row>
    <row r="3">
      <c r="A3" t="n">
        <v>2027</v>
      </c>
      <c r="B3">
        <f>IF(A3&gt;=2029,20*0.285,0)</f>
        <v/>
      </c>
      <c r="C3">
        <f>12_Debt_Drawdown!C3*euribor</f>
        <v/>
      </c>
      <c r="D3">
        <f>IF(C3&gt;0,B3/C3,"")</f>
        <v/>
      </c>
    </row>
    <row r="4">
      <c r="A4" t="n">
        <v>2028</v>
      </c>
      <c r="B4">
        <f>IF(A4&gt;=2029,20*0.285,0)</f>
        <v/>
      </c>
      <c r="C4">
        <f>12_Debt_Drawdown!C4*euribor</f>
        <v/>
      </c>
      <c r="D4">
        <f>IF(C4&gt;0,B4/C4,"")</f>
        <v/>
      </c>
    </row>
    <row r="5">
      <c r="A5" t="n">
        <v>2029</v>
      </c>
      <c r="B5">
        <f>IF(A5&gt;=2029,20*0.285,0)</f>
        <v/>
      </c>
      <c r="C5">
        <f>12_Debt_Drawdown!C5*euribor</f>
        <v/>
      </c>
      <c r="D5">
        <f>IF(C5&gt;0,B5/C5,"")</f>
        <v/>
      </c>
    </row>
    <row r="6">
      <c r="A6" t="n">
        <v>2030</v>
      </c>
      <c r="B6">
        <f>IF(A6&gt;=2029,20*0.285,0)</f>
        <v/>
      </c>
      <c r="C6">
        <f>12_Debt_Drawdown!C6*euribor</f>
        <v/>
      </c>
      <c r="D6">
        <f>IF(C6&gt;0,B6/C6,"")</f>
        <v/>
      </c>
    </row>
    <row r="7">
      <c r="A7" t="n">
        <v>2031</v>
      </c>
      <c r="B7">
        <f>IF(A7&gt;=2029,20*0.285,0)</f>
        <v/>
      </c>
      <c r="C7">
        <f>12_Debt_Drawdown!C7*euribor</f>
        <v/>
      </c>
      <c r="D7">
        <f>IF(C7&gt;0,B7/C7,"")</f>
        <v/>
      </c>
    </row>
    <row r="8">
      <c r="A8" t="n">
        <v>2032</v>
      </c>
      <c r="B8">
        <f>IF(A8&gt;=2029,20*0.285,0)</f>
        <v/>
      </c>
      <c r="C8">
        <f>12_Debt_Drawdown!C8*euribor</f>
        <v/>
      </c>
      <c r="D8">
        <f>IF(C8&gt;0,B8/C8,"")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2026-03-23T04:50:06Z</dcterms:created>
  <dcterms:modified xmlns:dcterms="http://purl.org/dc/terms/" xmlns:xsi="http://www.w3.org/2001/XMLSchema-instance" xsi:type="dcterms:W3CDTF">2026-03-23T04:50:06Z</dcterms:modified>
</cp:coreProperties>
</file>